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codeName="ThisWorkbook" defaultThemeVersion="124226"/>
  <bookViews>
    <workbookView xWindow="-105" yWindow="-105" windowWidth="23250" windowHeight="12450" tabRatio="922" firstSheet="3" activeTab="5"/>
  </bookViews>
  <sheets>
    <sheet name="Chấm công KT" sheetId="8" state="hidden" r:id="rId1"/>
    <sheet name="BTH mủ tạp" sheetId="128" state="hidden" r:id="rId2"/>
    <sheet name="BTH mủ Sỉum" sheetId="169" state="hidden" r:id="rId3"/>
    <sheet name="TONGHOPCONGDOI" sheetId="9" r:id="rId4"/>
    <sheet name="Trạm 1" sheetId="99" r:id="rId5"/>
    <sheet name="Trạm 2" sheetId="101" r:id="rId6"/>
    <sheet name="CNKT " sheetId="151" r:id="rId7"/>
    <sheet name="Lương bảo vệ " sheetId="135" r:id="rId8"/>
    <sheet name="lương gián tiếp" sheetId="136" r:id="rId9"/>
    <sheet name="LƯƠNG CN TRỰC TIẾP " sheetId="132" r:id="rId10"/>
    <sheet name="Tỉ lệ hoàn thành " sheetId="153" state="hidden" r:id="rId11"/>
    <sheet name="Phân toán  " sheetId="154" r:id="rId12"/>
    <sheet name="BTH CVK" sheetId="157" state="hidden" r:id="rId13"/>
    <sheet name="TT CVK" sheetId="158" state="hidden" r:id="rId14"/>
    <sheet name="PLcon (2)" sheetId="170" state="hidden" r:id="rId15"/>
    <sheet name="DSN Thuê" sheetId="167" state="hidden" r:id="rId16"/>
    <sheet name="tiền TB " sheetId="159" state="hidden" r:id="rId17"/>
    <sheet name="Hổ trợ vi gô " sheetId="160" state="hidden" r:id="rId18"/>
    <sheet name="Thanh toán XX" sheetId="137" state="hidden" r:id="rId19"/>
    <sheet name="PC xăng xe T4" sheetId="138" state="hidden" r:id="rId20"/>
    <sheet name="PLcon NT" sheetId="59" state="hidden" r:id="rId21"/>
    <sheet name="Phân Toán CVK" sheetId="79" state="hidden" r:id="rId22"/>
    <sheet name="Bảng ĐP - BV  " sheetId="162" state="hidden" r:id="rId23"/>
    <sheet name="Bảng CC - NV" sheetId="177" state="hidden" r:id="rId24"/>
    <sheet name="Mã số nhân viên" sheetId="179" state="hidden" r:id="rId25"/>
  </sheets>
  <externalReferences>
    <externalReference r:id="rId26"/>
    <externalReference r:id="rId27"/>
  </externalReferences>
  <definedNames>
    <definedName name="_xlnm._FilterDatabase" localSheetId="2" hidden="1">'BTH mủ Sỉum'!#REF!</definedName>
    <definedName name="_xlnm._FilterDatabase" localSheetId="1" hidden="1">'BTH mủ tạp'!$B$2:$AM$223</definedName>
    <definedName name="_xlnm._FilterDatabase" localSheetId="6" hidden="1">'CNKT '!$A$15:$AL$180</definedName>
    <definedName name="_xlnm._FilterDatabase" localSheetId="0" hidden="1">'Chấm công KT'!$B$1:$AU$166</definedName>
    <definedName name="_xlnm._FilterDatabase" localSheetId="3" hidden="1">TONGHOPCONGDOI!$A$10:$AT$165</definedName>
    <definedName name="_xlnm._FilterDatabase" localSheetId="4" hidden="1">'Trạm 1'!$A$16:$AH$100</definedName>
    <definedName name="_xlnm._FilterDatabase" localSheetId="5" hidden="1">'Trạm 2'!$A$17:$AH$86</definedName>
    <definedName name="_xlnm.Print_Area" localSheetId="2">'BTH mủ Sỉum'!#REF!</definedName>
    <definedName name="_xlnm.Print_Area" localSheetId="1">'BTH mủ tạp'!$A$2:$AN$236</definedName>
    <definedName name="_xlnm.Print_Area" localSheetId="6">'CNKT '!$B$3:$AC$195</definedName>
    <definedName name="_xlnm.Print_Area" localSheetId="7">'Lương bảo vệ '!#REF!</definedName>
    <definedName name="_xlnm.Print_Area" localSheetId="3">TONGHOPCONGDOI!$A$1:$AE$176</definedName>
    <definedName name="_xlnm.Print_Titles" localSheetId="22">'Bảng ĐP - BV  '!#REF!</definedName>
    <definedName name="_xlnm.Print_Titles" localSheetId="2">'BTH mủ Sỉum'!#REF!</definedName>
    <definedName name="_xlnm.Print_Titles" localSheetId="1">'BTH mủ tạp'!$13:$14</definedName>
    <definedName name="_xlnm.Print_Titles" localSheetId="6">'CNKT '!$12:$14</definedName>
    <definedName name="_xlnm.Print_Titles" localSheetId="0">'Chấm công KT'!$10:$11</definedName>
    <definedName name="_xlnm.Print_Titles" localSheetId="7">'Lương bảo vệ '!#REF!</definedName>
    <definedName name="_xlnm.Print_Titles" localSheetId="9">'LƯƠNG CN TRỰC TIẾP '!$11:$12</definedName>
    <definedName name="_xlnm.Print_Titles" localSheetId="19">'PC xăng xe T4'!$11:$12</definedName>
    <definedName name="_xlnm.Print_Titles" localSheetId="11">'Phân toán  '!$12:$12</definedName>
    <definedName name="_xlnm.Print_Titles" localSheetId="21">'Phân Toán CVK'!$12:$12</definedName>
    <definedName name="_xlnm.Print_Titles" localSheetId="16">'tiền TB '!$10:$10</definedName>
    <definedName name="_xlnm.Print_Titles" localSheetId="3">TONGHOPCONGDOI!$6:$8</definedName>
    <definedName name="_xlnm.Print_Titles" localSheetId="18">'Thanh toán XX'!$12:$13</definedName>
    <definedName name="_xlnm.Print_Titles" localSheetId="4">'Trạm 1'!$13:$15</definedName>
    <definedName name="_xlnm.Print_Titles" localSheetId="5">'Trạm 2'!$14:$16</definedName>
  </definedNames>
  <calcPr calcId="144525"/>
</workbook>
</file>

<file path=xl/calcChain.xml><?xml version="1.0" encoding="utf-8"?>
<calcChain xmlns="http://schemas.openxmlformats.org/spreadsheetml/2006/main">
  <c r="W108" i="99" l="1"/>
  <c r="M108" i="99"/>
  <c r="L108" i="99"/>
  <c r="J108" i="99"/>
  <c r="I108" i="99"/>
  <c r="G108" i="99"/>
  <c r="X16" i="99" l="1"/>
  <c r="L13" i="153" l="1"/>
  <c r="J21" i="153"/>
  <c r="J12" i="153"/>
  <c r="K12" i="153"/>
  <c r="M13" i="153"/>
  <c r="H13" i="153" l="1"/>
  <c r="I13" i="153" s="1"/>
  <c r="I16" i="135" l="1"/>
  <c r="F188" i="128" l="1"/>
  <c r="F187" i="128"/>
  <c r="F179" i="128"/>
  <c r="F193" i="128" s="1"/>
  <c r="F180" i="128"/>
  <c r="F194" i="128" s="1"/>
  <c r="F176" i="128"/>
  <c r="F178" i="128"/>
  <c r="F22" i="153"/>
  <c r="F23" i="153"/>
  <c r="F18" i="153"/>
  <c r="K112" i="132"/>
  <c r="M112" i="132"/>
  <c r="M206" i="151"/>
  <c r="M204" i="151"/>
  <c r="M177" i="151"/>
  <c r="M17" i="101"/>
  <c r="V113" i="151"/>
  <c r="W113" i="151"/>
  <c r="Z113" i="151"/>
  <c r="J95" i="132"/>
  <c r="J96" i="132"/>
  <c r="K13" i="132"/>
  <c r="M13" i="132"/>
  <c r="N24" i="99"/>
  <c r="N25" i="99"/>
  <c r="N26" i="99"/>
  <c r="N27" i="99"/>
  <c r="N28" i="99"/>
  <c r="N29" i="99"/>
  <c r="N30" i="99"/>
  <c r="N31" i="99"/>
  <c r="N32" i="99"/>
  <c r="N33" i="99"/>
  <c r="N34" i="99"/>
  <c r="N35" i="99"/>
  <c r="N36" i="99"/>
  <c r="N37" i="99"/>
  <c r="N38" i="99"/>
  <c r="N39" i="99"/>
  <c r="N40" i="99"/>
  <c r="N41" i="99"/>
  <c r="N42" i="99"/>
  <c r="N43" i="99"/>
  <c r="N44" i="99"/>
  <c r="N45" i="99"/>
  <c r="N46" i="99"/>
  <c r="N47" i="99"/>
  <c r="N48" i="99"/>
  <c r="N49" i="99"/>
  <c r="N50" i="99"/>
  <c r="N51" i="99"/>
  <c r="N52" i="99"/>
  <c r="N53" i="99"/>
  <c r="N54" i="99"/>
  <c r="N55" i="99"/>
  <c r="N56" i="99"/>
  <c r="N57" i="99"/>
  <c r="N58" i="99"/>
  <c r="N59" i="99"/>
  <c r="N60" i="99"/>
  <c r="N61" i="99"/>
  <c r="N62" i="99"/>
  <c r="N63" i="99"/>
  <c r="N64" i="99"/>
  <c r="N65" i="99"/>
  <c r="N66" i="99"/>
  <c r="N67" i="99"/>
  <c r="N68" i="99"/>
  <c r="N69" i="99"/>
  <c r="N70" i="99"/>
  <c r="N71" i="99"/>
  <c r="N72" i="99"/>
  <c r="N73" i="99"/>
  <c r="N74" i="99"/>
  <c r="N75" i="99"/>
  <c r="N76" i="99"/>
  <c r="N77" i="99"/>
  <c r="N78" i="99"/>
  <c r="N79" i="99"/>
  <c r="M24" i="99"/>
  <c r="M25" i="99"/>
  <c r="M26" i="99"/>
  <c r="M27" i="99"/>
  <c r="M28" i="99"/>
  <c r="M29" i="99"/>
  <c r="M30" i="99"/>
  <c r="M31" i="99"/>
  <c r="M32" i="99"/>
  <c r="M33" i="99"/>
  <c r="M34" i="99"/>
  <c r="M35" i="99"/>
  <c r="M36" i="99"/>
  <c r="M37" i="99"/>
  <c r="M38" i="99"/>
  <c r="M39" i="99"/>
  <c r="M40" i="99"/>
  <c r="M41" i="99"/>
  <c r="M42" i="99"/>
  <c r="M43" i="99"/>
  <c r="M44" i="99"/>
  <c r="M45" i="99"/>
  <c r="M46" i="99"/>
  <c r="M47" i="99"/>
  <c r="M48" i="99"/>
  <c r="M49" i="99"/>
  <c r="M50" i="99"/>
  <c r="M51" i="99"/>
  <c r="M52" i="99"/>
  <c r="M53" i="99"/>
  <c r="M54" i="99"/>
  <c r="M55" i="99"/>
  <c r="M56" i="99"/>
  <c r="M57" i="99"/>
  <c r="M58" i="99"/>
  <c r="M59" i="99"/>
  <c r="M60" i="99"/>
  <c r="M61" i="99"/>
  <c r="M62" i="99"/>
  <c r="M63" i="99"/>
  <c r="M64" i="99"/>
  <c r="M65" i="99"/>
  <c r="M66" i="99"/>
  <c r="M67" i="99"/>
  <c r="M68" i="99"/>
  <c r="M69" i="99"/>
  <c r="M70" i="99"/>
  <c r="M71" i="99"/>
  <c r="M72" i="99"/>
  <c r="M73" i="99"/>
  <c r="M74" i="99"/>
  <c r="M75" i="99"/>
  <c r="M76" i="99"/>
  <c r="M77" i="99"/>
  <c r="M78" i="99"/>
  <c r="M79" i="99"/>
  <c r="M82" i="99"/>
  <c r="M83" i="99"/>
  <c r="M86" i="99"/>
  <c r="M87" i="99"/>
  <c r="M90" i="99"/>
  <c r="M91" i="99"/>
  <c r="M94" i="99"/>
  <c r="M95" i="99"/>
  <c r="T174" i="9"/>
  <c r="I82" i="101"/>
  <c r="S82" i="101"/>
  <c r="Y82" i="101"/>
  <c r="I99" i="99"/>
  <c r="S99" i="99"/>
  <c r="V99" i="99"/>
  <c r="Y99" i="99"/>
  <c r="K96" i="99"/>
  <c r="W12" i="9"/>
  <c r="N17" i="99" s="1"/>
  <c r="W13" i="9"/>
  <c r="N18" i="99" s="1"/>
  <c r="W14" i="9"/>
  <c r="N19" i="99" s="1"/>
  <c r="W15" i="9"/>
  <c r="N20" i="99" s="1"/>
  <c r="W16" i="9"/>
  <c r="N21" i="99" s="1"/>
  <c r="W17" i="9"/>
  <c r="N22" i="99" s="1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50" i="9"/>
  <c r="W51" i="9"/>
  <c r="W52" i="9"/>
  <c r="W53" i="9"/>
  <c r="W54" i="9"/>
  <c r="W55" i="9"/>
  <c r="W56" i="9"/>
  <c r="W57" i="9"/>
  <c r="W58" i="9"/>
  <c r="W59" i="9"/>
  <c r="W60" i="9"/>
  <c r="W61" i="9"/>
  <c r="W62" i="9"/>
  <c r="W63" i="9"/>
  <c r="W64" i="9"/>
  <c r="W65" i="9"/>
  <c r="W66" i="9"/>
  <c r="W67" i="9"/>
  <c r="W68" i="9"/>
  <c r="W69" i="9"/>
  <c r="W70" i="9"/>
  <c r="W71" i="9"/>
  <c r="W72" i="9"/>
  <c r="W73" i="9"/>
  <c r="W74" i="9"/>
  <c r="W75" i="9"/>
  <c r="N80" i="99" s="1"/>
  <c r="W76" i="9"/>
  <c r="N81" i="99" s="1"/>
  <c r="W77" i="9"/>
  <c r="N82" i="99" s="1"/>
  <c r="W78" i="9"/>
  <c r="N83" i="99" s="1"/>
  <c r="W79" i="9"/>
  <c r="N84" i="99" s="1"/>
  <c r="W80" i="9"/>
  <c r="N85" i="99" s="1"/>
  <c r="W81" i="9"/>
  <c r="N86" i="99" s="1"/>
  <c r="W82" i="9"/>
  <c r="N87" i="99" s="1"/>
  <c r="W83" i="9"/>
  <c r="N88" i="99" s="1"/>
  <c r="W84" i="9"/>
  <c r="N89" i="99" s="1"/>
  <c r="W85" i="9"/>
  <c r="N90" i="99" s="1"/>
  <c r="W86" i="9"/>
  <c r="N91" i="99" s="1"/>
  <c r="W87" i="9"/>
  <c r="N92" i="99" s="1"/>
  <c r="W88" i="9"/>
  <c r="N93" i="99" s="1"/>
  <c r="W89" i="9"/>
  <c r="N94" i="99" s="1"/>
  <c r="W90" i="9"/>
  <c r="N95" i="99" s="1"/>
  <c r="W91" i="9"/>
  <c r="N96" i="99" s="1"/>
  <c r="W11" i="9"/>
  <c r="N16" i="99" s="1"/>
  <c r="V12" i="9"/>
  <c r="M17" i="99" s="1"/>
  <c r="V13" i="9"/>
  <c r="M18" i="99" s="1"/>
  <c r="V14" i="9"/>
  <c r="M19" i="99" s="1"/>
  <c r="V15" i="9"/>
  <c r="M20" i="99" s="1"/>
  <c r="V16" i="9"/>
  <c r="M21" i="99" s="1"/>
  <c r="V17" i="9"/>
  <c r="M22" i="99" s="1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V35" i="9"/>
  <c r="V36" i="9"/>
  <c r="V37" i="9"/>
  <c r="V38" i="9"/>
  <c r="V39" i="9"/>
  <c r="V40" i="9"/>
  <c r="V41" i="9"/>
  <c r="V42" i="9"/>
  <c r="V43" i="9"/>
  <c r="V44" i="9"/>
  <c r="V45" i="9"/>
  <c r="V46" i="9"/>
  <c r="V47" i="9"/>
  <c r="V48" i="9"/>
  <c r="V49" i="9"/>
  <c r="V50" i="9"/>
  <c r="V51" i="9"/>
  <c r="V52" i="9"/>
  <c r="V53" i="9"/>
  <c r="V54" i="9"/>
  <c r="V55" i="9"/>
  <c r="V56" i="9"/>
  <c r="V57" i="9"/>
  <c r="V58" i="9"/>
  <c r="V59" i="9"/>
  <c r="V60" i="9"/>
  <c r="V61" i="9"/>
  <c r="V62" i="9"/>
  <c r="V63" i="9"/>
  <c r="V64" i="9"/>
  <c r="V65" i="9"/>
  <c r="V66" i="9"/>
  <c r="V67" i="9"/>
  <c r="V68" i="9"/>
  <c r="V69" i="9"/>
  <c r="V70" i="9"/>
  <c r="V71" i="9"/>
  <c r="V72" i="9"/>
  <c r="V73" i="9"/>
  <c r="V74" i="9"/>
  <c r="V75" i="9"/>
  <c r="M80" i="99" s="1"/>
  <c r="V76" i="9"/>
  <c r="M81" i="99" s="1"/>
  <c r="V77" i="9"/>
  <c r="V78" i="9"/>
  <c r="V79" i="9"/>
  <c r="M84" i="99" s="1"/>
  <c r="V80" i="9"/>
  <c r="M85" i="99" s="1"/>
  <c r="V81" i="9"/>
  <c r="V82" i="9"/>
  <c r="V83" i="9"/>
  <c r="M88" i="99" s="1"/>
  <c r="V84" i="9"/>
  <c r="M89" i="99" s="1"/>
  <c r="V85" i="9"/>
  <c r="V86" i="9"/>
  <c r="V87" i="9"/>
  <c r="M92" i="99" s="1"/>
  <c r="V88" i="9"/>
  <c r="M93" i="99" s="1"/>
  <c r="V89" i="9"/>
  <c r="V90" i="9"/>
  <c r="V91" i="9"/>
  <c r="M96" i="99" s="1"/>
  <c r="V11" i="9"/>
  <c r="M16" i="99" s="1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59" i="9"/>
  <c r="R60" i="9"/>
  <c r="R61" i="9"/>
  <c r="R62" i="9"/>
  <c r="R63" i="9"/>
  <c r="R64" i="9"/>
  <c r="R65" i="9"/>
  <c r="R66" i="9"/>
  <c r="R67" i="9"/>
  <c r="R68" i="9"/>
  <c r="R69" i="9"/>
  <c r="R70" i="9"/>
  <c r="R71" i="9"/>
  <c r="R72" i="9"/>
  <c r="R73" i="9"/>
  <c r="R74" i="9"/>
  <c r="R75" i="9"/>
  <c r="R76" i="9"/>
  <c r="R77" i="9"/>
  <c r="R78" i="9"/>
  <c r="R79" i="9"/>
  <c r="R80" i="9"/>
  <c r="R81" i="9"/>
  <c r="R82" i="9"/>
  <c r="R83" i="9"/>
  <c r="R84" i="9"/>
  <c r="R85" i="9"/>
  <c r="R86" i="9"/>
  <c r="R87" i="9"/>
  <c r="R89" i="9"/>
  <c r="R90" i="9"/>
  <c r="R91" i="9"/>
  <c r="G96" i="99" s="1"/>
  <c r="R11" i="9"/>
  <c r="C85" i="9"/>
  <c r="C86" i="9"/>
  <c r="C87" i="9"/>
  <c r="C88" i="9"/>
  <c r="D93" i="151" s="1"/>
  <c r="O93" i="151" s="1"/>
  <c r="C89" i="9"/>
  <c r="C90" i="9"/>
  <c r="C91" i="9"/>
  <c r="C92" i="9"/>
  <c r="C93" i="9"/>
  <c r="Q184" i="128"/>
  <c r="Q183" i="128"/>
  <c r="AH184" i="128"/>
  <c r="AH183" i="128"/>
  <c r="T182" i="128"/>
  <c r="F182" i="128"/>
  <c r="AA182" i="128"/>
  <c r="N93" i="151" l="1"/>
  <c r="J96" i="99"/>
  <c r="T188" i="128" l="1"/>
  <c r="AA180" i="128"/>
  <c r="AA179" i="128"/>
  <c r="AA178" i="128"/>
  <c r="AA177" i="128"/>
  <c r="AA176" i="128"/>
  <c r="T180" i="128"/>
  <c r="T179" i="128"/>
  <c r="T178" i="128"/>
  <c r="T192" i="128" s="1"/>
  <c r="T177" i="128"/>
  <c r="T191" i="128" s="1"/>
  <c r="T176" i="128"/>
  <c r="T190" i="128" s="1"/>
  <c r="F16" i="128"/>
  <c r="G16" i="128"/>
  <c r="H16" i="128"/>
  <c r="I16" i="128"/>
  <c r="J16" i="128"/>
  <c r="K16" i="128"/>
  <c r="L16" i="128"/>
  <c r="M16" i="128"/>
  <c r="N16" i="128"/>
  <c r="O16" i="128"/>
  <c r="P16" i="128"/>
  <c r="Q16" i="128"/>
  <c r="R16" i="128"/>
  <c r="S16" i="128"/>
  <c r="T16" i="128"/>
  <c r="U16" i="128"/>
  <c r="V16" i="128"/>
  <c r="W16" i="128"/>
  <c r="X16" i="128"/>
  <c r="Y16" i="128"/>
  <c r="Z16" i="128"/>
  <c r="AA16" i="128"/>
  <c r="AB16" i="128"/>
  <c r="AC16" i="128"/>
  <c r="AD16" i="128"/>
  <c r="AE16" i="128"/>
  <c r="AF16" i="128"/>
  <c r="AG16" i="128"/>
  <c r="AH16" i="128"/>
  <c r="AI16" i="128"/>
  <c r="AK16" i="128"/>
  <c r="AM16" i="128"/>
  <c r="AA175" i="128" l="1"/>
  <c r="AH178" i="128" s="1"/>
  <c r="AL94" i="8"/>
  <c r="AM94" i="8"/>
  <c r="AN94" i="8"/>
  <c r="AO94" i="8"/>
  <c r="AP94" i="8"/>
  <c r="AQ94" i="8"/>
  <c r="AK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F94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H177" i="128" l="1"/>
  <c r="AH176" i="128"/>
  <c r="D91" i="128"/>
  <c r="D92" i="128"/>
  <c r="D93" i="128"/>
  <c r="D94" i="128"/>
  <c r="R88" i="9" s="1"/>
  <c r="R10" i="9" s="1"/>
  <c r="D95" i="128"/>
  <c r="D96" i="128"/>
  <c r="D97" i="128"/>
  <c r="AK97" i="128"/>
  <c r="AM97" i="128" s="1"/>
  <c r="AJ16" i="128"/>
  <c r="AK93" i="8"/>
  <c r="AL93" i="8"/>
  <c r="AM93" i="8"/>
  <c r="AQ93" i="8" s="1"/>
  <c r="AN93" i="8"/>
  <c r="AO93" i="8"/>
  <c r="AP93" i="8"/>
  <c r="O178" i="9"/>
  <c r="R178" i="9"/>
  <c r="P178" i="9"/>
  <c r="Q178" i="9"/>
  <c r="Q99" i="9"/>
  <c r="Q103" i="9"/>
  <c r="Q154" i="9"/>
  <c r="Q155" i="9"/>
  <c r="Q156" i="9"/>
  <c r="Q157" i="9"/>
  <c r="Q158" i="9"/>
  <c r="Q159" i="9"/>
  <c r="P95" i="9"/>
  <c r="S95" i="9"/>
  <c r="Y95" i="9"/>
  <c r="Z95" i="9"/>
  <c r="AA95" i="9"/>
  <c r="AB95" i="9"/>
  <c r="G95" i="9"/>
  <c r="I95" i="9"/>
  <c r="J95" i="9"/>
  <c r="K95" i="9"/>
  <c r="L95" i="9"/>
  <c r="M95" i="9"/>
  <c r="N95" i="9"/>
  <c r="O95" i="9"/>
  <c r="Q14" i="9"/>
  <c r="Q18" i="9"/>
  <c r="Q22" i="9"/>
  <c r="Q26" i="9"/>
  <c r="Q30" i="9"/>
  <c r="Q34" i="9"/>
  <c r="Q38" i="9"/>
  <c r="Q42" i="9"/>
  <c r="Q46" i="9"/>
  <c r="Q54" i="9"/>
  <c r="Q58" i="9"/>
  <c r="Q62" i="9"/>
  <c r="Q66" i="9"/>
  <c r="Q70" i="9"/>
  <c r="Q74" i="9"/>
  <c r="Q78" i="9"/>
  <c r="Q82" i="9"/>
  <c r="Q84" i="9"/>
  <c r="Q85" i="9"/>
  <c r="Q86" i="9"/>
  <c r="Q87" i="9"/>
  <c r="Q88" i="9"/>
  <c r="Q89" i="9"/>
  <c r="Q90" i="9"/>
  <c r="Q91" i="9"/>
  <c r="Q92" i="9"/>
  <c r="Q93" i="9"/>
  <c r="Q94" i="9"/>
  <c r="G10" i="9"/>
  <c r="H10" i="9"/>
  <c r="I10" i="9"/>
  <c r="J10" i="9"/>
  <c r="K10" i="9"/>
  <c r="L10" i="9"/>
  <c r="M10" i="9"/>
  <c r="N10" i="9"/>
  <c r="O10" i="9"/>
  <c r="P10" i="9"/>
  <c r="H160" i="9"/>
  <c r="Q160" i="9" s="1"/>
  <c r="F103" i="9"/>
  <c r="F97" i="9"/>
  <c r="F98" i="9"/>
  <c r="Q98" i="9" s="1"/>
  <c r="F99" i="9"/>
  <c r="F100" i="9"/>
  <c r="F101" i="9"/>
  <c r="F102" i="9"/>
  <c r="Q102" i="9" s="1"/>
  <c r="F104" i="9"/>
  <c r="F105" i="9"/>
  <c r="F106" i="9"/>
  <c r="Q106" i="9" s="1"/>
  <c r="F107" i="9"/>
  <c r="Q107" i="9" s="1"/>
  <c r="F108" i="9"/>
  <c r="F109" i="9"/>
  <c r="F110" i="9"/>
  <c r="Q110" i="9" s="1"/>
  <c r="F111" i="9"/>
  <c r="Q111" i="9" s="1"/>
  <c r="F112" i="9"/>
  <c r="F113" i="9"/>
  <c r="F114" i="9"/>
  <c r="Q114" i="9" s="1"/>
  <c r="F115" i="9"/>
  <c r="Q115" i="9" s="1"/>
  <c r="F116" i="9"/>
  <c r="F117" i="9"/>
  <c r="F118" i="9"/>
  <c r="Q118" i="9" s="1"/>
  <c r="F119" i="9"/>
  <c r="Q119" i="9" s="1"/>
  <c r="F120" i="9"/>
  <c r="F121" i="9"/>
  <c r="F122" i="9"/>
  <c r="Q122" i="9" s="1"/>
  <c r="F123" i="9"/>
  <c r="Q123" i="9" s="1"/>
  <c r="F124" i="9"/>
  <c r="F125" i="9"/>
  <c r="F126" i="9"/>
  <c r="Q126" i="9" s="1"/>
  <c r="F127" i="9"/>
  <c r="Q127" i="9" s="1"/>
  <c r="F128" i="9"/>
  <c r="F129" i="9"/>
  <c r="F130" i="9"/>
  <c r="Q130" i="9" s="1"/>
  <c r="F131" i="9"/>
  <c r="Q131" i="9" s="1"/>
  <c r="F132" i="9"/>
  <c r="F133" i="9"/>
  <c r="F134" i="9"/>
  <c r="Q134" i="9" s="1"/>
  <c r="F135" i="9"/>
  <c r="Q135" i="9" s="1"/>
  <c r="F136" i="9"/>
  <c r="F137" i="9"/>
  <c r="F138" i="9"/>
  <c r="Q138" i="9" s="1"/>
  <c r="F139" i="9"/>
  <c r="Q139" i="9" s="1"/>
  <c r="F140" i="9"/>
  <c r="F141" i="9"/>
  <c r="F142" i="9"/>
  <c r="Q142" i="9" s="1"/>
  <c r="F143" i="9"/>
  <c r="Q143" i="9" s="1"/>
  <c r="F144" i="9"/>
  <c r="F145" i="9"/>
  <c r="F146" i="9"/>
  <c r="Q146" i="9" s="1"/>
  <c r="F147" i="9"/>
  <c r="Q147" i="9" s="1"/>
  <c r="F148" i="9"/>
  <c r="F149" i="9"/>
  <c r="F150" i="9"/>
  <c r="Q150" i="9" s="1"/>
  <c r="F151" i="9"/>
  <c r="Q151" i="9" s="1"/>
  <c r="F152" i="9"/>
  <c r="F153" i="9"/>
  <c r="F96" i="9"/>
  <c r="F95" i="9" s="1"/>
  <c r="F51" i="9"/>
  <c r="F52" i="9"/>
  <c r="F53" i="9"/>
  <c r="F50" i="9"/>
  <c r="F10" i="9" s="1"/>
  <c r="E97" i="9"/>
  <c r="E98" i="9"/>
  <c r="E99" i="9"/>
  <c r="E100" i="9"/>
  <c r="Q100" i="9" s="1"/>
  <c r="E101" i="9"/>
  <c r="E102" i="9"/>
  <c r="E103" i="9"/>
  <c r="E104" i="9"/>
  <c r="Q104" i="9" s="1"/>
  <c r="E105" i="9"/>
  <c r="Q105" i="9" s="1"/>
  <c r="E106" i="9"/>
  <c r="E107" i="9"/>
  <c r="E108" i="9"/>
  <c r="Q108" i="9" s="1"/>
  <c r="E109" i="9"/>
  <c r="Q109" i="9" s="1"/>
  <c r="E110" i="9"/>
  <c r="E111" i="9"/>
  <c r="E112" i="9"/>
  <c r="Q112" i="9" s="1"/>
  <c r="E113" i="9"/>
  <c r="Q113" i="9" s="1"/>
  <c r="E114" i="9"/>
  <c r="E115" i="9"/>
  <c r="E116" i="9"/>
  <c r="Q116" i="9" s="1"/>
  <c r="E117" i="9"/>
  <c r="Q117" i="9" s="1"/>
  <c r="E118" i="9"/>
  <c r="E119" i="9"/>
  <c r="E120" i="9"/>
  <c r="Q120" i="9" s="1"/>
  <c r="E121" i="9"/>
  <c r="Q121" i="9" s="1"/>
  <c r="E122" i="9"/>
  <c r="E123" i="9"/>
  <c r="E124" i="9"/>
  <c r="Q124" i="9" s="1"/>
  <c r="E125" i="9"/>
  <c r="Q125" i="9" s="1"/>
  <c r="E126" i="9"/>
  <c r="E127" i="9"/>
  <c r="E128" i="9"/>
  <c r="Q128" i="9" s="1"/>
  <c r="E129" i="9"/>
  <c r="Q129" i="9" s="1"/>
  <c r="E130" i="9"/>
  <c r="E131" i="9"/>
  <c r="E132" i="9"/>
  <c r="Q132" i="9" s="1"/>
  <c r="E133" i="9"/>
  <c r="Q133" i="9" s="1"/>
  <c r="E134" i="9"/>
  <c r="E135" i="9"/>
  <c r="E136" i="9"/>
  <c r="Q136" i="9" s="1"/>
  <c r="E137" i="9"/>
  <c r="Q137" i="9" s="1"/>
  <c r="E138" i="9"/>
  <c r="E139" i="9"/>
  <c r="E140" i="9"/>
  <c r="Q140" i="9" s="1"/>
  <c r="E141" i="9"/>
  <c r="Q141" i="9" s="1"/>
  <c r="E142" i="9"/>
  <c r="E143" i="9"/>
  <c r="E144" i="9"/>
  <c r="Q144" i="9" s="1"/>
  <c r="E145" i="9"/>
  <c r="Q145" i="9" s="1"/>
  <c r="E146" i="9"/>
  <c r="E147" i="9"/>
  <c r="E148" i="9"/>
  <c r="Q148" i="9" s="1"/>
  <c r="E149" i="9"/>
  <c r="Q149" i="9" s="1"/>
  <c r="E150" i="9"/>
  <c r="E151" i="9"/>
  <c r="E152" i="9"/>
  <c r="Q152" i="9" s="1"/>
  <c r="E153" i="9"/>
  <c r="Q153" i="9" s="1"/>
  <c r="E96" i="9"/>
  <c r="E70" i="9"/>
  <c r="E71" i="9"/>
  <c r="Q71" i="9" s="1"/>
  <c r="E72" i="9"/>
  <c r="Q72" i="9" s="1"/>
  <c r="E73" i="9"/>
  <c r="Q73" i="9" s="1"/>
  <c r="E74" i="9"/>
  <c r="E75" i="9"/>
  <c r="Q75" i="9" s="1"/>
  <c r="E76" i="9"/>
  <c r="Q76" i="9" s="1"/>
  <c r="E77" i="9"/>
  <c r="Q77" i="9" s="1"/>
  <c r="E78" i="9"/>
  <c r="E79" i="9"/>
  <c r="Q79" i="9" s="1"/>
  <c r="E80" i="9"/>
  <c r="Q80" i="9" s="1"/>
  <c r="E81" i="9"/>
  <c r="Q81" i="9" s="1"/>
  <c r="E82" i="9"/>
  <c r="E83" i="9"/>
  <c r="Q83" i="9" s="1"/>
  <c r="E12" i="9"/>
  <c r="Q12" i="9" s="1"/>
  <c r="E13" i="9"/>
  <c r="Q13" i="9" s="1"/>
  <c r="E14" i="9"/>
  <c r="E15" i="9"/>
  <c r="Q15" i="9" s="1"/>
  <c r="E16" i="9"/>
  <c r="Q16" i="9" s="1"/>
  <c r="E17" i="9"/>
  <c r="Q17" i="9" s="1"/>
  <c r="E18" i="9"/>
  <c r="E19" i="9"/>
  <c r="Q19" i="9" s="1"/>
  <c r="E20" i="9"/>
  <c r="Q20" i="9" s="1"/>
  <c r="E21" i="9"/>
  <c r="Q21" i="9" s="1"/>
  <c r="E22" i="9"/>
  <c r="E23" i="9"/>
  <c r="Q23" i="9" s="1"/>
  <c r="E24" i="9"/>
  <c r="Q24" i="9" s="1"/>
  <c r="E25" i="9"/>
  <c r="Q25" i="9" s="1"/>
  <c r="E26" i="9"/>
  <c r="E27" i="9"/>
  <c r="Q27" i="9" s="1"/>
  <c r="E28" i="9"/>
  <c r="Q28" i="9" s="1"/>
  <c r="E29" i="9"/>
  <c r="Q29" i="9" s="1"/>
  <c r="E30" i="9"/>
  <c r="E31" i="9"/>
  <c r="Q31" i="9" s="1"/>
  <c r="E32" i="9"/>
  <c r="Q32" i="9" s="1"/>
  <c r="E33" i="9"/>
  <c r="Q33" i="9" s="1"/>
  <c r="E34" i="9"/>
  <c r="E35" i="9"/>
  <c r="Q35" i="9" s="1"/>
  <c r="E36" i="9"/>
  <c r="Q36" i="9" s="1"/>
  <c r="E37" i="9"/>
  <c r="Q37" i="9" s="1"/>
  <c r="E38" i="9"/>
  <c r="E39" i="9"/>
  <c r="Q39" i="9" s="1"/>
  <c r="E40" i="9"/>
  <c r="Q40" i="9" s="1"/>
  <c r="E41" i="9"/>
  <c r="Q41" i="9" s="1"/>
  <c r="E42" i="9"/>
  <c r="E43" i="9"/>
  <c r="Q43" i="9" s="1"/>
  <c r="E44" i="9"/>
  <c r="Q44" i="9" s="1"/>
  <c r="E45" i="9"/>
  <c r="Q45" i="9" s="1"/>
  <c r="E46" i="9"/>
  <c r="E47" i="9"/>
  <c r="Q47" i="9" s="1"/>
  <c r="E48" i="9"/>
  <c r="Q48" i="9" s="1"/>
  <c r="E49" i="9"/>
  <c r="Q49" i="9" s="1"/>
  <c r="E50" i="9"/>
  <c r="E51" i="9"/>
  <c r="Q51" i="9" s="1"/>
  <c r="E52" i="9"/>
  <c r="Q52" i="9" s="1"/>
  <c r="E53" i="9"/>
  <c r="Q53" i="9" s="1"/>
  <c r="E54" i="9"/>
  <c r="E55" i="9"/>
  <c r="Q55" i="9" s="1"/>
  <c r="E56" i="9"/>
  <c r="Q56" i="9" s="1"/>
  <c r="E57" i="9"/>
  <c r="Q57" i="9" s="1"/>
  <c r="E58" i="9"/>
  <c r="E59" i="9"/>
  <c r="Q59" i="9" s="1"/>
  <c r="E60" i="9"/>
  <c r="Q60" i="9" s="1"/>
  <c r="E61" i="9"/>
  <c r="Q61" i="9" s="1"/>
  <c r="E62" i="9"/>
  <c r="E63" i="9"/>
  <c r="Q63" i="9" s="1"/>
  <c r="E64" i="9"/>
  <c r="Q64" i="9" s="1"/>
  <c r="E65" i="9"/>
  <c r="Q65" i="9" s="1"/>
  <c r="E66" i="9"/>
  <c r="E67" i="9"/>
  <c r="Q67" i="9" s="1"/>
  <c r="E68" i="9"/>
  <c r="Q68" i="9" s="1"/>
  <c r="E69" i="9"/>
  <c r="Q69" i="9" s="1"/>
  <c r="E11" i="9"/>
  <c r="Q11" i="9" s="1"/>
  <c r="Q50" i="9" l="1"/>
  <c r="E95" i="9"/>
  <c r="Q101" i="9"/>
  <c r="Q97" i="9"/>
  <c r="E10" i="9"/>
  <c r="Q96" i="9"/>
  <c r="Q95" i="9" s="1"/>
  <c r="H95" i="9"/>
  <c r="AG20" i="169"/>
  <c r="AI20" i="169"/>
  <c r="C87" i="132" l="1"/>
  <c r="C88" i="132"/>
  <c r="C89" i="132"/>
  <c r="C90" i="132"/>
  <c r="C91" i="132"/>
  <c r="C92" i="132"/>
  <c r="C93" i="132"/>
  <c r="C94" i="132"/>
  <c r="T11" i="9"/>
  <c r="C172" i="151"/>
  <c r="C173" i="151"/>
  <c r="C174" i="151"/>
  <c r="C175" i="151"/>
  <c r="C176" i="151"/>
  <c r="B75" i="101"/>
  <c r="B76" i="101"/>
  <c r="B77" i="101"/>
  <c r="B78" i="101"/>
  <c r="B79" i="101"/>
  <c r="G18" i="153" l="1"/>
  <c r="G14" i="153"/>
  <c r="G17" i="153" l="1"/>
  <c r="B20" i="153"/>
  <c r="B19" i="153"/>
  <c r="B18" i="153"/>
  <c r="B17" i="153"/>
  <c r="B14" i="153"/>
  <c r="AA186" i="128"/>
  <c r="T186" i="128"/>
  <c r="F186" i="128"/>
  <c r="F185" i="128"/>
  <c r="F184" i="128"/>
  <c r="F183" i="128"/>
  <c r="F177" i="128"/>
  <c r="F191" i="128" s="1"/>
  <c r="F165" i="128"/>
  <c r="F166" i="128"/>
  <c r="F167" i="128"/>
  <c r="F168" i="128"/>
  <c r="M168" i="128"/>
  <c r="R168" i="128"/>
  <c r="F170" i="128"/>
  <c r="F169" i="128" s="1"/>
  <c r="AS153" i="8"/>
  <c r="AT153" i="8" s="1"/>
  <c r="AS154" i="8"/>
  <c r="AT154" i="8" s="1"/>
  <c r="AS155" i="8"/>
  <c r="AT155" i="8" s="1"/>
  <c r="AS156" i="8"/>
  <c r="AT156" i="8" s="1"/>
  <c r="AS96" i="8"/>
  <c r="AS97" i="8"/>
  <c r="AS98" i="8"/>
  <c r="AS99" i="8"/>
  <c r="AS100" i="8"/>
  <c r="AS101" i="8"/>
  <c r="AS102" i="8"/>
  <c r="AS103" i="8"/>
  <c r="AS104" i="8"/>
  <c r="AS105" i="8"/>
  <c r="AS106" i="8"/>
  <c r="AS107" i="8"/>
  <c r="AS108" i="8"/>
  <c r="AS109" i="8"/>
  <c r="AS110" i="8"/>
  <c r="AS111" i="8"/>
  <c r="AS112" i="8"/>
  <c r="AS113" i="8"/>
  <c r="AS114" i="8"/>
  <c r="AS115" i="8"/>
  <c r="AS116" i="8"/>
  <c r="AS117" i="8"/>
  <c r="AS118" i="8"/>
  <c r="AS119" i="8"/>
  <c r="AS120" i="8"/>
  <c r="AS121" i="8"/>
  <c r="AS122" i="8"/>
  <c r="AS123" i="8"/>
  <c r="AS124" i="8"/>
  <c r="AS125" i="8"/>
  <c r="AS126" i="8"/>
  <c r="AS127" i="8"/>
  <c r="AS128" i="8"/>
  <c r="AS129" i="8"/>
  <c r="AS130" i="8"/>
  <c r="AS131" i="8"/>
  <c r="AS132" i="8"/>
  <c r="AS133" i="8"/>
  <c r="AS134" i="8"/>
  <c r="AS135" i="8"/>
  <c r="AS136" i="8"/>
  <c r="AS137" i="8"/>
  <c r="AS138" i="8"/>
  <c r="AS139" i="8"/>
  <c r="AS140" i="8"/>
  <c r="AS141" i="8"/>
  <c r="AS142" i="8"/>
  <c r="AS143" i="8"/>
  <c r="AS144" i="8"/>
  <c r="AS145" i="8"/>
  <c r="AS146" i="8"/>
  <c r="AS147" i="8"/>
  <c r="AS148" i="8"/>
  <c r="AS149" i="8"/>
  <c r="AS150" i="8"/>
  <c r="AS151" i="8"/>
  <c r="AS152" i="8"/>
  <c r="AS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95" i="8"/>
  <c r="AS13" i="8"/>
  <c r="AS14" i="8"/>
  <c r="AS15" i="8"/>
  <c r="AS16" i="8"/>
  <c r="AS17" i="8"/>
  <c r="AS18" i="8"/>
  <c r="AS19" i="8"/>
  <c r="AS20" i="8"/>
  <c r="AS21" i="8"/>
  <c r="AS22" i="8"/>
  <c r="AS23" i="8"/>
  <c r="AS24" i="8"/>
  <c r="AS25" i="8"/>
  <c r="AS26" i="8"/>
  <c r="AS27" i="8"/>
  <c r="AS28" i="8"/>
  <c r="AS29" i="8"/>
  <c r="AS30" i="8"/>
  <c r="AS31" i="8"/>
  <c r="AS32" i="8"/>
  <c r="AS33" i="8"/>
  <c r="AS34" i="8"/>
  <c r="AS35" i="8"/>
  <c r="AS36" i="8"/>
  <c r="AS37" i="8"/>
  <c r="AS38" i="8"/>
  <c r="AS39" i="8"/>
  <c r="AS40" i="8"/>
  <c r="AS41" i="8"/>
  <c r="AS42" i="8"/>
  <c r="AS43" i="8"/>
  <c r="AS44" i="8"/>
  <c r="AS45" i="8"/>
  <c r="AS46" i="8"/>
  <c r="AS47" i="8"/>
  <c r="AS48" i="8"/>
  <c r="AS49" i="8"/>
  <c r="AS50" i="8"/>
  <c r="AS51" i="8"/>
  <c r="AS52" i="8"/>
  <c r="AS53" i="8"/>
  <c r="AS54" i="8"/>
  <c r="AS55" i="8"/>
  <c r="AS56" i="8"/>
  <c r="AS57" i="8"/>
  <c r="AS58" i="8"/>
  <c r="AS59" i="8"/>
  <c r="AS60" i="8"/>
  <c r="AS61" i="8"/>
  <c r="AS62" i="8"/>
  <c r="AS63" i="8"/>
  <c r="AS64" i="8"/>
  <c r="AS65" i="8"/>
  <c r="AS66" i="8"/>
  <c r="AS67" i="8"/>
  <c r="AS68" i="8"/>
  <c r="AS69" i="8"/>
  <c r="AS70" i="8"/>
  <c r="AS71" i="8"/>
  <c r="AS72" i="8"/>
  <c r="AS73" i="8"/>
  <c r="AS74" i="8"/>
  <c r="AS75" i="8"/>
  <c r="AS76" i="8"/>
  <c r="AS77" i="8"/>
  <c r="AS78" i="8"/>
  <c r="AS79" i="8"/>
  <c r="AS80" i="8"/>
  <c r="AS81" i="8"/>
  <c r="AS82" i="8"/>
  <c r="AS83" i="8"/>
  <c r="AS84" i="8"/>
  <c r="AS85" i="8"/>
  <c r="AS12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13" i="8"/>
  <c r="C87" i="128" l="1"/>
  <c r="B81" i="9"/>
  <c r="C86" i="151"/>
  <c r="C84" i="132"/>
  <c r="B86" i="99"/>
  <c r="C75" i="128"/>
  <c r="B69" i="9"/>
  <c r="C74" i="151"/>
  <c r="C72" i="132"/>
  <c r="B74" i="99"/>
  <c r="C63" i="128"/>
  <c r="B57" i="9"/>
  <c r="C62" i="151"/>
  <c r="C60" i="132"/>
  <c r="B62" i="99"/>
  <c r="C55" i="128"/>
  <c r="B49" i="9"/>
  <c r="C54" i="151"/>
  <c r="C52" i="132"/>
  <c r="B54" i="99"/>
  <c r="C51" i="128"/>
  <c r="B45" i="9"/>
  <c r="C50" i="151"/>
  <c r="C48" i="132"/>
  <c r="B50" i="99"/>
  <c r="C47" i="128"/>
  <c r="B41" i="9"/>
  <c r="C46" i="151"/>
  <c r="C44" i="132"/>
  <c r="B46" i="99"/>
  <c r="C43" i="128"/>
  <c r="B37" i="9"/>
  <c r="C42" i="151"/>
  <c r="C40" i="132"/>
  <c r="B42" i="99"/>
  <c r="C39" i="128"/>
  <c r="B33" i="9"/>
  <c r="C38" i="151"/>
  <c r="C36" i="132"/>
  <c r="B38" i="99"/>
  <c r="C35" i="128"/>
  <c r="B29" i="9"/>
  <c r="C34" i="151"/>
  <c r="C32" i="132"/>
  <c r="B34" i="99"/>
  <c r="C31" i="128"/>
  <c r="B25" i="9"/>
  <c r="C30" i="151"/>
  <c r="B30" i="99"/>
  <c r="C28" i="132"/>
  <c r="C27" i="128"/>
  <c r="B21" i="9"/>
  <c r="C26" i="151"/>
  <c r="B26" i="99"/>
  <c r="C24" i="132"/>
  <c r="C23" i="128"/>
  <c r="B17" i="9"/>
  <c r="C22" i="151"/>
  <c r="B22" i="99"/>
  <c r="C20" i="132"/>
  <c r="B96" i="9"/>
  <c r="C114" i="151"/>
  <c r="B17" i="101"/>
  <c r="C113" i="132"/>
  <c r="C95" i="132"/>
  <c r="B146" i="9"/>
  <c r="C163" i="132"/>
  <c r="C164" i="151"/>
  <c r="B67" i="101"/>
  <c r="C145" i="128"/>
  <c r="B142" i="9"/>
  <c r="C159" i="132"/>
  <c r="C160" i="151"/>
  <c r="B63" i="101"/>
  <c r="C141" i="128"/>
  <c r="B138" i="9"/>
  <c r="C155" i="132"/>
  <c r="C156" i="151"/>
  <c r="B59" i="101"/>
  <c r="B134" i="9"/>
  <c r="C151" i="132"/>
  <c r="B55" i="101"/>
  <c r="C152" i="151"/>
  <c r="B130" i="9"/>
  <c r="C147" i="132"/>
  <c r="C148" i="151"/>
  <c r="B51" i="101"/>
  <c r="C129" i="128"/>
  <c r="B126" i="9"/>
  <c r="C143" i="132"/>
  <c r="C144" i="151"/>
  <c r="B47" i="101"/>
  <c r="C125" i="128"/>
  <c r="B122" i="9"/>
  <c r="C139" i="132"/>
  <c r="C140" i="151"/>
  <c r="B43" i="101"/>
  <c r="B118" i="9"/>
  <c r="C135" i="132"/>
  <c r="B39" i="101"/>
  <c r="C136" i="151"/>
  <c r="B114" i="9"/>
  <c r="C131" i="132"/>
  <c r="C132" i="151"/>
  <c r="B35" i="101"/>
  <c r="C113" i="128"/>
  <c r="B110" i="9"/>
  <c r="C127" i="132"/>
  <c r="C128" i="151"/>
  <c r="B31" i="101"/>
  <c r="C109" i="128"/>
  <c r="B106" i="9"/>
  <c r="C123" i="132"/>
  <c r="C124" i="151"/>
  <c r="B27" i="101"/>
  <c r="B102" i="9"/>
  <c r="C119" i="132"/>
  <c r="B23" i="101"/>
  <c r="C120" i="151"/>
  <c r="B98" i="9"/>
  <c r="C115" i="132"/>
  <c r="C116" i="151"/>
  <c r="B19" i="101"/>
  <c r="C19" i="128"/>
  <c r="B13" i="9"/>
  <c r="C18" i="151"/>
  <c r="B18" i="99"/>
  <c r="C16" i="132"/>
  <c r="B150" i="9"/>
  <c r="C167" i="132"/>
  <c r="B71" i="101"/>
  <c r="C168" i="151"/>
  <c r="B11" i="9"/>
  <c r="C14" i="132"/>
  <c r="C16" i="151"/>
  <c r="B16" i="99"/>
  <c r="B80" i="9"/>
  <c r="C85" i="151"/>
  <c r="C83" i="132"/>
  <c r="B85" i="99"/>
  <c r="B76" i="9"/>
  <c r="C81" i="151"/>
  <c r="C79" i="132"/>
  <c r="B81" i="99"/>
  <c r="B72" i="9"/>
  <c r="C77" i="151"/>
  <c r="C75" i="132"/>
  <c r="B77" i="99"/>
  <c r="B68" i="9"/>
  <c r="C73" i="151"/>
  <c r="C71" i="132"/>
  <c r="B73" i="99"/>
  <c r="B64" i="9"/>
  <c r="C69" i="151"/>
  <c r="C67" i="132"/>
  <c r="B69" i="99"/>
  <c r="B60" i="9"/>
  <c r="C65" i="151"/>
  <c r="C63" i="132"/>
  <c r="B65" i="99"/>
  <c r="B56" i="9"/>
  <c r="C61" i="151"/>
  <c r="C59" i="132"/>
  <c r="B61" i="99"/>
  <c r="B52" i="9"/>
  <c r="C57" i="151"/>
  <c r="C55" i="132"/>
  <c r="B57" i="99"/>
  <c r="B48" i="9"/>
  <c r="C53" i="151"/>
  <c r="C51" i="132"/>
  <c r="B53" i="99"/>
  <c r="B44" i="9"/>
  <c r="C49" i="151"/>
  <c r="C47" i="132"/>
  <c r="B49" i="99"/>
  <c r="B40" i="9"/>
  <c r="C45" i="151"/>
  <c r="C43" i="132"/>
  <c r="B45" i="99"/>
  <c r="B36" i="9"/>
  <c r="C41" i="151"/>
  <c r="C39" i="132"/>
  <c r="B41" i="99"/>
  <c r="B32" i="9"/>
  <c r="C37" i="151"/>
  <c r="C35" i="132"/>
  <c r="B37" i="99"/>
  <c r="B28" i="9"/>
  <c r="C33" i="151"/>
  <c r="B33" i="99"/>
  <c r="C31" i="132"/>
  <c r="B24" i="9"/>
  <c r="C29" i="151"/>
  <c r="B29" i="99"/>
  <c r="C27" i="132"/>
  <c r="B20" i="9"/>
  <c r="C25" i="151"/>
  <c r="B25" i="99"/>
  <c r="C23" i="132"/>
  <c r="B16" i="9"/>
  <c r="C21" i="151"/>
  <c r="B21" i="99"/>
  <c r="C19" i="132"/>
  <c r="B12" i="9"/>
  <c r="C17" i="151"/>
  <c r="B17" i="99"/>
  <c r="C15" i="132"/>
  <c r="AT152" i="8"/>
  <c r="B153" i="9"/>
  <c r="C170" i="132"/>
  <c r="C171" i="151"/>
  <c r="B74" i="101"/>
  <c r="AT148" i="8"/>
  <c r="B149" i="9"/>
  <c r="C166" i="132"/>
  <c r="C167" i="151"/>
  <c r="B70" i="101"/>
  <c r="AT144" i="8"/>
  <c r="B145" i="9"/>
  <c r="C162" i="132"/>
  <c r="C163" i="151"/>
  <c r="B66" i="101"/>
  <c r="AT140" i="8"/>
  <c r="B141" i="9"/>
  <c r="C158" i="132"/>
  <c r="C159" i="151"/>
  <c r="B62" i="101"/>
  <c r="AT136" i="8"/>
  <c r="B137" i="9"/>
  <c r="C154" i="132"/>
  <c r="C155" i="151"/>
  <c r="B58" i="101"/>
  <c r="AT132" i="8"/>
  <c r="B133" i="9"/>
  <c r="C150" i="132"/>
  <c r="C151" i="151"/>
  <c r="B54" i="101"/>
  <c r="AT128" i="8"/>
  <c r="B129" i="9"/>
  <c r="C146" i="132"/>
  <c r="C147" i="151"/>
  <c r="B50" i="101"/>
  <c r="AT124" i="8"/>
  <c r="B125" i="9"/>
  <c r="C142" i="132"/>
  <c r="C143" i="151"/>
  <c r="B46" i="101"/>
  <c r="AT120" i="8"/>
  <c r="B121" i="9"/>
  <c r="C138" i="132"/>
  <c r="C139" i="151"/>
  <c r="B42" i="101"/>
  <c r="AT116" i="8"/>
  <c r="B117" i="9"/>
  <c r="C134" i="132"/>
  <c r="C135" i="151"/>
  <c r="B38" i="101"/>
  <c r="AT112" i="8"/>
  <c r="B113" i="9"/>
  <c r="C130" i="132"/>
  <c r="C131" i="151"/>
  <c r="B34" i="101"/>
  <c r="AT108" i="8"/>
  <c r="B109" i="9"/>
  <c r="C126" i="132"/>
  <c r="C127" i="151"/>
  <c r="B30" i="101"/>
  <c r="AT104" i="8"/>
  <c r="B105" i="9"/>
  <c r="C122" i="132"/>
  <c r="C123" i="151"/>
  <c r="B26" i="101"/>
  <c r="AT100" i="8"/>
  <c r="B101" i="9"/>
  <c r="C118" i="132"/>
  <c r="C119" i="151"/>
  <c r="B22" i="101"/>
  <c r="AT96" i="8"/>
  <c r="B97" i="9"/>
  <c r="C114" i="132"/>
  <c r="C115" i="151"/>
  <c r="B18" i="101"/>
  <c r="C96" i="132"/>
  <c r="C83" i="128"/>
  <c r="B77" i="9"/>
  <c r="C82" i="151"/>
  <c r="C80" i="132"/>
  <c r="B82" i="99"/>
  <c r="C79" i="128"/>
  <c r="B73" i="9"/>
  <c r="C78" i="151"/>
  <c r="C76" i="132"/>
  <c r="B78" i="99"/>
  <c r="C67" i="128"/>
  <c r="B61" i="9"/>
  <c r="C66" i="151"/>
  <c r="C64" i="132"/>
  <c r="B66" i="99"/>
  <c r="B83" i="9"/>
  <c r="C88" i="151"/>
  <c r="C86" i="132"/>
  <c r="B88" i="99"/>
  <c r="B75" i="9"/>
  <c r="C80" i="151"/>
  <c r="C78" i="132"/>
  <c r="B80" i="99"/>
  <c r="B67" i="9"/>
  <c r="C72" i="151"/>
  <c r="C70" i="132"/>
  <c r="B72" i="99"/>
  <c r="B59" i="9"/>
  <c r="C64" i="151"/>
  <c r="C62" i="132"/>
  <c r="B64" i="99"/>
  <c r="B51" i="9"/>
  <c r="C56" i="151"/>
  <c r="C54" i="132"/>
  <c r="B56" i="99"/>
  <c r="B39" i="9"/>
  <c r="C44" i="151"/>
  <c r="C42" i="132"/>
  <c r="B44" i="99"/>
  <c r="B35" i="9"/>
  <c r="C40" i="151"/>
  <c r="C38" i="132"/>
  <c r="B40" i="99"/>
  <c r="B27" i="9"/>
  <c r="C32" i="151"/>
  <c r="C30" i="132"/>
  <c r="B32" i="99"/>
  <c r="B19" i="9"/>
  <c r="C24" i="151"/>
  <c r="B24" i="99"/>
  <c r="C22" i="132"/>
  <c r="AT151" i="8"/>
  <c r="B152" i="9"/>
  <c r="C170" i="151"/>
  <c r="B73" i="101"/>
  <c r="C169" i="132"/>
  <c r="AT147" i="8"/>
  <c r="B148" i="9"/>
  <c r="C166" i="151"/>
  <c r="B69" i="101"/>
  <c r="C165" i="132"/>
  <c r="AT139" i="8"/>
  <c r="B140" i="9"/>
  <c r="C158" i="151"/>
  <c r="B61" i="101"/>
  <c r="C157" i="132"/>
  <c r="AT135" i="8"/>
  <c r="B136" i="9"/>
  <c r="C154" i="151"/>
  <c r="B57" i="101"/>
  <c r="C153" i="132"/>
  <c r="AT131" i="8"/>
  <c r="B132" i="9"/>
  <c r="C150" i="151"/>
  <c r="B53" i="101"/>
  <c r="C149" i="132"/>
  <c r="AT127" i="8"/>
  <c r="B128" i="9"/>
  <c r="C146" i="151"/>
  <c r="B49" i="101"/>
  <c r="C145" i="132"/>
  <c r="AT123" i="8"/>
  <c r="B124" i="9"/>
  <c r="C142" i="151"/>
  <c r="B45" i="101"/>
  <c r="C141" i="132"/>
  <c r="AT119" i="8"/>
  <c r="B120" i="9"/>
  <c r="C138" i="151"/>
  <c r="B41" i="101"/>
  <c r="C137" i="132"/>
  <c r="AT115" i="8"/>
  <c r="B116" i="9"/>
  <c r="C134" i="151"/>
  <c r="B37" i="101"/>
  <c r="C133" i="132"/>
  <c r="AT111" i="8"/>
  <c r="B112" i="9"/>
  <c r="C130" i="151"/>
  <c r="B33" i="101"/>
  <c r="C129" i="132"/>
  <c r="AT107" i="8"/>
  <c r="B108" i="9"/>
  <c r="C126" i="151"/>
  <c r="B29" i="101"/>
  <c r="C125" i="132"/>
  <c r="AT103" i="8"/>
  <c r="B104" i="9"/>
  <c r="C122" i="151"/>
  <c r="B25" i="101"/>
  <c r="C121" i="132"/>
  <c r="AT99" i="8"/>
  <c r="B100" i="9"/>
  <c r="C118" i="151"/>
  <c r="B21" i="101"/>
  <c r="C117" i="132"/>
  <c r="C71" i="128"/>
  <c r="B65" i="9"/>
  <c r="C70" i="151"/>
  <c r="C68" i="132"/>
  <c r="B70" i="99"/>
  <c r="C59" i="128"/>
  <c r="B53" i="9"/>
  <c r="C58" i="151"/>
  <c r="C56" i="132"/>
  <c r="B58" i="99"/>
  <c r="B79" i="9"/>
  <c r="C84" i="151"/>
  <c r="C82" i="132"/>
  <c r="B84" i="99"/>
  <c r="B71" i="9"/>
  <c r="C76" i="151"/>
  <c r="C74" i="132"/>
  <c r="B76" i="99"/>
  <c r="B63" i="9"/>
  <c r="C68" i="151"/>
  <c r="C66" i="132"/>
  <c r="B68" i="99"/>
  <c r="B55" i="9"/>
  <c r="C60" i="151"/>
  <c r="C58" i="132"/>
  <c r="B60" i="99"/>
  <c r="B47" i="9"/>
  <c r="C52" i="151"/>
  <c r="C50" i="132"/>
  <c r="B52" i="99"/>
  <c r="B43" i="9"/>
  <c r="C48" i="151"/>
  <c r="C46" i="132"/>
  <c r="B48" i="99"/>
  <c r="B31" i="9"/>
  <c r="C36" i="151"/>
  <c r="C34" i="132"/>
  <c r="B36" i="99"/>
  <c r="B23" i="9"/>
  <c r="C28" i="151"/>
  <c r="B28" i="99"/>
  <c r="C26" i="132"/>
  <c r="B15" i="9"/>
  <c r="C20" i="151"/>
  <c r="B20" i="99"/>
  <c r="C18" i="132"/>
  <c r="AT143" i="8"/>
  <c r="B144" i="9"/>
  <c r="C162" i="151"/>
  <c r="B65" i="101"/>
  <c r="C161" i="132"/>
  <c r="B82" i="9"/>
  <c r="C85" i="132"/>
  <c r="B87" i="99"/>
  <c r="C87" i="151"/>
  <c r="B78" i="9"/>
  <c r="C81" i="132"/>
  <c r="B83" i="99"/>
  <c r="C83" i="151"/>
  <c r="B74" i="9"/>
  <c r="C77" i="132"/>
  <c r="C79" i="151"/>
  <c r="B79" i="99"/>
  <c r="B70" i="9"/>
  <c r="C73" i="132"/>
  <c r="B75" i="99"/>
  <c r="C75" i="151"/>
  <c r="B66" i="9"/>
  <c r="C69" i="132"/>
  <c r="B71" i="99"/>
  <c r="C71" i="151"/>
  <c r="B62" i="9"/>
  <c r="C65" i="132"/>
  <c r="B67" i="99"/>
  <c r="C67" i="151"/>
  <c r="B58" i="9"/>
  <c r="C61" i="132"/>
  <c r="C63" i="151"/>
  <c r="B63" i="99"/>
  <c r="B54" i="9"/>
  <c r="C57" i="132"/>
  <c r="B59" i="99"/>
  <c r="C59" i="151"/>
  <c r="B50" i="9"/>
  <c r="C53" i="132"/>
  <c r="B55" i="99"/>
  <c r="C55" i="151"/>
  <c r="B46" i="9"/>
  <c r="C49" i="132"/>
  <c r="B51" i="99"/>
  <c r="C51" i="151"/>
  <c r="B42" i="9"/>
  <c r="C45" i="132"/>
  <c r="C47" i="151"/>
  <c r="B47" i="99"/>
  <c r="B38" i="9"/>
  <c r="C41" i="132"/>
  <c r="B43" i="99"/>
  <c r="C43" i="151"/>
  <c r="B34" i="9"/>
  <c r="C37" i="132"/>
  <c r="B39" i="99"/>
  <c r="C39" i="151"/>
  <c r="B30" i="9"/>
  <c r="C33" i="132"/>
  <c r="B35" i="99"/>
  <c r="C35" i="151"/>
  <c r="B26" i="9"/>
  <c r="C29" i="132"/>
  <c r="C31" i="151"/>
  <c r="B31" i="99"/>
  <c r="B22" i="9"/>
  <c r="C25" i="132"/>
  <c r="B27" i="99"/>
  <c r="C27" i="151"/>
  <c r="B18" i="9"/>
  <c r="C21" i="132"/>
  <c r="C23" i="151"/>
  <c r="B23" i="99"/>
  <c r="B14" i="9"/>
  <c r="C17" i="132"/>
  <c r="C19" i="151"/>
  <c r="B19" i="99"/>
  <c r="B151" i="9"/>
  <c r="C169" i="151"/>
  <c r="B72" i="101"/>
  <c r="C168" i="132"/>
  <c r="B147" i="9"/>
  <c r="C165" i="151"/>
  <c r="B68" i="101"/>
  <c r="C164" i="132"/>
  <c r="B143" i="9"/>
  <c r="C161" i="151"/>
  <c r="B64" i="101"/>
  <c r="C160" i="132"/>
  <c r="B139" i="9"/>
  <c r="C157" i="151"/>
  <c r="B60" i="101"/>
  <c r="C156" i="132"/>
  <c r="B135" i="9"/>
  <c r="C153" i="151"/>
  <c r="B56" i="101"/>
  <c r="C152" i="132"/>
  <c r="B131" i="9"/>
  <c r="C149" i="151"/>
  <c r="B52" i="101"/>
  <c r="C148" i="132"/>
  <c r="B127" i="9"/>
  <c r="C145" i="151"/>
  <c r="B48" i="101"/>
  <c r="C144" i="132"/>
  <c r="B123" i="9"/>
  <c r="C141" i="151"/>
  <c r="B44" i="101"/>
  <c r="C140" i="132"/>
  <c r="B119" i="9"/>
  <c r="C137" i="151"/>
  <c r="B40" i="101"/>
  <c r="C136" i="132"/>
  <c r="B115" i="9"/>
  <c r="C133" i="151"/>
  <c r="B36" i="101"/>
  <c r="C132" i="132"/>
  <c r="B111" i="9"/>
  <c r="C129" i="151"/>
  <c r="B32" i="101"/>
  <c r="C128" i="132"/>
  <c r="B107" i="9"/>
  <c r="C125" i="151"/>
  <c r="B28" i="101"/>
  <c r="C124" i="132"/>
  <c r="B103" i="9"/>
  <c r="C121" i="151"/>
  <c r="B24" i="101"/>
  <c r="C120" i="132"/>
  <c r="B99" i="9"/>
  <c r="C117" i="151"/>
  <c r="B20" i="101"/>
  <c r="C116" i="132"/>
  <c r="F190" i="128"/>
  <c r="F192" i="128"/>
  <c r="AT95" i="8"/>
  <c r="AT149" i="8"/>
  <c r="AT145" i="8"/>
  <c r="AT133" i="8"/>
  <c r="AT129" i="8"/>
  <c r="AT117" i="8"/>
  <c r="AT113" i="8"/>
  <c r="AT12" i="8"/>
  <c r="AT81" i="8"/>
  <c r="AT77" i="8"/>
  <c r="AT73" i="8"/>
  <c r="AT69" i="8"/>
  <c r="AT65" i="8"/>
  <c r="AT61" i="8"/>
  <c r="AT57" i="8"/>
  <c r="AT53" i="8"/>
  <c r="AT49" i="8"/>
  <c r="AT45" i="8"/>
  <c r="AT41" i="8"/>
  <c r="AT37" i="8"/>
  <c r="AT33" i="8"/>
  <c r="AT29" i="8"/>
  <c r="AT25" i="8"/>
  <c r="AT21" i="8"/>
  <c r="AT17" i="8"/>
  <c r="AT13" i="8"/>
  <c r="AT84" i="8"/>
  <c r="AT80" i="8"/>
  <c r="AT76" i="8"/>
  <c r="AT72" i="8"/>
  <c r="AT68" i="8"/>
  <c r="AT64" i="8"/>
  <c r="AT60" i="8"/>
  <c r="AT56" i="8"/>
  <c r="AT52" i="8"/>
  <c r="AT48" i="8"/>
  <c r="AT44" i="8"/>
  <c r="AT40" i="8"/>
  <c r="AT36" i="8"/>
  <c r="AT32" i="8"/>
  <c r="AT28" i="8"/>
  <c r="AT24" i="8"/>
  <c r="AT20" i="8"/>
  <c r="AT16" i="8"/>
  <c r="AT74" i="8"/>
  <c r="AT58" i="8"/>
  <c r="AT42" i="8"/>
  <c r="AT26" i="8"/>
  <c r="AT14" i="8"/>
  <c r="AT83" i="8"/>
  <c r="AT79" i="8"/>
  <c r="AT75" i="8"/>
  <c r="AT71" i="8"/>
  <c r="AT67" i="8"/>
  <c r="AT63" i="8"/>
  <c r="AT59" i="8"/>
  <c r="AT55" i="8"/>
  <c r="AT51" i="8"/>
  <c r="AT47" i="8"/>
  <c r="AT43" i="8"/>
  <c r="AT39" i="8"/>
  <c r="AT35" i="8"/>
  <c r="AT31" i="8"/>
  <c r="AT150" i="8"/>
  <c r="AT146" i="8"/>
  <c r="AT142" i="8"/>
  <c r="AT138" i="8"/>
  <c r="AT134" i="8"/>
  <c r="AT130" i="8"/>
  <c r="AT126" i="8"/>
  <c r="AT122" i="8"/>
  <c r="AT118" i="8"/>
  <c r="AT114" i="8"/>
  <c r="AT110" i="8"/>
  <c r="AT106" i="8"/>
  <c r="AT102" i="8"/>
  <c r="AT98" i="8"/>
  <c r="AT101" i="8"/>
  <c r="AT97" i="8"/>
  <c r="AT141" i="8"/>
  <c r="AT125" i="8"/>
  <c r="AT109" i="8"/>
  <c r="C17" i="128"/>
  <c r="C86" i="128"/>
  <c r="C82" i="128"/>
  <c r="C78" i="128"/>
  <c r="C74" i="128"/>
  <c r="C70" i="128"/>
  <c r="C66" i="128"/>
  <c r="C62" i="128"/>
  <c r="C58" i="128"/>
  <c r="C54" i="128"/>
  <c r="C50" i="128"/>
  <c r="C46" i="128"/>
  <c r="C42" i="128"/>
  <c r="C38" i="128"/>
  <c r="C34" i="128"/>
  <c r="C30" i="128"/>
  <c r="C26" i="128"/>
  <c r="C22" i="128"/>
  <c r="C18" i="128"/>
  <c r="C154" i="128"/>
  <c r="C150" i="128"/>
  <c r="C146" i="128"/>
  <c r="C142" i="128"/>
  <c r="C138" i="128"/>
  <c r="C134" i="128"/>
  <c r="C130" i="128"/>
  <c r="C126" i="128"/>
  <c r="C122" i="128"/>
  <c r="C118" i="128"/>
  <c r="C114" i="128"/>
  <c r="C110" i="128"/>
  <c r="C106" i="128"/>
  <c r="C102" i="128"/>
  <c r="AT27" i="8"/>
  <c r="AT23" i="8"/>
  <c r="AT19" i="8"/>
  <c r="AT15" i="8"/>
  <c r="AT70" i="8"/>
  <c r="AT54" i="8"/>
  <c r="AT38" i="8"/>
  <c r="AT22" i="8"/>
  <c r="AT137" i="8"/>
  <c r="AT121" i="8"/>
  <c r="AT105" i="8"/>
  <c r="C89" i="128"/>
  <c r="C85" i="128"/>
  <c r="C81" i="128"/>
  <c r="C77" i="128"/>
  <c r="C73" i="128"/>
  <c r="C69" i="128"/>
  <c r="C65" i="128"/>
  <c r="C61" i="128"/>
  <c r="C57" i="128"/>
  <c r="C53" i="128"/>
  <c r="C49" i="128"/>
  <c r="C45" i="128"/>
  <c r="C41" i="128"/>
  <c r="C37" i="128"/>
  <c r="C33" i="128"/>
  <c r="C29" i="128"/>
  <c r="C25" i="128"/>
  <c r="C21" i="128"/>
  <c r="C99" i="128"/>
  <c r="C153" i="128"/>
  <c r="C149" i="128"/>
  <c r="C137" i="128"/>
  <c r="C133" i="128"/>
  <c r="C121" i="128"/>
  <c r="C117" i="128"/>
  <c r="C105" i="128"/>
  <c r="C101" i="128"/>
  <c r="AT82" i="8"/>
  <c r="AT66" i="8"/>
  <c r="AT50" i="8"/>
  <c r="AT34" i="8"/>
  <c r="AT18" i="8"/>
  <c r="C88" i="128"/>
  <c r="C84" i="128"/>
  <c r="C80" i="128"/>
  <c r="C76" i="128"/>
  <c r="C72" i="128"/>
  <c r="C68" i="128"/>
  <c r="C64" i="128"/>
  <c r="C60" i="128"/>
  <c r="C56" i="128"/>
  <c r="C52" i="128"/>
  <c r="C48" i="128"/>
  <c r="C44" i="128"/>
  <c r="C40" i="128"/>
  <c r="C36" i="128"/>
  <c r="C32" i="128"/>
  <c r="C28" i="128"/>
  <c r="C24" i="128"/>
  <c r="C20" i="128"/>
  <c r="C156" i="128"/>
  <c r="C152" i="128"/>
  <c r="C148" i="128"/>
  <c r="C144" i="128"/>
  <c r="C140" i="128"/>
  <c r="C136" i="128"/>
  <c r="C132" i="128"/>
  <c r="C128" i="128"/>
  <c r="C124" i="128"/>
  <c r="C120" i="128"/>
  <c r="C116" i="128"/>
  <c r="C112" i="128"/>
  <c r="C108" i="128"/>
  <c r="C104" i="128"/>
  <c r="C100" i="128"/>
  <c r="AT78" i="8"/>
  <c r="AT62" i="8"/>
  <c r="AT46" i="8"/>
  <c r="AT30" i="8"/>
  <c r="C155" i="128"/>
  <c r="C151" i="128"/>
  <c r="C147" i="128"/>
  <c r="C143" i="128"/>
  <c r="C139" i="128"/>
  <c r="C135" i="128"/>
  <c r="C131" i="128"/>
  <c r="C127" i="128"/>
  <c r="C123" i="128"/>
  <c r="C119" i="128"/>
  <c r="C115" i="128"/>
  <c r="C111" i="128"/>
  <c r="C107" i="128"/>
  <c r="C103" i="128"/>
  <c r="F164" i="128"/>
  <c r="F171" i="128" s="1"/>
  <c r="F175" i="128"/>
  <c r="Q178" i="128" l="1"/>
  <c r="F181" i="128"/>
  <c r="Q179" i="128"/>
  <c r="Q176" i="128"/>
  <c r="Q177" i="128"/>
  <c r="AI16" i="177"/>
  <c r="AI22" i="177"/>
  <c r="AI21" i="177"/>
  <c r="AI19" i="177"/>
  <c r="AI18" i="177"/>
  <c r="AI15" i="177"/>
  <c r="AI14" i="177"/>
  <c r="AI13" i="177"/>
  <c r="AK10" i="177"/>
  <c r="I180" i="132"/>
  <c r="I181" i="132"/>
  <c r="I179" i="132"/>
  <c r="B16" i="136"/>
  <c r="B14" i="136"/>
  <c r="B13" i="136"/>
  <c r="C14" i="135"/>
  <c r="F180" i="132" s="1"/>
  <c r="C15" i="135"/>
  <c r="F181" i="132" s="1"/>
  <c r="C13" i="135"/>
  <c r="F179" i="132" s="1"/>
  <c r="B14" i="135"/>
  <c r="E180" i="132" s="1"/>
  <c r="B15" i="135"/>
  <c r="E181" i="132" s="1"/>
  <c r="B13" i="135"/>
  <c r="E179" i="132" s="1"/>
  <c r="O27" i="135"/>
  <c r="O26" i="135"/>
  <c r="H16" i="135"/>
  <c r="AD5" i="135"/>
  <c r="AE5" i="135" s="1"/>
  <c r="AC5" i="135"/>
  <c r="AI20" i="162"/>
  <c r="AI19" i="162" s="1"/>
  <c r="AI18" i="162"/>
  <c r="E15" i="135" s="1"/>
  <c r="F15" i="135" s="1"/>
  <c r="AI17" i="162"/>
  <c r="E14" i="135" s="1"/>
  <c r="F14" i="135" s="1"/>
  <c r="AI16" i="162"/>
  <c r="AI14" i="162"/>
  <c r="D14" i="136" s="1"/>
  <c r="AI13" i="162"/>
  <c r="AI12" i="162" s="1"/>
  <c r="AI20" i="177" l="1"/>
  <c r="AI15" i="162"/>
  <c r="Q175" i="128"/>
  <c r="E13" i="135"/>
  <c r="F13" i="135" s="1"/>
  <c r="G13" i="135" s="1"/>
  <c r="I13" i="135" s="1"/>
  <c r="D16" i="136"/>
  <c r="E16" i="136" s="1"/>
  <c r="G185" i="132" s="1"/>
  <c r="D13" i="136"/>
  <c r="G15" i="135"/>
  <c r="G179" i="132"/>
  <c r="D12" i="167"/>
  <c r="E12" i="167"/>
  <c r="AI12" i="177"/>
  <c r="AI17" i="177"/>
  <c r="G14" i="135"/>
  <c r="K13" i="135"/>
  <c r="E16" i="135" l="1"/>
  <c r="F16" i="135"/>
  <c r="I14" i="135"/>
  <c r="K14" i="135" s="1"/>
  <c r="G180" i="132"/>
  <c r="I15" i="135"/>
  <c r="G181" i="132"/>
  <c r="AI23" i="177"/>
  <c r="F12" i="167" l="1"/>
  <c r="J15" i="135"/>
  <c r="O25" i="135"/>
  <c r="P25" i="135" s="1"/>
  <c r="O30" i="135" s="1"/>
  <c r="H31" i="154"/>
  <c r="D31" i="154" s="1"/>
  <c r="G31" i="154" s="1"/>
  <c r="N16" i="135"/>
  <c r="J16" i="135" l="1"/>
  <c r="K181" i="132"/>
  <c r="G12" i="167"/>
  <c r="K15" i="135"/>
  <c r="K16" i="135" s="1"/>
  <c r="Y8" i="151"/>
  <c r="W179" i="151"/>
  <c r="AL161" i="128"/>
  <c r="AJ12" i="8"/>
  <c r="AK13" i="8"/>
  <c r="AL13" i="8"/>
  <c r="AM13" i="8"/>
  <c r="AN13" i="8"/>
  <c r="AO13" i="8"/>
  <c r="AP13" i="8"/>
  <c r="AQ13" i="8" l="1"/>
  <c r="X176" i="151" l="1"/>
  <c r="X109" i="151"/>
  <c r="X110" i="151"/>
  <c r="X112" i="151"/>
  <c r="J167" i="99"/>
  <c r="J168" i="99"/>
  <c r="J169" i="99"/>
  <c r="J170" i="99"/>
  <c r="J171" i="99"/>
  <c r="J172" i="99"/>
  <c r="J173" i="99"/>
  <c r="J174" i="99"/>
  <c r="J177" i="99"/>
  <c r="J178" i="99"/>
  <c r="J179" i="99"/>
  <c r="J182" i="99"/>
  <c r="J175" i="99" l="1"/>
  <c r="M205" i="151" l="1"/>
  <c r="X177" i="151"/>
  <c r="X98" i="151"/>
  <c r="D19" i="128" l="1"/>
  <c r="D20" i="128"/>
  <c r="D21" i="128"/>
  <c r="D22" i="128"/>
  <c r="D23" i="128"/>
  <c r="D24" i="128"/>
  <c r="D25" i="128"/>
  <c r="D26" i="128"/>
  <c r="D27" i="128"/>
  <c r="D28" i="128"/>
  <c r="D29" i="128"/>
  <c r="D30" i="128"/>
  <c r="D31" i="128"/>
  <c r="D32" i="128"/>
  <c r="D33" i="128"/>
  <c r="D34" i="128"/>
  <c r="D35" i="128"/>
  <c r="D36" i="128"/>
  <c r="D37" i="128"/>
  <c r="D38" i="128"/>
  <c r="D39" i="128"/>
  <c r="D40" i="128"/>
  <c r="D41" i="128"/>
  <c r="D42" i="128"/>
  <c r="D43" i="128"/>
  <c r="D44" i="128"/>
  <c r="D45" i="128"/>
  <c r="D46" i="128"/>
  <c r="D47" i="128"/>
  <c r="D48" i="128"/>
  <c r="D49" i="128"/>
  <c r="D50" i="128"/>
  <c r="D51" i="128"/>
  <c r="D52" i="128"/>
  <c r="D53" i="128"/>
  <c r="D54" i="128"/>
  <c r="D55" i="128"/>
  <c r="D56" i="128"/>
  <c r="D57" i="128"/>
  <c r="D58" i="128"/>
  <c r="D59" i="128"/>
  <c r="D60" i="128"/>
  <c r="D61" i="128"/>
  <c r="D62" i="128"/>
  <c r="D63" i="128"/>
  <c r="D64" i="128"/>
  <c r="D65" i="128"/>
  <c r="D66" i="128"/>
  <c r="D67" i="128"/>
  <c r="D68" i="128"/>
  <c r="D69" i="128"/>
  <c r="D70" i="128"/>
  <c r="D71" i="128"/>
  <c r="D72" i="128"/>
  <c r="D73" i="128"/>
  <c r="D74" i="128"/>
  <c r="D75" i="128"/>
  <c r="D76" i="128"/>
  <c r="D77" i="128"/>
  <c r="D78" i="128"/>
  <c r="D79" i="128"/>
  <c r="D80" i="128"/>
  <c r="D81" i="128"/>
  <c r="D82" i="128"/>
  <c r="D83" i="128"/>
  <c r="D84" i="128"/>
  <c r="D85" i="128"/>
  <c r="D86" i="128"/>
  <c r="D87" i="128"/>
  <c r="D88" i="128"/>
  <c r="D89" i="128"/>
  <c r="D90" i="128"/>
  <c r="M182" i="132"/>
  <c r="C98" i="9" l="1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M208" i="151" l="1"/>
  <c r="C13" i="158"/>
  <c r="C14" i="158"/>
  <c r="C15" i="158"/>
  <c r="E15" i="158" s="1"/>
  <c r="E15" i="157"/>
  <c r="AJ13" i="138" l="1"/>
  <c r="AJ14" i="138"/>
  <c r="H178" i="132" l="1"/>
  <c r="K178" i="132"/>
  <c r="M178" i="132"/>
  <c r="H182" i="132"/>
  <c r="I182" i="132"/>
  <c r="V81" i="101"/>
  <c r="V82" i="101" s="1"/>
  <c r="M210" i="151"/>
  <c r="AF18" i="169"/>
  <c r="AE18" i="169"/>
  <c r="AF16" i="169"/>
  <c r="AF20" i="169" s="1"/>
  <c r="AE16" i="169"/>
  <c r="AE20" i="169" s="1"/>
  <c r="AH17" i="169"/>
  <c r="AH16" i="169" s="1"/>
  <c r="G98" i="128"/>
  <c r="H98" i="128"/>
  <c r="I98" i="128"/>
  <c r="J98" i="128"/>
  <c r="K98" i="128"/>
  <c r="L98" i="128"/>
  <c r="M98" i="128"/>
  <c r="N98" i="128"/>
  <c r="O98" i="128"/>
  <c r="P98" i="128"/>
  <c r="Q98" i="128"/>
  <c r="R98" i="128"/>
  <c r="S98" i="128"/>
  <c r="T98" i="128"/>
  <c r="U98" i="128"/>
  <c r="V98" i="128"/>
  <c r="W98" i="128"/>
  <c r="X98" i="128"/>
  <c r="Y98" i="128"/>
  <c r="Z98" i="128"/>
  <c r="AA98" i="128"/>
  <c r="AB98" i="128"/>
  <c r="AC98" i="128"/>
  <c r="AD98" i="128"/>
  <c r="AE98" i="128"/>
  <c r="AF98" i="128"/>
  <c r="AG98" i="128"/>
  <c r="AH98" i="128"/>
  <c r="AI98" i="128"/>
  <c r="F98" i="128"/>
  <c r="E15" i="138" l="1"/>
  <c r="F15" i="138"/>
  <c r="G15" i="138"/>
  <c r="H15" i="138"/>
  <c r="I15" i="138"/>
  <c r="J15" i="138"/>
  <c r="K15" i="138"/>
  <c r="L15" i="138"/>
  <c r="M15" i="138"/>
  <c r="N15" i="138"/>
  <c r="O15" i="138"/>
  <c r="P15" i="138"/>
  <c r="Q15" i="138"/>
  <c r="R15" i="138"/>
  <c r="S15" i="138"/>
  <c r="T15" i="138"/>
  <c r="U15" i="138"/>
  <c r="V15" i="138"/>
  <c r="W15" i="138"/>
  <c r="X15" i="138"/>
  <c r="Y15" i="138"/>
  <c r="Z15" i="138"/>
  <c r="AA15" i="138"/>
  <c r="AB15" i="138"/>
  <c r="AC15" i="138"/>
  <c r="AD15" i="138"/>
  <c r="AE15" i="138"/>
  <c r="AF15" i="138"/>
  <c r="P10" i="153" l="1"/>
  <c r="R65" i="59" l="1"/>
  <c r="Q3" i="59"/>
  <c r="Q17" i="59"/>
  <c r="G13" i="59"/>
  <c r="B2599" i="170"/>
  <c r="K2595" i="170"/>
  <c r="E2595" i="170"/>
  <c r="K2579" i="170"/>
  <c r="E2579" i="170"/>
  <c r="K2563" i="170"/>
  <c r="E2563" i="170"/>
  <c r="K2546" i="170"/>
  <c r="E2546" i="170"/>
  <c r="K2530" i="170"/>
  <c r="E2530" i="170"/>
  <c r="K2514" i="170"/>
  <c r="E2514" i="170"/>
  <c r="K2498" i="170"/>
  <c r="E2498" i="170"/>
  <c r="K2482" i="170"/>
  <c r="E2482" i="170"/>
  <c r="K2466" i="170"/>
  <c r="E2466" i="170"/>
  <c r="K2450" i="170"/>
  <c r="E2450" i="170"/>
  <c r="K2434" i="170"/>
  <c r="E2434" i="170"/>
  <c r="K2418" i="170"/>
  <c r="E2418" i="170"/>
  <c r="K2402" i="170"/>
  <c r="E2402" i="170"/>
  <c r="K2386" i="170"/>
  <c r="E2386" i="170"/>
  <c r="K2370" i="170"/>
  <c r="E2370" i="170"/>
  <c r="K2354" i="170"/>
  <c r="E2354" i="170"/>
  <c r="K2338" i="170"/>
  <c r="E2338" i="170"/>
  <c r="K2322" i="170"/>
  <c r="E2322" i="170"/>
  <c r="K2306" i="170"/>
  <c r="E2306" i="170"/>
  <c r="K2290" i="170"/>
  <c r="E2290" i="170"/>
  <c r="K2274" i="170"/>
  <c r="E2274" i="170"/>
  <c r="K2258" i="170"/>
  <c r="E2258" i="170"/>
  <c r="K2242" i="170"/>
  <c r="E2242" i="170"/>
  <c r="K2226" i="170"/>
  <c r="E2226" i="170"/>
  <c r="K2210" i="170"/>
  <c r="E2210" i="170"/>
  <c r="K2194" i="170"/>
  <c r="E2194" i="170"/>
  <c r="K2178" i="170"/>
  <c r="E2178" i="170"/>
  <c r="K2162" i="170"/>
  <c r="E2162" i="170"/>
  <c r="K2146" i="170"/>
  <c r="E2146" i="170"/>
  <c r="K2130" i="170"/>
  <c r="E2130" i="170"/>
  <c r="K2114" i="170"/>
  <c r="E2114" i="170"/>
  <c r="K2098" i="170"/>
  <c r="E2098" i="170"/>
  <c r="K2082" i="170"/>
  <c r="E2082" i="170"/>
  <c r="K2066" i="170"/>
  <c r="K1450" i="170"/>
  <c r="E1450" i="170"/>
  <c r="K1433" i="170"/>
  <c r="E1433" i="170"/>
  <c r="K1416" i="170"/>
  <c r="E1416" i="170"/>
  <c r="K1399" i="170"/>
  <c r="E1399" i="170"/>
  <c r="K1382" i="170"/>
  <c r="E1382" i="170"/>
  <c r="K1365" i="170"/>
  <c r="E1365" i="170"/>
  <c r="K1348" i="170"/>
  <c r="E1348" i="170"/>
  <c r="K1331" i="170"/>
  <c r="E1331" i="170"/>
  <c r="K1314" i="170"/>
  <c r="E1314" i="170"/>
  <c r="K1297" i="170"/>
  <c r="E1297" i="170"/>
  <c r="K1280" i="170"/>
  <c r="E1280" i="170"/>
  <c r="K1263" i="170"/>
  <c r="E1263" i="170"/>
  <c r="K1246" i="170"/>
  <c r="E1246" i="170"/>
  <c r="K1229" i="170"/>
  <c r="E1229" i="170"/>
  <c r="K1212" i="170"/>
  <c r="E1212" i="170"/>
  <c r="K1195" i="170"/>
  <c r="E1195" i="170"/>
  <c r="K1178" i="170"/>
  <c r="E1178" i="170"/>
  <c r="K1161" i="170"/>
  <c r="E1161" i="170"/>
  <c r="K1144" i="170"/>
  <c r="E1144" i="170"/>
  <c r="K1127" i="170"/>
  <c r="E1127" i="170"/>
  <c r="K1110" i="170"/>
  <c r="E1110" i="170"/>
  <c r="K1093" i="170"/>
  <c r="E1093" i="170"/>
  <c r="K1076" i="170"/>
  <c r="E1076" i="170"/>
  <c r="K1059" i="170"/>
  <c r="E1059" i="170"/>
  <c r="K1042" i="170"/>
  <c r="E1042" i="170"/>
  <c r="K1025" i="170"/>
  <c r="E1025" i="170"/>
  <c r="K1008" i="170"/>
  <c r="E1008" i="170"/>
  <c r="K991" i="170"/>
  <c r="E991" i="170"/>
  <c r="K974" i="170"/>
  <c r="E974" i="170"/>
  <c r="K957" i="170"/>
  <c r="E957" i="170"/>
  <c r="K940" i="170"/>
  <c r="E940" i="170"/>
  <c r="K923" i="170"/>
  <c r="E923" i="170"/>
  <c r="K906" i="170"/>
  <c r="E906" i="170"/>
  <c r="K889" i="170"/>
  <c r="E889" i="170"/>
  <c r="K872" i="170"/>
  <c r="E872" i="170"/>
  <c r="K855" i="170"/>
  <c r="E855" i="170"/>
  <c r="K838" i="170"/>
  <c r="E838" i="170"/>
  <c r="K822" i="170"/>
  <c r="E822" i="170"/>
  <c r="K805" i="170"/>
  <c r="E805" i="170"/>
  <c r="K788" i="170"/>
  <c r="E788" i="170"/>
  <c r="K771" i="170"/>
  <c r="E771" i="170"/>
  <c r="K754" i="170"/>
  <c r="K686" i="170"/>
  <c r="E686" i="170"/>
  <c r="K669" i="170"/>
  <c r="E669" i="170"/>
  <c r="K652" i="170"/>
  <c r="E652" i="170"/>
  <c r="K634" i="170"/>
  <c r="E634" i="170"/>
  <c r="K617" i="170"/>
  <c r="E617" i="170"/>
  <c r="K600" i="170"/>
  <c r="E600" i="170"/>
  <c r="K583" i="170"/>
  <c r="E583" i="170"/>
  <c r="K566" i="170"/>
  <c r="E566" i="170"/>
  <c r="K549" i="170"/>
  <c r="E549" i="170"/>
  <c r="K533" i="170"/>
  <c r="E533" i="170"/>
  <c r="K516" i="170"/>
  <c r="E516" i="170"/>
  <c r="K499" i="170"/>
  <c r="E499" i="170"/>
  <c r="K481" i="170"/>
  <c r="E481" i="170"/>
  <c r="K463" i="170"/>
  <c r="E463" i="170"/>
  <c r="K447" i="170"/>
  <c r="E447" i="170"/>
  <c r="K430" i="170"/>
  <c r="E430" i="170"/>
  <c r="K413" i="170"/>
  <c r="E413" i="170"/>
  <c r="K395" i="170"/>
  <c r="E395" i="170"/>
  <c r="K378" i="170"/>
  <c r="E378" i="170"/>
  <c r="K361" i="170"/>
  <c r="E361" i="170"/>
  <c r="K343" i="170"/>
  <c r="E343" i="170"/>
  <c r="K325" i="170"/>
  <c r="E325" i="170"/>
  <c r="K308" i="170"/>
  <c r="E308" i="170"/>
  <c r="K291" i="170"/>
  <c r="E291" i="170"/>
  <c r="K274" i="170"/>
  <c r="E274" i="170"/>
  <c r="K257" i="170"/>
  <c r="E257" i="170"/>
  <c r="K240" i="170"/>
  <c r="E240" i="170"/>
  <c r="K222" i="170"/>
  <c r="E222" i="170"/>
  <c r="K205" i="170"/>
  <c r="E205" i="170"/>
  <c r="K188" i="170"/>
  <c r="E188" i="170"/>
  <c r="K171" i="170"/>
  <c r="E171" i="170"/>
  <c r="K154" i="170"/>
  <c r="E154" i="170"/>
  <c r="K137" i="170"/>
  <c r="E137" i="170"/>
  <c r="K120" i="170"/>
  <c r="E120" i="170"/>
  <c r="K103" i="170"/>
  <c r="E103" i="170"/>
  <c r="K86" i="170"/>
  <c r="E86" i="170"/>
  <c r="K69" i="170"/>
  <c r="E69" i="170"/>
  <c r="K52" i="170"/>
  <c r="E52" i="170"/>
  <c r="K35" i="170"/>
  <c r="E35" i="170"/>
  <c r="K18" i="170"/>
  <c r="E2049" i="170" l="1"/>
  <c r="K2032" i="170"/>
  <c r="E2032" i="170"/>
  <c r="K2015" i="170"/>
  <c r="E2015" i="170"/>
  <c r="K1998" i="170"/>
  <c r="E1998" i="170"/>
  <c r="K1981" i="170"/>
  <c r="E1981" i="170"/>
  <c r="K1964" i="170"/>
  <c r="E1964" i="170"/>
  <c r="K1947" i="170"/>
  <c r="E1947" i="170"/>
  <c r="K1930" i="170"/>
  <c r="E1930" i="170"/>
  <c r="K1913" i="170"/>
  <c r="E1913" i="170"/>
  <c r="K1896" i="170"/>
  <c r="E1896" i="170"/>
  <c r="K1879" i="170"/>
  <c r="E1879" i="170"/>
  <c r="K1862" i="170"/>
  <c r="E1862" i="170"/>
  <c r="K1845" i="170"/>
  <c r="E1845" i="170"/>
  <c r="K1828" i="170"/>
  <c r="E1828" i="170"/>
  <c r="K1811" i="170"/>
  <c r="E1811" i="170"/>
  <c r="K1794" i="170"/>
  <c r="E1794" i="170"/>
  <c r="K1777" i="170"/>
  <c r="E1777" i="170"/>
  <c r="K1760" i="170"/>
  <c r="E1760" i="170"/>
  <c r="K1743" i="170"/>
  <c r="E1743" i="170"/>
  <c r="K1726" i="170"/>
  <c r="E1726" i="170"/>
  <c r="K1709" i="170"/>
  <c r="E1709" i="170"/>
  <c r="K1692" i="170"/>
  <c r="E1692" i="170"/>
  <c r="K1675" i="170"/>
  <c r="E1675" i="170"/>
  <c r="K1658" i="170"/>
  <c r="E1658" i="170"/>
  <c r="K1641" i="170"/>
  <c r="E1641" i="170"/>
  <c r="K1624" i="170"/>
  <c r="E1624" i="170"/>
  <c r="K1607" i="170"/>
  <c r="E1607" i="170"/>
  <c r="K1590" i="170"/>
  <c r="E1590" i="170"/>
  <c r="K1573" i="170"/>
  <c r="E1573" i="170"/>
  <c r="K1556" i="170"/>
  <c r="E1556" i="170"/>
  <c r="K1539" i="170"/>
  <c r="E1539" i="170"/>
  <c r="K1522" i="170"/>
  <c r="E1522" i="170"/>
  <c r="K1505" i="170"/>
  <c r="K1468" i="170"/>
  <c r="K1465" i="170"/>
  <c r="E1468" i="170"/>
  <c r="E1465" i="170"/>
  <c r="K1485" i="170"/>
  <c r="K186" i="132"/>
  <c r="M186" i="132"/>
  <c r="D109" i="151"/>
  <c r="D110" i="151"/>
  <c r="D111" i="151"/>
  <c r="L111" i="151" s="1"/>
  <c r="D112" i="151"/>
  <c r="I9" i="9"/>
  <c r="L9" i="9"/>
  <c r="M9" i="9"/>
  <c r="N9" i="9"/>
  <c r="P9" i="9"/>
  <c r="X10" i="9"/>
  <c r="Y10" i="9"/>
  <c r="Y9" i="9" s="1"/>
  <c r="AB10" i="9"/>
  <c r="AB9" i="9" s="1"/>
  <c r="O9" i="9" l="1"/>
  <c r="K9" i="9"/>
  <c r="G9" i="9"/>
  <c r="E9" i="9"/>
  <c r="E161" i="9" s="1"/>
  <c r="H9" i="9"/>
  <c r="J9" i="9"/>
  <c r="F9" i="9"/>
  <c r="L112" i="151"/>
  <c r="L110" i="151"/>
  <c r="H1455" i="170"/>
  <c r="L109" i="151"/>
  <c r="H1473" i="170"/>
  <c r="G109" i="151"/>
  <c r="T15" i="151"/>
  <c r="Z15" i="151"/>
  <c r="M209" i="151"/>
  <c r="Z179" i="151" l="1"/>
  <c r="B14" i="137"/>
  <c r="C14" i="137"/>
  <c r="B15" i="137"/>
  <c r="C15" i="137"/>
  <c r="AG15" i="138"/>
  <c r="AH15" i="138"/>
  <c r="AI15" i="138"/>
  <c r="D14" i="137"/>
  <c r="F14" i="137" s="1"/>
  <c r="D15" i="137"/>
  <c r="F15" i="137" s="1"/>
  <c r="AJ15" i="138" l="1"/>
  <c r="D16" i="137" l="1"/>
  <c r="C79" i="101" l="1"/>
  <c r="U81" i="101"/>
  <c r="U82" i="101" s="1"/>
  <c r="C96" i="99"/>
  <c r="J176" i="151" l="1"/>
  <c r="AH19" i="169"/>
  <c r="AD18" i="169"/>
  <c r="AC18" i="169"/>
  <c r="AB18" i="169"/>
  <c r="AA18" i="169"/>
  <c r="Z18" i="169"/>
  <c r="Y18" i="169"/>
  <c r="X18" i="169"/>
  <c r="W18" i="169"/>
  <c r="V18" i="169"/>
  <c r="U18" i="169"/>
  <c r="T18" i="169"/>
  <c r="S18" i="169"/>
  <c r="R18" i="169"/>
  <c r="Q18" i="169"/>
  <c r="P18" i="169"/>
  <c r="O18" i="169"/>
  <c r="N18" i="169"/>
  <c r="M18" i="169"/>
  <c r="L18" i="169"/>
  <c r="K18" i="169"/>
  <c r="J18" i="169"/>
  <c r="I18" i="169"/>
  <c r="H18" i="169"/>
  <c r="G18" i="169"/>
  <c r="F18" i="169"/>
  <c r="E18" i="169"/>
  <c r="D18" i="169"/>
  <c r="C18" i="169"/>
  <c r="AJ17" i="169"/>
  <c r="AK16" i="169"/>
  <c r="AK20" i="169" s="1"/>
  <c r="AD16" i="169"/>
  <c r="AC16" i="169"/>
  <c r="AB16" i="169"/>
  <c r="AA16" i="169"/>
  <c r="Z16" i="169"/>
  <c r="Y16" i="169"/>
  <c r="X16" i="169"/>
  <c r="W16" i="169"/>
  <c r="V16" i="169"/>
  <c r="U16" i="169"/>
  <c r="T16" i="169"/>
  <c r="S16" i="169"/>
  <c r="R16" i="169"/>
  <c r="Q16" i="169"/>
  <c r="P16" i="169"/>
  <c r="O16" i="169"/>
  <c r="N16" i="169"/>
  <c r="M16" i="169"/>
  <c r="L16" i="169"/>
  <c r="K16" i="169"/>
  <c r="J16" i="169"/>
  <c r="I16" i="169"/>
  <c r="H16" i="169"/>
  <c r="G16" i="169"/>
  <c r="F16" i="169"/>
  <c r="E16" i="169"/>
  <c r="D16" i="169"/>
  <c r="C16" i="169"/>
  <c r="AK96" i="8"/>
  <c r="AK97" i="8"/>
  <c r="AK98" i="8"/>
  <c r="AK99" i="8"/>
  <c r="AK100" i="8"/>
  <c r="AK101" i="8"/>
  <c r="AK102" i="8"/>
  <c r="AK103" i="8"/>
  <c r="AK104" i="8"/>
  <c r="AK105" i="8"/>
  <c r="AK106" i="8"/>
  <c r="AK107" i="8"/>
  <c r="AK108" i="8"/>
  <c r="AK109" i="8"/>
  <c r="AK110" i="8"/>
  <c r="AK111" i="8"/>
  <c r="AK112" i="8"/>
  <c r="AK113" i="8"/>
  <c r="AK114" i="8"/>
  <c r="AK115" i="8"/>
  <c r="AK116" i="8"/>
  <c r="AK117" i="8"/>
  <c r="AK118" i="8"/>
  <c r="AK119" i="8"/>
  <c r="AK120" i="8"/>
  <c r="AK121" i="8"/>
  <c r="AK122" i="8"/>
  <c r="AK123" i="8"/>
  <c r="AK124" i="8"/>
  <c r="AK125" i="8"/>
  <c r="AK126" i="8"/>
  <c r="AK127" i="8"/>
  <c r="AK128" i="8"/>
  <c r="AK129" i="8"/>
  <c r="AK130" i="8"/>
  <c r="AK131" i="8"/>
  <c r="AK132" i="8"/>
  <c r="AK133" i="8"/>
  <c r="AK134" i="8"/>
  <c r="AK135" i="8"/>
  <c r="AK136" i="8"/>
  <c r="AK137" i="8"/>
  <c r="AK138" i="8"/>
  <c r="AK139" i="8"/>
  <c r="AK140" i="8"/>
  <c r="AK141" i="8"/>
  <c r="AK142" i="8"/>
  <c r="AK143" i="8"/>
  <c r="AK144" i="8"/>
  <c r="AK145" i="8"/>
  <c r="AK146" i="8"/>
  <c r="AK147" i="8"/>
  <c r="AK148" i="8"/>
  <c r="AK149" i="8"/>
  <c r="AK150" i="8"/>
  <c r="AK151" i="8"/>
  <c r="AK152" i="8"/>
  <c r="AK153" i="8"/>
  <c r="AK154" i="8"/>
  <c r="AK155" i="8"/>
  <c r="AK156" i="8"/>
  <c r="AK95" i="8"/>
  <c r="M176" i="151" l="1"/>
  <c r="J113" i="151"/>
  <c r="H13" i="157"/>
  <c r="AH18" i="169"/>
  <c r="AH20" i="169" s="1"/>
  <c r="AJ16" i="169"/>
  <c r="D108" i="151"/>
  <c r="L108" i="151" s="1"/>
  <c r="S91" i="9"/>
  <c r="S10" i="9" s="1"/>
  <c r="S9" i="9" s="1"/>
  <c r="G111" i="151"/>
  <c r="I96" i="99"/>
  <c r="J109" i="151"/>
  <c r="H2599" i="170"/>
  <c r="AJ19" i="169"/>
  <c r="E13" i="157" l="1"/>
  <c r="AJ18" i="169"/>
  <c r="AJ20" i="169" s="1"/>
  <c r="B1455" i="170"/>
  <c r="G108" i="151"/>
  <c r="J96" i="151"/>
  <c r="J15" i="151" s="1"/>
  <c r="J179" i="151" s="1"/>
  <c r="I108" i="151"/>
  <c r="J18" i="158"/>
  <c r="AD99" i="151"/>
  <c r="AD100" i="151"/>
  <c r="AD101" i="151"/>
  <c r="AD102" i="151"/>
  <c r="AD103" i="151"/>
  <c r="AD104" i="151"/>
  <c r="AD105" i="151"/>
  <c r="AD106" i="151"/>
  <c r="AD107" i="151"/>
  <c r="AD111" i="151"/>
  <c r="AD112" i="151"/>
  <c r="AD113" i="151"/>
  <c r="AD114" i="151"/>
  <c r="AD115" i="151"/>
  <c r="AD116" i="151"/>
  <c r="AD117" i="151"/>
  <c r="AD118" i="151"/>
  <c r="AD119" i="151"/>
  <c r="AD120" i="151"/>
  <c r="AD121" i="151"/>
  <c r="AD122" i="151"/>
  <c r="AD123" i="151"/>
  <c r="AD124" i="151"/>
  <c r="AD125" i="151"/>
  <c r="AD126" i="151"/>
  <c r="AD127" i="151"/>
  <c r="AD128" i="151"/>
  <c r="AD129" i="151"/>
  <c r="AD130" i="151"/>
  <c r="AD131" i="151"/>
  <c r="AD132" i="151"/>
  <c r="AD133" i="151"/>
  <c r="AD134" i="151"/>
  <c r="AD135" i="151"/>
  <c r="AD136" i="151"/>
  <c r="AD137" i="151"/>
  <c r="AD138" i="151"/>
  <c r="AD139" i="151"/>
  <c r="AD140" i="151"/>
  <c r="AD141" i="151"/>
  <c r="AD142" i="151"/>
  <c r="AD143" i="151"/>
  <c r="AD144" i="151"/>
  <c r="AD145" i="151"/>
  <c r="AD146" i="151"/>
  <c r="AD147" i="151"/>
  <c r="AD148" i="151"/>
  <c r="AD149" i="151"/>
  <c r="AD150" i="151"/>
  <c r="AD151" i="151"/>
  <c r="AD152" i="151"/>
  <c r="AD153" i="151"/>
  <c r="AD154" i="151"/>
  <c r="AD155" i="151"/>
  <c r="AD156" i="151"/>
  <c r="AD157" i="151"/>
  <c r="AD158" i="151"/>
  <c r="AD159" i="151"/>
  <c r="AD160" i="151"/>
  <c r="AD161" i="151"/>
  <c r="AD162" i="151"/>
  <c r="AD163" i="151"/>
  <c r="AD164" i="151"/>
  <c r="AD165" i="151"/>
  <c r="AD166" i="151"/>
  <c r="AD167" i="151"/>
  <c r="AD168" i="151"/>
  <c r="AD169" i="151"/>
  <c r="AD170" i="151"/>
  <c r="AD171" i="151"/>
  <c r="AD172" i="151"/>
  <c r="AD173" i="151"/>
  <c r="AD174" i="151"/>
  <c r="AD175" i="151"/>
  <c r="AD176" i="151"/>
  <c r="AD177" i="151"/>
  <c r="AD178" i="151"/>
  <c r="L2622" i="170"/>
  <c r="K176" i="151" l="1"/>
  <c r="K109" i="151"/>
  <c r="K201" i="151"/>
  <c r="T81" i="101"/>
  <c r="T82" i="101" s="1"/>
  <c r="E14" i="157"/>
  <c r="D177" i="151"/>
  <c r="D178" i="151"/>
  <c r="D176" i="151"/>
  <c r="D104" i="151"/>
  <c r="L104" i="151" s="1"/>
  <c r="D105" i="151"/>
  <c r="L105" i="151" s="1"/>
  <c r="D106" i="151"/>
  <c r="L106" i="151" s="1"/>
  <c r="D107" i="151"/>
  <c r="L107" i="151" s="1"/>
  <c r="D98" i="151"/>
  <c r="D95" i="151"/>
  <c r="D96" i="151"/>
  <c r="D97" i="151"/>
  <c r="C80" i="101"/>
  <c r="C81" i="101"/>
  <c r="C95" i="99"/>
  <c r="K95" i="99" s="1"/>
  <c r="C97" i="99"/>
  <c r="C98" i="99"/>
  <c r="N95" i="151" l="1"/>
  <c r="L95" i="151"/>
  <c r="O95" i="151"/>
  <c r="O96" i="151"/>
  <c r="L96" i="151"/>
  <c r="N96" i="151"/>
  <c r="B2036" i="170"/>
  <c r="U178" i="151"/>
  <c r="M109" i="151"/>
  <c r="E20" i="154"/>
  <c r="E175" i="132"/>
  <c r="E176" i="132"/>
  <c r="E177" i="132"/>
  <c r="M211" i="151"/>
  <c r="X178" i="151" l="1"/>
  <c r="U113" i="151"/>
  <c r="Y109" i="151"/>
  <c r="AA109" i="151" s="1"/>
  <c r="G107" i="151" l="1"/>
  <c r="G106" i="151"/>
  <c r="G112" i="151"/>
  <c r="G105" i="151"/>
  <c r="G110" i="151"/>
  <c r="G104" i="151"/>
  <c r="AC158" i="9"/>
  <c r="G176" i="151"/>
  <c r="Y176" i="151" s="1"/>
  <c r="AA176" i="151" s="1"/>
  <c r="Q59" i="59"/>
  <c r="Q45" i="59"/>
  <c r="Q31" i="59"/>
  <c r="Q73" i="59"/>
  <c r="R79" i="59"/>
  <c r="R23" i="59"/>
  <c r="K2611" i="170"/>
  <c r="E2611" i="170"/>
  <c r="E2066" i="170"/>
  <c r="M2052" i="170"/>
  <c r="E1505" i="170"/>
  <c r="E1485" i="170"/>
  <c r="K703" i="170"/>
  <c r="E703" i="170"/>
  <c r="Y110" i="151" l="1"/>
  <c r="AA110" i="151" s="1"/>
  <c r="Y112" i="151"/>
  <c r="AA112" i="151" s="1"/>
  <c r="Q82" i="59"/>
  <c r="K734" i="170"/>
  <c r="E734" i="170"/>
  <c r="H2565" i="170" l="1"/>
  <c r="K2049" i="170"/>
  <c r="H2036" i="170"/>
  <c r="I2043" i="170" s="1"/>
  <c r="E754" i="170"/>
  <c r="E718" i="170"/>
  <c r="L651" i="170"/>
  <c r="M600" i="170"/>
  <c r="M583" i="170"/>
  <c r="L532" i="170"/>
  <c r="M499" i="170"/>
  <c r="M481" i="170"/>
  <c r="M430" i="170"/>
  <c r="M413" i="170"/>
  <c r="M137" i="170"/>
  <c r="M120" i="170"/>
  <c r="M86" i="170"/>
  <c r="M52" i="170"/>
  <c r="E18" i="170"/>
  <c r="G4" i="170"/>
  <c r="G21" i="170" s="1"/>
  <c r="A38" i="170" s="1"/>
  <c r="B2" i="170"/>
  <c r="M201" i="151"/>
  <c r="AB15" i="151"/>
  <c r="B2019" i="170"/>
  <c r="H2019" i="170"/>
  <c r="B1473" i="170"/>
  <c r="H1420" i="170"/>
  <c r="AC90" i="9"/>
  <c r="U92" i="9"/>
  <c r="U93" i="9"/>
  <c r="AC91" i="9"/>
  <c r="G161" i="128"/>
  <c r="H161" i="128"/>
  <c r="I161" i="128"/>
  <c r="J161" i="128"/>
  <c r="K161" i="128"/>
  <c r="L161" i="128"/>
  <c r="M161" i="128"/>
  <c r="N161" i="128"/>
  <c r="O161" i="128"/>
  <c r="P161" i="128"/>
  <c r="Q161" i="128"/>
  <c r="R161" i="128"/>
  <c r="S161" i="128"/>
  <c r="T161" i="128"/>
  <c r="U161" i="128"/>
  <c r="V161" i="128"/>
  <c r="W161" i="128"/>
  <c r="X161" i="128"/>
  <c r="Y161" i="128"/>
  <c r="Z161" i="128"/>
  <c r="AA161" i="128"/>
  <c r="AB161" i="128"/>
  <c r="AC161" i="128"/>
  <c r="AD161" i="128"/>
  <c r="AE161" i="128"/>
  <c r="AF161" i="128"/>
  <c r="AG161" i="128"/>
  <c r="AH161" i="128"/>
  <c r="AI161" i="128"/>
  <c r="F161" i="128"/>
  <c r="AK160" i="128"/>
  <c r="AM160" i="128" s="1"/>
  <c r="AK159" i="128"/>
  <c r="AM159" i="128" s="1"/>
  <c r="AK158" i="128"/>
  <c r="AM158" i="128" s="1"/>
  <c r="AK157" i="128"/>
  <c r="AK156" i="128"/>
  <c r="AM156" i="128" s="1"/>
  <c r="AK155" i="128"/>
  <c r="AM155" i="128" s="1"/>
  <c r="AK154" i="128"/>
  <c r="AM154" i="128" s="1"/>
  <c r="AK153" i="128"/>
  <c r="AM153" i="128" s="1"/>
  <c r="AK152" i="128"/>
  <c r="AM152" i="128" s="1"/>
  <c r="AK151" i="128"/>
  <c r="AM151" i="128" s="1"/>
  <c r="AK150" i="128"/>
  <c r="AM150" i="128" s="1"/>
  <c r="AK149" i="128"/>
  <c r="AM149" i="128" s="1"/>
  <c r="AK148" i="128"/>
  <c r="AM148" i="128" s="1"/>
  <c r="AK147" i="128"/>
  <c r="AM147" i="128" s="1"/>
  <c r="AK146" i="128"/>
  <c r="AM146" i="128" s="1"/>
  <c r="AK145" i="128"/>
  <c r="AM145" i="128" s="1"/>
  <c r="AK144" i="128"/>
  <c r="AM144" i="128" s="1"/>
  <c r="AK143" i="128"/>
  <c r="AM143" i="128" s="1"/>
  <c r="AK142" i="128"/>
  <c r="AM142" i="128" s="1"/>
  <c r="AK141" i="128"/>
  <c r="AM141" i="128" s="1"/>
  <c r="AK140" i="128"/>
  <c r="AM140" i="128" s="1"/>
  <c r="AK139" i="128"/>
  <c r="AM139" i="128" s="1"/>
  <c r="AK138" i="128"/>
  <c r="AM138" i="128" s="1"/>
  <c r="AK137" i="128"/>
  <c r="AM137" i="128" s="1"/>
  <c r="AK136" i="128"/>
  <c r="AM136" i="128" s="1"/>
  <c r="AK135" i="128"/>
  <c r="AM135" i="128" s="1"/>
  <c r="AK134" i="128"/>
  <c r="AM134" i="128" s="1"/>
  <c r="AK133" i="128"/>
  <c r="AM133" i="128" s="1"/>
  <c r="AK132" i="128"/>
  <c r="AM132" i="128" s="1"/>
  <c r="AK131" i="128"/>
  <c r="AM131" i="128" s="1"/>
  <c r="AK130" i="128"/>
  <c r="AM130" i="128" s="1"/>
  <c r="AK129" i="128"/>
  <c r="AM129" i="128" s="1"/>
  <c r="AK128" i="128"/>
  <c r="AM128" i="128" s="1"/>
  <c r="AK127" i="128"/>
  <c r="AM127" i="128" s="1"/>
  <c r="AK126" i="128"/>
  <c r="AM126" i="128" s="1"/>
  <c r="AK125" i="128"/>
  <c r="AM125" i="128" s="1"/>
  <c r="AK124" i="128"/>
  <c r="AM124" i="128" s="1"/>
  <c r="AK123" i="128"/>
  <c r="AM123" i="128" s="1"/>
  <c r="AK122" i="128"/>
  <c r="AM122" i="128" s="1"/>
  <c r="AK121" i="128"/>
  <c r="AM121" i="128" s="1"/>
  <c r="AK120" i="128"/>
  <c r="AM120" i="128" s="1"/>
  <c r="AK119" i="128"/>
  <c r="AM119" i="128" s="1"/>
  <c r="AK118" i="128"/>
  <c r="AM118" i="128" s="1"/>
  <c r="AK117" i="128"/>
  <c r="AM117" i="128" s="1"/>
  <c r="AK116" i="128"/>
  <c r="AM116" i="128" s="1"/>
  <c r="AK115" i="128"/>
  <c r="AM115" i="128" s="1"/>
  <c r="AK114" i="128"/>
  <c r="AM114" i="128" s="1"/>
  <c r="AK113" i="128"/>
  <c r="AM113" i="128" s="1"/>
  <c r="AK112" i="128"/>
  <c r="AM112" i="128" s="1"/>
  <c r="AK111" i="128"/>
  <c r="AM111" i="128" s="1"/>
  <c r="AK110" i="128"/>
  <c r="AK109" i="128"/>
  <c r="AM109" i="128" s="1"/>
  <c r="AK108" i="128"/>
  <c r="AM108" i="128" s="1"/>
  <c r="AK107" i="128"/>
  <c r="AM107" i="128" s="1"/>
  <c r="AK106" i="128"/>
  <c r="AM106" i="128" s="1"/>
  <c r="AK105" i="128"/>
  <c r="AM105" i="128" s="1"/>
  <c r="AK104" i="128"/>
  <c r="AM104" i="128" s="1"/>
  <c r="AK103" i="128"/>
  <c r="AM103" i="128" s="1"/>
  <c r="AK102" i="128"/>
  <c r="AK101" i="128"/>
  <c r="AM101" i="128" s="1"/>
  <c r="AK100" i="128"/>
  <c r="AM100" i="128" s="1"/>
  <c r="AK99" i="128"/>
  <c r="AK96" i="128"/>
  <c r="AM96" i="128" s="1"/>
  <c r="AK95" i="128"/>
  <c r="AM95" i="128" s="1"/>
  <c r="AK94" i="128"/>
  <c r="AM94" i="128" s="1"/>
  <c r="AK93" i="128"/>
  <c r="AM93" i="128" s="1"/>
  <c r="AK92" i="128"/>
  <c r="AM92" i="128" s="1"/>
  <c r="AK91" i="128"/>
  <c r="AM91" i="128" s="1"/>
  <c r="AK90" i="128"/>
  <c r="AK89" i="128"/>
  <c r="AM89" i="128" s="1"/>
  <c r="AK88" i="128"/>
  <c r="AM88" i="128" s="1"/>
  <c r="AK87" i="128"/>
  <c r="AM87" i="128" s="1"/>
  <c r="AK86" i="128"/>
  <c r="AM86" i="128" s="1"/>
  <c r="AK85" i="128"/>
  <c r="AM85" i="128" s="1"/>
  <c r="AK84" i="128"/>
  <c r="AM84" i="128" s="1"/>
  <c r="AK83" i="128"/>
  <c r="AM83" i="128" s="1"/>
  <c r="AK82" i="128"/>
  <c r="AM82" i="128" s="1"/>
  <c r="AK81" i="128"/>
  <c r="AM81" i="128" s="1"/>
  <c r="AK80" i="128"/>
  <c r="AM80" i="128" s="1"/>
  <c r="AK79" i="128"/>
  <c r="AM79" i="128" s="1"/>
  <c r="AK78" i="128"/>
  <c r="AM78" i="128" s="1"/>
  <c r="AK77" i="128"/>
  <c r="AM77" i="128" s="1"/>
  <c r="AK76" i="128"/>
  <c r="AM76" i="128" s="1"/>
  <c r="AK75" i="128"/>
  <c r="AM75" i="128" s="1"/>
  <c r="AK74" i="128"/>
  <c r="AM74" i="128" s="1"/>
  <c r="AK73" i="128"/>
  <c r="AM73" i="128" s="1"/>
  <c r="AK72" i="128"/>
  <c r="AM72" i="128" s="1"/>
  <c r="AK71" i="128"/>
  <c r="AM71" i="128" s="1"/>
  <c r="AK70" i="128"/>
  <c r="AM70" i="128" s="1"/>
  <c r="AK69" i="128"/>
  <c r="AM69" i="128" s="1"/>
  <c r="AK68" i="128"/>
  <c r="AM68" i="128" s="1"/>
  <c r="AK67" i="128"/>
  <c r="AM67" i="128" s="1"/>
  <c r="AK66" i="128"/>
  <c r="AM66" i="128" s="1"/>
  <c r="AK65" i="128"/>
  <c r="AM65" i="128" s="1"/>
  <c r="AK64" i="128"/>
  <c r="AM64" i="128" s="1"/>
  <c r="AK63" i="128"/>
  <c r="AM63" i="128" s="1"/>
  <c r="AK62" i="128"/>
  <c r="AM62" i="128" s="1"/>
  <c r="AK61" i="128"/>
  <c r="AM61" i="128" s="1"/>
  <c r="AK60" i="128"/>
  <c r="AM60" i="128" s="1"/>
  <c r="AK59" i="128"/>
  <c r="AM59" i="128" s="1"/>
  <c r="AK58" i="128"/>
  <c r="AM58" i="128" s="1"/>
  <c r="AK57" i="128"/>
  <c r="AM57" i="128" s="1"/>
  <c r="AK56" i="128"/>
  <c r="AM56" i="128" s="1"/>
  <c r="AK55" i="128"/>
  <c r="AM55" i="128" s="1"/>
  <c r="AK54" i="128"/>
  <c r="AM54" i="128" s="1"/>
  <c r="AK53" i="128"/>
  <c r="AM53" i="128" s="1"/>
  <c r="AK52" i="128"/>
  <c r="AM52" i="128" s="1"/>
  <c r="AK51" i="128"/>
  <c r="AM51" i="128" s="1"/>
  <c r="AK50" i="128"/>
  <c r="AM50" i="128" s="1"/>
  <c r="AK49" i="128"/>
  <c r="AM49" i="128" s="1"/>
  <c r="AK48" i="128"/>
  <c r="AM48" i="128" s="1"/>
  <c r="AK47" i="128"/>
  <c r="AM47" i="128" s="1"/>
  <c r="AK46" i="128"/>
  <c r="AM46" i="128" s="1"/>
  <c r="AK45" i="128"/>
  <c r="AM45" i="128" s="1"/>
  <c r="AK44" i="128"/>
  <c r="AM44" i="128" s="1"/>
  <c r="AK43" i="128"/>
  <c r="AM43" i="128" s="1"/>
  <c r="AK42" i="128"/>
  <c r="AM42" i="128" s="1"/>
  <c r="AK41" i="128"/>
  <c r="AM41" i="128" s="1"/>
  <c r="AK40" i="128"/>
  <c r="AM40" i="128" s="1"/>
  <c r="AK39" i="128"/>
  <c r="AM39" i="128" s="1"/>
  <c r="AK38" i="128"/>
  <c r="AM38" i="128" s="1"/>
  <c r="AK37" i="128"/>
  <c r="AM37" i="128" s="1"/>
  <c r="AK36" i="128"/>
  <c r="AM36" i="128" s="1"/>
  <c r="AK35" i="128"/>
  <c r="AM35" i="128" s="1"/>
  <c r="AK34" i="128"/>
  <c r="AM34" i="128" s="1"/>
  <c r="AK33" i="128"/>
  <c r="AM33" i="128" s="1"/>
  <c r="AK32" i="128"/>
  <c r="AM32" i="128" s="1"/>
  <c r="AK31" i="128"/>
  <c r="AM31" i="128" s="1"/>
  <c r="AK30" i="128"/>
  <c r="AM30" i="128" s="1"/>
  <c r="AK29" i="128"/>
  <c r="AM29" i="128" s="1"/>
  <c r="AK28" i="128"/>
  <c r="AM28" i="128" s="1"/>
  <c r="AK27" i="128"/>
  <c r="AM27" i="128" s="1"/>
  <c r="AK26" i="128"/>
  <c r="AM26" i="128" s="1"/>
  <c r="AK25" i="128"/>
  <c r="AM25" i="128" s="1"/>
  <c r="AK24" i="128"/>
  <c r="AM24" i="128" s="1"/>
  <c r="AK23" i="128"/>
  <c r="AM23" i="128" s="1"/>
  <c r="AK22" i="128"/>
  <c r="AM22" i="128" s="1"/>
  <c r="AK21" i="128"/>
  <c r="AM21" i="128" s="1"/>
  <c r="AK20" i="128"/>
  <c r="AK19" i="128"/>
  <c r="AM19" i="128" s="1"/>
  <c r="AK18" i="128"/>
  <c r="AK17" i="128"/>
  <c r="AK92" i="8"/>
  <c r="AL92" i="8"/>
  <c r="AM92" i="8"/>
  <c r="AN92" i="8"/>
  <c r="AO92" i="8"/>
  <c r="Z90" i="9" s="1"/>
  <c r="AP92" i="8"/>
  <c r="AA90" i="9" s="1"/>
  <c r="AP14" i="8"/>
  <c r="AM20" i="128" l="1"/>
  <c r="M167" i="128"/>
  <c r="AM102" i="128"/>
  <c r="T183" i="128"/>
  <c r="AM110" i="128"/>
  <c r="AA185" i="128" s="1"/>
  <c r="T185" i="128"/>
  <c r="AM17" i="128"/>
  <c r="M166" i="128"/>
  <c r="AM99" i="128"/>
  <c r="AA184" i="128" s="1"/>
  <c r="T184" i="128"/>
  <c r="AM157" i="128"/>
  <c r="T187" i="128"/>
  <c r="M170" i="128"/>
  <c r="M169" i="128" s="1"/>
  <c r="AM18" i="128"/>
  <c r="M165" i="128"/>
  <c r="J2589" i="170"/>
  <c r="J2573" i="170"/>
  <c r="D2574" i="170"/>
  <c r="D2571" i="170"/>
  <c r="D2554" i="170"/>
  <c r="D2603" i="170"/>
  <c r="D2558" i="170"/>
  <c r="J2587" i="170"/>
  <c r="D2588" i="170"/>
  <c r="D2557" i="170"/>
  <c r="J2588" i="170"/>
  <c r="J2586" i="170"/>
  <c r="D2590" i="170"/>
  <c r="D2587" i="170"/>
  <c r="J2570" i="170"/>
  <c r="D2573" i="170"/>
  <c r="J2558" i="170"/>
  <c r="J2555" i="170"/>
  <c r="D2589" i="170"/>
  <c r="D2570" i="170"/>
  <c r="J2557" i="170"/>
  <c r="D2555" i="170"/>
  <c r="J2590" i="170"/>
  <c r="D2586" i="170"/>
  <c r="J2574" i="170"/>
  <c r="J2571" i="170"/>
  <c r="J2554" i="170"/>
  <c r="J2541" i="170"/>
  <c r="J2521" i="170"/>
  <c r="D2524" i="170"/>
  <c r="J2509" i="170"/>
  <c r="J2506" i="170"/>
  <c r="J2492" i="170"/>
  <c r="J2490" i="170"/>
  <c r="J2473" i="170"/>
  <c r="D2476" i="170"/>
  <c r="J2457" i="170"/>
  <c r="D2461" i="170"/>
  <c r="D2458" i="170"/>
  <c r="D2441" i="170"/>
  <c r="J2428" i="170"/>
  <c r="D2429" i="170"/>
  <c r="D2426" i="170"/>
  <c r="D2409" i="170"/>
  <c r="J2396" i="170"/>
  <c r="D2396" i="170"/>
  <c r="J2381" i="170"/>
  <c r="J2378" i="170"/>
  <c r="J2365" i="170"/>
  <c r="J2362" i="170"/>
  <c r="J2348" i="170"/>
  <c r="J2346" i="170"/>
  <c r="J2329" i="170"/>
  <c r="D2332" i="170"/>
  <c r="J2317" i="170"/>
  <c r="J2314" i="170"/>
  <c r="J2297" i="170"/>
  <c r="D2300" i="170"/>
  <c r="J2285" i="170"/>
  <c r="J2282" i="170"/>
  <c r="J2265" i="170"/>
  <c r="D2268" i="170"/>
  <c r="J2253" i="170"/>
  <c r="J2250" i="170"/>
  <c r="J2234" i="170"/>
  <c r="D2233" i="170"/>
  <c r="J2220" i="170"/>
  <c r="D2221" i="170"/>
  <c r="D2218" i="170"/>
  <c r="D2204" i="170"/>
  <c r="D2202" i="170"/>
  <c r="D2188" i="170"/>
  <c r="D2186" i="170"/>
  <c r="D2169" i="170"/>
  <c r="J2156" i="170"/>
  <c r="D2157" i="170"/>
  <c r="D2154" i="170"/>
  <c r="D2137" i="170"/>
  <c r="J2124" i="170"/>
  <c r="D2125" i="170"/>
  <c r="D2122" i="170"/>
  <c r="D2105" i="170"/>
  <c r="J2092" i="170"/>
  <c r="D2093" i="170"/>
  <c r="D2540" i="170"/>
  <c r="J2525" i="170"/>
  <c r="J2522" i="170"/>
  <c r="J2505" i="170"/>
  <c r="D2508" i="170"/>
  <c r="J2493" i="170"/>
  <c r="J2489" i="170"/>
  <c r="D2492" i="170"/>
  <c r="J2477" i="170"/>
  <c r="J2474" i="170"/>
  <c r="J2458" i="170"/>
  <c r="D2457" i="170"/>
  <c r="J2444" i="170"/>
  <c r="D2445" i="170"/>
  <c r="D2442" i="170"/>
  <c r="D2425" i="170"/>
  <c r="J2412" i="170"/>
  <c r="D2413" i="170"/>
  <c r="D2410" i="170"/>
  <c r="J2377" i="170"/>
  <c r="J2361" i="170"/>
  <c r="D2364" i="170"/>
  <c r="J2349" i="170"/>
  <c r="J2345" i="170"/>
  <c r="D2348" i="170"/>
  <c r="J2333" i="170"/>
  <c r="J2330" i="170"/>
  <c r="J2313" i="170"/>
  <c r="D2316" i="170"/>
  <c r="J2301" i="170"/>
  <c r="J2298" i="170"/>
  <c r="J2281" i="170"/>
  <c r="D2284" i="170"/>
  <c r="J2269" i="170"/>
  <c r="J2266" i="170"/>
  <c r="J2249" i="170"/>
  <c r="D2252" i="170"/>
  <c r="J2233" i="170"/>
  <c r="D2237" i="170"/>
  <c r="D2234" i="170"/>
  <c r="D2217" i="170"/>
  <c r="J2204" i="170"/>
  <c r="D2205" i="170"/>
  <c r="D2201" i="170"/>
  <c r="J2188" i="170"/>
  <c r="D2189" i="170"/>
  <c r="D2185" i="170"/>
  <c r="J2172" i="170"/>
  <c r="D2173" i="170"/>
  <c r="D2170" i="170"/>
  <c r="D2153" i="170"/>
  <c r="J2140" i="170"/>
  <c r="D2141" i="170"/>
  <c r="D2138" i="170"/>
  <c r="D2121" i="170"/>
  <c r="J2108" i="170"/>
  <c r="D2109" i="170"/>
  <c r="D2106" i="170"/>
  <c r="J2540" i="170"/>
  <c r="D2493" i="170"/>
  <c r="D2490" i="170"/>
  <c r="J2476" i="170"/>
  <c r="D2477" i="170"/>
  <c r="D2474" i="170"/>
  <c r="J2460" i="170"/>
  <c r="D2397" i="170"/>
  <c r="D2394" i="170"/>
  <c r="J2380" i="170"/>
  <c r="D2381" i="170"/>
  <c r="D2377" i="170"/>
  <c r="D2361" i="170"/>
  <c r="J2217" i="170"/>
  <c r="J2201" i="170"/>
  <c r="D2089" i="170"/>
  <c r="J2076" i="170"/>
  <c r="D2073" i="170"/>
  <c r="D1441" i="170"/>
  <c r="D1423" i="170"/>
  <c r="J1407" i="170"/>
  <c r="D1406" i="170"/>
  <c r="J1393" i="170"/>
  <c r="J1390" i="170"/>
  <c r="J1372" i="170"/>
  <c r="D1375" i="170"/>
  <c r="J1359" i="170"/>
  <c r="J1356" i="170"/>
  <c r="J1338" i="170"/>
  <c r="D1341" i="170"/>
  <c r="J1325" i="170"/>
  <c r="J1322" i="170"/>
  <c r="J1304" i="170"/>
  <c r="D1307" i="170"/>
  <c r="J1291" i="170"/>
  <c r="J1288" i="170"/>
  <c r="J1270" i="170"/>
  <c r="D1273" i="170"/>
  <c r="J1257" i="170"/>
  <c r="J1254" i="170"/>
  <c r="J1236" i="170"/>
  <c r="D1239" i="170"/>
  <c r="J1223" i="170"/>
  <c r="J1220" i="170"/>
  <c r="J1203" i="170"/>
  <c r="D1202" i="170"/>
  <c r="J1188" i="170"/>
  <c r="D1189" i="170"/>
  <c r="D1186" i="170"/>
  <c r="D1168" i="170"/>
  <c r="J1154" i="170"/>
  <c r="D1155" i="170"/>
  <c r="D1152" i="170"/>
  <c r="D1134" i="170"/>
  <c r="J1120" i="170"/>
  <c r="D1121" i="170"/>
  <c r="D1118" i="170"/>
  <c r="D1100" i="170"/>
  <c r="J1086" i="170"/>
  <c r="D1087" i="170"/>
  <c r="D1084" i="170"/>
  <c r="D1066" i="170"/>
  <c r="J1052" i="170"/>
  <c r="D1053" i="170"/>
  <c r="D1050" i="170"/>
  <c r="D1032" i="170"/>
  <c r="J1018" i="170"/>
  <c r="D1019" i="170"/>
  <c r="D1016" i="170"/>
  <c r="D998" i="170"/>
  <c r="J984" i="170"/>
  <c r="D985" i="170"/>
  <c r="D982" i="170"/>
  <c r="D964" i="170"/>
  <c r="J950" i="170"/>
  <c r="D951" i="170"/>
  <c r="D948" i="170"/>
  <c r="D930" i="170"/>
  <c r="J916" i="170"/>
  <c r="D917" i="170"/>
  <c r="D914" i="170"/>
  <c r="D896" i="170"/>
  <c r="D880" i="170"/>
  <c r="J862" i="170"/>
  <c r="D865" i="170"/>
  <c r="J845" i="170"/>
  <c r="D849" i="170"/>
  <c r="D846" i="170"/>
  <c r="D828" i="170"/>
  <c r="J815" i="170"/>
  <c r="D816" i="170"/>
  <c r="D813" i="170"/>
  <c r="J2537" i="170"/>
  <c r="D2537" i="170"/>
  <c r="D2521" i="170"/>
  <c r="D2505" i="170"/>
  <c r="J2441" i="170"/>
  <c r="J2425" i="170"/>
  <c r="J2409" i="170"/>
  <c r="J2393" i="170"/>
  <c r="D2349" i="170"/>
  <c r="D2346" i="170"/>
  <c r="J2332" i="170"/>
  <c r="D2333" i="170"/>
  <c r="D2330" i="170"/>
  <c r="J2316" i="170"/>
  <c r="D2317" i="170"/>
  <c r="D2314" i="170"/>
  <c r="J2300" i="170"/>
  <c r="D2301" i="170"/>
  <c r="D2298" i="170"/>
  <c r="J2284" i="170"/>
  <c r="D2285" i="170"/>
  <c r="D2282" i="170"/>
  <c r="J2268" i="170"/>
  <c r="D2269" i="170"/>
  <c r="D2266" i="170"/>
  <c r="J2252" i="170"/>
  <c r="D2253" i="170"/>
  <c r="D2250" i="170"/>
  <c r="J2236" i="170"/>
  <c r="J2189" i="170"/>
  <c r="J2186" i="170"/>
  <c r="J2169" i="170"/>
  <c r="J2153" i="170"/>
  <c r="J2137" i="170"/>
  <c r="J2121" i="170"/>
  <c r="J2105" i="170"/>
  <c r="J2089" i="170"/>
  <c r="D2092" i="170"/>
  <c r="D2090" i="170"/>
  <c r="D2074" i="170"/>
  <c r="J2057" i="170"/>
  <c r="J1442" i="170"/>
  <c r="J1443" i="170"/>
  <c r="D1443" i="170"/>
  <c r="J1426" i="170"/>
  <c r="D1427" i="170"/>
  <c r="D1424" i="170"/>
  <c r="J1406" i="170"/>
  <c r="D1407" i="170"/>
  <c r="J1389" i="170"/>
  <c r="D1392" i="170"/>
  <c r="J1376" i="170"/>
  <c r="J1373" i="170"/>
  <c r="J1355" i="170"/>
  <c r="D1358" i="170"/>
  <c r="J1342" i="170"/>
  <c r="J1339" i="170"/>
  <c r="J1321" i="170"/>
  <c r="D1324" i="170"/>
  <c r="J1308" i="170"/>
  <c r="J1305" i="170"/>
  <c r="J1287" i="170"/>
  <c r="D1290" i="170"/>
  <c r="J1274" i="170"/>
  <c r="J1271" i="170"/>
  <c r="J1253" i="170"/>
  <c r="D1256" i="170"/>
  <c r="J1240" i="170"/>
  <c r="J1237" i="170"/>
  <c r="J1219" i="170"/>
  <c r="D1222" i="170"/>
  <c r="J1202" i="170"/>
  <c r="D1206" i="170"/>
  <c r="D1203" i="170"/>
  <c r="D1185" i="170"/>
  <c r="J1171" i="170"/>
  <c r="D1172" i="170"/>
  <c r="D1169" i="170"/>
  <c r="D1151" i="170"/>
  <c r="J1137" i="170"/>
  <c r="D1138" i="170"/>
  <c r="D1135" i="170"/>
  <c r="D1117" i="170"/>
  <c r="J1103" i="170"/>
  <c r="D1104" i="170"/>
  <c r="D1101" i="170"/>
  <c r="D1083" i="170"/>
  <c r="J1069" i="170"/>
  <c r="D1070" i="170"/>
  <c r="D1067" i="170"/>
  <c r="D1049" i="170"/>
  <c r="J1035" i="170"/>
  <c r="D1036" i="170"/>
  <c r="D1033" i="170"/>
  <c r="D1015" i="170"/>
  <c r="J1001" i="170"/>
  <c r="D1002" i="170"/>
  <c r="D999" i="170"/>
  <c r="D981" i="170"/>
  <c r="J967" i="170"/>
  <c r="D968" i="170"/>
  <c r="D965" i="170"/>
  <c r="D947" i="170"/>
  <c r="J933" i="170"/>
  <c r="D934" i="170"/>
  <c r="D931" i="170"/>
  <c r="D913" i="170"/>
  <c r="J899" i="170"/>
  <c r="D900" i="170"/>
  <c r="D897" i="170"/>
  <c r="D879" i="170"/>
  <c r="J866" i="170"/>
  <c r="J863" i="170"/>
  <c r="J846" i="170"/>
  <c r="D845" i="170"/>
  <c r="J831" i="170"/>
  <c r="D832" i="170"/>
  <c r="D829" i="170"/>
  <c r="D812" i="170"/>
  <c r="J798" i="170"/>
  <c r="D799" i="170"/>
  <c r="D796" i="170"/>
  <c r="D778" i="170"/>
  <c r="J764" i="170"/>
  <c r="D765" i="170"/>
  <c r="D762" i="170"/>
  <c r="J748" i="170"/>
  <c r="D2489" i="170"/>
  <c r="D2473" i="170"/>
  <c r="J2461" i="170"/>
  <c r="D2362" i="170"/>
  <c r="D2236" i="170"/>
  <c r="J2221" i="170"/>
  <c r="J2202" i="170"/>
  <c r="J2073" i="170"/>
  <c r="J2060" i="170"/>
  <c r="J1444" i="170"/>
  <c r="J1440" i="170"/>
  <c r="J1427" i="170"/>
  <c r="J1424" i="170"/>
  <c r="D1426" i="170"/>
  <c r="D1389" i="170"/>
  <c r="D1372" i="170"/>
  <c r="D1355" i="170"/>
  <c r="D1338" i="170"/>
  <c r="D1321" i="170"/>
  <c r="D1304" i="170"/>
  <c r="D1287" i="170"/>
  <c r="D1270" i="170"/>
  <c r="D1253" i="170"/>
  <c r="D1236" i="170"/>
  <c r="D1219" i="170"/>
  <c r="D1205" i="170"/>
  <c r="J1189" i="170"/>
  <c r="J1186" i="170"/>
  <c r="D1188" i="170"/>
  <c r="J1172" i="170"/>
  <c r="J1169" i="170"/>
  <c r="D1171" i="170"/>
  <c r="J1155" i="170"/>
  <c r="J1152" i="170"/>
  <c r="D1154" i="170"/>
  <c r="J1138" i="170"/>
  <c r="J1135" i="170"/>
  <c r="D1137" i="170"/>
  <c r="J1121" i="170"/>
  <c r="J1118" i="170"/>
  <c r="D1120" i="170"/>
  <c r="J1104" i="170"/>
  <c r="J1101" i="170"/>
  <c r="D1103" i="170"/>
  <c r="J1087" i="170"/>
  <c r="J1084" i="170"/>
  <c r="D1086" i="170"/>
  <c r="J1070" i="170"/>
  <c r="J1067" i="170"/>
  <c r="D1069" i="170"/>
  <c r="J1053" i="170"/>
  <c r="J1050" i="170"/>
  <c r="D1052" i="170"/>
  <c r="J1036" i="170"/>
  <c r="J1033" i="170"/>
  <c r="D1035" i="170"/>
  <c r="J1019" i="170"/>
  <c r="J1016" i="170"/>
  <c r="D1018" i="170"/>
  <c r="J1002" i="170"/>
  <c r="J999" i="170"/>
  <c r="D1001" i="170"/>
  <c r="J985" i="170"/>
  <c r="J982" i="170"/>
  <c r="D984" i="170"/>
  <c r="J968" i="170"/>
  <c r="J965" i="170"/>
  <c r="D967" i="170"/>
  <c r="J951" i="170"/>
  <c r="J948" i="170"/>
  <c r="D950" i="170"/>
  <c r="J934" i="170"/>
  <c r="J931" i="170"/>
  <c r="D933" i="170"/>
  <c r="J917" i="170"/>
  <c r="J914" i="170"/>
  <c r="D916" i="170"/>
  <c r="J900" i="170"/>
  <c r="J897" i="170"/>
  <c r="D899" i="170"/>
  <c r="J883" i="170"/>
  <c r="J879" i="170"/>
  <c r="J865" i="170"/>
  <c r="D866" i="170"/>
  <c r="D863" i="170"/>
  <c r="J848" i="170"/>
  <c r="D798" i="170"/>
  <c r="J782" i="170"/>
  <c r="D781" i="170"/>
  <c r="D779" i="170"/>
  <c r="J765" i="170"/>
  <c r="J761" i="170"/>
  <c r="J747" i="170"/>
  <c r="D659" i="170"/>
  <c r="J645" i="170"/>
  <c r="D646" i="170"/>
  <c r="D643" i="170"/>
  <c r="D624" i="170"/>
  <c r="J610" i="170"/>
  <c r="D607" i="170"/>
  <c r="J593" i="170"/>
  <c r="D594" i="170"/>
  <c r="D591" i="170"/>
  <c r="D573" i="170"/>
  <c r="J559" i="170"/>
  <c r="D560" i="170"/>
  <c r="D557" i="170"/>
  <c r="D539" i="170"/>
  <c r="J526" i="170"/>
  <c r="D527" i="170"/>
  <c r="D524" i="170"/>
  <c r="D506" i="170"/>
  <c r="J492" i="170"/>
  <c r="D493" i="170"/>
  <c r="D490" i="170"/>
  <c r="D471" i="170"/>
  <c r="J456" i="170"/>
  <c r="D457" i="170"/>
  <c r="D454" i="170"/>
  <c r="D437" i="170"/>
  <c r="J423" i="170"/>
  <c r="D424" i="170"/>
  <c r="D421" i="170"/>
  <c r="D403" i="170"/>
  <c r="J388" i="170"/>
  <c r="D389" i="170"/>
  <c r="D386" i="170"/>
  <c r="D368" i="170"/>
  <c r="J354" i="170"/>
  <c r="D355" i="170"/>
  <c r="D352" i="170"/>
  <c r="D333" i="170"/>
  <c r="J318" i="170"/>
  <c r="D319" i="170"/>
  <c r="D315" i="170"/>
  <c r="J301" i="170"/>
  <c r="D302" i="170"/>
  <c r="D299" i="170"/>
  <c r="D281" i="170"/>
  <c r="J267" i="170"/>
  <c r="D268" i="170"/>
  <c r="D265" i="170"/>
  <c r="D247" i="170"/>
  <c r="J233" i="170"/>
  <c r="D234" i="170"/>
  <c r="D231" i="170"/>
  <c r="D2378" i="170"/>
  <c r="J2364" i="170"/>
  <c r="D2365" i="170"/>
  <c r="J2218" i="170"/>
  <c r="D2220" i="170"/>
  <c r="J2205" i="170"/>
  <c r="D2077" i="170"/>
  <c r="J2058" i="170"/>
  <c r="J1410" i="170"/>
  <c r="D1409" i="170"/>
  <c r="J1206" i="170"/>
  <c r="D883" i="170"/>
  <c r="J828" i="170"/>
  <c r="J812" i="170"/>
  <c r="J795" i="170"/>
  <c r="J781" i="170"/>
  <c r="J779" i="170"/>
  <c r="D782" i="170"/>
  <c r="J762" i="170"/>
  <c r="D764" i="170"/>
  <c r="J679" i="170"/>
  <c r="D679" i="170"/>
  <c r="J662" i="170"/>
  <c r="D663" i="170"/>
  <c r="D660" i="170"/>
  <c r="D642" i="170"/>
  <c r="J627" i="170"/>
  <c r="D628" i="170"/>
  <c r="D625" i="170"/>
  <c r="D611" i="170"/>
  <c r="D608" i="170"/>
  <c r="D590" i="170"/>
  <c r="J576" i="170"/>
  <c r="D577" i="170"/>
  <c r="D574" i="170"/>
  <c r="D556" i="170"/>
  <c r="J542" i="170"/>
  <c r="D543" i="170"/>
  <c r="D540" i="170"/>
  <c r="D523" i="170"/>
  <c r="J509" i="170"/>
  <c r="D510" i="170"/>
  <c r="D507" i="170"/>
  <c r="D489" i="170"/>
  <c r="J474" i="170"/>
  <c r="D475" i="170"/>
  <c r="D472" i="170"/>
  <c r="D453" i="170"/>
  <c r="J440" i="170"/>
  <c r="D441" i="170"/>
  <c r="D438" i="170"/>
  <c r="D420" i="170"/>
  <c r="J406" i="170"/>
  <c r="D407" i="170"/>
  <c r="D404" i="170"/>
  <c r="D385" i="170"/>
  <c r="J371" i="170"/>
  <c r="D372" i="170"/>
  <c r="D369" i="170"/>
  <c r="D351" i="170"/>
  <c r="J336" i="170"/>
  <c r="D337" i="170"/>
  <c r="D334" i="170"/>
  <c r="D318" i="170"/>
  <c r="D316" i="170"/>
  <c r="D298" i="170"/>
  <c r="J284" i="170"/>
  <c r="D285" i="170"/>
  <c r="D282" i="170"/>
  <c r="D264" i="170"/>
  <c r="J250" i="170"/>
  <c r="D251" i="170"/>
  <c r="D248" i="170"/>
  <c r="D230" i="170"/>
  <c r="J215" i="170"/>
  <c r="D216" i="170"/>
  <c r="D213" i="170"/>
  <c r="D195" i="170"/>
  <c r="J181" i="170"/>
  <c r="D178" i="170"/>
  <c r="J165" i="170"/>
  <c r="J162" i="170"/>
  <c r="D165" i="170"/>
  <c r="D144" i="170"/>
  <c r="J130" i="170"/>
  <c r="D131" i="170"/>
  <c r="D128" i="170"/>
  <c r="D110" i="170"/>
  <c r="J96" i="170"/>
  <c r="D97" i="170"/>
  <c r="D94" i="170"/>
  <c r="D76" i="170"/>
  <c r="J62" i="170"/>
  <c r="D59" i="170"/>
  <c r="D2538" i="170"/>
  <c r="J2508" i="170"/>
  <c r="D2506" i="170"/>
  <c r="D2460" i="170"/>
  <c r="J2442" i="170"/>
  <c r="D2428" i="170"/>
  <c r="J2410" i="170"/>
  <c r="J2185" i="170"/>
  <c r="D2172" i="170"/>
  <c r="J2154" i="170"/>
  <c r="D2140" i="170"/>
  <c r="J2122" i="170"/>
  <c r="D2108" i="170"/>
  <c r="J2090" i="170"/>
  <c r="J2074" i="170"/>
  <c r="D2076" i="170"/>
  <c r="J1441" i="170"/>
  <c r="D1444" i="170"/>
  <c r="J1409" i="170"/>
  <c r="J1392" i="170"/>
  <c r="D1393" i="170"/>
  <c r="D1373" i="170"/>
  <c r="J1358" i="170"/>
  <c r="D1359" i="170"/>
  <c r="D1339" i="170"/>
  <c r="J1324" i="170"/>
  <c r="D1325" i="170"/>
  <c r="D1305" i="170"/>
  <c r="J1290" i="170"/>
  <c r="D1291" i="170"/>
  <c r="D1271" i="170"/>
  <c r="J1256" i="170"/>
  <c r="D1257" i="170"/>
  <c r="D1237" i="170"/>
  <c r="J1222" i="170"/>
  <c r="D1223" i="170"/>
  <c r="D848" i="170"/>
  <c r="J832" i="170"/>
  <c r="J813" i="170"/>
  <c r="D815" i="170"/>
  <c r="J799" i="170"/>
  <c r="J744" i="170"/>
  <c r="J677" i="170"/>
  <c r="D677" i="170"/>
  <c r="J608" i="170"/>
  <c r="D610" i="170"/>
  <c r="J594" i="170"/>
  <c r="J591" i="170"/>
  <c r="D593" i="170"/>
  <c r="J577" i="170"/>
  <c r="J574" i="170"/>
  <c r="D576" i="170"/>
  <c r="J560" i="170"/>
  <c r="J557" i="170"/>
  <c r="D559" i="170"/>
  <c r="J543" i="170"/>
  <c r="J540" i="170"/>
  <c r="D542" i="170"/>
  <c r="J527" i="170"/>
  <c r="J524" i="170"/>
  <c r="D526" i="170"/>
  <c r="J510" i="170"/>
  <c r="J507" i="170"/>
  <c r="D509" i="170"/>
  <c r="J493" i="170"/>
  <c r="J490" i="170"/>
  <c r="D492" i="170"/>
  <c r="J475" i="170"/>
  <c r="J472" i="170"/>
  <c r="D474" i="170"/>
  <c r="J457" i="170"/>
  <c r="J454" i="170"/>
  <c r="D456" i="170"/>
  <c r="J441" i="170"/>
  <c r="J438" i="170"/>
  <c r="D440" i="170"/>
  <c r="J424" i="170"/>
  <c r="J421" i="170"/>
  <c r="D423" i="170"/>
  <c r="J407" i="170"/>
  <c r="J404" i="170"/>
  <c r="D406" i="170"/>
  <c r="J389" i="170"/>
  <c r="J386" i="170"/>
  <c r="D388" i="170"/>
  <c r="J372" i="170"/>
  <c r="J369" i="170"/>
  <c r="D371" i="170"/>
  <c r="J355" i="170"/>
  <c r="J352" i="170"/>
  <c r="D354" i="170"/>
  <c r="J337" i="170"/>
  <c r="J334" i="170"/>
  <c r="D336" i="170"/>
  <c r="J319" i="170"/>
  <c r="J316" i="170"/>
  <c r="J298" i="170"/>
  <c r="J281" i="170"/>
  <c r="J264" i="170"/>
  <c r="J247" i="170"/>
  <c r="J230" i="170"/>
  <c r="J212" i="170"/>
  <c r="D212" i="170"/>
  <c r="D164" i="170"/>
  <c r="D161" i="170"/>
  <c r="J147" i="170"/>
  <c r="J145" i="170"/>
  <c r="D148" i="170"/>
  <c r="J128" i="170"/>
  <c r="D130" i="170"/>
  <c r="J114" i="170"/>
  <c r="D113" i="170"/>
  <c r="D111" i="170"/>
  <c r="J97" i="170"/>
  <c r="J93" i="170"/>
  <c r="J79" i="170"/>
  <c r="J77" i="170"/>
  <c r="D80" i="170"/>
  <c r="J60" i="170"/>
  <c r="D62" i="170"/>
  <c r="D43" i="170"/>
  <c r="D29" i="170"/>
  <c r="D25" i="170"/>
  <c r="J11" i="170"/>
  <c r="D2541" i="170"/>
  <c r="D2509" i="170"/>
  <c r="J2445" i="170"/>
  <c r="J2413" i="170"/>
  <c r="D2345" i="170"/>
  <c r="D2313" i="170"/>
  <c r="D2281" i="170"/>
  <c r="D2249" i="170"/>
  <c r="J2157" i="170"/>
  <c r="J2125" i="170"/>
  <c r="J2093" i="170"/>
  <c r="D1410" i="170"/>
  <c r="J1185" i="170"/>
  <c r="J1168" i="170"/>
  <c r="J1151" i="170"/>
  <c r="J1134" i="170"/>
  <c r="J1117" i="170"/>
  <c r="J1100" i="170"/>
  <c r="J1083" i="170"/>
  <c r="J1066" i="170"/>
  <c r="J1049" i="170"/>
  <c r="J1032" i="170"/>
  <c r="J1015" i="170"/>
  <c r="J998" i="170"/>
  <c r="J981" i="170"/>
  <c r="J964" i="170"/>
  <c r="J947" i="170"/>
  <c r="J930" i="170"/>
  <c r="J913" i="170"/>
  <c r="J896" i="170"/>
  <c r="D862" i="170"/>
  <c r="J849" i="170"/>
  <c r="D795" i="170"/>
  <c r="J745" i="170"/>
  <c r="J299" i="170"/>
  <c r="D284" i="170"/>
  <c r="J268" i="170"/>
  <c r="D267" i="170"/>
  <c r="J251" i="170"/>
  <c r="D250" i="170"/>
  <c r="J234" i="170"/>
  <c r="J213" i="170"/>
  <c r="J199" i="170"/>
  <c r="D196" i="170"/>
  <c r="J182" i="170"/>
  <c r="J178" i="170"/>
  <c r="D179" i="170"/>
  <c r="D93" i="170"/>
  <c r="J2524" i="170"/>
  <c r="D2522" i="170"/>
  <c r="D2444" i="170"/>
  <c r="J2426" i="170"/>
  <c r="D2412" i="170"/>
  <c r="J2394" i="170"/>
  <c r="D2380" i="170"/>
  <c r="J2170" i="170"/>
  <c r="D2156" i="170"/>
  <c r="J2138" i="170"/>
  <c r="D2124" i="170"/>
  <c r="J2106" i="170"/>
  <c r="J2077" i="170"/>
  <c r="J1423" i="170"/>
  <c r="D1390" i="170"/>
  <c r="J1375" i="170"/>
  <c r="D1376" i="170"/>
  <c r="D1356" i="170"/>
  <c r="J1341" i="170"/>
  <c r="D1342" i="170"/>
  <c r="D1322" i="170"/>
  <c r="J1307" i="170"/>
  <c r="D1308" i="170"/>
  <c r="D1288" i="170"/>
  <c r="J1273" i="170"/>
  <c r="D1274" i="170"/>
  <c r="D1254" i="170"/>
  <c r="J1239" i="170"/>
  <c r="D1240" i="170"/>
  <c r="D1220" i="170"/>
  <c r="J1205" i="170"/>
  <c r="J880" i="170"/>
  <c r="D882" i="170"/>
  <c r="J829" i="170"/>
  <c r="D831" i="170"/>
  <c r="J816" i="170"/>
  <c r="J796" i="170"/>
  <c r="J778" i="170"/>
  <c r="J659" i="170"/>
  <c r="J642" i="170"/>
  <c r="J624" i="170"/>
  <c r="J195" i="170"/>
  <c r="J164" i="170"/>
  <c r="D162" i="170"/>
  <c r="J148" i="170"/>
  <c r="D147" i="170"/>
  <c r="D145" i="170"/>
  <c r="J131" i="170"/>
  <c r="J127" i="170"/>
  <c r="J113" i="170"/>
  <c r="J111" i="170"/>
  <c r="D114" i="170"/>
  <c r="J94" i="170"/>
  <c r="D96" i="170"/>
  <c r="J80" i="170"/>
  <c r="D79" i="170"/>
  <c r="D77" i="170"/>
  <c r="J63" i="170"/>
  <c r="J59" i="170"/>
  <c r="D63" i="170"/>
  <c r="D60" i="170"/>
  <c r="J45" i="170"/>
  <c r="D46" i="170"/>
  <c r="D42" i="170"/>
  <c r="J28" i="170"/>
  <c r="D26" i="170"/>
  <c r="J2538" i="170"/>
  <c r="D2525" i="170"/>
  <c r="J2429" i="170"/>
  <c r="J2397" i="170"/>
  <c r="D2393" i="170"/>
  <c r="D2329" i="170"/>
  <c r="D2297" i="170"/>
  <c r="D2265" i="170"/>
  <c r="J2237" i="170"/>
  <c r="J2173" i="170"/>
  <c r="J2141" i="170"/>
  <c r="J2109" i="170"/>
  <c r="J2061" i="170"/>
  <c r="D1440" i="170"/>
  <c r="J882" i="170"/>
  <c r="D761" i="170"/>
  <c r="J680" i="170"/>
  <c r="J676" i="170"/>
  <c r="D680" i="170"/>
  <c r="D676" i="170"/>
  <c r="J663" i="170"/>
  <c r="J660" i="170"/>
  <c r="D662" i="170"/>
  <c r="J646" i="170"/>
  <c r="J643" i="170"/>
  <c r="D645" i="170"/>
  <c r="J628" i="170"/>
  <c r="J625" i="170"/>
  <c r="D627" i="170"/>
  <c r="J611" i="170"/>
  <c r="J607" i="170"/>
  <c r="J590" i="170"/>
  <c r="J573" i="170"/>
  <c r="J556" i="170"/>
  <c r="J539" i="170"/>
  <c r="J523" i="170"/>
  <c r="J506" i="170"/>
  <c r="J489" i="170"/>
  <c r="J471" i="170"/>
  <c r="J453" i="170"/>
  <c r="J437" i="170"/>
  <c r="J420" i="170"/>
  <c r="J403" i="170"/>
  <c r="J385" i="170"/>
  <c r="J368" i="170"/>
  <c r="J351" i="170"/>
  <c r="J333" i="170"/>
  <c r="J315" i="170"/>
  <c r="J198" i="170"/>
  <c r="J196" i="170"/>
  <c r="D199" i="170"/>
  <c r="J179" i="170"/>
  <c r="D181" i="170"/>
  <c r="J144" i="170"/>
  <c r="D127" i="170"/>
  <c r="J76" i="170"/>
  <c r="J42" i="170"/>
  <c r="D45" i="170"/>
  <c r="J26" i="170"/>
  <c r="J12" i="170"/>
  <c r="J8" i="170"/>
  <c r="J302" i="170"/>
  <c r="D301" i="170"/>
  <c r="J285" i="170"/>
  <c r="J282" i="170"/>
  <c r="J265" i="170"/>
  <c r="J248" i="170"/>
  <c r="J231" i="170"/>
  <c r="D233" i="170"/>
  <c r="J216" i="170"/>
  <c r="D215" i="170"/>
  <c r="D198" i="170"/>
  <c r="D182" i="170"/>
  <c r="J161" i="170"/>
  <c r="J110" i="170"/>
  <c r="J46" i="170"/>
  <c r="J43" i="170"/>
  <c r="J29" i="170"/>
  <c r="J25" i="170"/>
  <c r="D28" i="170"/>
  <c r="J9" i="170"/>
  <c r="D2040" i="170"/>
  <c r="J2025" i="170"/>
  <c r="J2022" i="170"/>
  <c r="D2026" i="170"/>
  <c r="J2009" i="170"/>
  <c r="J2005" i="170"/>
  <c r="D2009" i="170"/>
  <c r="D2005" i="170"/>
  <c r="J1992" i="170"/>
  <c r="J1988" i="170"/>
  <c r="D1992" i="170"/>
  <c r="D1988" i="170"/>
  <c r="J1975" i="170"/>
  <c r="J1971" i="170"/>
  <c r="D1975" i="170"/>
  <c r="D1971" i="170"/>
  <c r="J1958" i="170"/>
  <c r="J1954" i="170"/>
  <c r="D1958" i="170"/>
  <c r="D1954" i="170"/>
  <c r="J1937" i="170"/>
  <c r="D1941" i="170"/>
  <c r="D1937" i="170"/>
  <c r="J1924" i="170"/>
  <c r="J1920" i="170"/>
  <c r="D1924" i="170"/>
  <c r="D1920" i="170"/>
  <c r="J1907" i="170"/>
  <c r="J1903" i="170"/>
  <c r="D1907" i="170"/>
  <c r="D1903" i="170"/>
  <c r="J1890" i="170"/>
  <c r="J1886" i="170"/>
  <c r="D1889" i="170"/>
  <c r="J1870" i="170"/>
  <c r="D1873" i="170"/>
  <c r="D1870" i="170"/>
  <c r="D1821" i="170"/>
  <c r="J1804" i="170"/>
  <c r="D1804" i="170"/>
  <c r="J1787" i="170"/>
  <c r="D1787" i="170"/>
  <c r="J1770" i="170"/>
  <c r="D1767" i="170"/>
  <c r="J1754" i="170"/>
  <c r="J1750" i="170"/>
  <c r="D1754" i="170"/>
  <c r="D1750" i="170"/>
  <c r="J1737" i="170"/>
  <c r="J1733" i="170"/>
  <c r="D1737" i="170"/>
  <c r="D1733" i="170"/>
  <c r="J1720" i="170"/>
  <c r="J1716" i="170"/>
  <c r="J1938" i="170"/>
  <c r="D2025" i="170"/>
  <c r="D2023" i="170"/>
  <c r="J2008" i="170"/>
  <c r="D2008" i="170"/>
  <c r="J1991" i="170"/>
  <c r="D1991" i="170"/>
  <c r="J1974" i="170"/>
  <c r="D1974" i="170"/>
  <c r="J1957" i="170"/>
  <c r="D1957" i="170"/>
  <c r="J1940" i="170"/>
  <c r="D1940" i="170"/>
  <c r="J1923" i="170"/>
  <c r="D1923" i="170"/>
  <c r="J1906" i="170"/>
  <c r="D1906" i="170"/>
  <c r="J1889" i="170"/>
  <c r="D1886" i="170"/>
  <c r="J1873" i="170"/>
  <c r="J1869" i="170"/>
  <c r="D1872" i="170"/>
  <c r="J1853" i="170"/>
  <c r="D1853" i="170"/>
  <c r="J1836" i="170"/>
  <c r="D1836" i="170"/>
  <c r="J1822" i="170"/>
  <c r="J1819" i="170"/>
  <c r="J1753" i="170"/>
  <c r="D1753" i="170"/>
  <c r="J1736" i="170"/>
  <c r="D1736" i="170"/>
  <c r="J1719" i="170"/>
  <c r="D2042" i="170"/>
  <c r="D2041" i="170"/>
  <c r="D2043" i="170"/>
  <c r="J2026" i="170"/>
  <c r="D2022" i="170"/>
  <c r="J1989" i="170"/>
  <c r="J1955" i="170"/>
  <c r="D1921" i="170"/>
  <c r="D1890" i="170"/>
  <c r="D1887" i="170"/>
  <c r="D1869" i="170"/>
  <c r="J1855" i="170"/>
  <c r="D1856" i="170"/>
  <c r="D1835" i="170"/>
  <c r="J1801" i="170"/>
  <c r="D1802" i="170"/>
  <c r="J1788" i="170"/>
  <c r="J1767" i="170"/>
  <c r="J1751" i="170"/>
  <c r="D1751" i="170"/>
  <c r="J1734" i="170"/>
  <c r="D1734" i="170"/>
  <c r="J1717" i="170"/>
  <c r="D1801" i="170"/>
  <c r="J1785" i="170"/>
  <c r="D1788" i="170"/>
  <c r="D1771" i="170"/>
  <c r="D2024" i="170"/>
  <c r="D1989" i="170"/>
  <c r="D1955" i="170"/>
  <c r="J1904" i="170"/>
  <c r="J1856" i="170"/>
  <c r="J1835" i="170"/>
  <c r="D1838" i="170"/>
  <c r="J1821" i="170"/>
  <c r="D1818" i="170"/>
  <c r="J1802" i="170"/>
  <c r="D1805" i="170"/>
  <c r="D1784" i="170"/>
  <c r="J1768" i="170"/>
  <c r="J2023" i="170"/>
  <c r="J2006" i="170"/>
  <c r="J1972" i="170"/>
  <c r="J1941" i="170"/>
  <c r="D1938" i="170"/>
  <c r="D1904" i="170"/>
  <c r="J1887" i="170"/>
  <c r="D1852" i="170"/>
  <c r="J1838" i="170"/>
  <c r="D1839" i="170"/>
  <c r="J1818" i="170"/>
  <c r="D1819" i="170"/>
  <c r="J1805" i="170"/>
  <c r="J1784" i="170"/>
  <c r="D1785" i="170"/>
  <c r="J1771" i="170"/>
  <c r="D1770" i="170"/>
  <c r="D2039" i="170"/>
  <c r="D2006" i="170"/>
  <c r="D1972" i="170"/>
  <c r="J1921" i="170"/>
  <c r="J1872" i="170"/>
  <c r="J1852" i="170"/>
  <c r="D1855" i="170"/>
  <c r="J1839" i="170"/>
  <c r="D1822" i="170"/>
  <c r="D1768" i="170"/>
  <c r="D1719" i="170"/>
  <c r="J1703" i="170"/>
  <c r="J1700" i="170"/>
  <c r="J1682" i="170"/>
  <c r="D1685" i="170"/>
  <c r="J1669" i="170"/>
  <c r="J1666" i="170"/>
  <c r="J1648" i="170"/>
  <c r="D1651" i="170"/>
  <c r="J1635" i="170"/>
  <c r="J1632" i="170"/>
  <c r="J1614" i="170"/>
  <c r="D1617" i="170"/>
  <c r="J1601" i="170"/>
  <c r="J1598" i="170"/>
  <c r="J1580" i="170"/>
  <c r="D1583" i="170"/>
  <c r="J1567" i="170"/>
  <c r="J1564" i="170"/>
  <c r="J1547" i="170"/>
  <c r="D1716" i="170"/>
  <c r="J1702" i="170"/>
  <c r="D1703" i="170"/>
  <c r="D1700" i="170"/>
  <c r="D1682" i="170"/>
  <c r="J1668" i="170"/>
  <c r="D1669" i="170"/>
  <c r="D1666" i="170"/>
  <c r="D1648" i="170"/>
  <c r="J1634" i="170"/>
  <c r="D1635" i="170"/>
  <c r="D1632" i="170"/>
  <c r="D1614" i="170"/>
  <c r="J1600" i="170"/>
  <c r="D1601" i="170"/>
  <c r="D1598" i="170"/>
  <c r="D1580" i="170"/>
  <c r="J1566" i="170"/>
  <c r="D1567" i="170"/>
  <c r="D1564" i="170"/>
  <c r="J1550" i="170"/>
  <c r="D1720" i="170"/>
  <c r="D1717" i="170"/>
  <c r="J1699" i="170"/>
  <c r="J1685" i="170"/>
  <c r="D1686" i="170"/>
  <c r="D1683" i="170"/>
  <c r="J1665" i="170"/>
  <c r="J1651" i="170"/>
  <c r="D1652" i="170"/>
  <c r="D1649" i="170"/>
  <c r="J1631" i="170"/>
  <c r="J1617" i="170"/>
  <c r="D1618" i="170"/>
  <c r="D1615" i="170"/>
  <c r="J1597" i="170"/>
  <c r="J1583" i="170"/>
  <c r="D1584" i="170"/>
  <c r="D1581" i="170"/>
  <c r="J1563" i="170"/>
  <c r="J1549" i="170"/>
  <c r="D1549" i="170"/>
  <c r="D1546" i="170"/>
  <c r="J1532" i="170"/>
  <c r="D1533" i="170"/>
  <c r="D1530" i="170"/>
  <c r="J1516" i="170"/>
  <c r="J1495" i="170"/>
  <c r="D1699" i="170"/>
  <c r="D1665" i="170"/>
  <c r="D1631" i="170"/>
  <c r="D1597" i="170"/>
  <c r="D1563" i="170"/>
  <c r="D1529" i="170"/>
  <c r="J1515" i="170"/>
  <c r="D1515" i="170"/>
  <c r="J1499" i="170"/>
  <c r="J1496" i="170"/>
  <c r="D1668" i="170"/>
  <c r="J1615" i="170"/>
  <c r="J1584" i="170"/>
  <c r="J1546" i="170"/>
  <c r="D1702" i="170"/>
  <c r="J1686" i="170"/>
  <c r="J1649" i="170"/>
  <c r="D1634" i="170"/>
  <c r="J1618" i="170"/>
  <c r="J1581" i="170"/>
  <c r="D1566" i="170"/>
  <c r="D1550" i="170"/>
  <c r="J1529" i="170"/>
  <c r="D1512" i="170"/>
  <c r="J1533" i="170"/>
  <c r="J1530" i="170"/>
  <c r="D1532" i="170"/>
  <c r="J1512" i="170"/>
  <c r="D1516" i="170"/>
  <c r="D1513" i="170"/>
  <c r="J1498" i="170"/>
  <c r="J1683" i="170"/>
  <c r="J1652" i="170"/>
  <c r="D1600" i="170"/>
  <c r="D1547" i="170"/>
  <c r="J1513" i="170"/>
  <c r="J1462" i="170"/>
  <c r="D1459" i="170"/>
  <c r="D1462" i="170"/>
  <c r="J1458" i="170"/>
  <c r="D1461" i="170"/>
  <c r="J1459" i="170"/>
  <c r="J1461" i="170"/>
  <c r="D1458" i="170"/>
  <c r="J1460" i="170"/>
  <c r="J1478" i="170"/>
  <c r="J1479" i="170"/>
  <c r="J1480" i="170"/>
  <c r="J1477" i="170"/>
  <c r="J1476" i="170"/>
  <c r="D695" i="170"/>
  <c r="AL7" i="151"/>
  <c r="AM90" i="128"/>
  <c r="D748" i="170"/>
  <c r="D12" i="170"/>
  <c r="H722" i="170"/>
  <c r="B722" i="170"/>
  <c r="I97" i="151"/>
  <c r="H2567" i="170"/>
  <c r="H2534" i="170"/>
  <c r="E97" i="132"/>
  <c r="B1437" i="170"/>
  <c r="H1403" i="170"/>
  <c r="AK98" i="128"/>
  <c r="AJ7" i="151" s="1"/>
  <c r="E93" i="132"/>
  <c r="H673" i="170"/>
  <c r="B690" i="170"/>
  <c r="E94" i="132"/>
  <c r="H2583" i="170"/>
  <c r="H2551" i="170"/>
  <c r="H2518" i="170"/>
  <c r="B2567" i="170"/>
  <c r="B2534" i="170"/>
  <c r="H690" i="170"/>
  <c r="B707" i="170"/>
  <c r="B2583" i="170"/>
  <c r="B2551" i="170"/>
  <c r="B1420" i="170"/>
  <c r="H1437" i="170"/>
  <c r="J2602" i="170"/>
  <c r="J2605" i="170"/>
  <c r="J2603" i="170"/>
  <c r="J2604" i="170"/>
  <c r="J2601" i="170"/>
  <c r="D2605" i="170"/>
  <c r="D2604" i="170"/>
  <c r="D2602" i="170"/>
  <c r="D2601" i="170"/>
  <c r="D1480" i="170"/>
  <c r="D1478" i="170"/>
  <c r="D1476" i="170"/>
  <c r="D1477" i="170"/>
  <c r="D1479" i="170"/>
  <c r="M652" i="170"/>
  <c r="M1025" i="170"/>
  <c r="D694" i="170"/>
  <c r="D693" i="170"/>
  <c r="D697" i="170"/>
  <c r="J694" i="170"/>
  <c r="D696" i="170"/>
  <c r="J693" i="170"/>
  <c r="J697" i="170"/>
  <c r="J696" i="170"/>
  <c r="M1059" i="170"/>
  <c r="M18" i="170"/>
  <c r="I2038" i="170"/>
  <c r="K2038" i="170" s="1"/>
  <c r="I2045" i="170"/>
  <c r="K2045" i="170" s="1"/>
  <c r="M35" i="170"/>
  <c r="M103" i="170"/>
  <c r="M274" i="170"/>
  <c r="M308" i="170"/>
  <c r="M343" i="170"/>
  <c r="M377" i="170"/>
  <c r="M463" i="170"/>
  <c r="M533" i="170"/>
  <c r="M669" i="170"/>
  <c r="M991" i="170"/>
  <c r="J729" i="170"/>
  <c r="J727" i="170"/>
  <c r="J728" i="170"/>
  <c r="J725" i="170"/>
  <c r="J726" i="170"/>
  <c r="I2040" i="170"/>
  <c r="M69" i="170"/>
  <c r="M291" i="170"/>
  <c r="M325" i="170"/>
  <c r="M361" i="170"/>
  <c r="M1505" i="170"/>
  <c r="I2042" i="170"/>
  <c r="D727" i="170"/>
  <c r="D726" i="170"/>
  <c r="D729" i="170"/>
  <c r="D728" i="170"/>
  <c r="D725" i="170"/>
  <c r="D1496" i="170"/>
  <c r="D8" i="170"/>
  <c r="D711" i="170"/>
  <c r="J2039" i="170"/>
  <c r="J2041" i="170"/>
  <c r="D745" i="170"/>
  <c r="M171" i="170"/>
  <c r="M205" i="170"/>
  <c r="M240" i="170"/>
  <c r="M395" i="170"/>
  <c r="M447" i="170"/>
  <c r="M516" i="170"/>
  <c r="G38" i="170"/>
  <c r="M154" i="170"/>
  <c r="M188" i="170"/>
  <c r="M222" i="170"/>
  <c r="M257" i="170"/>
  <c r="M634" i="170"/>
  <c r="J2042" i="170"/>
  <c r="D9" i="170"/>
  <c r="D11" i="170"/>
  <c r="M549" i="170"/>
  <c r="M617" i="170"/>
  <c r="D1498" i="170"/>
  <c r="D2061" i="170"/>
  <c r="D2060" i="170"/>
  <c r="D2058" i="170"/>
  <c r="D2057" i="170"/>
  <c r="J2043" i="170"/>
  <c r="K2043" i="170" s="1"/>
  <c r="D744" i="170"/>
  <c r="D714" i="170"/>
  <c r="D710" i="170"/>
  <c r="J2040" i="170"/>
  <c r="D1499" i="170"/>
  <c r="D1495" i="170"/>
  <c r="M566" i="170"/>
  <c r="D713" i="170"/>
  <c r="D747" i="170"/>
  <c r="I2039" i="170"/>
  <c r="I2041" i="170"/>
  <c r="I107" i="151"/>
  <c r="H111" i="151"/>
  <c r="I111" i="151"/>
  <c r="I106" i="151"/>
  <c r="I105" i="151"/>
  <c r="I96" i="151"/>
  <c r="I95" i="151"/>
  <c r="AQ92" i="8"/>
  <c r="AA183" i="128" l="1"/>
  <c r="T175" i="128"/>
  <c r="T181" i="128" s="1"/>
  <c r="M164" i="128"/>
  <c r="M171" i="128" s="1"/>
  <c r="R166" i="128"/>
  <c r="R170" i="128"/>
  <c r="R169" i="128" s="1"/>
  <c r="AA187" i="128"/>
  <c r="R167" i="128"/>
  <c r="AK161" i="128"/>
  <c r="R165" i="128"/>
  <c r="AS17" i="128"/>
  <c r="H12" i="157"/>
  <c r="H14" i="157" s="1"/>
  <c r="E18" i="154"/>
  <c r="AL8" i="151"/>
  <c r="E17" i="154"/>
  <c r="AB9" i="99"/>
  <c r="AF7" i="151"/>
  <c r="AB10" i="99"/>
  <c r="AF8" i="151"/>
  <c r="AH7" i="151"/>
  <c r="AB10" i="101"/>
  <c r="G96" i="151"/>
  <c r="M1452" i="170"/>
  <c r="K2040" i="170"/>
  <c r="K2042" i="170"/>
  <c r="K2041" i="170"/>
  <c r="K2039" i="170"/>
  <c r="G95" i="151"/>
  <c r="G97" i="151"/>
  <c r="G55" i="170"/>
  <c r="A72" i="170" s="1"/>
  <c r="G72" i="170" s="1"/>
  <c r="A89" i="170" s="1"/>
  <c r="G89" i="170" s="1"/>
  <c r="A106" i="170" s="1"/>
  <c r="G106" i="170" s="1"/>
  <c r="A123" i="170" s="1"/>
  <c r="G123" i="170" s="1"/>
  <c r="A140" i="170" s="1"/>
  <c r="G140" i="170" s="1"/>
  <c r="A157" i="170" s="1"/>
  <c r="G157" i="170" s="1"/>
  <c r="A174" i="170" s="1"/>
  <c r="G174" i="170" s="1"/>
  <c r="A191" i="170" s="1"/>
  <c r="G191" i="170" s="1"/>
  <c r="A208" i="170" s="1"/>
  <c r="G208" i="170" s="1"/>
  <c r="A226" i="170" s="1"/>
  <c r="G226" i="170" s="1"/>
  <c r="A243" i="170" s="1"/>
  <c r="A55" i="170"/>
  <c r="I16" i="167"/>
  <c r="L14" i="167"/>
  <c r="L15" i="167" s="1"/>
  <c r="K14" i="167"/>
  <c r="I14" i="167"/>
  <c r="X11" i="151" l="1"/>
  <c r="R164" i="128"/>
  <c r="R171" i="128" s="1"/>
  <c r="W165" i="128" s="1"/>
  <c r="Z12" i="99"/>
  <c r="AH8" i="151"/>
  <c r="G243" i="170"/>
  <c r="A260" i="170" s="1"/>
  <c r="G260" i="170" s="1"/>
  <c r="A277" i="170" s="1"/>
  <c r="G277" i="170" s="1"/>
  <c r="A294" i="170" s="1"/>
  <c r="G294" i="170" s="1"/>
  <c r="A311" i="170" s="1"/>
  <c r="G311" i="170" s="1"/>
  <c r="A329" i="170" s="1"/>
  <c r="G329" i="170" s="1"/>
  <c r="A347" i="170" s="1"/>
  <c r="G347" i="170" s="1"/>
  <c r="A364" i="170" s="1"/>
  <c r="G364" i="170" s="1"/>
  <c r="A381" i="170" s="1"/>
  <c r="G381" i="170" s="1"/>
  <c r="A399" i="170" s="1"/>
  <c r="G399" i="170" s="1"/>
  <c r="A416" i="170" s="1"/>
  <c r="G416" i="170" s="1"/>
  <c r="A433" i="170" s="1"/>
  <c r="G433" i="170" s="1"/>
  <c r="A467" i="170" s="1"/>
  <c r="G467" i="170" s="1"/>
  <c r="A485" i="170" s="1"/>
  <c r="G485" i="170" s="1"/>
  <c r="A502" i="170" s="1"/>
  <c r="G502" i="170" s="1"/>
  <c r="A519" i="170" s="1"/>
  <c r="G519" i="170" s="1"/>
  <c r="A535" i="170" s="1"/>
  <c r="G535" i="170" s="1"/>
  <c r="A552" i="170" s="1"/>
  <c r="Q10" i="9"/>
  <c r="K2050" i="170"/>
  <c r="W170" i="128" l="1"/>
  <c r="W169" i="128" s="1"/>
  <c r="W167" i="128"/>
  <c r="W168" i="128"/>
  <c r="W166" i="128"/>
  <c r="AA181" i="128"/>
  <c r="AH179" i="128"/>
  <c r="AH175" i="128" s="1"/>
  <c r="K111" i="151"/>
  <c r="A449" i="170"/>
  <c r="G449" i="170" s="1"/>
  <c r="A569" i="170"/>
  <c r="G552" i="170"/>
  <c r="AK14" i="8"/>
  <c r="AK15" i="8"/>
  <c r="AK16" i="8"/>
  <c r="AK17" i="8"/>
  <c r="AK18" i="8"/>
  <c r="AK19" i="8"/>
  <c r="AK20" i="8"/>
  <c r="AK21" i="8"/>
  <c r="AK22" i="8"/>
  <c r="AK23" i="8"/>
  <c r="AK24" i="8"/>
  <c r="AK25" i="8"/>
  <c r="AK26" i="8"/>
  <c r="AK27" i="8"/>
  <c r="AK28" i="8"/>
  <c r="AK29" i="8"/>
  <c r="AK30" i="8"/>
  <c r="AK31" i="8"/>
  <c r="AK32" i="8"/>
  <c r="AK33" i="8"/>
  <c r="AK34" i="8"/>
  <c r="AK35" i="8"/>
  <c r="AK36" i="8"/>
  <c r="AK37" i="8"/>
  <c r="AK38" i="8"/>
  <c r="AK39" i="8"/>
  <c r="AK40" i="8"/>
  <c r="AK41" i="8"/>
  <c r="AK42" i="8"/>
  <c r="AK43" i="8"/>
  <c r="AK44" i="8"/>
  <c r="AK45" i="8"/>
  <c r="AK46" i="8"/>
  <c r="AK47" i="8"/>
  <c r="AK48" i="8"/>
  <c r="AK49" i="8"/>
  <c r="AK50" i="8"/>
  <c r="AK51" i="8"/>
  <c r="AK52" i="8"/>
  <c r="AK53" i="8"/>
  <c r="AK54" i="8"/>
  <c r="AK55" i="8"/>
  <c r="AK56" i="8"/>
  <c r="AK57" i="8"/>
  <c r="AK58" i="8"/>
  <c r="AK59" i="8"/>
  <c r="AK60" i="8"/>
  <c r="AK61" i="8"/>
  <c r="AK62" i="8"/>
  <c r="AK63" i="8"/>
  <c r="AK64" i="8"/>
  <c r="AK65" i="8"/>
  <c r="AK66" i="8"/>
  <c r="AK67" i="8"/>
  <c r="AK68" i="8"/>
  <c r="AK69" i="8"/>
  <c r="AK70" i="8"/>
  <c r="AK71" i="8"/>
  <c r="AK72" i="8"/>
  <c r="AK73" i="8"/>
  <c r="AK74" i="8"/>
  <c r="AK75" i="8"/>
  <c r="AK76" i="8"/>
  <c r="AK77" i="8"/>
  <c r="AK78" i="8"/>
  <c r="AK79" i="8"/>
  <c r="AK80" i="8"/>
  <c r="AK81" i="8"/>
  <c r="AK82" i="8"/>
  <c r="AK83" i="8"/>
  <c r="AK84" i="8"/>
  <c r="AK85" i="8"/>
  <c r="AK86" i="8"/>
  <c r="AK87" i="8"/>
  <c r="AK88" i="8"/>
  <c r="AK89" i="8"/>
  <c r="AK90" i="8"/>
  <c r="AK91" i="8"/>
  <c r="V18" i="9" l="1"/>
  <c r="AK12" i="8"/>
  <c r="AK157" i="8" s="1"/>
  <c r="W164" i="128"/>
  <c r="W171" i="128" s="1"/>
  <c r="AH186" i="128"/>
  <c r="AH185" i="128"/>
  <c r="A586" i="170"/>
  <c r="G569" i="170"/>
  <c r="M23" i="99" l="1"/>
  <c r="V10" i="9"/>
  <c r="AH182" i="128"/>
  <c r="A603" i="170"/>
  <c r="G586" i="170"/>
  <c r="A620" i="170" l="1"/>
  <c r="G603" i="170"/>
  <c r="AN95" i="8"/>
  <c r="AL96" i="8"/>
  <c r="AM96" i="8"/>
  <c r="AN96" i="8"/>
  <c r="AO96" i="8"/>
  <c r="AP96" i="8"/>
  <c r="AL97" i="8"/>
  <c r="AM97" i="8"/>
  <c r="AN97" i="8"/>
  <c r="AO97" i="8"/>
  <c r="AP97" i="8"/>
  <c r="AL98" i="8"/>
  <c r="AM98" i="8"/>
  <c r="AN98" i="8"/>
  <c r="AO98" i="8"/>
  <c r="AP98" i="8"/>
  <c r="AL99" i="8"/>
  <c r="AM99" i="8"/>
  <c r="AN99" i="8"/>
  <c r="AO99" i="8"/>
  <c r="AP99" i="8"/>
  <c r="AL100" i="8"/>
  <c r="AM100" i="8"/>
  <c r="AN100" i="8"/>
  <c r="AO100" i="8"/>
  <c r="AP100" i="8"/>
  <c r="AL101" i="8"/>
  <c r="AM101" i="8"/>
  <c r="AN101" i="8"/>
  <c r="AO101" i="8"/>
  <c r="AP101" i="8"/>
  <c r="AL102" i="8"/>
  <c r="AM102" i="8"/>
  <c r="AN102" i="8"/>
  <c r="AO102" i="8"/>
  <c r="AP102" i="8"/>
  <c r="AL103" i="8"/>
  <c r="AM103" i="8"/>
  <c r="AN103" i="8"/>
  <c r="AO103" i="8"/>
  <c r="AP103" i="8"/>
  <c r="AL104" i="8"/>
  <c r="AM104" i="8"/>
  <c r="AN104" i="8"/>
  <c r="AO104" i="8"/>
  <c r="AP104" i="8"/>
  <c r="AL105" i="8"/>
  <c r="AM105" i="8"/>
  <c r="AN105" i="8"/>
  <c r="AO105" i="8"/>
  <c r="AP105" i="8"/>
  <c r="AL106" i="8"/>
  <c r="AM106" i="8"/>
  <c r="AN106" i="8"/>
  <c r="AO106" i="8"/>
  <c r="AP106" i="8"/>
  <c r="AL107" i="8"/>
  <c r="AM107" i="8"/>
  <c r="AN107" i="8"/>
  <c r="AO107" i="8"/>
  <c r="AP107" i="8"/>
  <c r="AL108" i="8"/>
  <c r="AM108" i="8"/>
  <c r="AN108" i="8"/>
  <c r="AO108" i="8"/>
  <c r="AP108" i="8"/>
  <c r="AL109" i="8"/>
  <c r="AM109" i="8"/>
  <c r="AN109" i="8"/>
  <c r="AO109" i="8"/>
  <c r="AP109" i="8"/>
  <c r="AL110" i="8"/>
  <c r="AM110" i="8"/>
  <c r="AN110" i="8"/>
  <c r="AO110" i="8"/>
  <c r="AP110" i="8"/>
  <c r="AL111" i="8"/>
  <c r="AM111" i="8"/>
  <c r="AN111" i="8"/>
  <c r="AO111" i="8"/>
  <c r="AP111" i="8"/>
  <c r="AL112" i="8"/>
  <c r="AM112" i="8"/>
  <c r="AN112" i="8"/>
  <c r="AO112" i="8"/>
  <c r="AP112" i="8"/>
  <c r="AL113" i="8"/>
  <c r="AM113" i="8"/>
  <c r="AN113" i="8"/>
  <c r="AO113" i="8"/>
  <c r="AP113" i="8"/>
  <c r="AL114" i="8"/>
  <c r="AM114" i="8"/>
  <c r="AN114" i="8"/>
  <c r="AO114" i="8"/>
  <c r="AP114" i="8"/>
  <c r="AL115" i="8"/>
  <c r="AM115" i="8"/>
  <c r="AN115" i="8"/>
  <c r="AO115" i="8"/>
  <c r="AP115" i="8"/>
  <c r="AL116" i="8"/>
  <c r="AM116" i="8"/>
  <c r="AN116" i="8"/>
  <c r="AO116" i="8"/>
  <c r="AP116" i="8"/>
  <c r="AL117" i="8"/>
  <c r="AM117" i="8"/>
  <c r="AN117" i="8"/>
  <c r="AO117" i="8"/>
  <c r="AP117" i="8"/>
  <c r="AL118" i="8"/>
  <c r="AM118" i="8"/>
  <c r="AN118" i="8"/>
  <c r="AO118" i="8"/>
  <c r="AP118" i="8"/>
  <c r="AL119" i="8"/>
  <c r="AM119" i="8"/>
  <c r="AN119" i="8"/>
  <c r="AO119" i="8"/>
  <c r="AP119" i="8"/>
  <c r="AL120" i="8"/>
  <c r="AM120" i="8"/>
  <c r="AN120" i="8"/>
  <c r="AO120" i="8"/>
  <c r="AP120" i="8"/>
  <c r="AL121" i="8"/>
  <c r="AM121" i="8"/>
  <c r="AN121" i="8"/>
  <c r="AO121" i="8"/>
  <c r="AP121" i="8"/>
  <c r="AL122" i="8"/>
  <c r="AM122" i="8"/>
  <c r="AN122" i="8"/>
  <c r="AO122" i="8"/>
  <c r="AP122" i="8"/>
  <c r="AL123" i="8"/>
  <c r="AM123" i="8"/>
  <c r="AN123" i="8"/>
  <c r="AO123" i="8"/>
  <c r="AP123" i="8"/>
  <c r="AL124" i="8"/>
  <c r="AM124" i="8"/>
  <c r="AN124" i="8"/>
  <c r="AO124" i="8"/>
  <c r="AP124" i="8"/>
  <c r="AL125" i="8"/>
  <c r="AM125" i="8"/>
  <c r="AN125" i="8"/>
  <c r="AO125" i="8"/>
  <c r="AP125" i="8"/>
  <c r="AL126" i="8"/>
  <c r="AM126" i="8"/>
  <c r="AN126" i="8"/>
  <c r="AO126" i="8"/>
  <c r="AP126" i="8"/>
  <c r="AL127" i="8"/>
  <c r="AM127" i="8"/>
  <c r="AN127" i="8"/>
  <c r="AO127" i="8"/>
  <c r="AP127" i="8"/>
  <c r="AL128" i="8"/>
  <c r="AM128" i="8"/>
  <c r="AN128" i="8"/>
  <c r="AO128" i="8"/>
  <c r="AP128" i="8"/>
  <c r="AL129" i="8"/>
  <c r="AM129" i="8"/>
  <c r="AN129" i="8"/>
  <c r="AO129" i="8"/>
  <c r="AP129" i="8"/>
  <c r="AL130" i="8"/>
  <c r="AM130" i="8"/>
  <c r="AN130" i="8"/>
  <c r="AO130" i="8"/>
  <c r="AP130" i="8"/>
  <c r="AL131" i="8"/>
  <c r="AM131" i="8"/>
  <c r="AN131" i="8"/>
  <c r="AO131" i="8"/>
  <c r="AP131" i="8"/>
  <c r="AL132" i="8"/>
  <c r="AM132" i="8"/>
  <c r="AN132" i="8"/>
  <c r="AO132" i="8"/>
  <c r="AP132" i="8"/>
  <c r="AL133" i="8"/>
  <c r="AM133" i="8"/>
  <c r="AN133" i="8"/>
  <c r="AO133" i="8"/>
  <c r="AP133" i="8"/>
  <c r="AL134" i="8"/>
  <c r="AM134" i="8"/>
  <c r="AN134" i="8"/>
  <c r="AO134" i="8"/>
  <c r="AP134" i="8"/>
  <c r="AL135" i="8"/>
  <c r="AM135" i="8"/>
  <c r="AN135" i="8"/>
  <c r="AO135" i="8"/>
  <c r="AP135" i="8"/>
  <c r="AL136" i="8"/>
  <c r="AM136" i="8"/>
  <c r="AN136" i="8"/>
  <c r="AO136" i="8"/>
  <c r="AP136" i="8"/>
  <c r="AL137" i="8"/>
  <c r="AM137" i="8"/>
  <c r="AN137" i="8"/>
  <c r="AO137" i="8"/>
  <c r="AP137" i="8"/>
  <c r="AL138" i="8"/>
  <c r="AM138" i="8"/>
  <c r="AN138" i="8"/>
  <c r="AO138" i="8"/>
  <c r="AP138" i="8"/>
  <c r="AL139" i="8"/>
  <c r="AM139" i="8"/>
  <c r="AN139" i="8"/>
  <c r="AO139" i="8"/>
  <c r="AP139" i="8"/>
  <c r="AL140" i="8"/>
  <c r="AM140" i="8"/>
  <c r="AN140" i="8"/>
  <c r="AO140" i="8"/>
  <c r="AP140" i="8"/>
  <c r="AL141" i="8"/>
  <c r="AM141" i="8"/>
  <c r="AN141" i="8"/>
  <c r="AO141" i="8"/>
  <c r="AP141" i="8"/>
  <c r="AL142" i="8"/>
  <c r="AM142" i="8"/>
  <c r="AN142" i="8"/>
  <c r="AO142" i="8"/>
  <c r="AP142" i="8"/>
  <c r="AL143" i="8"/>
  <c r="AM143" i="8"/>
  <c r="AN143" i="8"/>
  <c r="AO143" i="8"/>
  <c r="AP143" i="8"/>
  <c r="AL144" i="8"/>
  <c r="AM144" i="8"/>
  <c r="AN144" i="8"/>
  <c r="AO144" i="8"/>
  <c r="AP144" i="8"/>
  <c r="AL145" i="8"/>
  <c r="AM145" i="8"/>
  <c r="AN145" i="8"/>
  <c r="AO145" i="8"/>
  <c r="AP145" i="8"/>
  <c r="AL146" i="8"/>
  <c r="AM146" i="8"/>
  <c r="AN146" i="8"/>
  <c r="AO146" i="8"/>
  <c r="AP146" i="8"/>
  <c r="AL147" i="8"/>
  <c r="AM147" i="8"/>
  <c r="AN147" i="8"/>
  <c r="AO147" i="8"/>
  <c r="AP147" i="8"/>
  <c r="AL148" i="8"/>
  <c r="AM148" i="8"/>
  <c r="AN148" i="8"/>
  <c r="AO148" i="8"/>
  <c r="AP148" i="8"/>
  <c r="AL149" i="8"/>
  <c r="AM149" i="8"/>
  <c r="AN149" i="8"/>
  <c r="AO149" i="8"/>
  <c r="AP149" i="8"/>
  <c r="AL150" i="8"/>
  <c r="AM150" i="8"/>
  <c r="AN150" i="8"/>
  <c r="AO150" i="8"/>
  <c r="AP150" i="8"/>
  <c r="AL151" i="8"/>
  <c r="AM151" i="8"/>
  <c r="AN151" i="8"/>
  <c r="AO151" i="8"/>
  <c r="AP151" i="8"/>
  <c r="AL152" i="8"/>
  <c r="AM152" i="8"/>
  <c r="AN152" i="8"/>
  <c r="AO152" i="8"/>
  <c r="AP152" i="8"/>
  <c r="AL153" i="8"/>
  <c r="AM153" i="8"/>
  <c r="AN153" i="8"/>
  <c r="AO153" i="8"/>
  <c r="AP153" i="8"/>
  <c r="AL154" i="8"/>
  <c r="AM154" i="8"/>
  <c r="AN154" i="8"/>
  <c r="AO154" i="8"/>
  <c r="AP154" i="8"/>
  <c r="AL155" i="8"/>
  <c r="AM155" i="8"/>
  <c r="AN155" i="8"/>
  <c r="AO155" i="8"/>
  <c r="AP155" i="8"/>
  <c r="AL156" i="8"/>
  <c r="AM156" i="8"/>
  <c r="AN156" i="8"/>
  <c r="AO156" i="8"/>
  <c r="AP156" i="8"/>
  <c r="AP95" i="8"/>
  <c r="AO95" i="8"/>
  <c r="AM95" i="8"/>
  <c r="AL95" i="8"/>
  <c r="AL14" i="8"/>
  <c r="AM14" i="8"/>
  <c r="AN14" i="8"/>
  <c r="AO14" i="8"/>
  <c r="AL15" i="8"/>
  <c r="AM15" i="8"/>
  <c r="AN15" i="8"/>
  <c r="AO15" i="8"/>
  <c r="AP15" i="8"/>
  <c r="AL16" i="8"/>
  <c r="AM16" i="8"/>
  <c r="AN16" i="8"/>
  <c r="AO16" i="8"/>
  <c r="AP16" i="8"/>
  <c r="AL17" i="8"/>
  <c r="AM17" i="8"/>
  <c r="AN17" i="8"/>
  <c r="AO17" i="8"/>
  <c r="AP17" i="8"/>
  <c r="AL18" i="8"/>
  <c r="AM18" i="8"/>
  <c r="AN18" i="8"/>
  <c r="AO18" i="8"/>
  <c r="AP18" i="8"/>
  <c r="AL19" i="8"/>
  <c r="AM19" i="8"/>
  <c r="AN19" i="8"/>
  <c r="AO19" i="8"/>
  <c r="AP19" i="8"/>
  <c r="AL20" i="8"/>
  <c r="AM20" i="8"/>
  <c r="AM12" i="8" s="1"/>
  <c r="AN20" i="8"/>
  <c r="AN12" i="8" s="1"/>
  <c r="AO20" i="8"/>
  <c r="AO12" i="8" s="1"/>
  <c r="AP20" i="8"/>
  <c r="AP12" i="8" s="1"/>
  <c r="AL21" i="8"/>
  <c r="AM21" i="8"/>
  <c r="AN21" i="8"/>
  <c r="AO21" i="8"/>
  <c r="AP21" i="8"/>
  <c r="AL22" i="8"/>
  <c r="AM22" i="8"/>
  <c r="AN22" i="8"/>
  <c r="AO22" i="8"/>
  <c r="AP22" i="8"/>
  <c r="AL23" i="8"/>
  <c r="AM23" i="8"/>
  <c r="AN23" i="8"/>
  <c r="AO23" i="8"/>
  <c r="AP23" i="8"/>
  <c r="AL24" i="8"/>
  <c r="AM24" i="8"/>
  <c r="AN24" i="8"/>
  <c r="AO24" i="8"/>
  <c r="AP24" i="8"/>
  <c r="AL25" i="8"/>
  <c r="AM25" i="8"/>
  <c r="AN25" i="8"/>
  <c r="AO25" i="8"/>
  <c r="AP25" i="8"/>
  <c r="AL26" i="8"/>
  <c r="AM26" i="8"/>
  <c r="AN26" i="8"/>
  <c r="AO26" i="8"/>
  <c r="AP26" i="8"/>
  <c r="AL27" i="8"/>
  <c r="AM27" i="8"/>
  <c r="AN27" i="8"/>
  <c r="AO27" i="8"/>
  <c r="AP27" i="8"/>
  <c r="AL28" i="8"/>
  <c r="AM28" i="8"/>
  <c r="AN28" i="8"/>
  <c r="AO28" i="8"/>
  <c r="AP28" i="8"/>
  <c r="AL29" i="8"/>
  <c r="AM29" i="8"/>
  <c r="AN29" i="8"/>
  <c r="AO29" i="8"/>
  <c r="AP29" i="8"/>
  <c r="AL30" i="8"/>
  <c r="AM30" i="8"/>
  <c r="AN30" i="8"/>
  <c r="AO30" i="8"/>
  <c r="AP30" i="8"/>
  <c r="AL31" i="8"/>
  <c r="AM31" i="8"/>
  <c r="AN31" i="8"/>
  <c r="AO31" i="8"/>
  <c r="AP31" i="8"/>
  <c r="AL32" i="8"/>
  <c r="AM32" i="8"/>
  <c r="AN32" i="8"/>
  <c r="AO32" i="8"/>
  <c r="AP32" i="8"/>
  <c r="AL33" i="8"/>
  <c r="AM33" i="8"/>
  <c r="AN33" i="8"/>
  <c r="AO33" i="8"/>
  <c r="AP33" i="8"/>
  <c r="AL34" i="8"/>
  <c r="AM34" i="8"/>
  <c r="AN34" i="8"/>
  <c r="AO34" i="8"/>
  <c r="AP34" i="8"/>
  <c r="AL35" i="8"/>
  <c r="AM35" i="8"/>
  <c r="AN35" i="8"/>
  <c r="AO35" i="8"/>
  <c r="AP35" i="8"/>
  <c r="AL36" i="8"/>
  <c r="AM36" i="8"/>
  <c r="AN36" i="8"/>
  <c r="AO36" i="8"/>
  <c r="AP36" i="8"/>
  <c r="AL37" i="8"/>
  <c r="AM37" i="8"/>
  <c r="AN37" i="8"/>
  <c r="AO37" i="8"/>
  <c r="AP37" i="8"/>
  <c r="AL38" i="8"/>
  <c r="AM38" i="8"/>
  <c r="AN38" i="8"/>
  <c r="AO38" i="8"/>
  <c r="AP38" i="8"/>
  <c r="AL39" i="8"/>
  <c r="AM39" i="8"/>
  <c r="AN39" i="8"/>
  <c r="AO39" i="8"/>
  <c r="AP39" i="8"/>
  <c r="AL40" i="8"/>
  <c r="AM40" i="8"/>
  <c r="AN40" i="8"/>
  <c r="AO40" i="8"/>
  <c r="AP40" i="8"/>
  <c r="AL41" i="8"/>
  <c r="AM41" i="8"/>
  <c r="AN41" i="8"/>
  <c r="AO41" i="8"/>
  <c r="AP41" i="8"/>
  <c r="AL42" i="8"/>
  <c r="AM42" i="8"/>
  <c r="AN42" i="8"/>
  <c r="AO42" i="8"/>
  <c r="AP42" i="8"/>
  <c r="AL43" i="8"/>
  <c r="AM43" i="8"/>
  <c r="AN43" i="8"/>
  <c r="AO43" i="8"/>
  <c r="AP43" i="8"/>
  <c r="AL44" i="8"/>
  <c r="AM44" i="8"/>
  <c r="AN44" i="8"/>
  <c r="AO44" i="8"/>
  <c r="AP44" i="8"/>
  <c r="AL45" i="8"/>
  <c r="AM45" i="8"/>
  <c r="AN45" i="8"/>
  <c r="AO45" i="8"/>
  <c r="AP45" i="8"/>
  <c r="AL46" i="8"/>
  <c r="AM46" i="8"/>
  <c r="AN46" i="8"/>
  <c r="AO46" i="8"/>
  <c r="AP46" i="8"/>
  <c r="AL47" i="8"/>
  <c r="AM47" i="8"/>
  <c r="AN47" i="8"/>
  <c r="AO47" i="8"/>
  <c r="AP47" i="8"/>
  <c r="AL48" i="8"/>
  <c r="AM48" i="8"/>
  <c r="AN48" i="8"/>
  <c r="AO48" i="8"/>
  <c r="AP48" i="8"/>
  <c r="AL49" i="8"/>
  <c r="AM49" i="8"/>
  <c r="AN49" i="8"/>
  <c r="AO49" i="8"/>
  <c r="AP49" i="8"/>
  <c r="AL50" i="8"/>
  <c r="AM50" i="8"/>
  <c r="AN50" i="8"/>
  <c r="AO50" i="8"/>
  <c r="AP50" i="8"/>
  <c r="AL51" i="8"/>
  <c r="AM51" i="8"/>
  <c r="AN51" i="8"/>
  <c r="AO51" i="8"/>
  <c r="AP51" i="8"/>
  <c r="AL52" i="8"/>
  <c r="AM52" i="8"/>
  <c r="AN52" i="8"/>
  <c r="AO52" i="8"/>
  <c r="AP52" i="8"/>
  <c r="AL53" i="8"/>
  <c r="AM53" i="8"/>
  <c r="AN53" i="8"/>
  <c r="AO53" i="8"/>
  <c r="AP53" i="8"/>
  <c r="AL54" i="8"/>
  <c r="AM54" i="8"/>
  <c r="AN54" i="8"/>
  <c r="AO54" i="8"/>
  <c r="AP54" i="8"/>
  <c r="AL55" i="8"/>
  <c r="AM55" i="8"/>
  <c r="AN55" i="8"/>
  <c r="AO55" i="8"/>
  <c r="AP55" i="8"/>
  <c r="AL56" i="8"/>
  <c r="AM56" i="8"/>
  <c r="AN56" i="8"/>
  <c r="AO56" i="8"/>
  <c r="AP56" i="8"/>
  <c r="AL57" i="8"/>
  <c r="AM57" i="8"/>
  <c r="AN57" i="8"/>
  <c r="AO57" i="8"/>
  <c r="AP57" i="8"/>
  <c r="AL58" i="8"/>
  <c r="AM58" i="8"/>
  <c r="AN58" i="8"/>
  <c r="AO58" i="8"/>
  <c r="AP58" i="8"/>
  <c r="AL59" i="8"/>
  <c r="AM59" i="8"/>
  <c r="AN59" i="8"/>
  <c r="AO59" i="8"/>
  <c r="AP59" i="8"/>
  <c r="AL60" i="8"/>
  <c r="AM60" i="8"/>
  <c r="AN60" i="8"/>
  <c r="AO60" i="8"/>
  <c r="AP60" i="8"/>
  <c r="AL61" i="8"/>
  <c r="AM61" i="8"/>
  <c r="AN61" i="8"/>
  <c r="AO61" i="8"/>
  <c r="AP61" i="8"/>
  <c r="AL62" i="8"/>
  <c r="AM62" i="8"/>
  <c r="AN62" i="8"/>
  <c r="AO62" i="8"/>
  <c r="AP62" i="8"/>
  <c r="AL63" i="8"/>
  <c r="AM63" i="8"/>
  <c r="AN63" i="8"/>
  <c r="AO63" i="8"/>
  <c r="AP63" i="8"/>
  <c r="AL64" i="8"/>
  <c r="AM64" i="8"/>
  <c r="AN64" i="8"/>
  <c r="AO64" i="8"/>
  <c r="AP64" i="8"/>
  <c r="AL65" i="8"/>
  <c r="AM65" i="8"/>
  <c r="AN65" i="8"/>
  <c r="AO65" i="8"/>
  <c r="AP65" i="8"/>
  <c r="AL66" i="8"/>
  <c r="AM66" i="8"/>
  <c r="AN66" i="8"/>
  <c r="AO66" i="8"/>
  <c r="AP66" i="8"/>
  <c r="AL67" i="8"/>
  <c r="AM67" i="8"/>
  <c r="AN67" i="8"/>
  <c r="AO67" i="8"/>
  <c r="AP67" i="8"/>
  <c r="AL68" i="8"/>
  <c r="AM68" i="8"/>
  <c r="AN68" i="8"/>
  <c r="AO68" i="8"/>
  <c r="AP68" i="8"/>
  <c r="AL69" i="8"/>
  <c r="AM69" i="8"/>
  <c r="AN69" i="8"/>
  <c r="AO69" i="8"/>
  <c r="AP69" i="8"/>
  <c r="AL70" i="8"/>
  <c r="AM70" i="8"/>
  <c r="AN70" i="8"/>
  <c r="AO70" i="8"/>
  <c r="AP70" i="8"/>
  <c r="AL71" i="8"/>
  <c r="AM71" i="8"/>
  <c r="AN71" i="8"/>
  <c r="AO71" i="8"/>
  <c r="AP71" i="8"/>
  <c r="AL72" i="8"/>
  <c r="AM72" i="8"/>
  <c r="AN72" i="8"/>
  <c r="AO72" i="8"/>
  <c r="AP72" i="8"/>
  <c r="AL73" i="8"/>
  <c r="AM73" i="8"/>
  <c r="AN73" i="8"/>
  <c r="AO73" i="8"/>
  <c r="AP73" i="8"/>
  <c r="AL74" i="8"/>
  <c r="AM74" i="8"/>
  <c r="AN74" i="8"/>
  <c r="AO74" i="8"/>
  <c r="AP74" i="8"/>
  <c r="AL75" i="8"/>
  <c r="AM75" i="8"/>
  <c r="AN75" i="8"/>
  <c r="AO75" i="8"/>
  <c r="AP75" i="8"/>
  <c r="AL76" i="8"/>
  <c r="AM76" i="8"/>
  <c r="AN76" i="8"/>
  <c r="AO76" i="8"/>
  <c r="AP76" i="8"/>
  <c r="AL77" i="8"/>
  <c r="AM77" i="8"/>
  <c r="AN77" i="8"/>
  <c r="AO77" i="8"/>
  <c r="AP77" i="8"/>
  <c r="AL78" i="8"/>
  <c r="AM78" i="8"/>
  <c r="AN78" i="8"/>
  <c r="AO78" i="8"/>
  <c r="AP78" i="8"/>
  <c r="AL79" i="8"/>
  <c r="AM79" i="8"/>
  <c r="AN79" i="8"/>
  <c r="AO79" i="8"/>
  <c r="AP79" i="8"/>
  <c r="AL80" i="8"/>
  <c r="AM80" i="8"/>
  <c r="AN80" i="8"/>
  <c r="AO80" i="8"/>
  <c r="AP80" i="8"/>
  <c r="AL81" i="8"/>
  <c r="AM81" i="8"/>
  <c r="AN81" i="8"/>
  <c r="AO81" i="8"/>
  <c r="AP81" i="8"/>
  <c r="AL82" i="8"/>
  <c r="AM82" i="8"/>
  <c r="AN82" i="8"/>
  <c r="AO82" i="8"/>
  <c r="AP82" i="8"/>
  <c r="AL83" i="8"/>
  <c r="AM83" i="8"/>
  <c r="AN83" i="8"/>
  <c r="AO83" i="8"/>
  <c r="AP83" i="8"/>
  <c r="AL84" i="8"/>
  <c r="AM84" i="8"/>
  <c r="AN84" i="8"/>
  <c r="AO84" i="8"/>
  <c r="AP84" i="8"/>
  <c r="AL85" i="8"/>
  <c r="AM85" i="8"/>
  <c r="AN85" i="8"/>
  <c r="AO85" i="8"/>
  <c r="AP85" i="8"/>
  <c r="AL86" i="8"/>
  <c r="AM86" i="8"/>
  <c r="AN86" i="8"/>
  <c r="AO86" i="8"/>
  <c r="AP86" i="8"/>
  <c r="AL87" i="8"/>
  <c r="AM87" i="8"/>
  <c r="AN87" i="8"/>
  <c r="AO87" i="8"/>
  <c r="AP87" i="8"/>
  <c r="AL88" i="8"/>
  <c r="AM88" i="8"/>
  <c r="AN88" i="8"/>
  <c r="AO88" i="8"/>
  <c r="AP88" i="8"/>
  <c r="AL89" i="8"/>
  <c r="AM89" i="8"/>
  <c r="AN89" i="8"/>
  <c r="AO89" i="8"/>
  <c r="AP89" i="8"/>
  <c r="AL90" i="8"/>
  <c r="AM90" i="8"/>
  <c r="AN90" i="8"/>
  <c r="AO90" i="8"/>
  <c r="AP90" i="8"/>
  <c r="AL91" i="8"/>
  <c r="AM91" i="8"/>
  <c r="AN91" i="8"/>
  <c r="AO91" i="8"/>
  <c r="AP91" i="8"/>
  <c r="AJ161" i="128"/>
  <c r="W18" i="9" l="1"/>
  <c r="N23" i="99" s="1"/>
  <c r="AL12" i="8"/>
  <c r="AQ19" i="8"/>
  <c r="A638" i="170"/>
  <c r="G620" i="170"/>
  <c r="AQ95" i="8"/>
  <c r="AQ86" i="8"/>
  <c r="AQ80" i="8"/>
  <c r="AQ70" i="8"/>
  <c r="AQ64" i="8"/>
  <c r="AQ54" i="8"/>
  <c r="AQ48" i="8"/>
  <c r="AQ38" i="8"/>
  <c r="AQ32" i="8"/>
  <c r="AQ22" i="8"/>
  <c r="AQ16" i="8"/>
  <c r="AQ79" i="8"/>
  <c r="AQ63" i="8"/>
  <c r="AQ47" i="8"/>
  <c r="AQ31" i="8"/>
  <c r="AQ21" i="8"/>
  <c r="AQ18" i="8"/>
  <c r="AQ91" i="8"/>
  <c r="AQ90" i="8"/>
  <c r="AQ88" i="8"/>
  <c r="AQ83" i="8"/>
  <c r="AQ78" i="8"/>
  <c r="AQ75" i="8"/>
  <c r="AQ72" i="8"/>
  <c r="AQ67" i="8"/>
  <c r="AQ62" i="8"/>
  <c r="AQ59" i="8"/>
  <c r="AQ56" i="8"/>
  <c r="AQ51" i="8"/>
  <c r="AQ46" i="8"/>
  <c r="AQ43" i="8"/>
  <c r="AQ40" i="8"/>
  <c r="AQ35" i="8"/>
  <c r="AQ30" i="8"/>
  <c r="AQ27" i="8"/>
  <c r="AQ24" i="8"/>
  <c r="AQ14" i="8"/>
  <c r="AQ89" i="8"/>
  <c r="AQ85" i="8"/>
  <c r="AQ82" i="8"/>
  <c r="AQ74" i="8"/>
  <c r="AQ69" i="8"/>
  <c r="AQ66" i="8"/>
  <c r="AQ58" i="8"/>
  <c r="AQ53" i="8"/>
  <c r="AQ50" i="8"/>
  <c r="AQ42" i="8"/>
  <c r="AQ37" i="8"/>
  <c r="AQ34" i="8"/>
  <c r="AQ26" i="8"/>
  <c r="AQ87" i="8"/>
  <c r="AQ84" i="8"/>
  <c r="AQ76" i="8"/>
  <c r="AQ71" i="8"/>
  <c r="AQ68" i="8"/>
  <c r="AQ60" i="8"/>
  <c r="AQ55" i="8"/>
  <c r="AQ52" i="8"/>
  <c r="AQ44" i="8"/>
  <c r="AQ39" i="8"/>
  <c r="AQ36" i="8"/>
  <c r="AQ28" i="8"/>
  <c r="AQ23" i="8"/>
  <c r="AQ20" i="8"/>
  <c r="AQ12" i="8" s="1"/>
  <c r="AQ15" i="8"/>
  <c r="AQ77" i="8"/>
  <c r="AQ61" i="8"/>
  <c r="AQ45" i="8"/>
  <c r="AQ29" i="8"/>
  <c r="AQ73" i="8"/>
  <c r="AQ57" i="8"/>
  <c r="AQ41" i="8"/>
  <c r="AQ25" i="8"/>
  <c r="AQ81" i="8"/>
  <c r="AQ65" i="8"/>
  <c r="AQ49" i="8"/>
  <c r="AQ33" i="8"/>
  <c r="AQ17" i="8"/>
  <c r="AQ155" i="8"/>
  <c r="AQ154" i="8"/>
  <c r="AQ151" i="8"/>
  <c r="AQ150" i="8"/>
  <c r="AQ147" i="8"/>
  <c r="AQ146" i="8"/>
  <c r="AQ143" i="8"/>
  <c r="AQ142" i="8"/>
  <c r="AQ139" i="8"/>
  <c r="AQ138" i="8"/>
  <c r="AQ135" i="8"/>
  <c r="AQ134" i="8"/>
  <c r="AQ131" i="8"/>
  <c r="AQ130" i="8"/>
  <c r="AQ127" i="8"/>
  <c r="AQ126" i="8"/>
  <c r="AQ123" i="8"/>
  <c r="AQ122" i="8"/>
  <c r="AQ119" i="8"/>
  <c r="AQ118" i="8"/>
  <c r="AQ115" i="8"/>
  <c r="AQ114" i="8"/>
  <c r="AQ111" i="8"/>
  <c r="AQ110" i="8"/>
  <c r="AQ107" i="8"/>
  <c r="AQ106" i="8"/>
  <c r="AQ103" i="8"/>
  <c r="AQ102" i="8"/>
  <c r="AQ99" i="8"/>
  <c r="AQ98" i="8"/>
  <c r="AQ153" i="8"/>
  <c r="AQ149" i="8"/>
  <c r="AQ145" i="8"/>
  <c r="AQ141" i="8"/>
  <c r="AQ137" i="8"/>
  <c r="AQ133" i="8"/>
  <c r="AQ129" i="8"/>
  <c r="AQ125" i="8"/>
  <c r="AQ121" i="8"/>
  <c r="AQ117" i="8"/>
  <c r="AQ113" i="8"/>
  <c r="AQ109" i="8"/>
  <c r="AQ105" i="8"/>
  <c r="AQ101" i="8"/>
  <c r="AQ97" i="8"/>
  <c r="AQ156" i="8"/>
  <c r="AQ152" i="8"/>
  <c r="AQ148" i="8"/>
  <c r="AQ144" i="8"/>
  <c r="AQ140" i="8"/>
  <c r="AQ136" i="8"/>
  <c r="AQ132" i="8"/>
  <c r="AQ128" i="8"/>
  <c r="AQ124" i="8"/>
  <c r="AQ120" i="8"/>
  <c r="AQ116" i="8"/>
  <c r="AQ112" i="8"/>
  <c r="AQ108" i="8"/>
  <c r="AQ104" i="8"/>
  <c r="AQ100" i="8"/>
  <c r="AQ96" i="8"/>
  <c r="AO157" i="8" l="1"/>
  <c r="AN157" i="8"/>
  <c r="AP157" i="8"/>
  <c r="A655" i="170"/>
  <c r="G638" i="170"/>
  <c r="I104" i="151"/>
  <c r="G655" i="170" l="1"/>
  <c r="G672" i="170" s="1"/>
  <c r="A672" i="170"/>
  <c r="G706" i="170" l="1"/>
  <c r="G689" i="170"/>
  <c r="A706" i="170"/>
  <c r="A721" i="170" s="1"/>
  <c r="G721" i="170" s="1"/>
  <c r="A689" i="170"/>
  <c r="G98" i="151"/>
  <c r="A740" i="170" l="1"/>
  <c r="A757" i="170" s="1"/>
  <c r="A774" i="170" s="1"/>
  <c r="A791" i="170" s="1"/>
  <c r="Y98" i="151"/>
  <c r="AC160" i="9"/>
  <c r="AC94" i="9"/>
  <c r="G740" i="170" l="1"/>
  <c r="G757" i="170"/>
  <c r="AA98" i="151"/>
  <c r="Z98" i="99" s="1"/>
  <c r="F81" i="101"/>
  <c r="G774" i="170"/>
  <c r="A808" i="170" l="1"/>
  <c r="G791" i="170"/>
  <c r="A824" i="170" l="1"/>
  <c r="G808" i="170"/>
  <c r="A841" i="170" l="1"/>
  <c r="G824" i="170"/>
  <c r="M207" i="151"/>
  <c r="M212" i="151" s="1"/>
  <c r="AC157" i="9"/>
  <c r="D99" i="151"/>
  <c r="L99" i="151" s="1"/>
  <c r="D100" i="151"/>
  <c r="L100" i="151" s="1"/>
  <c r="D101" i="151"/>
  <c r="L101" i="151" s="1"/>
  <c r="D102" i="151"/>
  <c r="L102" i="151" s="1"/>
  <c r="D103" i="151"/>
  <c r="L103" i="151" s="1"/>
  <c r="G99" i="151" l="1"/>
  <c r="G101" i="151"/>
  <c r="G103" i="151"/>
  <c r="G100" i="151"/>
  <c r="G102" i="151"/>
  <c r="D91" i="151"/>
  <c r="C91" i="99"/>
  <c r="K91" i="99" s="1"/>
  <c r="D173" i="151"/>
  <c r="C76" i="101"/>
  <c r="X155" i="9"/>
  <c r="D165" i="151"/>
  <c r="C68" i="101"/>
  <c r="X147" i="9"/>
  <c r="D157" i="151"/>
  <c r="C60" i="101"/>
  <c r="X139" i="9"/>
  <c r="D149" i="151"/>
  <c r="C52" i="101"/>
  <c r="X131" i="9"/>
  <c r="D141" i="151"/>
  <c r="C44" i="101"/>
  <c r="X123" i="9"/>
  <c r="D133" i="151"/>
  <c r="C36" i="101"/>
  <c r="X115" i="9"/>
  <c r="D125" i="151"/>
  <c r="C28" i="101"/>
  <c r="X107" i="9"/>
  <c r="D174" i="151"/>
  <c r="C77" i="101"/>
  <c r="X156" i="9"/>
  <c r="D166" i="151"/>
  <c r="C69" i="101"/>
  <c r="X148" i="9"/>
  <c r="D158" i="151"/>
  <c r="C61" i="101"/>
  <c r="X140" i="9"/>
  <c r="D150" i="151"/>
  <c r="C53" i="101"/>
  <c r="X132" i="9"/>
  <c r="D142" i="151"/>
  <c r="C45" i="101"/>
  <c r="X124" i="9"/>
  <c r="D134" i="151"/>
  <c r="C37" i="101"/>
  <c r="X116" i="9"/>
  <c r="D130" i="151"/>
  <c r="C33" i="101"/>
  <c r="X112" i="9"/>
  <c r="D126" i="151"/>
  <c r="C29" i="101"/>
  <c r="X108" i="9"/>
  <c r="D118" i="151"/>
  <c r="C21" i="101"/>
  <c r="X100" i="9"/>
  <c r="C93" i="99"/>
  <c r="C78" i="101"/>
  <c r="D175" i="151"/>
  <c r="X157" i="9"/>
  <c r="C74" i="101"/>
  <c r="D171" i="151"/>
  <c r="X153" i="9"/>
  <c r="C70" i="101"/>
  <c r="D167" i="151"/>
  <c r="X149" i="9"/>
  <c r="C66" i="101"/>
  <c r="D163" i="151"/>
  <c r="X145" i="9"/>
  <c r="C62" i="101"/>
  <c r="D159" i="151"/>
  <c r="X141" i="9"/>
  <c r="C58" i="101"/>
  <c r="D155" i="151"/>
  <c r="X137" i="9"/>
  <c r="C54" i="101"/>
  <c r="D151" i="151"/>
  <c r="X133" i="9"/>
  <c r="C50" i="101"/>
  <c r="D147" i="151"/>
  <c r="X129" i="9"/>
  <c r="C46" i="101"/>
  <c r="D143" i="151"/>
  <c r="X125" i="9"/>
  <c r="C42" i="101"/>
  <c r="D139" i="151"/>
  <c r="X121" i="9"/>
  <c r="C38" i="101"/>
  <c r="D135" i="151"/>
  <c r="X117" i="9"/>
  <c r="C34" i="101"/>
  <c r="D131" i="151"/>
  <c r="X113" i="9"/>
  <c r="C30" i="101"/>
  <c r="D127" i="151"/>
  <c r="X109" i="9"/>
  <c r="C26" i="101"/>
  <c r="D123" i="151"/>
  <c r="X105" i="9"/>
  <c r="C22" i="101"/>
  <c r="D119" i="151"/>
  <c r="X101" i="9"/>
  <c r="D169" i="151"/>
  <c r="C72" i="101"/>
  <c r="X151" i="9"/>
  <c r="D161" i="151"/>
  <c r="C64" i="101"/>
  <c r="X143" i="9"/>
  <c r="D153" i="151"/>
  <c r="C56" i="101"/>
  <c r="X135" i="9"/>
  <c r="D145" i="151"/>
  <c r="C48" i="101"/>
  <c r="X127" i="9"/>
  <c r="D137" i="151"/>
  <c r="C40" i="101"/>
  <c r="X119" i="9"/>
  <c r="D129" i="151"/>
  <c r="C32" i="101"/>
  <c r="X111" i="9"/>
  <c r="D121" i="151"/>
  <c r="C24" i="101"/>
  <c r="X103" i="9"/>
  <c r="D117" i="151"/>
  <c r="C20" i="101"/>
  <c r="X99" i="9"/>
  <c r="D92" i="151"/>
  <c r="C92" i="99"/>
  <c r="K92" i="99" s="1"/>
  <c r="D170" i="151"/>
  <c r="C73" i="101"/>
  <c r="X152" i="9"/>
  <c r="D162" i="151"/>
  <c r="C65" i="101"/>
  <c r="X144" i="9"/>
  <c r="D154" i="151"/>
  <c r="C57" i="101"/>
  <c r="X136" i="9"/>
  <c r="D146" i="151"/>
  <c r="C49" i="101"/>
  <c r="X128" i="9"/>
  <c r="D138" i="151"/>
  <c r="C41" i="101"/>
  <c r="X120" i="9"/>
  <c r="D122" i="151"/>
  <c r="C25" i="101"/>
  <c r="X104" i="9"/>
  <c r="D94" i="151"/>
  <c r="C94" i="99"/>
  <c r="K94" i="99" s="1"/>
  <c r="D172" i="151"/>
  <c r="C75" i="101"/>
  <c r="X154" i="9"/>
  <c r="D168" i="151"/>
  <c r="C71" i="101"/>
  <c r="X150" i="9"/>
  <c r="D164" i="151"/>
  <c r="C67" i="101"/>
  <c r="X146" i="9"/>
  <c r="D160" i="151"/>
  <c r="C63" i="101"/>
  <c r="X142" i="9"/>
  <c r="D156" i="151"/>
  <c r="C59" i="101"/>
  <c r="X138" i="9"/>
  <c r="D152" i="151"/>
  <c r="C55" i="101"/>
  <c r="X134" i="9"/>
  <c r="D148" i="151"/>
  <c r="C51" i="101"/>
  <c r="X130" i="9"/>
  <c r="D144" i="151"/>
  <c r="C47" i="101"/>
  <c r="X126" i="9"/>
  <c r="D140" i="151"/>
  <c r="C43" i="101"/>
  <c r="X122" i="9"/>
  <c r="D136" i="151"/>
  <c r="C39" i="101"/>
  <c r="X118" i="9"/>
  <c r="D132" i="151"/>
  <c r="C35" i="101"/>
  <c r="X114" i="9"/>
  <c r="D128" i="151"/>
  <c r="C31" i="101"/>
  <c r="X110" i="9"/>
  <c r="D124" i="151"/>
  <c r="C27" i="101"/>
  <c r="X106" i="9"/>
  <c r="D120" i="151"/>
  <c r="C23" i="101"/>
  <c r="X102" i="9"/>
  <c r="D116" i="151"/>
  <c r="C19" i="101"/>
  <c r="X98" i="9"/>
  <c r="AC89" i="9"/>
  <c r="AC87" i="9"/>
  <c r="AC88" i="9"/>
  <c r="G841" i="170"/>
  <c r="A858" i="170"/>
  <c r="V156" i="9"/>
  <c r="W156" i="9"/>
  <c r="V148" i="9"/>
  <c r="W148" i="9"/>
  <c r="V140" i="9"/>
  <c r="W140" i="9"/>
  <c r="V132" i="9"/>
  <c r="W132" i="9"/>
  <c r="V124" i="9"/>
  <c r="W124" i="9"/>
  <c r="V116" i="9"/>
  <c r="W116" i="9"/>
  <c r="V108" i="9"/>
  <c r="W108" i="9"/>
  <c r="V100" i="9"/>
  <c r="W100" i="9"/>
  <c r="AA89" i="9"/>
  <c r="Z89" i="9"/>
  <c r="V157" i="9"/>
  <c r="W157" i="9"/>
  <c r="V149" i="9"/>
  <c r="W149" i="9"/>
  <c r="V141" i="9"/>
  <c r="W141" i="9"/>
  <c r="V133" i="9"/>
  <c r="W133" i="9"/>
  <c r="V129" i="9"/>
  <c r="W129" i="9"/>
  <c r="V121" i="9"/>
  <c r="W121" i="9"/>
  <c r="V113" i="9"/>
  <c r="W113" i="9"/>
  <c r="V105" i="9"/>
  <c r="W105" i="9"/>
  <c r="Z86" i="9"/>
  <c r="AA86" i="9"/>
  <c r="V154" i="9"/>
  <c r="W154" i="9"/>
  <c r="V150" i="9"/>
  <c r="W150" i="9"/>
  <c r="V146" i="9"/>
  <c r="W146" i="9"/>
  <c r="V142" i="9"/>
  <c r="W142" i="9"/>
  <c r="V138" i="9"/>
  <c r="W138" i="9"/>
  <c r="V134" i="9"/>
  <c r="W134" i="9"/>
  <c r="V130" i="9"/>
  <c r="W130" i="9"/>
  <c r="V126" i="9"/>
  <c r="W126" i="9"/>
  <c r="V122" i="9"/>
  <c r="W122" i="9"/>
  <c r="V118" i="9"/>
  <c r="W118" i="9"/>
  <c r="V114" i="9"/>
  <c r="W114" i="9"/>
  <c r="V110" i="9"/>
  <c r="W110" i="9"/>
  <c r="V106" i="9"/>
  <c r="W106" i="9"/>
  <c r="V102" i="9"/>
  <c r="W102" i="9"/>
  <c r="V98" i="9"/>
  <c r="W98" i="9"/>
  <c r="Z88" i="9"/>
  <c r="AA88" i="9"/>
  <c r="V152" i="9"/>
  <c r="W152" i="9"/>
  <c r="V144" i="9"/>
  <c r="W144" i="9"/>
  <c r="V136" i="9"/>
  <c r="W136" i="9"/>
  <c r="V128" i="9"/>
  <c r="W128" i="9"/>
  <c r="V120" i="9"/>
  <c r="W120" i="9"/>
  <c r="V112" i="9"/>
  <c r="W112" i="9"/>
  <c r="V104" i="9"/>
  <c r="W104" i="9"/>
  <c r="V153" i="9"/>
  <c r="W153" i="9"/>
  <c r="V145" i="9"/>
  <c r="W145" i="9"/>
  <c r="V137" i="9"/>
  <c r="W137" i="9"/>
  <c r="V125" i="9"/>
  <c r="W125" i="9"/>
  <c r="V117" i="9"/>
  <c r="W117" i="9"/>
  <c r="V109" i="9"/>
  <c r="W109" i="9"/>
  <c r="V101" i="9"/>
  <c r="W101" i="9"/>
  <c r="AA87" i="9"/>
  <c r="Z87" i="9"/>
  <c r="V155" i="9"/>
  <c r="W155" i="9"/>
  <c r="V151" i="9"/>
  <c r="W151" i="9"/>
  <c r="V147" i="9"/>
  <c r="W147" i="9"/>
  <c r="V143" i="9"/>
  <c r="W143" i="9"/>
  <c r="V139" i="9"/>
  <c r="W139" i="9"/>
  <c r="V135" i="9"/>
  <c r="W135" i="9"/>
  <c r="V131" i="9"/>
  <c r="W131" i="9"/>
  <c r="V127" i="9"/>
  <c r="W127" i="9"/>
  <c r="V123" i="9"/>
  <c r="W123" i="9"/>
  <c r="V119" i="9"/>
  <c r="W119" i="9"/>
  <c r="V115" i="9"/>
  <c r="W115" i="9"/>
  <c r="V111" i="9"/>
  <c r="W111" i="9"/>
  <c r="V107" i="9"/>
  <c r="W107" i="9"/>
  <c r="V103" i="9"/>
  <c r="W103" i="9"/>
  <c r="V99" i="9"/>
  <c r="W99" i="9"/>
  <c r="L94" i="151" l="1"/>
  <c r="O94" i="151"/>
  <c r="N94" i="151"/>
  <c r="O92" i="151"/>
  <c r="N92" i="151"/>
  <c r="N91" i="151"/>
  <c r="O91" i="151"/>
  <c r="K93" i="99"/>
  <c r="M99" i="99"/>
  <c r="N99" i="99"/>
  <c r="B656" i="170"/>
  <c r="H2002" i="170"/>
  <c r="E89" i="132"/>
  <c r="H656" i="170"/>
  <c r="B2002" i="170"/>
  <c r="E92" i="132"/>
  <c r="H1985" i="170"/>
  <c r="B1509" i="170"/>
  <c r="B1645" i="170"/>
  <c r="B1781" i="170"/>
  <c r="B1917" i="170"/>
  <c r="B1832" i="170"/>
  <c r="H1543" i="170"/>
  <c r="H1815" i="170"/>
  <c r="H1594" i="170"/>
  <c r="H1730" i="170"/>
  <c r="H1866" i="170"/>
  <c r="B1662" i="170"/>
  <c r="B1934" i="170"/>
  <c r="H1713" i="170"/>
  <c r="B1611" i="170"/>
  <c r="B1883" i="170"/>
  <c r="H1509" i="170"/>
  <c r="H1747" i="170"/>
  <c r="H1696" i="170"/>
  <c r="H1968" i="170"/>
  <c r="H1645" i="170"/>
  <c r="H1917" i="170"/>
  <c r="B1577" i="170"/>
  <c r="B1849" i="170"/>
  <c r="B1696" i="170"/>
  <c r="B1968" i="170"/>
  <c r="H1662" i="170"/>
  <c r="H1934" i="170"/>
  <c r="B1543" i="170"/>
  <c r="B1679" i="170"/>
  <c r="B1815" i="170"/>
  <c r="B1951" i="170"/>
  <c r="B1560" i="170"/>
  <c r="B1900" i="170"/>
  <c r="H1611" i="170"/>
  <c r="H1883" i="170"/>
  <c r="H1628" i="170"/>
  <c r="H1764" i="170"/>
  <c r="H1900" i="170"/>
  <c r="B1526" i="170"/>
  <c r="B1730" i="170"/>
  <c r="H1781" i="170"/>
  <c r="E90" i="132"/>
  <c r="G92" i="151"/>
  <c r="B2262" i="170"/>
  <c r="G94" i="151"/>
  <c r="I92" i="151"/>
  <c r="B673" i="170"/>
  <c r="B2150" i="170"/>
  <c r="B2278" i="170"/>
  <c r="H2102" i="170"/>
  <c r="B2166" i="170"/>
  <c r="B2182" i="170"/>
  <c r="B2198" i="170"/>
  <c r="B2454" i="170"/>
  <c r="H2278" i="170"/>
  <c r="B2486" i="170"/>
  <c r="H2150" i="170"/>
  <c r="H2358" i="170"/>
  <c r="H2246" i="170"/>
  <c r="H2470" i="170"/>
  <c r="B2070" i="170"/>
  <c r="B2326" i="170"/>
  <c r="B2246" i="170"/>
  <c r="B2374" i="170"/>
  <c r="B2502" i="170"/>
  <c r="H2342" i="170"/>
  <c r="H2070" i="170"/>
  <c r="H2198" i="170"/>
  <c r="H2326" i="170"/>
  <c r="H2454" i="170"/>
  <c r="H2214" i="170"/>
  <c r="H2438" i="170"/>
  <c r="B2294" i="170"/>
  <c r="I93" i="151"/>
  <c r="H2406" i="170"/>
  <c r="B2406" i="170"/>
  <c r="H2230" i="170"/>
  <c r="H2486" i="170"/>
  <c r="H2118" i="170"/>
  <c r="H2502" i="170"/>
  <c r="G93" i="151"/>
  <c r="B2422" i="170"/>
  <c r="E91" i="132"/>
  <c r="B2390" i="170"/>
  <c r="I94" i="151"/>
  <c r="B2134" i="170"/>
  <c r="B2118" i="170"/>
  <c r="B2518" i="170"/>
  <c r="H639" i="170"/>
  <c r="E123" i="132"/>
  <c r="E139" i="132"/>
  <c r="E155" i="132"/>
  <c r="E171" i="132"/>
  <c r="E137" i="132"/>
  <c r="E169" i="132"/>
  <c r="E136" i="132"/>
  <c r="E168" i="132"/>
  <c r="E118" i="132"/>
  <c r="E134" i="132"/>
  <c r="E150" i="132"/>
  <c r="E166" i="132"/>
  <c r="E125" i="132"/>
  <c r="E149" i="132"/>
  <c r="E124" i="132"/>
  <c r="E156" i="132"/>
  <c r="B2214" i="170"/>
  <c r="E127" i="132"/>
  <c r="E143" i="132"/>
  <c r="E159" i="132"/>
  <c r="E145" i="132"/>
  <c r="E116" i="132"/>
  <c r="E144" i="132"/>
  <c r="E122" i="132"/>
  <c r="E138" i="132"/>
  <c r="E154" i="132"/>
  <c r="E170" i="132"/>
  <c r="E129" i="132"/>
  <c r="E157" i="132"/>
  <c r="E132" i="132"/>
  <c r="E164" i="132"/>
  <c r="E115" i="132"/>
  <c r="E131" i="132"/>
  <c r="E147" i="132"/>
  <c r="E163" i="132"/>
  <c r="E153" i="132"/>
  <c r="E120" i="132"/>
  <c r="E152" i="132"/>
  <c r="E126" i="132"/>
  <c r="E142" i="132"/>
  <c r="E158" i="132"/>
  <c r="E174" i="132"/>
  <c r="E133" i="132"/>
  <c r="E165" i="132"/>
  <c r="E140" i="132"/>
  <c r="E172" i="132"/>
  <c r="B1798" i="170"/>
  <c r="H2086" i="170"/>
  <c r="H2134" i="170"/>
  <c r="H2262" i="170"/>
  <c r="H2390" i="170"/>
  <c r="B2102" i="170"/>
  <c r="B2230" i="170"/>
  <c r="B2358" i="170"/>
  <c r="B1628" i="170"/>
  <c r="B1764" i="170"/>
  <c r="B2310" i="170"/>
  <c r="B2470" i="170"/>
  <c r="B1713" i="170"/>
  <c r="B1985" i="170"/>
  <c r="H1577" i="170"/>
  <c r="H1849" i="170"/>
  <c r="B2086" i="170"/>
  <c r="B2342" i="170"/>
  <c r="B2438" i="170"/>
  <c r="H1526" i="170"/>
  <c r="H1798" i="170"/>
  <c r="E119" i="132"/>
  <c r="E135" i="132"/>
  <c r="E151" i="132"/>
  <c r="E167" i="132"/>
  <c r="E121" i="132"/>
  <c r="E161" i="132"/>
  <c r="E128" i="132"/>
  <c r="E160" i="132"/>
  <c r="E130" i="132"/>
  <c r="E146" i="132"/>
  <c r="E162" i="132"/>
  <c r="E117" i="132"/>
  <c r="E141" i="132"/>
  <c r="E173" i="132"/>
  <c r="E148" i="132"/>
  <c r="B1594" i="170"/>
  <c r="B1866" i="170"/>
  <c r="H2166" i="170"/>
  <c r="H2294" i="170"/>
  <c r="H2422" i="170"/>
  <c r="H1560" i="170"/>
  <c r="H1832" i="170"/>
  <c r="H2182" i="170"/>
  <c r="H2310" i="170"/>
  <c r="H2374" i="170"/>
  <c r="H1679" i="170"/>
  <c r="H1951" i="170"/>
  <c r="B1747" i="170"/>
  <c r="B893" i="170"/>
  <c r="B1029" i="170"/>
  <c r="B1165" i="170"/>
  <c r="B1301" i="170"/>
  <c r="H842" i="170"/>
  <c r="H978" i="170"/>
  <c r="H1114" i="170"/>
  <c r="H1250" i="170"/>
  <c r="H1386" i="170"/>
  <c r="B809" i="170"/>
  <c r="B876" i="170"/>
  <c r="B944" i="170"/>
  <c r="B1012" i="170"/>
  <c r="B1080" i="170"/>
  <c r="B1148" i="170"/>
  <c r="B1216" i="170"/>
  <c r="B1284" i="170"/>
  <c r="B1352" i="170"/>
  <c r="H792" i="170"/>
  <c r="H859" i="170"/>
  <c r="H927" i="170"/>
  <c r="H995" i="170"/>
  <c r="H1063" i="170"/>
  <c r="H1131" i="170"/>
  <c r="H1199" i="170"/>
  <c r="H1267" i="170"/>
  <c r="H1335" i="170"/>
  <c r="B825" i="170"/>
  <c r="B927" i="170"/>
  <c r="B1063" i="170"/>
  <c r="B1199" i="170"/>
  <c r="B1335" i="170"/>
  <c r="H876" i="170"/>
  <c r="H1012" i="170"/>
  <c r="H1148" i="170"/>
  <c r="H1284" i="170"/>
  <c r="B792" i="170"/>
  <c r="B961" i="170"/>
  <c r="B1097" i="170"/>
  <c r="B1233" i="170"/>
  <c r="B1369" i="170"/>
  <c r="H775" i="170"/>
  <c r="H910" i="170"/>
  <c r="H1046" i="170"/>
  <c r="H1182" i="170"/>
  <c r="H1318" i="170"/>
  <c r="B775" i="170"/>
  <c r="B842" i="170"/>
  <c r="B910" i="170"/>
  <c r="B978" i="170"/>
  <c r="B1046" i="170"/>
  <c r="B1114" i="170"/>
  <c r="B1182" i="170"/>
  <c r="B1250" i="170"/>
  <c r="B1318" i="170"/>
  <c r="B1386" i="170"/>
  <c r="H758" i="170"/>
  <c r="H825" i="170"/>
  <c r="H893" i="170"/>
  <c r="H961" i="170"/>
  <c r="H1029" i="170"/>
  <c r="H1097" i="170"/>
  <c r="H1165" i="170"/>
  <c r="H1233" i="170"/>
  <c r="H1301" i="170"/>
  <c r="H1369" i="170"/>
  <c r="B758" i="170"/>
  <c r="B859" i="170"/>
  <c r="B995" i="170"/>
  <c r="B1131" i="170"/>
  <c r="B1267" i="170"/>
  <c r="B1403" i="170"/>
  <c r="H809" i="170"/>
  <c r="H944" i="170"/>
  <c r="H1080" i="170"/>
  <c r="H1216" i="170"/>
  <c r="H1352" i="170"/>
  <c r="G858" i="170"/>
  <c r="A875" i="170"/>
  <c r="I175" i="151"/>
  <c r="H78" i="101"/>
  <c r="F78" i="101"/>
  <c r="A892" i="170" l="1"/>
  <c r="G875" i="170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7" i="8"/>
  <c r="A909" i="170" l="1"/>
  <c r="G892" i="170"/>
  <c r="J11" i="154"/>
  <c r="F18" i="154" s="1"/>
  <c r="M188" i="132"/>
  <c r="I188" i="132"/>
  <c r="H188" i="132"/>
  <c r="E14" i="136"/>
  <c r="E13" i="136"/>
  <c r="D13" i="167"/>
  <c r="D11" i="167"/>
  <c r="D10" i="167"/>
  <c r="E13" i="101"/>
  <c r="W79" i="101" s="1"/>
  <c r="W81" i="101" l="1"/>
  <c r="X81" i="101" s="1"/>
  <c r="F16" i="154"/>
  <c r="G16" i="154" s="1"/>
  <c r="G909" i="170"/>
  <c r="A926" i="170"/>
  <c r="F20" i="154"/>
  <c r="G20" i="154" s="1"/>
  <c r="E185" i="132"/>
  <c r="E183" i="132"/>
  <c r="E184" i="132"/>
  <c r="F27" i="154"/>
  <c r="F24" i="154"/>
  <c r="F26" i="154"/>
  <c r="F23" i="154"/>
  <c r="J181" i="132" l="1"/>
  <c r="X79" i="101"/>
  <c r="A943" i="170"/>
  <c r="G926" i="170"/>
  <c r="L181" i="132" l="1"/>
  <c r="N181" i="132" s="1"/>
  <c r="A960" i="170"/>
  <c r="G943" i="170"/>
  <c r="E12" i="99"/>
  <c r="AC92" i="9"/>
  <c r="D15" i="160"/>
  <c r="H14" i="160"/>
  <c r="I14" i="160" s="1"/>
  <c r="W6" i="160"/>
  <c r="X6" i="160" s="1"/>
  <c r="Y6" i="160" s="1"/>
  <c r="F21" i="159"/>
  <c r="D14" i="79" s="1"/>
  <c r="E21" i="159"/>
  <c r="E14" i="158"/>
  <c r="E13" i="158"/>
  <c r="X5" i="158"/>
  <c r="Y5" i="158" s="1"/>
  <c r="Z5" i="158" s="1"/>
  <c r="M12" i="157"/>
  <c r="L96" i="99" l="1"/>
  <c r="W96" i="99"/>
  <c r="AB15" i="99"/>
  <c r="AC15" i="99" s="1"/>
  <c r="G960" i="170"/>
  <c r="A977" i="170"/>
  <c r="J180" i="132" l="1"/>
  <c r="L180" i="132" s="1"/>
  <c r="N180" i="132" s="1"/>
  <c r="G977" i="170"/>
  <c r="A994" i="170"/>
  <c r="L35" i="154"/>
  <c r="F22" i="154"/>
  <c r="O23" i="153"/>
  <c r="G23" i="153"/>
  <c r="O22" i="153"/>
  <c r="G22" i="153"/>
  <c r="O17" i="153"/>
  <c r="O16" i="153"/>
  <c r="O15" i="153"/>
  <c r="X231" i="151"/>
  <c r="X230" i="151"/>
  <c r="X229" i="151"/>
  <c r="G223" i="151"/>
  <c r="U197" i="151"/>
  <c r="D197" i="151"/>
  <c r="AB113" i="151"/>
  <c r="AI24" i="151"/>
  <c r="R9" i="59"/>
  <c r="K69" i="59"/>
  <c r="G69" i="59"/>
  <c r="C69" i="59"/>
  <c r="O55" i="59"/>
  <c r="K55" i="59"/>
  <c r="C55" i="59"/>
  <c r="K41" i="59"/>
  <c r="G41" i="59"/>
  <c r="C41" i="59"/>
  <c r="O27" i="59"/>
  <c r="K27" i="59"/>
  <c r="G27" i="59"/>
  <c r="C27" i="59"/>
  <c r="O13" i="59"/>
  <c r="K13" i="59"/>
  <c r="C13" i="59"/>
  <c r="G55" i="59"/>
  <c r="P9" i="59"/>
  <c r="I178" i="132" l="1"/>
  <c r="J179" i="132"/>
  <c r="L179" i="132" s="1"/>
  <c r="N179" i="132" s="1"/>
  <c r="G178" i="132"/>
  <c r="G187" i="132" s="1"/>
  <c r="G994" i="170"/>
  <c r="A1011" i="170"/>
  <c r="Y212" i="151"/>
  <c r="AB179" i="151"/>
  <c r="F25" i="154"/>
  <c r="F17" i="154"/>
  <c r="G17" i="154" s="1"/>
  <c r="G18" i="154"/>
  <c r="F19" i="154"/>
  <c r="J178" i="132" l="1"/>
  <c r="A1028" i="170"/>
  <c r="G1011" i="170"/>
  <c r="N178" i="132" l="1"/>
  <c r="L178" i="132"/>
  <c r="A1045" i="170"/>
  <c r="G1028" i="170"/>
  <c r="A1062" i="170" l="1"/>
  <c r="G1045" i="170"/>
  <c r="A1079" i="170" l="1"/>
  <c r="G1062" i="170"/>
  <c r="G1079" i="170" l="1"/>
  <c r="A1096" i="170"/>
  <c r="I103" i="151"/>
  <c r="G1096" i="170" l="1"/>
  <c r="A1113" i="170"/>
  <c r="AM157" i="8"/>
  <c r="AL157" i="8"/>
  <c r="A1130" i="170" l="1"/>
  <c r="G1113" i="170"/>
  <c r="AQ157" i="8"/>
  <c r="A1147" i="170" l="1"/>
  <c r="G1130" i="170"/>
  <c r="I165" i="9"/>
  <c r="G165" i="9"/>
  <c r="K83" i="59"/>
  <c r="K76" i="59"/>
  <c r="Q9" i="9" l="1"/>
  <c r="G91" i="151"/>
  <c r="G1147" i="170"/>
  <c r="A1164" i="170"/>
  <c r="K84" i="59"/>
  <c r="G1164" i="170" l="1"/>
  <c r="A1181" i="170"/>
  <c r="AC93" i="9"/>
  <c r="U42" i="59"/>
  <c r="D159" i="128"/>
  <c r="K77" i="101" s="1"/>
  <c r="D160" i="128"/>
  <c r="K78" i="101" s="1"/>
  <c r="A1198" i="170" l="1"/>
  <c r="G1181" i="170"/>
  <c r="H187" i="132"/>
  <c r="I187" i="132"/>
  <c r="K187" i="132"/>
  <c r="M187" i="132"/>
  <c r="A1215" i="170" l="1"/>
  <c r="G1198" i="170"/>
  <c r="G1215" i="170" l="1"/>
  <c r="A1232" i="170"/>
  <c r="T97" i="9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C97" i="9"/>
  <c r="D18" i="128"/>
  <c r="D17" i="128"/>
  <c r="H92" i="151" l="1"/>
  <c r="H93" i="151"/>
  <c r="H91" i="151"/>
  <c r="L93" i="151"/>
  <c r="L92" i="151"/>
  <c r="L91" i="151"/>
  <c r="H94" i="151"/>
  <c r="I674" i="170"/>
  <c r="J678" i="170" s="1"/>
  <c r="C657" i="170"/>
  <c r="D661" i="170" s="1"/>
  <c r="C674" i="170"/>
  <c r="D678" i="170" s="1"/>
  <c r="I657" i="170"/>
  <c r="J661" i="170" s="1"/>
  <c r="I640" i="170"/>
  <c r="J644" i="170" s="1"/>
  <c r="D86" i="151"/>
  <c r="C86" i="99"/>
  <c r="K86" i="99" s="1"/>
  <c r="D78" i="151"/>
  <c r="C78" i="99"/>
  <c r="K78" i="99" s="1"/>
  <c r="D66" i="151"/>
  <c r="C66" i="99"/>
  <c r="K66" i="99" s="1"/>
  <c r="D58" i="151"/>
  <c r="C58" i="99"/>
  <c r="K58" i="99" s="1"/>
  <c r="D50" i="151"/>
  <c r="C50" i="99"/>
  <c r="K50" i="99" s="1"/>
  <c r="D42" i="151"/>
  <c r="C42" i="99"/>
  <c r="K42" i="99" s="1"/>
  <c r="D34" i="151"/>
  <c r="C34" i="99"/>
  <c r="K34" i="99" s="1"/>
  <c r="D26" i="151"/>
  <c r="C26" i="99"/>
  <c r="K26" i="99" s="1"/>
  <c r="D22" i="151"/>
  <c r="C22" i="99"/>
  <c r="K22" i="99" s="1"/>
  <c r="D18" i="151"/>
  <c r="C18" i="99"/>
  <c r="K18" i="99" s="1"/>
  <c r="D83" i="151"/>
  <c r="C83" i="99"/>
  <c r="K83" i="99" s="1"/>
  <c r="D75" i="151"/>
  <c r="C75" i="99"/>
  <c r="K75" i="99" s="1"/>
  <c r="D67" i="151"/>
  <c r="C67" i="99"/>
  <c r="K67" i="99" s="1"/>
  <c r="D59" i="151"/>
  <c r="C59" i="99"/>
  <c r="K59" i="99" s="1"/>
  <c r="D51" i="151"/>
  <c r="C51" i="99"/>
  <c r="K51" i="99" s="1"/>
  <c r="D43" i="151"/>
  <c r="C43" i="99"/>
  <c r="K43" i="99" s="1"/>
  <c r="D35" i="151"/>
  <c r="C35" i="99"/>
  <c r="K35" i="99" s="1"/>
  <c r="D27" i="151"/>
  <c r="C27" i="99"/>
  <c r="K27" i="99" s="1"/>
  <c r="D23" i="151"/>
  <c r="C23" i="99"/>
  <c r="K23" i="99" s="1"/>
  <c r="D115" i="151"/>
  <c r="C18" i="101"/>
  <c r="X97" i="9"/>
  <c r="D88" i="151"/>
  <c r="C88" i="99"/>
  <c r="K88" i="99" s="1"/>
  <c r="D84" i="151"/>
  <c r="C84" i="99"/>
  <c r="K84" i="99" s="1"/>
  <c r="D80" i="151"/>
  <c r="C80" i="99"/>
  <c r="K80" i="99" s="1"/>
  <c r="D76" i="151"/>
  <c r="C76" i="99"/>
  <c r="K76" i="99" s="1"/>
  <c r="D72" i="151"/>
  <c r="C72" i="99"/>
  <c r="K72" i="99" s="1"/>
  <c r="D68" i="151"/>
  <c r="C68" i="99"/>
  <c r="K68" i="99" s="1"/>
  <c r="D64" i="151"/>
  <c r="C64" i="99"/>
  <c r="K64" i="99" s="1"/>
  <c r="D60" i="151"/>
  <c r="C60" i="99"/>
  <c r="K60" i="99" s="1"/>
  <c r="D56" i="151"/>
  <c r="C56" i="99"/>
  <c r="K56" i="99" s="1"/>
  <c r="D52" i="151"/>
  <c r="C52" i="99"/>
  <c r="K52" i="99" s="1"/>
  <c r="D48" i="151"/>
  <c r="C48" i="99"/>
  <c r="K48" i="99" s="1"/>
  <c r="D44" i="151"/>
  <c r="C44" i="99"/>
  <c r="K44" i="99" s="1"/>
  <c r="D40" i="151"/>
  <c r="C40" i="99"/>
  <c r="K40" i="99" s="1"/>
  <c r="D36" i="151"/>
  <c r="C36" i="99"/>
  <c r="K36" i="99" s="1"/>
  <c r="D32" i="151"/>
  <c r="C32" i="99"/>
  <c r="K32" i="99" s="1"/>
  <c r="D28" i="151"/>
  <c r="C28" i="99"/>
  <c r="K28" i="99" s="1"/>
  <c r="D24" i="151"/>
  <c r="C24" i="99"/>
  <c r="K24" i="99" s="1"/>
  <c r="D20" i="151"/>
  <c r="C20" i="99"/>
  <c r="D90" i="151"/>
  <c r="C90" i="99"/>
  <c r="K90" i="99" s="1"/>
  <c r="D82" i="151"/>
  <c r="C82" i="99"/>
  <c r="K82" i="99" s="1"/>
  <c r="D74" i="151"/>
  <c r="C74" i="99"/>
  <c r="K74" i="99" s="1"/>
  <c r="D70" i="151"/>
  <c r="C70" i="99"/>
  <c r="K70" i="99" s="1"/>
  <c r="D62" i="151"/>
  <c r="C62" i="99"/>
  <c r="K62" i="99" s="1"/>
  <c r="D54" i="151"/>
  <c r="C54" i="99"/>
  <c r="K54" i="99" s="1"/>
  <c r="D46" i="151"/>
  <c r="C46" i="99"/>
  <c r="K46" i="99" s="1"/>
  <c r="D38" i="151"/>
  <c r="C38" i="99"/>
  <c r="K38" i="99" s="1"/>
  <c r="D30" i="151"/>
  <c r="C30" i="99"/>
  <c r="K30" i="99" s="1"/>
  <c r="D87" i="151"/>
  <c r="C87" i="99"/>
  <c r="K87" i="99" s="1"/>
  <c r="D79" i="151"/>
  <c r="C79" i="99"/>
  <c r="K79" i="99" s="1"/>
  <c r="D71" i="151"/>
  <c r="C71" i="99"/>
  <c r="K71" i="99" s="1"/>
  <c r="D63" i="151"/>
  <c r="C63" i="99"/>
  <c r="K63" i="99" s="1"/>
  <c r="D55" i="151"/>
  <c r="C55" i="99"/>
  <c r="K55" i="99" s="1"/>
  <c r="D47" i="151"/>
  <c r="C47" i="99"/>
  <c r="K47" i="99" s="1"/>
  <c r="D39" i="151"/>
  <c r="C39" i="99"/>
  <c r="K39" i="99" s="1"/>
  <c r="D31" i="151"/>
  <c r="C31" i="99"/>
  <c r="K31" i="99" s="1"/>
  <c r="D19" i="151"/>
  <c r="C19" i="99"/>
  <c r="K19" i="99" s="1"/>
  <c r="D89" i="151"/>
  <c r="C89" i="99"/>
  <c r="K89" i="99" s="1"/>
  <c r="D85" i="151"/>
  <c r="C85" i="99"/>
  <c r="K85" i="99" s="1"/>
  <c r="D81" i="151"/>
  <c r="C81" i="99"/>
  <c r="K81" i="99" s="1"/>
  <c r="D77" i="151"/>
  <c r="C77" i="99"/>
  <c r="K77" i="99" s="1"/>
  <c r="D73" i="151"/>
  <c r="C73" i="99"/>
  <c r="K73" i="99" s="1"/>
  <c r="D69" i="151"/>
  <c r="C69" i="99"/>
  <c r="K69" i="99" s="1"/>
  <c r="D65" i="151"/>
  <c r="C65" i="99"/>
  <c r="K65" i="99" s="1"/>
  <c r="D61" i="151"/>
  <c r="C61" i="99"/>
  <c r="K61" i="99" s="1"/>
  <c r="D57" i="151"/>
  <c r="C57" i="99"/>
  <c r="K57" i="99" s="1"/>
  <c r="D53" i="151"/>
  <c r="C53" i="99"/>
  <c r="K53" i="99" s="1"/>
  <c r="D49" i="151"/>
  <c r="C49" i="99"/>
  <c r="K49" i="99" s="1"/>
  <c r="D45" i="151"/>
  <c r="C45" i="99"/>
  <c r="K45" i="99" s="1"/>
  <c r="D41" i="151"/>
  <c r="C41" i="99"/>
  <c r="K41" i="99" s="1"/>
  <c r="D37" i="151"/>
  <c r="C37" i="99"/>
  <c r="K37" i="99" s="1"/>
  <c r="D33" i="151"/>
  <c r="C33" i="99"/>
  <c r="K33" i="99" s="1"/>
  <c r="D29" i="151"/>
  <c r="C29" i="99"/>
  <c r="K29" i="99" s="1"/>
  <c r="D25" i="151"/>
  <c r="C25" i="99"/>
  <c r="K25" i="99" s="1"/>
  <c r="D21" i="151"/>
  <c r="C21" i="99"/>
  <c r="K21" i="99" s="1"/>
  <c r="I691" i="170"/>
  <c r="J695" i="170" s="1"/>
  <c r="C708" i="170"/>
  <c r="G1232" i="170"/>
  <c r="A1249" i="170"/>
  <c r="AD90" i="9"/>
  <c r="AD88" i="9"/>
  <c r="AD87" i="9"/>
  <c r="AD89" i="9"/>
  <c r="AA83" i="9"/>
  <c r="Z83" i="9"/>
  <c r="AA71" i="9"/>
  <c r="Z71" i="9"/>
  <c r="AA63" i="9"/>
  <c r="Z63" i="9"/>
  <c r="AA55" i="9"/>
  <c r="Z55" i="9"/>
  <c r="AA47" i="9"/>
  <c r="Z47" i="9"/>
  <c r="AA39" i="9"/>
  <c r="Z39" i="9"/>
  <c r="AA31" i="9"/>
  <c r="Z31" i="9"/>
  <c r="AA23" i="9"/>
  <c r="Z23" i="9"/>
  <c r="AA15" i="9"/>
  <c r="Z15" i="9"/>
  <c r="Z84" i="9"/>
  <c r="AA84" i="9"/>
  <c r="Z80" i="9"/>
  <c r="AA80" i="9"/>
  <c r="Z76" i="9"/>
  <c r="AA76" i="9"/>
  <c r="Z68" i="9"/>
  <c r="AA68" i="9"/>
  <c r="Z60" i="9"/>
  <c r="AA60" i="9"/>
  <c r="Z56" i="9"/>
  <c r="AA56" i="9"/>
  <c r="Z48" i="9"/>
  <c r="AA48" i="9"/>
  <c r="Z44" i="9"/>
  <c r="AA44" i="9"/>
  <c r="Z36" i="9"/>
  <c r="AA36" i="9"/>
  <c r="Z32" i="9"/>
  <c r="AA32" i="9"/>
  <c r="Z24" i="9"/>
  <c r="AA24" i="9"/>
  <c r="Z20" i="9"/>
  <c r="AA20" i="9"/>
  <c r="Z16" i="9"/>
  <c r="AA16" i="9"/>
  <c r="AA85" i="9"/>
  <c r="Z85" i="9"/>
  <c r="AA81" i="9"/>
  <c r="Z81" i="9"/>
  <c r="AA77" i="9"/>
  <c r="Z77" i="9"/>
  <c r="AA73" i="9"/>
  <c r="Z73" i="9"/>
  <c r="AA69" i="9"/>
  <c r="Z69" i="9"/>
  <c r="AA65" i="9"/>
  <c r="Z65" i="9"/>
  <c r="AA61" i="9"/>
  <c r="Z61" i="9"/>
  <c r="AA57" i="9"/>
  <c r="Z57" i="9"/>
  <c r="AA53" i="9"/>
  <c r="Z53" i="9"/>
  <c r="AA49" i="9"/>
  <c r="Z49" i="9"/>
  <c r="AA45" i="9"/>
  <c r="Z45" i="9"/>
  <c r="AA41" i="9"/>
  <c r="Z41" i="9"/>
  <c r="AA37" i="9"/>
  <c r="Z37" i="9"/>
  <c r="AA33" i="9"/>
  <c r="Z33" i="9"/>
  <c r="AA29" i="9"/>
  <c r="Z29" i="9"/>
  <c r="AA25" i="9"/>
  <c r="Z25" i="9"/>
  <c r="AA21" i="9"/>
  <c r="Z21" i="9"/>
  <c r="AA17" i="9"/>
  <c r="Z17" i="9"/>
  <c r="AA13" i="9"/>
  <c r="Z13" i="9"/>
  <c r="AA79" i="9"/>
  <c r="Z79" i="9"/>
  <c r="AA75" i="9"/>
  <c r="Z75" i="9"/>
  <c r="AA67" i="9"/>
  <c r="Z67" i="9"/>
  <c r="AA59" i="9"/>
  <c r="Z59" i="9"/>
  <c r="AA51" i="9"/>
  <c r="Z51" i="9"/>
  <c r="AA43" i="9"/>
  <c r="Z43" i="9"/>
  <c r="AA35" i="9"/>
  <c r="Z35" i="9"/>
  <c r="AA27" i="9"/>
  <c r="Z27" i="9"/>
  <c r="AA19" i="9"/>
  <c r="Z19" i="9"/>
  <c r="Z72" i="9"/>
  <c r="AA72" i="9"/>
  <c r="Z64" i="9"/>
  <c r="AA64" i="9"/>
  <c r="Z52" i="9"/>
  <c r="AA52" i="9"/>
  <c r="Z40" i="9"/>
  <c r="AA40" i="9"/>
  <c r="Z28" i="9"/>
  <c r="AA28" i="9"/>
  <c r="Z82" i="9"/>
  <c r="AA82" i="9"/>
  <c r="Z78" i="9"/>
  <c r="AA78" i="9"/>
  <c r="Z74" i="9"/>
  <c r="AA74" i="9"/>
  <c r="Z70" i="9"/>
  <c r="AA70" i="9"/>
  <c r="Z66" i="9"/>
  <c r="AA66" i="9"/>
  <c r="Z62" i="9"/>
  <c r="AA62" i="9"/>
  <c r="Z58" i="9"/>
  <c r="AA58" i="9"/>
  <c r="Z54" i="9"/>
  <c r="AA54" i="9"/>
  <c r="Z50" i="9"/>
  <c r="AA50" i="9"/>
  <c r="Z46" i="9"/>
  <c r="AA46" i="9"/>
  <c r="Z42" i="9"/>
  <c r="AA42" i="9"/>
  <c r="Z38" i="9"/>
  <c r="AA38" i="9"/>
  <c r="Z34" i="9"/>
  <c r="AA34" i="9"/>
  <c r="Z30" i="9"/>
  <c r="AA30" i="9"/>
  <c r="Z26" i="9"/>
  <c r="AA26" i="9"/>
  <c r="Z22" i="9"/>
  <c r="AA22" i="9"/>
  <c r="Z18" i="9"/>
  <c r="AA18" i="9"/>
  <c r="Z14" i="9"/>
  <c r="AA14" i="9"/>
  <c r="V97" i="9"/>
  <c r="W97" i="9"/>
  <c r="AC154" i="9"/>
  <c r="F75" i="101"/>
  <c r="AC155" i="9"/>
  <c r="F76" i="101"/>
  <c r="AC156" i="9"/>
  <c r="F77" i="101"/>
  <c r="AD85" i="9"/>
  <c r="AD77" i="9"/>
  <c r="AD69" i="9"/>
  <c r="AD61" i="9"/>
  <c r="AD53" i="9"/>
  <c r="AD49" i="9"/>
  <c r="AD41" i="9"/>
  <c r="AD37" i="9"/>
  <c r="AD33" i="9"/>
  <c r="AD29" i="9"/>
  <c r="AD25" i="9"/>
  <c r="AD21" i="9"/>
  <c r="AD17" i="9"/>
  <c r="AD13" i="9"/>
  <c r="AD97" i="9"/>
  <c r="AD86" i="9"/>
  <c r="AD82" i="9"/>
  <c r="AD78" i="9"/>
  <c r="AD74" i="9"/>
  <c r="AD70" i="9"/>
  <c r="AD66" i="9"/>
  <c r="AD62" i="9"/>
  <c r="AD58" i="9"/>
  <c r="AD54" i="9"/>
  <c r="AD50" i="9"/>
  <c r="AD46" i="9"/>
  <c r="AD42" i="9"/>
  <c r="AD38" i="9"/>
  <c r="AD34" i="9"/>
  <c r="AD30" i="9"/>
  <c r="AD26" i="9"/>
  <c r="AD22" i="9"/>
  <c r="AD18" i="9"/>
  <c r="AD14" i="9"/>
  <c r="I156" i="151"/>
  <c r="I172" i="151"/>
  <c r="AD81" i="9"/>
  <c r="AD73" i="9"/>
  <c r="AD65" i="9"/>
  <c r="AD57" i="9"/>
  <c r="AD45" i="9"/>
  <c r="AD83" i="9"/>
  <c r="AD79" i="9"/>
  <c r="AD75" i="9"/>
  <c r="AD71" i="9"/>
  <c r="AD67" i="9"/>
  <c r="AD63" i="9"/>
  <c r="AD59" i="9"/>
  <c r="AD55" i="9"/>
  <c r="AD51" i="9"/>
  <c r="AD47" i="9"/>
  <c r="AD43" i="9"/>
  <c r="AD39" i="9"/>
  <c r="AD35" i="9"/>
  <c r="AD31" i="9"/>
  <c r="AD27" i="9"/>
  <c r="AD23" i="9"/>
  <c r="AD19" i="9"/>
  <c r="AD15" i="9"/>
  <c r="I165" i="151"/>
  <c r="I149" i="151"/>
  <c r="I117" i="151"/>
  <c r="I173" i="151"/>
  <c r="AD84" i="9"/>
  <c r="AD80" i="9"/>
  <c r="AD76" i="9"/>
  <c r="AD72" i="9"/>
  <c r="AD68" i="9"/>
  <c r="AD64" i="9"/>
  <c r="AD60" i="9"/>
  <c r="AD56" i="9"/>
  <c r="AD52" i="9"/>
  <c r="AD48" i="9"/>
  <c r="AD44" i="9"/>
  <c r="AD40" i="9"/>
  <c r="AD36" i="9"/>
  <c r="AD32" i="9"/>
  <c r="AD28" i="9"/>
  <c r="AD24" i="9"/>
  <c r="AD20" i="9"/>
  <c r="AD16" i="9"/>
  <c r="I162" i="151"/>
  <c r="I174" i="151"/>
  <c r="I155" i="151"/>
  <c r="I133" i="151"/>
  <c r="L21" i="151" l="1"/>
  <c r="N21" i="151"/>
  <c r="O21" i="151"/>
  <c r="L37" i="151"/>
  <c r="N37" i="151"/>
  <c r="O37" i="151"/>
  <c r="L53" i="151"/>
  <c r="N53" i="151"/>
  <c r="O53" i="151"/>
  <c r="L77" i="151"/>
  <c r="N77" i="151"/>
  <c r="O77" i="151"/>
  <c r="L27" i="151"/>
  <c r="N27" i="151"/>
  <c r="O27" i="151"/>
  <c r="N43" i="151"/>
  <c r="O43" i="151"/>
  <c r="L59" i="151"/>
  <c r="N59" i="151"/>
  <c r="O59" i="151"/>
  <c r="L75" i="151"/>
  <c r="N75" i="151"/>
  <c r="O75" i="151"/>
  <c r="O18" i="151"/>
  <c r="N18" i="151"/>
  <c r="O26" i="151"/>
  <c r="N26" i="151"/>
  <c r="L42" i="151"/>
  <c r="O42" i="151"/>
  <c r="N42" i="151"/>
  <c r="L58" i="151"/>
  <c r="O58" i="151"/>
  <c r="N58" i="151"/>
  <c r="L78" i="151"/>
  <c r="O78" i="151"/>
  <c r="N78" i="151"/>
  <c r="L25" i="151"/>
  <c r="N25" i="151"/>
  <c r="O25" i="151"/>
  <c r="L33" i="151"/>
  <c r="N33" i="151"/>
  <c r="O33" i="151"/>
  <c r="L41" i="151"/>
  <c r="N41" i="151"/>
  <c r="O41" i="151"/>
  <c r="L49" i="151"/>
  <c r="N49" i="151"/>
  <c r="O49" i="151"/>
  <c r="L57" i="151"/>
  <c r="N57" i="151"/>
  <c r="O57" i="151"/>
  <c r="L65" i="151"/>
  <c r="N65" i="151"/>
  <c r="O65" i="151"/>
  <c r="L73" i="151"/>
  <c r="N73" i="151"/>
  <c r="O73" i="151"/>
  <c r="L81" i="151"/>
  <c r="N81" i="151"/>
  <c r="O81" i="151"/>
  <c r="N89" i="151"/>
  <c r="O89" i="151"/>
  <c r="L31" i="151"/>
  <c r="N31" i="151"/>
  <c r="O31" i="151"/>
  <c r="L47" i="151"/>
  <c r="N47" i="151"/>
  <c r="O47" i="151"/>
  <c r="L63" i="151"/>
  <c r="N63" i="151"/>
  <c r="O63" i="151"/>
  <c r="L79" i="151"/>
  <c r="N79" i="151"/>
  <c r="O79" i="151"/>
  <c r="L30" i="151"/>
  <c r="O30" i="151"/>
  <c r="N30" i="151"/>
  <c r="L46" i="151"/>
  <c r="O46" i="151"/>
  <c r="N46" i="151"/>
  <c r="L62" i="151"/>
  <c r="O62" i="151"/>
  <c r="N62" i="151"/>
  <c r="L74" i="151"/>
  <c r="O74" i="151"/>
  <c r="N74" i="151"/>
  <c r="O90" i="151"/>
  <c r="N90" i="151"/>
  <c r="O24" i="151"/>
  <c r="N24" i="151"/>
  <c r="L32" i="151"/>
  <c r="O32" i="151"/>
  <c r="N32" i="151"/>
  <c r="L40" i="151"/>
  <c r="O40" i="151"/>
  <c r="N40" i="151"/>
  <c r="L48" i="151"/>
  <c r="O48" i="151"/>
  <c r="N48" i="151"/>
  <c r="L56" i="151"/>
  <c r="O56" i="151"/>
  <c r="N56" i="151"/>
  <c r="L64" i="151"/>
  <c r="O64" i="151"/>
  <c r="N64" i="151"/>
  <c r="L72" i="151"/>
  <c r="O72" i="151"/>
  <c r="N72" i="151"/>
  <c r="L80" i="151"/>
  <c r="O80" i="151"/>
  <c r="N80" i="151"/>
  <c r="O88" i="151"/>
  <c r="N88" i="151"/>
  <c r="L29" i="151"/>
  <c r="N29" i="151"/>
  <c r="O29" i="151"/>
  <c r="L45" i="151"/>
  <c r="N45" i="151"/>
  <c r="O45" i="151"/>
  <c r="L61" i="151"/>
  <c r="N61" i="151"/>
  <c r="O61" i="151"/>
  <c r="L69" i="151"/>
  <c r="N69" i="151"/>
  <c r="O69" i="151"/>
  <c r="L85" i="151"/>
  <c r="N85" i="151"/>
  <c r="O85" i="151"/>
  <c r="L19" i="151"/>
  <c r="N19" i="151"/>
  <c r="O19" i="151"/>
  <c r="L39" i="151"/>
  <c r="N39" i="151"/>
  <c r="O39" i="151"/>
  <c r="L55" i="151"/>
  <c r="N55" i="151"/>
  <c r="O55" i="151"/>
  <c r="L71" i="151"/>
  <c r="N71" i="151"/>
  <c r="O71" i="151"/>
  <c r="N87" i="151"/>
  <c r="O87" i="151"/>
  <c r="L38" i="151"/>
  <c r="O38" i="151"/>
  <c r="N38" i="151"/>
  <c r="L54" i="151"/>
  <c r="O54" i="151"/>
  <c r="N54" i="151"/>
  <c r="O70" i="151"/>
  <c r="N70" i="151"/>
  <c r="L82" i="151"/>
  <c r="O82" i="151"/>
  <c r="N82" i="151"/>
  <c r="L20" i="151"/>
  <c r="O20" i="151"/>
  <c r="N20" i="151"/>
  <c r="O28" i="151"/>
  <c r="N28" i="151"/>
  <c r="L36" i="151"/>
  <c r="O36" i="151"/>
  <c r="N36" i="151"/>
  <c r="O44" i="151"/>
  <c r="N44" i="151"/>
  <c r="O52" i="151"/>
  <c r="N52" i="151"/>
  <c r="L60" i="151"/>
  <c r="O60" i="151"/>
  <c r="N60" i="151"/>
  <c r="L68" i="151"/>
  <c r="O68" i="151"/>
  <c r="N68" i="151"/>
  <c r="O76" i="151"/>
  <c r="N76" i="151"/>
  <c r="L84" i="151"/>
  <c r="O84" i="151"/>
  <c r="N84" i="151"/>
  <c r="N23" i="151"/>
  <c r="O23" i="151"/>
  <c r="L35" i="151"/>
  <c r="N35" i="151"/>
  <c r="O35" i="151"/>
  <c r="N51" i="151"/>
  <c r="O51" i="151"/>
  <c r="N67" i="151"/>
  <c r="O67" i="151"/>
  <c r="N83" i="151"/>
  <c r="O83" i="151"/>
  <c r="L22" i="151"/>
  <c r="O22" i="151"/>
  <c r="N22" i="151"/>
  <c r="L34" i="151"/>
  <c r="O34" i="151"/>
  <c r="N34" i="151"/>
  <c r="L50" i="151"/>
  <c r="O50" i="151"/>
  <c r="N50" i="151"/>
  <c r="L66" i="151"/>
  <c r="O66" i="151"/>
  <c r="N66" i="151"/>
  <c r="L86" i="151"/>
  <c r="O86" i="151"/>
  <c r="N86" i="151"/>
  <c r="M93" i="151"/>
  <c r="K93" i="151"/>
  <c r="M94" i="151"/>
  <c r="K94" i="151"/>
  <c r="M92" i="151"/>
  <c r="K92" i="151"/>
  <c r="K20" i="99"/>
  <c r="H20" i="99"/>
  <c r="H70" i="151"/>
  <c r="L70" i="151"/>
  <c r="H28" i="151"/>
  <c r="L28" i="151"/>
  <c r="H44" i="151"/>
  <c r="L44" i="151"/>
  <c r="B312" i="170"/>
  <c r="L52" i="151"/>
  <c r="E74" i="132"/>
  <c r="L76" i="151"/>
  <c r="E87" i="132"/>
  <c r="L89" i="151"/>
  <c r="H43" i="151"/>
  <c r="L43" i="151"/>
  <c r="H18" i="151"/>
  <c r="L18" i="151"/>
  <c r="H26" i="151"/>
  <c r="L26" i="151"/>
  <c r="G90" i="151"/>
  <c r="L90" i="151"/>
  <c r="H24" i="151"/>
  <c r="L24" i="151"/>
  <c r="H88" i="151"/>
  <c r="L88" i="151"/>
  <c r="H87" i="151"/>
  <c r="L87" i="151"/>
  <c r="H23" i="151"/>
  <c r="L23" i="151"/>
  <c r="H51" i="151"/>
  <c r="L51" i="151"/>
  <c r="H67" i="151"/>
  <c r="L67" i="151"/>
  <c r="H83" i="151"/>
  <c r="L83" i="151"/>
  <c r="H31" i="151"/>
  <c r="H38" i="151"/>
  <c r="H84" i="151"/>
  <c r="H33" i="151"/>
  <c r="H63" i="151"/>
  <c r="H21" i="151"/>
  <c r="H50" i="151"/>
  <c r="H29" i="151"/>
  <c r="H85" i="151"/>
  <c r="H71" i="151"/>
  <c r="H30" i="151"/>
  <c r="H86" i="151"/>
  <c r="H35" i="151"/>
  <c r="H74" i="151"/>
  <c r="H66" i="151"/>
  <c r="H27" i="151"/>
  <c r="H77" i="151"/>
  <c r="H48" i="151"/>
  <c r="H68" i="151"/>
  <c r="H53" i="151"/>
  <c r="H64" i="151"/>
  <c r="H82" i="151"/>
  <c r="H41" i="151"/>
  <c r="H60" i="151"/>
  <c r="H39" i="151"/>
  <c r="H49" i="151"/>
  <c r="H81" i="151"/>
  <c r="H54" i="151"/>
  <c r="H36" i="151"/>
  <c r="E52" i="132"/>
  <c r="H58" i="151"/>
  <c r="H78" i="151"/>
  <c r="H37" i="151"/>
  <c r="H69" i="151"/>
  <c r="H32" i="151"/>
  <c r="E58" i="132"/>
  <c r="H57" i="151"/>
  <c r="H65" i="151"/>
  <c r="H73" i="151"/>
  <c r="H47" i="151"/>
  <c r="H79" i="151"/>
  <c r="H20" i="151"/>
  <c r="E26" i="132"/>
  <c r="H45" i="151"/>
  <c r="H61" i="151"/>
  <c r="H19" i="151"/>
  <c r="H55" i="151"/>
  <c r="H46" i="151"/>
  <c r="H62" i="151"/>
  <c r="H40" i="151"/>
  <c r="H56" i="151"/>
  <c r="H72" i="151"/>
  <c r="H80" i="151"/>
  <c r="H25" i="151"/>
  <c r="B39" i="170"/>
  <c r="C40" i="170" s="1"/>
  <c r="D44" i="170" s="1"/>
  <c r="H59" i="151"/>
  <c r="H75" i="151"/>
  <c r="H42" i="151"/>
  <c r="H22" i="151"/>
  <c r="H34" i="151"/>
  <c r="H76" i="151"/>
  <c r="H52" i="151"/>
  <c r="E31" i="132"/>
  <c r="E39" i="132"/>
  <c r="H278" i="170"/>
  <c r="I279" i="170" s="1"/>
  <c r="J283" i="170" s="1"/>
  <c r="H1492" i="170"/>
  <c r="E25" i="132"/>
  <c r="H227" i="170"/>
  <c r="I228" i="170" s="1"/>
  <c r="J232" i="170" s="1"/>
  <c r="B22" i="170"/>
  <c r="C23" i="170" s="1"/>
  <c r="D27" i="170" s="1"/>
  <c r="E24" i="132"/>
  <c r="B365" i="170"/>
  <c r="C366" i="170" s="1"/>
  <c r="D370" i="170" s="1"/>
  <c r="B536" i="170"/>
  <c r="C537" i="170" s="1"/>
  <c r="D541" i="170" s="1"/>
  <c r="E19" i="132"/>
  <c r="H107" i="170"/>
  <c r="I108" i="170" s="1"/>
  <c r="J112" i="170" s="1"/>
  <c r="E35" i="132"/>
  <c r="E51" i="132"/>
  <c r="E37" i="132"/>
  <c r="B503" i="170"/>
  <c r="C504" i="170" s="1"/>
  <c r="D508" i="170" s="1"/>
  <c r="B73" i="170"/>
  <c r="C74" i="170" s="1"/>
  <c r="D78" i="170" s="1"/>
  <c r="B141" i="170"/>
  <c r="C142" i="170" s="1"/>
  <c r="D146" i="170" s="1"/>
  <c r="B621" i="170"/>
  <c r="C622" i="170" s="1"/>
  <c r="D626" i="170" s="1"/>
  <c r="E67" i="132"/>
  <c r="E75" i="132"/>
  <c r="H587" i="170"/>
  <c r="I588" i="170" s="1"/>
  <c r="J592" i="170" s="1"/>
  <c r="E69" i="132"/>
  <c r="H604" i="170"/>
  <c r="I605" i="170" s="1"/>
  <c r="J609" i="170" s="1"/>
  <c r="B124" i="170"/>
  <c r="C125" i="170" s="1"/>
  <c r="D129" i="170" s="1"/>
  <c r="B278" i="170"/>
  <c r="C279" i="170" s="1"/>
  <c r="D283" i="170" s="1"/>
  <c r="B417" i="170"/>
  <c r="C418" i="170" s="1"/>
  <c r="D422" i="170" s="1"/>
  <c r="H536" i="170"/>
  <c r="I537" i="170" s="1"/>
  <c r="J541" i="170" s="1"/>
  <c r="H56" i="170"/>
  <c r="I57" i="170" s="1"/>
  <c r="J61" i="170" s="1"/>
  <c r="H158" i="170"/>
  <c r="I159" i="170" s="1"/>
  <c r="J163" i="170" s="1"/>
  <c r="E49" i="132"/>
  <c r="E65" i="132"/>
  <c r="E81" i="132"/>
  <c r="E20" i="132"/>
  <c r="B295" i="170"/>
  <c r="C296" i="170" s="1"/>
  <c r="D300" i="170" s="1"/>
  <c r="B434" i="170"/>
  <c r="C435" i="170" s="1"/>
  <c r="D439" i="170" s="1"/>
  <c r="E84" i="132"/>
  <c r="H553" i="170"/>
  <c r="I554" i="170" s="1"/>
  <c r="J558" i="170" s="1"/>
  <c r="E29" i="132"/>
  <c r="E61" i="132"/>
  <c r="H2054" i="170"/>
  <c r="E36" i="132"/>
  <c r="B330" i="170"/>
  <c r="C331" i="170" s="1"/>
  <c r="D335" i="170" s="1"/>
  <c r="E68" i="132"/>
  <c r="E80" i="132"/>
  <c r="B107" i="170"/>
  <c r="C108" i="170" s="1"/>
  <c r="D112" i="170" s="1"/>
  <c r="E34" i="132"/>
  <c r="E42" i="132"/>
  <c r="B382" i="170"/>
  <c r="C383" i="170" s="1"/>
  <c r="D387" i="170" s="1"/>
  <c r="E66" i="132"/>
  <c r="B587" i="170"/>
  <c r="C588" i="170" s="1"/>
  <c r="D592" i="170" s="1"/>
  <c r="E77" i="132"/>
  <c r="E18" i="132"/>
  <c r="B244" i="170"/>
  <c r="C245" i="170" s="1"/>
  <c r="D249" i="170" s="1"/>
  <c r="E50" i="132"/>
  <c r="B520" i="170"/>
  <c r="C521" i="170" s="1"/>
  <c r="D525" i="170" s="1"/>
  <c r="B468" i="170"/>
  <c r="C469" i="170" s="1"/>
  <c r="D473" i="170" s="1"/>
  <c r="H261" i="170"/>
  <c r="I262" i="170" s="1"/>
  <c r="J266" i="170" s="1"/>
  <c r="B570" i="170"/>
  <c r="C571" i="170" s="1"/>
  <c r="D575" i="170" s="1"/>
  <c r="H124" i="170"/>
  <c r="I125" i="170" s="1"/>
  <c r="J129" i="170" s="1"/>
  <c r="E45" i="132"/>
  <c r="B175" i="170"/>
  <c r="C176" i="170" s="1"/>
  <c r="D180" i="170" s="1"/>
  <c r="B450" i="170"/>
  <c r="C451" i="170" s="1"/>
  <c r="D455" i="170" s="1"/>
  <c r="E82" i="132"/>
  <c r="H400" i="170"/>
  <c r="I401" i="170" s="1"/>
  <c r="J405" i="170" s="1"/>
  <c r="B192" i="170"/>
  <c r="C193" i="170" s="1"/>
  <c r="D197" i="170" s="1"/>
  <c r="C313" i="170"/>
  <c r="D317" i="170" s="1"/>
  <c r="E60" i="132"/>
  <c r="E38" i="132"/>
  <c r="B348" i="170"/>
  <c r="H141" i="170"/>
  <c r="E79" i="132"/>
  <c r="H348" i="170"/>
  <c r="E73" i="132"/>
  <c r="H22" i="170"/>
  <c r="E22" i="132"/>
  <c r="B209" i="170"/>
  <c r="E17" i="132"/>
  <c r="H73" i="170"/>
  <c r="H417" i="170"/>
  <c r="B227" i="170"/>
  <c r="H90" i="170"/>
  <c r="E16" i="132"/>
  <c r="E44" i="132"/>
  <c r="E23" i="132"/>
  <c r="E47" i="132"/>
  <c r="E57" i="132"/>
  <c r="E32" i="132"/>
  <c r="B90" i="170"/>
  <c r="E55" i="132"/>
  <c r="H621" i="170"/>
  <c r="E41" i="132"/>
  <c r="E56" i="132"/>
  <c r="E76" i="132"/>
  <c r="B400" i="170"/>
  <c r="E88" i="132"/>
  <c r="E70" i="132"/>
  <c r="E78" i="132"/>
  <c r="E86" i="132"/>
  <c r="E53" i="132"/>
  <c r="B261" i="170"/>
  <c r="E54" i="132"/>
  <c r="B486" i="170"/>
  <c r="B553" i="170"/>
  <c r="E21" i="132"/>
  <c r="H295" i="170"/>
  <c r="H89" i="151"/>
  <c r="H39" i="170"/>
  <c r="H209" i="170"/>
  <c r="E63" i="132"/>
  <c r="G89" i="151"/>
  <c r="H365" i="170"/>
  <c r="H503" i="170"/>
  <c r="B56" i="170"/>
  <c r="E40" i="132"/>
  <c r="H570" i="170"/>
  <c r="H175" i="170"/>
  <c r="H312" i="170"/>
  <c r="H330" i="170"/>
  <c r="B604" i="170"/>
  <c r="E59" i="132"/>
  <c r="H450" i="170"/>
  <c r="E83" i="132"/>
  <c r="H434" i="170"/>
  <c r="B158" i="170"/>
  <c r="H244" i="170"/>
  <c r="H382" i="170"/>
  <c r="H520" i="170"/>
  <c r="H192" i="170"/>
  <c r="E85" i="132"/>
  <c r="E48" i="132"/>
  <c r="E72" i="132"/>
  <c r="B639" i="170"/>
  <c r="E30" i="132"/>
  <c r="E46" i="132"/>
  <c r="E62" i="132"/>
  <c r="E33" i="132"/>
  <c r="H468" i="170"/>
  <c r="E28" i="132"/>
  <c r="E64" i="132"/>
  <c r="E27" i="132"/>
  <c r="E43" i="132"/>
  <c r="H90" i="151"/>
  <c r="H486" i="170"/>
  <c r="H741" i="170"/>
  <c r="A1266" i="170"/>
  <c r="G1249" i="170"/>
  <c r="G95" i="99"/>
  <c r="L95" i="99" s="1"/>
  <c r="H95" i="151"/>
  <c r="U90" i="9"/>
  <c r="E71" i="132"/>
  <c r="U91" i="9"/>
  <c r="H96" i="151"/>
  <c r="H97" i="151"/>
  <c r="E114" i="132"/>
  <c r="U87" i="9"/>
  <c r="G92" i="99"/>
  <c r="U89" i="9"/>
  <c r="G94" i="99"/>
  <c r="I115" i="151"/>
  <c r="I131" i="151"/>
  <c r="I125" i="151"/>
  <c r="I157" i="151"/>
  <c r="I163" i="151"/>
  <c r="I141" i="151"/>
  <c r="I147" i="151"/>
  <c r="I151" i="151"/>
  <c r="I132" i="151"/>
  <c r="I129" i="151"/>
  <c r="I116" i="151"/>
  <c r="I164" i="151"/>
  <c r="I138" i="151"/>
  <c r="I148" i="151"/>
  <c r="I170" i="151"/>
  <c r="I122" i="151"/>
  <c r="I154" i="151"/>
  <c r="I134" i="151"/>
  <c r="I145" i="151"/>
  <c r="I152" i="151"/>
  <c r="I168" i="151"/>
  <c r="I120" i="151"/>
  <c r="I136" i="151"/>
  <c r="I153" i="151"/>
  <c r="I161" i="151"/>
  <c r="I135" i="151"/>
  <c r="I158" i="151"/>
  <c r="I167" i="151"/>
  <c r="I126" i="151"/>
  <c r="I142" i="151"/>
  <c r="I119" i="151"/>
  <c r="I159" i="151"/>
  <c r="I146" i="151"/>
  <c r="I140" i="151"/>
  <c r="I171" i="151"/>
  <c r="I139" i="151"/>
  <c r="I130" i="151"/>
  <c r="I123" i="151"/>
  <c r="I124" i="151"/>
  <c r="G174" i="151"/>
  <c r="G172" i="151"/>
  <c r="I121" i="151"/>
  <c r="I137" i="151"/>
  <c r="I169" i="151"/>
  <c r="I128" i="151"/>
  <c r="I160" i="151"/>
  <c r="G173" i="151"/>
  <c r="I127" i="151"/>
  <c r="I166" i="151"/>
  <c r="I144" i="151"/>
  <c r="I143" i="151"/>
  <c r="I118" i="151"/>
  <c r="I150" i="151"/>
  <c r="I100" i="151"/>
  <c r="I99" i="151"/>
  <c r="I101" i="151"/>
  <c r="I102" i="151"/>
  <c r="H45" i="101"/>
  <c r="H65" i="101"/>
  <c r="M96" i="151" l="1"/>
  <c r="K96" i="151"/>
  <c r="M95" i="151"/>
  <c r="K95" i="151"/>
  <c r="J94" i="99"/>
  <c r="L94" i="99"/>
  <c r="J92" i="99"/>
  <c r="L92" i="99"/>
  <c r="J95" i="99"/>
  <c r="I469" i="170"/>
  <c r="J473" i="170" s="1"/>
  <c r="I521" i="170"/>
  <c r="J525" i="170" s="1"/>
  <c r="I435" i="170"/>
  <c r="J439" i="170" s="1"/>
  <c r="I40" i="170"/>
  <c r="J44" i="170" s="1"/>
  <c r="C554" i="170"/>
  <c r="D558" i="170" s="1"/>
  <c r="I418" i="170"/>
  <c r="J422" i="170" s="1"/>
  <c r="C210" i="170"/>
  <c r="D214" i="170" s="1"/>
  <c r="I23" i="170"/>
  <c r="J27" i="170" s="1"/>
  <c r="C640" i="170"/>
  <c r="D644" i="170" s="1"/>
  <c r="I193" i="170"/>
  <c r="J197" i="170" s="1"/>
  <c r="I313" i="170"/>
  <c r="J317" i="170" s="1"/>
  <c r="I366" i="170"/>
  <c r="J370" i="170" s="1"/>
  <c r="I349" i="170"/>
  <c r="J353" i="170" s="1"/>
  <c r="I487" i="170"/>
  <c r="J491" i="170" s="1"/>
  <c r="I245" i="170"/>
  <c r="J249" i="170" s="1"/>
  <c r="C159" i="170"/>
  <c r="D163" i="170" s="1"/>
  <c r="I451" i="170"/>
  <c r="J455" i="170" s="1"/>
  <c r="I331" i="170"/>
  <c r="J335" i="170" s="1"/>
  <c r="I176" i="170"/>
  <c r="J180" i="170" s="1"/>
  <c r="I504" i="170"/>
  <c r="J508" i="170" s="1"/>
  <c r="I210" i="170"/>
  <c r="J214" i="170" s="1"/>
  <c r="I296" i="170"/>
  <c r="J300" i="170" s="1"/>
  <c r="C401" i="170"/>
  <c r="D405" i="170" s="1"/>
  <c r="C228" i="170"/>
  <c r="D232" i="170" s="1"/>
  <c r="C349" i="170"/>
  <c r="D353" i="170" s="1"/>
  <c r="I383" i="170"/>
  <c r="J387" i="170" s="1"/>
  <c r="C605" i="170"/>
  <c r="D609" i="170" s="1"/>
  <c r="I571" i="170"/>
  <c r="J575" i="170" s="1"/>
  <c r="C57" i="170"/>
  <c r="D61" i="170" s="1"/>
  <c r="C487" i="170"/>
  <c r="D491" i="170" s="1"/>
  <c r="C262" i="170"/>
  <c r="D266" i="170" s="1"/>
  <c r="I622" i="170"/>
  <c r="J626" i="170" s="1"/>
  <c r="C91" i="170"/>
  <c r="D95" i="170" s="1"/>
  <c r="I91" i="170"/>
  <c r="J95" i="170" s="1"/>
  <c r="I74" i="170"/>
  <c r="J78" i="170" s="1"/>
  <c r="I142" i="170"/>
  <c r="J146" i="170" s="1"/>
  <c r="A1283" i="170"/>
  <c r="G1266" i="170"/>
  <c r="K97" i="151"/>
  <c r="H33" i="101"/>
  <c r="H29" i="101"/>
  <c r="H39" i="101"/>
  <c r="H66" i="101"/>
  <c r="H73" i="101"/>
  <c r="H24" i="101"/>
  <c r="H51" i="101"/>
  <c r="H23" i="101"/>
  <c r="H75" i="101"/>
  <c r="H52" i="101"/>
  <c r="H21" i="101"/>
  <c r="H36" i="101"/>
  <c r="H77" i="101"/>
  <c r="H71" i="101"/>
  <c r="H41" i="101"/>
  <c r="H35" i="101"/>
  <c r="H61" i="101"/>
  <c r="H48" i="101"/>
  <c r="H60" i="101"/>
  <c r="H28" i="101"/>
  <c r="H32" i="101"/>
  <c r="H26" i="101"/>
  <c r="H30" i="101"/>
  <c r="H70" i="101"/>
  <c r="H34" i="101"/>
  <c r="H25" i="101"/>
  <c r="H67" i="101"/>
  <c r="H40" i="101"/>
  <c r="H19" i="101"/>
  <c r="H27" i="101"/>
  <c r="H76" i="101"/>
  <c r="H37" i="101"/>
  <c r="H46" i="101"/>
  <c r="H64" i="101"/>
  <c r="H55" i="101"/>
  <c r="H31" i="101"/>
  <c r="H43" i="101"/>
  <c r="H49" i="101"/>
  <c r="H68" i="101"/>
  <c r="H42" i="101"/>
  <c r="H62" i="101"/>
  <c r="H50" i="101"/>
  <c r="H57" i="101"/>
  <c r="H72" i="101"/>
  <c r="H56" i="101"/>
  <c r="H38" i="101"/>
  <c r="H59" i="101"/>
  <c r="H69" i="101"/>
  <c r="H74" i="101"/>
  <c r="H44" i="101"/>
  <c r="H54" i="101"/>
  <c r="H53" i="101"/>
  <c r="H63" i="101"/>
  <c r="H20" i="101"/>
  <c r="H58" i="101"/>
  <c r="H47" i="101"/>
  <c r="H22" i="101"/>
  <c r="AJ94" i="8"/>
  <c r="AJ157" i="8" s="1"/>
  <c r="G1283" i="170" l="1"/>
  <c r="A1300" i="170"/>
  <c r="G1300" i="170" l="1"/>
  <c r="A1317" i="170"/>
  <c r="D15" i="136"/>
  <c r="AT85" i="8"/>
  <c r="Y6" i="137"/>
  <c r="Z6" i="137" s="1"/>
  <c r="AA6" i="137" s="1"/>
  <c r="AP19" i="138"/>
  <c r="AO19" i="138"/>
  <c r="AN19" i="138"/>
  <c r="AL16" i="138"/>
  <c r="F16" i="137"/>
  <c r="A1334" i="170" l="1"/>
  <c r="G1317" i="170"/>
  <c r="AK15" i="138"/>
  <c r="A1351" i="170" l="1"/>
  <c r="G1334" i="170"/>
  <c r="D19" i="79"/>
  <c r="J16" i="137"/>
  <c r="K16" i="137"/>
  <c r="G1351" i="170" l="1"/>
  <c r="A1368" i="170"/>
  <c r="G1368" i="170" l="1"/>
  <c r="A1385" i="170"/>
  <c r="A1402" i="170" l="1"/>
  <c r="G1385" i="170"/>
  <c r="A1419" i="170" l="1"/>
  <c r="A1436" i="170" s="1"/>
  <c r="A1454" i="170" s="1"/>
  <c r="G1454" i="170" s="1"/>
  <c r="G1402" i="170"/>
  <c r="Z5" i="136"/>
  <c r="AA5" i="136" s="1"/>
  <c r="AB5" i="136" s="1"/>
  <c r="G1419" i="170" l="1"/>
  <c r="E12" i="136"/>
  <c r="A1491" i="170" l="1"/>
  <c r="G1436" i="170"/>
  <c r="AC159" i="9"/>
  <c r="T85" i="9"/>
  <c r="I90" i="151" s="1"/>
  <c r="T86" i="9"/>
  <c r="I91" i="151" s="1"/>
  <c r="T93" i="9"/>
  <c r="T80" i="9"/>
  <c r="I85" i="151" s="1"/>
  <c r="M85" i="151" s="1"/>
  <c r="T81" i="9"/>
  <c r="I86" i="151" s="1"/>
  <c r="M86" i="151" s="1"/>
  <c r="T82" i="9"/>
  <c r="I87" i="151" s="1"/>
  <c r="M87" i="151" s="1"/>
  <c r="T83" i="9"/>
  <c r="I88" i="151" s="1"/>
  <c r="M88" i="151" s="1"/>
  <c r="T84" i="9"/>
  <c r="I89" i="151" s="1"/>
  <c r="AC84" i="9"/>
  <c r="AC85" i="9"/>
  <c r="AC86" i="9"/>
  <c r="M91" i="151" l="1"/>
  <c r="K91" i="151"/>
  <c r="M89" i="151"/>
  <c r="K89" i="151"/>
  <c r="M90" i="151"/>
  <c r="K90" i="151"/>
  <c r="A1472" i="170"/>
  <c r="G1472" i="170" s="1"/>
  <c r="A1508" i="170"/>
  <c r="A1525" i="170" s="1"/>
  <c r="A1542" i="170" s="1"/>
  <c r="A1559" i="170" s="1"/>
  <c r="G1491" i="170"/>
  <c r="G1508" i="170" s="1"/>
  <c r="G1525" i="170" s="1"/>
  <c r="G1542" i="170" s="1"/>
  <c r="AC82" i="9"/>
  <c r="G171" i="151"/>
  <c r="F74" i="101"/>
  <c r="AC83" i="9"/>
  <c r="G175" i="151"/>
  <c r="AC81" i="9"/>
  <c r="AC153" i="9"/>
  <c r="F80" i="101" l="1"/>
  <c r="A1576" i="170"/>
  <c r="G1559" i="170"/>
  <c r="G177" i="151"/>
  <c r="Y177" i="151" s="1"/>
  <c r="AA177" i="151" s="1"/>
  <c r="G178" i="151"/>
  <c r="G86" i="151"/>
  <c r="G88" i="151"/>
  <c r="G87" i="151"/>
  <c r="Y178" i="151" l="1"/>
  <c r="AA178" i="151" s="1"/>
  <c r="G1576" i="170"/>
  <c r="A1593" i="170"/>
  <c r="AE95" i="9"/>
  <c r="R51" i="59"/>
  <c r="R37" i="59"/>
  <c r="R82" i="59" s="1"/>
  <c r="S82" i="59" s="1"/>
  <c r="C83" i="59"/>
  <c r="C76" i="59"/>
  <c r="G83" i="59"/>
  <c r="G76" i="59"/>
  <c r="G1593" i="170" l="1"/>
  <c r="A1610" i="170"/>
  <c r="G93" i="99"/>
  <c r="L93" i="99" s="1"/>
  <c r="U88" i="9"/>
  <c r="G84" i="59"/>
  <c r="C84" i="59"/>
  <c r="M189" i="132"/>
  <c r="Q85" i="59"/>
  <c r="J93" i="99" l="1"/>
  <c r="A1627" i="170"/>
  <c r="G1610" i="170"/>
  <c r="A1644" i="170" l="1"/>
  <c r="G1627" i="170"/>
  <c r="G1644" i="170" l="1"/>
  <c r="A1661" i="170"/>
  <c r="A1678" i="170" l="1"/>
  <c r="G1661" i="170"/>
  <c r="H91" i="99"/>
  <c r="A1695" i="170" l="1"/>
  <c r="G1678" i="170"/>
  <c r="H90" i="99"/>
  <c r="H89" i="99"/>
  <c r="A1712" i="170" l="1"/>
  <c r="G1695" i="170"/>
  <c r="AP161" i="128"/>
  <c r="G1712" i="170" l="1"/>
  <c r="A1729" i="170"/>
  <c r="D157" i="128"/>
  <c r="K75" i="101" s="1"/>
  <c r="D158" i="128"/>
  <c r="K76" i="101" s="1"/>
  <c r="G1729" i="170" l="1"/>
  <c r="A1746" i="170"/>
  <c r="U84" i="9"/>
  <c r="U85" i="9"/>
  <c r="U86" i="9"/>
  <c r="G91" i="99"/>
  <c r="L91" i="99" s="1"/>
  <c r="G90" i="99"/>
  <c r="L90" i="99" s="1"/>
  <c r="G89" i="99"/>
  <c r="E15" i="136"/>
  <c r="E17" i="136" s="1"/>
  <c r="AX158" i="8"/>
  <c r="L89" i="99" l="1"/>
  <c r="G103" i="99"/>
  <c r="J89" i="99"/>
  <c r="J90" i="99"/>
  <c r="J91" i="99"/>
  <c r="G1746" i="170"/>
  <c r="A1763" i="170"/>
  <c r="A1780" i="170" l="1"/>
  <c r="G1763" i="170"/>
  <c r="G16" i="136"/>
  <c r="F13" i="167" l="1"/>
  <c r="J185" i="132"/>
  <c r="A1797" i="170"/>
  <c r="G1780" i="170"/>
  <c r="H16" i="136"/>
  <c r="K185" i="132" s="1"/>
  <c r="G15" i="136"/>
  <c r="G34" i="154" s="1"/>
  <c r="K4" i="9"/>
  <c r="P59" i="59"/>
  <c r="C62" i="59"/>
  <c r="C70" i="59" s="1"/>
  <c r="P17" i="59"/>
  <c r="L185" i="132" l="1"/>
  <c r="N185" i="132" s="1"/>
  <c r="A1814" i="170"/>
  <c r="G1797" i="170"/>
  <c r="H15" i="136"/>
  <c r="G13" i="167"/>
  <c r="I16" i="136"/>
  <c r="J4" i="9"/>
  <c r="C11" i="9"/>
  <c r="U11" i="9" s="1"/>
  <c r="C12" i="9"/>
  <c r="P19" i="59"/>
  <c r="P21" i="59"/>
  <c r="P22" i="59"/>
  <c r="P23" i="59"/>
  <c r="P24" i="59"/>
  <c r="P25" i="59"/>
  <c r="P26" i="59"/>
  <c r="P29" i="59"/>
  <c r="P44" i="59"/>
  <c r="P45" i="59"/>
  <c r="P46" i="59"/>
  <c r="P47" i="59"/>
  <c r="P49" i="59"/>
  <c r="P50" i="59"/>
  <c r="P51" i="59"/>
  <c r="P52" i="59"/>
  <c r="P53" i="59"/>
  <c r="P54" i="59"/>
  <c r="P57" i="59"/>
  <c r="P58" i="59"/>
  <c r="P60" i="59"/>
  <c r="P61" i="59"/>
  <c r="P63" i="59"/>
  <c r="P64" i="59"/>
  <c r="P65" i="59"/>
  <c r="P66" i="59"/>
  <c r="P67" i="59"/>
  <c r="P68" i="59"/>
  <c r="P7" i="59"/>
  <c r="P8" i="59"/>
  <c r="P10" i="59"/>
  <c r="P11" i="59"/>
  <c r="P12" i="59"/>
  <c r="P15" i="59"/>
  <c r="P16" i="59"/>
  <c r="P18" i="59"/>
  <c r="P4" i="59"/>
  <c r="P5" i="59"/>
  <c r="P3" i="59"/>
  <c r="S91" i="151" l="1"/>
  <c r="S92" i="151"/>
  <c r="P94" i="151"/>
  <c r="S96" i="151"/>
  <c r="O97" i="151"/>
  <c r="P89" i="151"/>
  <c r="R94" i="151"/>
  <c r="Q90" i="151"/>
  <c r="Q93" i="151"/>
  <c r="P97" i="151"/>
  <c r="P93" i="151"/>
  <c r="Q96" i="151"/>
  <c r="Q95" i="151"/>
  <c r="Q89" i="151"/>
  <c r="R97" i="151"/>
  <c r="P90" i="151"/>
  <c r="P95" i="151"/>
  <c r="S93" i="151"/>
  <c r="Q91" i="151"/>
  <c r="S97" i="151"/>
  <c r="Q92" i="151"/>
  <c r="P92" i="151"/>
  <c r="S94" i="151"/>
  <c r="S95" i="151"/>
  <c r="Q94" i="151"/>
  <c r="P91" i="151"/>
  <c r="N97" i="151"/>
  <c r="R93" i="151"/>
  <c r="R95" i="151"/>
  <c r="R92" i="151"/>
  <c r="P96" i="151"/>
  <c r="R91" i="151"/>
  <c r="Q97" i="151"/>
  <c r="R96" i="151"/>
  <c r="R90" i="151"/>
  <c r="S89" i="151"/>
  <c r="S90" i="151"/>
  <c r="R89" i="151"/>
  <c r="A1831" i="170"/>
  <c r="G1814" i="170"/>
  <c r="AA11" i="9"/>
  <c r="Z11" i="9"/>
  <c r="P95" i="99"/>
  <c r="P97" i="99"/>
  <c r="O97" i="99"/>
  <c r="O95" i="99"/>
  <c r="E95" i="99"/>
  <c r="F95" i="99" s="1"/>
  <c r="Q97" i="99"/>
  <c r="R97" i="99"/>
  <c r="R95" i="99"/>
  <c r="E97" i="99"/>
  <c r="F97" i="99" s="1"/>
  <c r="Q95" i="99"/>
  <c r="R98" i="99"/>
  <c r="O98" i="99"/>
  <c r="Q98" i="99"/>
  <c r="F98" i="99"/>
  <c r="P98" i="99"/>
  <c r="F93" i="99"/>
  <c r="F94" i="99"/>
  <c r="F92" i="99"/>
  <c r="F90" i="99"/>
  <c r="C17" i="99"/>
  <c r="K17" i="99" s="1"/>
  <c r="Z12" i="9"/>
  <c r="AA12" i="9"/>
  <c r="AC11" i="9"/>
  <c r="R91" i="99"/>
  <c r="Q91" i="99"/>
  <c r="Q92" i="99"/>
  <c r="R90" i="99"/>
  <c r="Q82" i="99"/>
  <c r="Q61" i="99"/>
  <c r="Q93" i="99"/>
  <c r="Q71" i="99"/>
  <c r="R76" i="99"/>
  <c r="Q94" i="99"/>
  <c r="R67" i="99"/>
  <c r="R88" i="99"/>
  <c r="Q80" i="99"/>
  <c r="R87" i="99"/>
  <c r="R94" i="99"/>
  <c r="R93" i="99"/>
  <c r="R58" i="99"/>
  <c r="R74" i="99"/>
  <c r="Q66" i="99"/>
  <c r="Q77" i="99"/>
  <c r="R71" i="99"/>
  <c r="R60" i="99"/>
  <c r="R92" i="99"/>
  <c r="R69" i="99"/>
  <c r="R85" i="99"/>
  <c r="Q63" i="99"/>
  <c r="R72" i="99"/>
  <c r="Q64" i="99"/>
  <c r="Q75" i="99"/>
  <c r="Q57" i="99"/>
  <c r="R68" i="99"/>
  <c r="R64" i="99"/>
  <c r="Q58" i="99"/>
  <c r="Q90" i="99"/>
  <c r="Q85" i="99"/>
  <c r="Q88" i="99"/>
  <c r="Q60" i="99"/>
  <c r="Q62" i="99"/>
  <c r="R30" i="99"/>
  <c r="R57" i="99"/>
  <c r="R44" i="99"/>
  <c r="Q42" i="99"/>
  <c r="Q65" i="99"/>
  <c r="R47" i="99"/>
  <c r="R53" i="99"/>
  <c r="R40" i="99"/>
  <c r="R45" i="99"/>
  <c r="Q43" i="99"/>
  <c r="R18" i="99"/>
  <c r="R42" i="99"/>
  <c r="Q33" i="99"/>
  <c r="R19" i="99"/>
  <c r="R35" i="99"/>
  <c r="R51" i="99"/>
  <c r="Q32" i="99"/>
  <c r="Q30" i="99"/>
  <c r="Q29" i="99"/>
  <c r="R20" i="99"/>
  <c r="P26" i="151"/>
  <c r="P42" i="151"/>
  <c r="P58" i="151"/>
  <c r="P74" i="151"/>
  <c r="Q33" i="151"/>
  <c r="Q49" i="151"/>
  <c r="Q65" i="151"/>
  <c r="Q81" i="151"/>
  <c r="R20" i="151"/>
  <c r="P36" i="151"/>
  <c r="S36" i="151"/>
  <c r="R56" i="151"/>
  <c r="P76" i="151"/>
  <c r="S76" i="151"/>
  <c r="S88" i="151"/>
  <c r="S27" i="151"/>
  <c r="Q27" i="151"/>
  <c r="R43" i="151"/>
  <c r="S59" i="151"/>
  <c r="P59" i="151"/>
  <c r="R75" i="151"/>
  <c r="S87" i="151"/>
  <c r="P87" i="151"/>
  <c r="P44" i="151"/>
  <c r="R44" i="151"/>
  <c r="S60" i="151"/>
  <c r="P72" i="151"/>
  <c r="R23" i="151"/>
  <c r="S39" i="151"/>
  <c r="P39" i="151"/>
  <c r="R55" i="151"/>
  <c r="S71" i="151"/>
  <c r="P71" i="151"/>
  <c r="R22" i="151"/>
  <c r="P30" i="151"/>
  <c r="R38" i="151"/>
  <c r="P46" i="151"/>
  <c r="P62" i="151"/>
  <c r="P78" i="151"/>
  <c r="R21" i="151"/>
  <c r="S29" i="151"/>
  <c r="P29" i="151"/>
  <c r="R37" i="151"/>
  <c r="S45" i="151"/>
  <c r="P45" i="151"/>
  <c r="R53" i="151"/>
  <c r="S61" i="151"/>
  <c r="P61" i="151"/>
  <c r="R69" i="151"/>
  <c r="S77" i="151"/>
  <c r="P77" i="151"/>
  <c r="R85" i="151"/>
  <c r="P28" i="151"/>
  <c r="R28" i="151"/>
  <c r="P68" i="151"/>
  <c r="R68" i="151"/>
  <c r="S80" i="151"/>
  <c r="S19" i="151"/>
  <c r="P19" i="151"/>
  <c r="R35" i="151"/>
  <c r="S51" i="151"/>
  <c r="P51" i="151"/>
  <c r="R67" i="151"/>
  <c r="S79" i="151"/>
  <c r="Q79" i="151"/>
  <c r="R24" i="151"/>
  <c r="P40" i="151"/>
  <c r="S40" i="151"/>
  <c r="P64" i="151"/>
  <c r="R64" i="151"/>
  <c r="S31" i="151"/>
  <c r="Q31" i="151"/>
  <c r="R47" i="151"/>
  <c r="S63" i="151"/>
  <c r="P63" i="151"/>
  <c r="R83" i="151"/>
  <c r="Q70" i="99"/>
  <c r="Q89" i="99"/>
  <c r="R54" i="99"/>
  <c r="Q18" i="99"/>
  <c r="Q83" i="99"/>
  <c r="R37" i="99"/>
  <c r="Q68" i="99"/>
  <c r="R34" i="99"/>
  <c r="R28" i="99"/>
  <c r="R27" i="99"/>
  <c r="Q37" i="99"/>
  <c r="Q46" i="99"/>
  <c r="Q41" i="99"/>
  <c r="Q56" i="99"/>
  <c r="P34" i="151"/>
  <c r="P66" i="151"/>
  <c r="R74" i="151"/>
  <c r="Q41" i="151"/>
  <c r="Q73" i="151"/>
  <c r="S20" i="151"/>
  <c r="P56" i="151"/>
  <c r="R76" i="151"/>
  <c r="S43" i="151"/>
  <c r="R59" i="151"/>
  <c r="P75" i="151"/>
  <c r="P32" i="151"/>
  <c r="S23" i="151"/>
  <c r="R39" i="151"/>
  <c r="P55" i="151"/>
  <c r="P22" i="151"/>
  <c r="R30" i="151"/>
  <c r="P54" i="151"/>
  <c r="R62" i="151"/>
  <c r="R70" i="151"/>
  <c r="P86" i="151"/>
  <c r="R29" i="151"/>
  <c r="P37" i="151"/>
  <c r="S53" i="151"/>
  <c r="R61" i="151"/>
  <c r="P69" i="151"/>
  <c r="S85" i="151"/>
  <c r="R48" i="151"/>
  <c r="P80" i="151"/>
  <c r="R19" i="151"/>
  <c r="P35" i="151"/>
  <c r="S67" i="151"/>
  <c r="R79" i="151"/>
  <c r="S24" i="151"/>
  <c r="P52" i="151"/>
  <c r="S64" i="151"/>
  <c r="R84" i="151"/>
  <c r="S47" i="151"/>
  <c r="R63" i="151"/>
  <c r="P83" i="151"/>
  <c r="R62" i="99"/>
  <c r="R80" i="99"/>
  <c r="R84" i="99"/>
  <c r="R66" i="99"/>
  <c r="R78" i="99"/>
  <c r="Q72" i="99"/>
  <c r="R86" i="99"/>
  <c r="Q27" i="99"/>
  <c r="R50" i="99"/>
  <c r="R23" i="99"/>
  <c r="Q79" i="99"/>
  <c r="Q26" i="99"/>
  <c r="Q20" i="99"/>
  <c r="Q39" i="99"/>
  <c r="Q44" i="99"/>
  <c r="Q28" i="99"/>
  <c r="Q18" i="151"/>
  <c r="S26" i="151"/>
  <c r="R34" i="151"/>
  <c r="Q50" i="151"/>
  <c r="S58" i="151"/>
  <c r="R66" i="151"/>
  <c r="Q82" i="151"/>
  <c r="R25" i="151"/>
  <c r="P33" i="151"/>
  <c r="S49" i="151"/>
  <c r="R57" i="151"/>
  <c r="P65" i="151"/>
  <c r="S81" i="151"/>
  <c r="Q56" i="151"/>
  <c r="R88" i="151"/>
  <c r="Q75" i="151"/>
  <c r="Q32" i="151"/>
  <c r="R60" i="151"/>
  <c r="Q55" i="151"/>
  <c r="Q22" i="151"/>
  <c r="S30" i="151"/>
  <c r="Q54" i="151"/>
  <c r="S62" i="151"/>
  <c r="Q86" i="151"/>
  <c r="Q21" i="151"/>
  <c r="Q53" i="151"/>
  <c r="Q85" i="151"/>
  <c r="Q48" i="151"/>
  <c r="Q67" i="151"/>
  <c r="Q24" i="151"/>
  <c r="S52" i="151"/>
  <c r="Q84" i="151"/>
  <c r="P47" i="151"/>
  <c r="Q86" i="99"/>
  <c r="R89" i="99"/>
  <c r="R79" i="99"/>
  <c r="R83" i="99"/>
  <c r="R82" i="99"/>
  <c r="R77" i="99"/>
  <c r="Q76" i="99"/>
  <c r="Q87" i="99"/>
  <c r="Q78" i="99"/>
  <c r="R24" i="99"/>
  <c r="Q84" i="99"/>
  <c r="Q51" i="99"/>
  <c r="R26" i="99"/>
  <c r="Q45" i="99"/>
  <c r="Q81" i="99"/>
  <c r="R39" i="99"/>
  <c r="R32" i="99"/>
  <c r="R29" i="99"/>
  <c r="Q73" i="99"/>
  <c r="Q19" i="99"/>
  <c r="Q40" i="99"/>
  <c r="Q34" i="99"/>
  <c r="Q25" i="99"/>
  <c r="Q36" i="99"/>
  <c r="Q31" i="99"/>
  <c r="Q47" i="99"/>
  <c r="R49" i="99"/>
  <c r="Q22" i="99"/>
  <c r="Q54" i="99"/>
  <c r="R25" i="99"/>
  <c r="Q53" i="99"/>
  <c r="Q48" i="99"/>
  <c r="S18" i="151"/>
  <c r="Q26" i="151"/>
  <c r="S34" i="151"/>
  <c r="Q42" i="151"/>
  <c r="R42" i="151"/>
  <c r="S50" i="151"/>
  <c r="Q58" i="151"/>
  <c r="R58" i="151"/>
  <c r="S66" i="151"/>
  <c r="Q74" i="151"/>
  <c r="S82" i="151"/>
  <c r="S25" i="151"/>
  <c r="P25" i="151"/>
  <c r="R33" i="151"/>
  <c r="S41" i="151"/>
  <c r="P41" i="151"/>
  <c r="R49" i="151"/>
  <c r="S57" i="151"/>
  <c r="P57" i="151"/>
  <c r="R65" i="151"/>
  <c r="S73" i="151"/>
  <c r="P73" i="151"/>
  <c r="R81" i="151"/>
  <c r="Q36" i="151"/>
  <c r="Q76" i="151"/>
  <c r="P27" i="151"/>
  <c r="Q59" i="151"/>
  <c r="Q87" i="151"/>
  <c r="Q44" i="151"/>
  <c r="S44" i="151"/>
  <c r="Q72" i="151"/>
  <c r="R72" i="151"/>
  <c r="Q39" i="151"/>
  <c r="Q71" i="151"/>
  <c r="S22" i="151"/>
  <c r="Q30" i="151"/>
  <c r="S38" i="151"/>
  <c r="Q46" i="151"/>
  <c r="S54" i="151"/>
  <c r="Q62" i="151"/>
  <c r="S70" i="151"/>
  <c r="Q78" i="151"/>
  <c r="R78" i="151"/>
  <c r="S86" i="151"/>
  <c r="Q29" i="151"/>
  <c r="Q45" i="151"/>
  <c r="Q61" i="151"/>
  <c r="Q77" i="151"/>
  <c r="Q28" i="151"/>
  <c r="S28" i="151"/>
  <c r="Q68" i="151"/>
  <c r="S68" i="151"/>
  <c r="Q19" i="151"/>
  <c r="Q51" i="151"/>
  <c r="P79" i="151"/>
  <c r="Q40" i="151"/>
  <c r="Q64" i="151"/>
  <c r="P31" i="151"/>
  <c r="Q63" i="151"/>
  <c r="R73" i="99"/>
  <c r="Q67" i="99"/>
  <c r="R63" i="99"/>
  <c r="Q74" i="99"/>
  <c r="Q69" i="99"/>
  <c r="R81" i="99"/>
  <c r="R75" i="99"/>
  <c r="R70" i="99"/>
  <c r="Q35" i="99"/>
  <c r="R41" i="99"/>
  <c r="R31" i="99"/>
  <c r="R21" i="99"/>
  <c r="R46" i="99"/>
  <c r="Q24" i="99"/>
  <c r="R43" i="99"/>
  <c r="R52" i="99"/>
  <c r="Q21" i="99"/>
  <c r="R36" i="99"/>
  <c r="P18" i="151"/>
  <c r="R26" i="151"/>
  <c r="P50" i="151"/>
  <c r="P82" i="151"/>
  <c r="Q25" i="151"/>
  <c r="Q57" i="151"/>
  <c r="P20" i="151"/>
  <c r="R36" i="151"/>
  <c r="S56" i="151"/>
  <c r="P88" i="151"/>
  <c r="R27" i="151"/>
  <c r="Q43" i="151"/>
  <c r="S75" i="151"/>
  <c r="R87" i="151"/>
  <c r="R32" i="151"/>
  <c r="P60" i="151"/>
  <c r="S72" i="151"/>
  <c r="P23" i="151"/>
  <c r="S55" i="151"/>
  <c r="R71" i="151"/>
  <c r="P38" i="151"/>
  <c r="R46" i="151"/>
  <c r="P70" i="151"/>
  <c r="R86" i="151"/>
  <c r="S21" i="151"/>
  <c r="P21" i="151"/>
  <c r="S37" i="151"/>
  <c r="R45" i="151"/>
  <c r="P53" i="151"/>
  <c r="S69" i="151"/>
  <c r="R77" i="151"/>
  <c r="P85" i="151"/>
  <c r="P48" i="151"/>
  <c r="R80" i="151"/>
  <c r="S35" i="151"/>
  <c r="R51" i="151"/>
  <c r="P67" i="151"/>
  <c r="P24" i="151"/>
  <c r="R40" i="151"/>
  <c r="R52" i="151"/>
  <c r="P84" i="151"/>
  <c r="R31" i="151"/>
  <c r="Q47" i="151"/>
  <c r="S83" i="151"/>
  <c r="R65" i="99"/>
  <c r="R61" i="99"/>
  <c r="R59" i="99"/>
  <c r="R38" i="99"/>
  <c r="Q52" i="99"/>
  <c r="Q59" i="99"/>
  <c r="R55" i="99"/>
  <c r="R48" i="99"/>
  <c r="R22" i="99"/>
  <c r="Q49" i="99"/>
  <c r="Q50" i="99"/>
  <c r="Q23" i="99"/>
  <c r="Q55" i="99"/>
  <c r="Q38" i="99"/>
  <c r="R33" i="99"/>
  <c r="R56" i="99"/>
  <c r="R18" i="151"/>
  <c r="Q34" i="151"/>
  <c r="S42" i="151"/>
  <c r="R50" i="151"/>
  <c r="Q66" i="151"/>
  <c r="S74" i="151"/>
  <c r="R82" i="151"/>
  <c r="S33" i="151"/>
  <c r="R41" i="151"/>
  <c r="P49" i="151"/>
  <c r="S65" i="151"/>
  <c r="R73" i="151"/>
  <c r="P81" i="151"/>
  <c r="Q20" i="151"/>
  <c r="Q88" i="151"/>
  <c r="P43" i="151"/>
  <c r="S32" i="151"/>
  <c r="Q60" i="151"/>
  <c r="Q23" i="151"/>
  <c r="Q38" i="151"/>
  <c r="S46" i="151"/>
  <c r="R54" i="151"/>
  <c r="Q70" i="151"/>
  <c r="S78" i="151"/>
  <c r="Q37" i="151"/>
  <c r="Q69" i="151"/>
  <c r="S48" i="151"/>
  <c r="Q80" i="151"/>
  <c r="Q35" i="151"/>
  <c r="Q52" i="151"/>
  <c r="S84" i="151"/>
  <c r="Q83" i="151"/>
  <c r="H34" i="154"/>
  <c r="I15" i="136"/>
  <c r="G81" i="151"/>
  <c r="G73" i="151"/>
  <c r="G65" i="151"/>
  <c r="G57" i="151"/>
  <c r="G49" i="151"/>
  <c r="G41" i="151"/>
  <c r="G33" i="151"/>
  <c r="G25" i="151"/>
  <c r="G82" i="151"/>
  <c r="G74" i="151"/>
  <c r="G66" i="151"/>
  <c r="G58" i="151"/>
  <c r="G50" i="151"/>
  <c r="G46" i="151"/>
  <c r="G38" i="151"/>
  <c r="G30" i="151"/>
  <c r="G26" i="151"/>
  <c r="G22" i="151"/>
  <c r="G18" i="151"/>
  <c r="G83" i="151"/>
  <c r="G79" i="151"/>
  <c r="G75" i="151"/>
  <c r="G71" i="151"/>
  <c r="G67" i="151"/>
  <c r="G63" i="151"/>
  <c r="G59" i="151"/>
  <c r="G55" i="151"/>
  <c r="G51" i="151"/>
  <c r="G47" i="151"/>
  <c r="G43" i="151"/>
  <c r="G39" i="151"/>
  <c r="G35" i="151"/>
  <c r="G31" i="151"/>
  <c r="G27" i="151"/>
  <c r="G23" i="151"/>
  <c r="G19" i="151"/>
  <c r="G77" i="151"/>
  <c r="G69" i="151"/>
  <c r="G61" i="151"/>
  <c r="G53" i="151"/>
  <c r="G45" i="151"/>
  <c r="G37" i="151"/>
  <c r="G29" i="151"/>
  <c r="G21" i="151"/>
  <c r="G78" i="151"/>
  <c r="G70" i="151"/>
  <c r="G62" i="151"/>
  <c r="G54" i="151"/>
  <c r="G42" i="151"/>
  <c r="G34" i="151"/>
  <c r="G84" i="151"/>
  <c r="G80" i="151"/>
  <c r="G76" i="151"/>
  <c r="G72" i="151"/>
  <c r="G68" i="151"/>
  <c r="G64" i="151"/>
  <c r="G60" i="151"/>
  <c r="G56" i="151"/>
  <c r="G52" i="151"/>
  <c r="G48" i="151"/>
  <c r="G44" i="151"/>
  <c r="G40" i="151"/>
  <c r="G36" i="151"/>
  <c r="G32" i="151"/>
  <c r="G28" i="151"/>
  <c r="G24" i="151"/>
  <c r="G20" i="151"/>
  <c r="O94" i="99"/>
  <c r="O93" i="99"/>
  <c r="O92" i="99"/>
  <c r="P94" i="99"/>
  <c r="P92" i="99"/>
  <c r="P93" i="99"/>
  <c r="AC80" i="9"/>
  <c r="G166" i="151"/>
  <c r="F69" i="101"/>
  <c r="F61" i="101"/>
  <c r="G158" i="151"/>
  <c r="F53" i="101"/>
  <c r="G150" i="151"/>
  <c r="F45" i="101"/>
  <c r="G142" i="151"/>
  <c r="F37" i="101"/>
  <c r="G134" i="151"/>
  <c r="G126" i="151"/>
  <c r="F29" i="101"/>
  <c r="F21" i="101"/>
  <c r="G118" i="151"/>
  <c r="G163" i="151"/>
  <c r="F66" i="101"/>
  <c r="G155" i="151"/>
  <c r="F58" i="101"/>
  <c r="G151" i="151"/>
  <c r="F54" i="101"/>
  <c r="G143" i="151"/>
  <c r="F46" i="101"/>
  <c r="F42" i="101"/>
  <c r="G139" i="151"/>
  <c r="G131" i="151"/>
  <c r="F34" i="101"/>
  <c r="G123" i="151"/>
  <c r="F26" i="101"/>
  <c r="G119" i="151"/>
  <c r="F22" i="101"/>
  <c r="F71" i="101"/>
  <c r="G168" i="151"/>
  <c r="G164" i="151"/>
  <c r="F67" i="101"/>
  <c r="G160" i="151"/>
  <c r="F63" i="101"/>
  <c r="G156" i="151"/>
  <c r="F59" i="101"/>
  <c r="F55" i="101"/>
  <c r="G152" i="151"/>
  <c r="F51" i="101"/>
  <c r="G148" i="151"/>
  <c r="G144" i="151"/>
  <c r="F47" i="101"/>
  <c r="F43" i="101"/>
  <c r="G140" i="151"/>
  <c r="F39" i="101"/>
  <c r="G136" i="151"/>
  <c r="G132" i="151"/>
  <c r="F35" i="101"/>
  <c r="F31" i="101"/>
  <c r="G128" i="151"/>
  <c r="F27" i="101"/>
  <c r="G124" i="151"/>
  <c r="G120" i="151"/>
  <c r="F23" i="101"/>
  <c r="G116" i="151"/>
  <c r="F19" i="101"/>
  <c r="G170" i="151"/>
  <c r="F73" i="101"/>
  <c r="G162" i="151"/>
  <c r="F65" i="101"/>
  <c r="G154" i="151"/>
  <c r="F57" i="101"/>
  <c r="G146" i="151"/>
  <c r="F49" i="101"/>
  <c r="G138" i="151"/>
  <c r="F41" i="101"/>
  <c r="G130" i="151"/>
  <c r="F33" i="101"/>
  <c r="G122" i="151"/>
  <c r="F25" i="101"/>
  <c r="F70" i="101"/>
  <c r="G167" i="151"/>
  <c r="G159" i="151"/>
  <c r="F62" i="101"/>
  <c r="G147" i="151"/>
  <c r="F50" i="101"/>
  <c r="G135" i="151"/>
  <c r="F38" i="101"/>
  <c r="G127" i="151"/>
  <c r="F30" i="101"/>
  <c r="G115" i="151"/>
  <c r="G169" i="151"/>
  <c r="F72" i="101"/>
  <c r="F68" i="101"/>
  <c r="G165" i="151"/>
  <c r="G161" i="151"/>
  <c r="F64" i="101"/>
  <c r="G157" i="151"/>
  <c r="F60" i="101"/>
  <c r="F56" i="101"/>
  <c r="G153" i="151"/>
  <c r="G149" i="151"/>
  <c r="F52" i="101"/>
  <c r="G145" i="151"/>
  <c r="F48" i="101"/>
  <c r="G141" i="151"/>
  <c r="F44" i="101"/>
  <c r="G137" i="151"/>
  <c r="F40" i="101"/>
  <c r="G133" i="151"/>
  <c r="F36" i="101"/>
  <c r="G129" i="151"/>
  <c r="F32" i="101"/>
  <c r="G125" i="151"/>
  <c r="F28" i="101"/>
  <c r="F24" i="101"/>
  <c r="G121" i="151"/>
  <c r="G117" i="151"/>
  <c r="F20" i="101"/>
  <c r="C16" i="99"/>
  <c r="K16" i="99" s="1"/>
  <c r="AD11" i="9"/>
  <c r="O91" i="99"/>
  <c r="P28" i="99"/>
  <c r="P35" i="99"/>
  <c r="P66" i="99"/>
  <c r="P68" i="99"/>
  <c r="P19" i="99"/>
  <c r="P91" i="99"/>
  <c r="P50" i="99"/>
  <c r="P85" i="99"/>
  <c r="P24" i="99"/>
  <c r="P41" i="99"/>
  <c r="P73" i="99"/>
  <c r="P60" i="99"/>
  <c r="P69" i="99"/>
  <c r="P67" i="99"/>
  <c r="P42" i="99"/>
  <c r="P21" i="99"/>
  <c r="P44" i="99"/>
  <c r="P59" i="99"/>
  <c r="P26" i="99"/>
  <c r="P82" i="99"/>
  <c r="P72" i="99"/>
  <c r="P89" i="99"/>
  <c r="P84" i="99"/>
  <c r="P90" i="99"/>
  <c r="P77" i="99"/>
  <c r="P29" i="99"/>
  <c r="P43" i="99"/>
  <c r="P88" i="99"/>
  <c r="P64" i="99"/>
  <c r="P23" i="99"/>
  <c r="P55" i="99"/>
  <c r="P87" i="99"/>
  <c r="P30" i="99"/>
  <c r="P62" i="99"/>
  <c r="P36" i="99"/>
  <c r="P83" i="99"/>
  <c r="P58" i="99"/>
  <c r="P37" i="99"/>
  <c r="P76" i="99"/>
  <c r="P48" i="99"/>
  <c r="P56" i="99"/>
  <c r="P47" i="99"/>
  <c r="P79" i="99"/>
  <c r="P22" i="99"/>
  <c r="P54" i="99"/>
  <c r="P86" i="99"/>
  <c r="P65" i="99"/>
  <c r="P51" i="99"/>
  <c r="P18" i="99"/>
  <c r="P52" i="99"/>
  <c r="P74" i="99"/>
  <c r="P45" i="99"/>
  <c r="P33" i="99"/>
  <c r="P40" i="99"/>
  <c r="P39" i="99"/>
  <c r="P71" i="99"/>
  <c r="P46" i="99"/>
  <c r="P78" i="99"/>
  <c r="P25" i="99"/>
  <c r="P57" i="99"/>
  <c r="P53" i="99"/>
  <c r="P27" i="99"/>
  <c r="P20" i="99"/>
  <c r="P61" i="99"/>
  <c r="P75" i="99"/>
  <c r="P34" i="99"/>
  <c r="P81" i="99"/>
  <c r="P32" i="99"/>
  <c r="P80" i="99"/>
  <c r="P31" i="99"/>
  <c r="P63" i="99"/>
  <c r="P38" i="99"/>
  <c r="P70" i="99"/>
  <c r="P49" i="99"/>
  <c r="O90" i="99"/>
  <c r="O89" i="99"/>
  <c r="AD12" i="9"/>
  <c r="D17" i="151"/>
  <c r="D16" i="151"/>
  <c r="H88" i="99"/>
  <c r="H75" i="99"/>
  <c r="H67" i="99"/>
  <c r="H59" i="99"/>
  <c r="H51" i="99"/>
  <c r="H43" i="99"/>
  <c r="H39" i="99"/>
  <c r="H31" i="99"/>
  <c r="H19" i="99"/>
  <c r="H87" i="99"/>
  <c r="H82" i="99"/>
  <c r="H78" i="99"/>
  <c r="H74" i="99"/>
  <c r="H70" i="99"/>
  <c r="H66" i="99"/>
  <c r="H62" i="99"/>
  <c r="H58" i="99"/>
  <c r="H54" i="99"/>
  <c r="H50" i="99"/>
  <c r="H46" i="99"/>
  <c r="H42" i="99"/>
  <c r="H38" i="99"/>
  <c r="H34" i="99"/>
  <c r="H30" i="99"/>
  <c r="H26" i="99"/>
  <c r="H22" i="99"/>
  <c r="H18" i="99"/>
  <c r="H83" i="99"/>
  <c r="H79" i="99"/>
  <c r="H71" i="99"/>
  <c r="H63" i="99"/>
  <c r="H55" i="99"/>
  <c r="H47" i="99"/>
  <c r="H35" i="99"/>
  <c r="H27" i="99"/>
  <c r="H23" i="99"/>
  <c r="H86" i="99"/>
  <c r="H81" i="99"/>
  <c r="H77" i="99"/>
  <c r="H73" i="99"/>
  <c r="H69" i="99"/>
  <c r="H65" i="99"/>
  <c r="H61" i="99"/>
  <c r="H57" i="99"/>
  <c r="H53" i="99"/>
  <c r="H49" i="99"/>
  <c r="H45" i="99"/>
  <c r="H41" i="99"/>
  <c r="H37" i="99"/>
  <c r="H33" i="99"/>
  <c r="H29" i="99"/>
  <c r="H25" i="99"/>
  <c r="H21" i="99"/>
  <c r="H85" i="99"/>
  <c r="H80" i="99"/>
  <c r="H76" i="99"/>
  <c r="H72" i="99"/>
  <c r="H68" i="99"/>
  <c r="H64" i="99"/>
  <c r="H60" i="99"/>
  <c r="H56" i="99"/>
  <c r="H52" i="99"/>
  <c r="H48" i="99"/>
  <c r="H44" i="99"/>
  <c r="H40" i="99"/>
  <c r="H36" i="99"/>
  <c r="H32" i="99"/>
  <c r="H28" i="99"/>
  <c r="H24" i="99"/>
  <c r="O69" i="59"/>
  <c r="P69" i="59" s="1"/>
  <c r="O62" i="59"/>
  <c r="K62" i="59"/>
  <c r="K70" i="59" s="1"/>
  <c r="G62" i="59"/>
  <c r="O48" i="59"/>
  <c r="K48" i="59"/>
  <c r="G48" i="59"/>
  <c r="E82" i="101" l="1"/>
  <c r="L16" i="151"/>
  <c r="O16" i="151"/>
  <c r="N16" i="151"/>
  <c r="H90" i="132"/>
  <c r="H91" i="132"/>
  <c r="H92" i="132"/>
  <c r="H94" i="132"/>
  <c r="H93" i="132"/>
  <c r="H86" i="132"/>
  <c r="H87" i="132"/>
  <c r="H88" i="132"/>
  <c r="H89" i="132"/>
  <c r="L17" i="151"/>
  <c r="N17" i="151"/>
  <c r="O17" i="151"/>
  <c r="W89" i="99"/>
  <c r="K99" i="99"/>
  <c r="X29" i="151"/>
  <c r="I27" i="132" s="1"/>
  <c r="X61" i="151"/>
  <c r="I59" i="132" s="1"/>
  <c r="X71" i="151"/>
  <c r="I69" i="132" s="1"/>
  <c r="X49" i="151"/>
  <c r="I47" i="132" s="1"/>
  <c r="X97" i="151"/>
  <c r="X56" i="151"/>
  <c r="I54" i="132" s="1"/>
  <c r="X65" i="151"/>
  <c r="I63" i="132" s="1"/>
  <c r="X91" i="151"/>
  <c r="I89" i="132" s="1"/>
  <c r="X83" i="151"/>
  <c r="I81" i="132" s="1"/>
  <c r="X86" i="151"/>
  <c r="I84" i="132" s="1"/>
  <c r="X81" i="151"/>
  <c r="I79" i="132" s="1"/>
  <c r="X92" i="151"/>
  <c r="I90" i="132" s="1"/>
  <c r="X87" i="151"/>
  <c r="I85" i="132" s="1"/>
  <c r="X40" i="151"/>
  <c r="I38" i="132" s="1"/>
  <c r="X35" i="151"/>
  <c r="I33" i="132" s="1"/>
  <c r="X23" i="151"/>
  <c r="I21" i="132" s="1"/>
  <c r="X76" i="151"/>
  <c r="I74" i="132" s="1"/>
  <c r="X38" i="151"/>
  <c r="I36" i="132" s="1"/>
  <c r="X89" i="151"/>
  <c r="I87" i="132" s="1"/>
  <c r="X79" i="151"/>
  <c r="I77" i="132" s="1"/>
  <c r="X47" i="151"/>
  <c r="I45" i="132" s="1"/>
  <c r="X64" i="151"/>
  <c r="I62" i="132" s="1"/>
  <c r="X67" i="151"/>
  <c r="I65" i="132" s="1"/>
  <c r="X85" i="151"/>
  <c r="I83" i="132" s="1"/>
  <c r="X21" i="151"/>
  <c r="I19" i="132" s="1"/>
  <c r="X55" i="151"/>
  <c r="I53" i="132" s="1"/>
  <c r="X31" i="151"/>
  <c r="I29" i="132" s="1"/>
  <c r="X80" i="151"/>
  <c r="I78" i="132" s="1"/>
  <c r="X77" i="151"/>
  <c r="I75" i="132" s="1"/>
  <c r="X59" i="151"/>
  <c r="I57" i="132" s="1"/>
  <c r="X28" i="151"/>
  <c r="I26" i="132" s="1"/>
  <c r="X84" i="151"/>
  <c r="I82" i="132" s="1"/>
  <c r="X30" i="151"/>
  <c r="I28" i="132" s="1"/>
  <c r="X73" i="151"/>
  <c r="I71" i="132" s="1"/>
  <c r="X26" i="151"/>
  <c r="I24" i="132" s="1"/>
  <c r="X96" i="151"/>
  <c r="I94" i="132" s="1"/>
  <c r="X60" i="151"/>
  <c r="I58" i="132" s="1"/>
  <c r="X94" i="151"/>
  <c r="I92" i="132" s="1"/>
  <c r="X37" i="151"/>
  <c r="I35" i="132" s="1"/>
  <c r="X46" i="151"/>
  <c r="I44" i="132" s="1"/>
  <c r="X66" i="151"/>
  <c r="I64" i="132" s="1"/>
  <c r="X42" i="151"/>
  <c r="I40" i="132" s="1"/>
  <c r="X54" i="151"/>
  <c r="I52" i="132" s="1"/>
  <c r="X50" i="151"/>
  <c r="I48" i="132" s="1"/>
  <c r="X20" i="151"/>
  <c r="I18" i="132" s="1"/>
  <c r="X72" i="151"/>
  <c r="I70" i="132" s="1"/>
  <c r="X25" i="151"/>
  <c r="I23" i="132" s="1"/>
  <c r="X63" i="151"/>
  <c r="I61" i="132" s="1"/>
  <c r="X27" i="151"/>
  <c r="I25" i="132" s="1"/>
  <c r="X53" i="151"/>
  <c r="I51" i="132" s="1"/>
  <c r="X36" i="151"/>
  <c r="I34" i="132" s="1"/>
  <c r="X51" i="151"/>
  <c r="I49" i="132" s="1"/>
  <c r="X39" i="151"/>
  <c r="I37" i="132" s="1"/>
  <c r="X44" i="151"/>
  <c r="I42" i="132" s="1"/>
  <c r="X48" i="151"/>
  <c r="I46" i="132" s="1"/>
  <c r="X62" i="151"/>
  <c r="I60" i="132" s="1"/>
  <c r="X32" i="151"/>
  <c r="I30" i="132" s="1"/>
  <c r="X41" i="151"/>
  <c r="I39" i="132" s="1"/>
  <c r="X82" i="151"/>
  <c r="I80" i="132" s="1"/>
  <c r="X58" i="151"/>
  <c r="I56" i="132" s="1"/>
  <c r="X18" i="151"/>
  <c r="I16" i="132" s="1"/>
  <c r="X93" i="151"/>
  <c r="I91" i="132" s="1"/>
  <c r="X75" i="151"/>
  <c r="I73" i="132" s="1"/>
  <c r="X24" i="151"/>
  <c r="I22" i="132" s="1"/>
  <c r="X19" i="151"/>
  <c r="I17" i="132" s="1"/>
  <c r="X68" i="151"/>
  <c r="I66" i="132" s="1"/>
  <c r="X22" i="151"/>
  <c r="I20" i="132" s="1"/>
  <c r="X69" i="151"/>
  <c r="I67" i="132" s="1"/>
  <c r="X43" i="151"/>
  <c r="I41" i="132" s="1"/>
  <c r="X45" i="151"/>
  <c r="I43" i="132" s="1"/>
  <c r="X70" i="151"/>
  <c r="I68" i="132" s="1"/>
  <c r="X88" i="151"/>
  <c r="I86" i="132" s="1"/>
  <c r="X33" i="151"/>
  <c r="I31" i="132" s="1"/>
  <c r="X52" i="151"/>
  <c r="I50" i="132" s="1"/>
  <c r="X78" i="151"/>
  <c r="I76" i="132" s="1"/>
  <c r="X57" i="151"/>
  <c r="I55" i="132" s="1"/>
  <c r="X74" i="151"/>
  <c r="I72" i="132" s="1"/>
  <c r="X34" i="151"/>
  <c r="I32" i="132" s="1"/>
  <c r="X90" i="151"/>
  <c r="I88" i="132" s="1"/>
  <c r="X95" i="151"/>
  <c r="I93" i="132" s="1"/>
  <c r="H17" i="151"/>
  <c r="Q17" i="99"/>
  <c r="Q16" i="99"/>
  <c r="W98" i="99"/>
  <c r="X98" i="99" s="1"/>
  <c r="W10" i="9"/>
  <c r="I680" i="170"/>
  <c r="K680" i="170" s="1"/>
  <c r="I678" i="170"/>
  <c r="K678" i="170" s="1"/>
  <c r="I675" i="170"/>
  <c r="K675" i="170" s="1"/>
  <c r="I676" i="170"/>
  <c r="K676" i="170" s="1"/>
  <c r="I679" i="170"/>
  <c r="K679" i="170" s="1"/>
  <c r="I677" i="170"/>
  <c r="K677" i="170" s="1"/>
  <c r="C660" i="170"/>
  <c r="E660" i="170" s="1"/>
  <c r="C658" i="170"/>
  <c r="E658" i="170" s="1"/>
  <c r="C678" i="170"/>
  <c r="E678" i="170" s="1"/>
  <c r="C677" i="170"/>
  <c r="E677" i="170" s="1"/>
  <c r="I663" i="170"/>
  <c r="K663" i="170" s="1"/>
  <c r="C659" i="170"/>
  <c r="E659" i="170" s="1"/>
  <c r="C676" i="170"/>
  <c r="E676" i="170" s="1"/>
  <c r="C675" i="170"/>
  <c r="E675" i="170" s="1"/>
  <c r="I660" i="170"/>
  <c r="K660" i="170" s="1"/>
  <c r="I659" i="170"/>
  <c r="K659" i="170" s="1"/>
  <c r="C662" i="170"/>
  <c r="E662" i="170" s="1"/>
  <c r="C661" i="170"/>
  <c r="E661" i="170" s="1"/>
  <c r="C679" i="170"/>
  <c r="E679" i="170" s="1"/>
  <c r="I658" i="170"/>
  <c r="K658" i="170" s="1"/>
  <c r="C663" i="170"/>
  <c r="E663" i="170" s="1"/>
  <c r="C680" i="170"/>
  <c r="E680" i="170" s="1"/>
  <c r="I662" i="170"/>
  <c r="K662" i="170" s="1"/>
  <c r="I644" i="170"/>
  <c r="K644" i="170" s="1"/>
  <c r="I643" i="170"/>
  <c r="K643" i="170" s="1"/>
  <c r="I642" i="170"/>
  <c r="K642" i="170" s="1"/>
  <c r="I641" i="170"/>
  <c r="K641" i="170" s="1"/>
  <c r="I645" i="170"/>
  <c r="K645" i="170" s="1"/>
  <c r="I646" i="170"/>
  <c r="K646" i="170" s="1"/>
  <c r="C440" i="170"/>
  <c r="E440" i="170" s="1"/>
  <c r="C334" i="170"/>
  <c r="E334" i="170" s="1"/>
  <c r="C386" i="170"/>
  <c r="E386" i="170" s="1"/>
  <c r="C384" i="170"/>
  <c r="E384" i="170" s="1"/>
  <c r="I111" i="170"/>
  <c r="K111" i="170" s="1"/>
  <c r="C128" i="170"/>
  <c r="E128" i="170" s="1"/>
  <c r="C131" i="170"/>
  <c r="E131" i="170" s="1"/>
  <c r="C507" i="170"/>
  <c r="E507" i="170" s="1"/>
  <c r="C505" i="170"/>
  <c r="E505" i="170" s="1"/>
  <c r="C145" i="170"/>
  <c r="E145" i="170" s="1"/>
  <c r="C627" i="170"/>
  <c r="E627" i="170" s="1"/>
  <c r="I126" i="170"/>
  <c r="K126" i="170" s="1"/>
  <c r="I131" i="170"/>
  <c r="K131" i="170" s="1"/>
  <c r="C179" i="170"/>
  <c r="E179" i="170" s="1"/>
  <c r="I407" i="170"/>
  <c r="K407" i="170" s="1"/>
  <c r="C199" i="170"/>
  <c r="E199" i="170" s="1"/>
  <c r="C194" i="170"/>
  <c r="E194" i="170" s="1"/>
  <c r="C475" i="170"/>
  <c r="E475" i="170" s="1"/>
  <c r="I229" i="170"/>
  <c r="K229" i="170" s="1"/>
  <c r="C29" i="170"/>
  <c r="E29" i="170" s="1"/>
  <c r="C369" i="170"/>
  <c r="E369" i="170" s="1"/>
  <c r="C543" i="170"/>
  <c r="E543" i="170" s="1"/>
  <c r="I540" i="170"/>
  <c r="K540" i="170" s="1"/>
  <c r="C43" i="170"/>
  <c r="E43" i="170" s="1"/>
  <c r="C319" i="170"/>
  <c r="E319" i="170" s="1"/>
  <c r="C299" i="170"/>
  <c r="E299" i="170" s="1"/>
  <c r="C593" i="170"/>
  <c r="E593" i="170" s="1"/>
  <c r="C591" i="170"/>
  <c r="E591" i="170" s="1"/>
  <c r="C589" i="170"/>
  <c r="E589" i="170" s="1"/>
  <c r="I606" i="170"/>
  <c r="K606" i="170" s="1"/>
  <c r="C75" i="170"/>
  <c r="E75" i="170" s="1"/>
  <c r="C285" i="170"/>
  <c r="E285" i="170" s="1"/>
  <c r="C250" i="170"/>
  <c r="E250" i="170" s="1"/>
  <c r="C248" i="170"/>
  <c r="E248" i="170" s="1"/>
  <c r="C526" i="170"/>
  <c r="E526" i="170" s="1"/>
  <c r="C524" i="170"/>
  <c r="E524" i="170" s="1"/>
  <c r="C522" i="170"/>
  <c r="E522" i="170" s="1"/>
  <c r="I280" i="170"/>
  <c r="K280" i="170" s="1"/>
  <c r="I555" i="170"/>
  <c r="K555" i="170" s="1"/>
  <c r="I164" i="170"/>
  <c r="K164" i="170" s="1"/>
  <c r="C441" i="170"/>
  <c r="E441" i="170" s="1"/>
  <c r="C436" i="170"/>
  <c r="E436" i="170" s="1"/>
  <c r="C454" i="170"/>
  <c r="E454" i="170" s="1"/>
  <c r="C198" i="170"/>
  <c r="E198" i="170" s="1"/>
  <c r="C474" i="170"/>
  <c r="E474" i="170" s="1"/>
  <c r="I234" i="170"/>
  <c r="K234" i="170" s="1"/>
  <c r="I233" i="170"/>
  <c r="K233" i="170" s="1"/>
  <c r="C24" i="170"/>
  <c r="E24" i="170" s="1"/>
  <c r="C542" i="170"/>
  <c r="E542" i="170" s="1"/>
  <c r="I542" i="170"/>
  <c r="K542" i="170" s="1"/>
  <c r="C318" i="170"/>
  <c r="E318" i="170" s="1"/>
  <c r="C316" i="170"/>
  <c r="E316" i="170" s="1"/>
  <c r="I62" i="170"/>
  <c r="K62" i="170" s="1"/>
  <c r="C301" i="170"/>
  <c r="E301" i="170" s="1"/>
  <c r="C114" i="170"/>
  <c r="E114" i="170" s="1"/>
  <c r="C111" i="170"/>
  <c r="E111" i="170" s="1"/>
  <c r="I591" i="170"/>
  <c r="K591" i="170" s="1"/>
  <c r="I611" i="170"/>
  <c r="K611" i="170" s="1"/>
  <c r="C574" i="170"/>
  <c r="E574" i="170" s="1"/>
  <c r="C572" i="170"/>
  <c r="E572" i="170" s="1"/>
  <c r="C246" i="170"/>
  <c r="E246" i="170" s="1"/>
  <c r="I285" i="170"/>
  <c r="K285" i="170" s="1"/>
  <c r="I560" i="170"/>
  <c r="K560" i="170" s="1"/>
  <c r="I559" i="170"/>
  <c r="K559" i="170" s="1"/>
  <c r="C438" i="170"/>
  <c r="E438" i="170" s="1"/>
  <c r="C337" i="170"/>
  <c r="E337" i="170" s="1"/>
  <c r="C332" i="170"/>
  <c r="E332" i="170" s="1"/>
  <c r="I114" i="170"/>
  <c r="K114" i="170" s="1"/>
  <c r="C130" i="170"/>
  <c r="E130" i="170" s="1"/>
  <c r="C126" i="170"/>
  <c r="E126" i="170" s="1"/>
  <c r="C510" i="170"/>
  <c r="E510" i="170" s="1"/>
  <c r="C148" i="170"/>
  <c r="E148" i="170" s="1"/>
  <c r="C182" i="170"/>
  <c r="E182" i="170" s="1"/>
  <c r="I406" i="170"/>
  <c r="K406" i="170" s="1"/>
  <c r="C196" i="170"/>
  <c r="E196" i="170" s="1"/>
  <c r="I231" i="170"/>
  <c r="K231" i="170" s="1"/>
  <c r="C28" i="170"/>
  <c r="E28" i="170" s="1"/>
  <c r="C26" i="170"/>
  <c r="E26" i="170" s="1"/>
  <c r="C372" i="170"/>
  <c r="E372" i="170" s="1"/>
  <c r="C367" i="170"/>
  <c r="E367" i="170" s="1"/>
  <c r="I543" i="170"/>
  <c r="K543" i="170" s="1"/>
  <c r="C46" i="170"/>
  <c r="E46" i="170" s="1"/>
  <c r="I162" i="170"/>
  <c r="K162" i="170" s="1"/>
  <c r="I160" i="170"/>
  <c r="K160" i="170" s="1"/>
  <c r="C336" i="170"/>
  <c r="E336" i="170" s="1"/>
  <c r="C388" i="170"/>
  <c r="E388" i="170" s="1"/>
  <c r="C389" i="170"/>
  <c r="E389" i="170" s="1"/>
  <c r="I109" i="170"/>
  <c r="K109" i="170" s="1"/>
  <c r="C509" i="170"/>
  <c r="E509" i="170" s="1"/>
  <c r="C147" i="170"/>
  <c r="E147" i="170" s="1"/>
  <c r="C424" i="170"/>
  <c r="E424" i="170" s="1"/>
  <c r="C419" i="170"/>
  <c r="E419" i="170" s="1"/>
  <c r="C628" i="170"/>
  <c r="E628" i="170" s="1"/>
  <c r="I130" i="170"/>
  <c r="K130" i="170" s="1"/>
  <c r="C457" i="170"/>
  <c r="E457" i="170" s="1"/>
  <c r="I404" i="170"/>
  <c r="K404" i="170" s="1"/>
  <c r="C472" i="170"/>
  <c r="E472" i="170" s="1"/>
  <c r="C470" i="170"/>
  <c r="E470" i="170" s="1"/>
  <c r="C371" i="170"/>
  <c r="E371" i="170" s="1"/>
  <c r="C540" i="170"/>
  <c r="E540" i="170" s="1"/>
  <c r="C538" i="170"/>
  <c r="E538" i="170" s="1"/>
  <c r="I538" i="170"/>
  <c r="K538" i="170" s="1"/>
  <c r="C45" i="170"/>
  <c r="E45" i="170" s="1"/>
  <c r="C41" i="170"/>
  <c r="E41" i="170" s="1"/>
  <c r="I58" i="170"/>
  <c r="K58" i="170" s="1"/>
  <c r="I63" i="170"/>
  <c r="K63" i="170" s="1"/>
  <c r="C297" i="170"/>
  <c r="E297" i="170" s="1"/>
  <c r="C109" i="170"/>
  <c r="E109" i="170" s="1"/>
  <c r="C113" i="170"/>
  <c r="E113" i="170" s="1"/>
  <c r="I594" i="170"/>
  <c r="K594" i="170" s="1"/>
  <c r="I593" i="170"/>
  <c r="K593" i="170" s="1"/>
  <c r="I610" i="170"/>
  <c r="K610" i="170" s="1"/>
  <c r="C80" i="170"/>
  <c r="E80" i="170" s="1"/>
  <c r="C284" i="170"/>
  <c r="E284" i="170" s="1"/>
  <c r="C282" i="170"/>
  <c r="E282" i="170" s="1"/>
  <c r="I268" i="170"/>
  <c r="K268" i="170" s="1"/>
  <c r="I267" i="170"/>
  <c r="K267" i="170" s="1"/>
  <c r="C577" i="170"/>
  <c r="E577" i="170" s="1"/>
  <c r="I284" i="170"/>
  <c r="K284" i="170" s="1"/>
  <c r="I113" i="170"/>
  <c r="K113" i="170" s="1"/>
  <c r="C143" i="170"/>
  <c r="E143" i="170" s="1"/>
  <c r="C423" i="170"/>
  <c r="E423" i="170" s="1"/>
  <c r="C421" i="170"/>
  <c r="E421" i="170" s="1"/>
  <c r="C625" i="170"/>
  <c r="E625" i="170" s="1"/>
  <c r="C623" i="170"/>
  <c r="E623" i="170" s="1"/>
  <c r="I128" i="170"/>
  <c r="K128" i="170" s="1"/>
  <c r="C181" i="170"/>
  <c r="E181" i="170" s="1"/>
  <c r="C177" i="170"/>
  <c r="E177" i="170" s="1"/>
  <c r="C456" i="170"/>
  <c r="E456" i="170" s="1"/>
  <c r="C452" i="170"/>
  <c r="E452" i="170" s="1"/>
  <c r="I402" i="170"/>
  <c r="K402" i="170" s="1"/>
  <c r="C77" i="170"/>
  <c r="E77" i="170" s="1"/>
  <c r="I265" i="170"/>
  <c r="K265" i="170" s="1"/>
  <c r="I165" i="170"/>
  <c r="K165" i="170" s="1"/>
  <c r="C302" i="170"/>
  <c r="E302" i="170" s="1"/>
  <c r="I589" i="170"/>
  <c r="K589" i="170" s="1"/>
  <c r="I263" i="170"/>
  <c r="K263" i="170" s="1"/>
  <c r="C280" i="170"/>
  <c r="E280" i="170" s="1"/>
  <c r="C79" i="170"/>
  <c r="E79" i="170" s="1"/>
  <c r="C576" i="170"/>
  <c r="E576" i="170" s="1"/>
  <c r="I60" i="170"/>
  <c r="K60" i="170" s="1"/>
  <c r="C594" i="170"/>
  <c r="E594" i="170" s="1"/>
  <c r="C527" i="170"/>
  <c r="E527" i="170" s="1"/>
  <c r="I282" i="170"/>
  <c r="K282" i="170" s="1"/>
  <c r="I557" i="170"/>
  <c r="K557" i="170" s="1"/>
  <c r="C314" i="170"/>
  <c r="E314" i="170" s="1"/>
  <c r="I608" i="170"/>
  <c r="K608" i="170" s="1"/>
  <c r="C251" i="170"/>
  <c r="E251" i="170" s="1"/>
  <c r="I472" i="170"/>
  <c r="K472" i="170" s="1"/>
  <c r="I524" i="170"/>
  <c r="K524" i="170" s="1"/>
  <c r="I440" i="170"/>
  <c r="K440" i="170" s="1"/>
  <c r="I41" i="170"/>
  <c r="K41" i="170" s="1"/>
  <c r="I421" i="170"/>
  <c r="K421" i="170" s="1"/>
  <c r="C215" i="170"/>
  <c r="E215" i="170" s="1"/>
  <c r="I24" i="170"/>
  <c r="K24" i="170" s="1"/>
  <c r="C646" i="170"/>
  <c r="E646" i="170" s="1"/>
  <c r="I199" i="170"/>
  <c r="K199" i="170" s="1"/>
  <c r="I319" i="170"/>
  <c r="K319" i="170" s="1"/>
  <c r="I318" i="170"/>
  <c r="K318" i="170" s="1"/>
  <c r="I367" i="170"/>
  <c r="K367" i="170" s="1"/>
  <c r="I371" i="170"/>
  <c r="K371" i="170" s="1"/>
  <c r="I350" i="170"/>
  <c r="K350" i="170" s="1"/>
  <c r="I248" i="170"/>
  <c r="K248" i="170" s="1"/>
  <c r="I457" i="170"/>
  <c r="K457" i="170" s="1"/>
  <c r="I456" i="170"/>
  <c r="K456" i="170" s="1"/>
  <c r="I332" i="170"/>
  <c r="K332" i="170" s="1"/>
  <c r="I336" i="170"/>
  <c r="K336" i="170" s="1"/>
  <c r="I510" i="170"/>
  <c r="K510" i="170" s="1"/>
  <c r="I215" i="170"/>
  <c r="K215" i="170" s="1"/>
  <c r="C234" i="170"/>
  <c r="E234" i="170" s="1"/>
  <c r="C354" i="170"/>
  <c r="E354" i="170" s="1"/>
  <c r="C355" i="170"/>
  <c r="E355" i="170" s="1"/>
  <c r="I384" i="170"/>
  <c r="K384" i="170" s="1"/>
  <c r="C610" i="170"/>
  <c r="E610" i="170" s="1"/>
  <c r="I576" i="170"/>
  <c r="K576" i="170" s="1"/>
  <c r="C58" i="170"/>
  <c r="E58" i="170" s="1"/>
  <c r="C265" i="170"/>
  <c r="E265" i="170" s="1"/>
  <c r="I627" i="170"/>
  <c r="K627" i="170" s="1"/>
  <c r="I97" i="170"/>
  <c r="K97" i="170" s="1"/>
  <c r="I80" i="170"/>
  <c r="K80" i="170" s="1"/>
  <c r="I147" i="170"/>
  <c r="K147" i="170" s="1"/>
  <c r="C608" i="170"/>
  <c r="E608" i="170" s="1"/>
  <c r="C606" i="170"/>
  <c r="E606" i="170" s="1"/>
  <c r="C267" i="170"/>
  <c r="E267" i="170" s="1"/>
  <c r="C268" i="170"/>
  <c r="E268" i="170" s="1"/>
  <c r="I623" i="170"/>
  <c r="K623" i="170" s="1"/>
  <c r="I470" i="170"/>
  <c r="K470" i="170" s="1"/>
  <c r="I522" i="170"/>
  <c r="K522" i="170" s="1"/>
  <c r="I441" i="170"/>
  <c r="K441" i="170" s="1"/>
  <c r="I45" i="170"/>
  <c r="K45" i="170" s="1"/>
  <c r="C560" i="170"/>
  <c r="E560" i="170" s="1"/>
  <c r="I419" i="170"/>
  <c r="K419" i="170" s="1"/>
  <c r="C211" i="170"/>
  <c r="E211" i="170" s="1"/>
  <c r="I28" i="170"/>
  <c r="K28" i="170" s="1"/>
  <c r="C643" i="170"/>
  <c r="E643" i="170" s="1"/>
  <c r="C641" i="170"/>
  <c r="E641" i="170" s="1"/>
  <c r="I196" i="170"/>
  <c r="K196" i="170" s="1"/>
  <c r="I316" i="170"/>
  <c r="K316" i="170" s="1"/>
  <c r="I493" i="170"/>
  <c r="K493" i="170" s="1"/>
  <c r="I492" i="170"/>
  <c r="K492" i="170" s="1"/>
  <c r="I246" i="170"/>
  <c r="K246" i="170" s="1"/>
  <c r="C164" i="170"/>
  <c r="E164" i="170" s="1"/>
  <c r="I454" i="170"/>
  <c r="K454" i="170" s="1"/>
  <c r="I182" i="170"/>
  <c r="K182" i="170" s="1"/>
  <c r="I507" i="170"/>
  <c r="K507" i="170" s="1"/>
  <c r="I216" i="170"/>
  <c r="K216" i="170" s="1"/>
  <c r="I302" i="170"/>
  <c r="K302" i="170" s="1"/>
  <c r="I301" i="170"/>
  <c r="K301" i="170" s="1"/>
  <c r="C404" i="170"/>
  <c r="E404" i="170" s="1"/>
  <c r="C402" i="170"/>
  <c r="E402" i="170" s="1"/>
  <c r="C231" i="170"/>
  <c r="E231" i="170" s="1"/>
  <c r="I577" i="170"/>
  <c r="K577" i="170" s="1"/>
  <c r="C63" i="170"/>
  <c r="E63" i="170" s="1"/>
  <c r="C60" i="170"/>
  <c r="E60" i="170" s="1"/>
  <c r="C493" i="170"/>
  <c r="E493" i="170" s="1"/>
  <c r="I628" i="170"/>
  <c r="K628" i="170" s="1"/>
  <c r="I626" i="170"/>
  <c r="K626" i="170" s="1"/>
  <c r="C96" i="170"/>
  <c r="E96" i="170" s="1"/>
  <c r="C94" i="170"/>
  <c r="E94" i="170" s="1"/>
  <c r="C92" i="170"/>
  <c r="E92" i="170" s="1"/>
  <c r="I96" i="170"/>
  <c r="K96" i="170" s="1"/>
  <c r="I94" i="170"/>
  <c r="K94" i="170" s="1"/>
  <c r="I77" i="170"/>
  <c r="K77" i="170" s="1"/>
  <c r="I148" i="170"/>
  <c r="K148" i="170" s="1"/>
  <c r="C216" i="170"/>
  <c r="E216" i="170" s="1"/>
  <c r="I26" i="170"/>
  <c r="K26" i="170" s="1"/>
  <c r="C644" i="170"/>
  <c r="E644" i="170" s="1"/>
  <c r="I334" i="170"/>
  <c r="K334" i="170" s="1"/>
  <c r="I179" i="170"/>
  <c r="K179" i="170" s="1"/>
  <c r="I509" i="170"/>
  <c r="K509" i="170" s="1"/>
  <c r="I211" i="170"/>
  <c r="K211" i="170" s="1"/>
  <c r="I572" i="170"/>
  <c r="K572" i="170" s="1"/>
  <c r="I474" i="170"/>
  <c r="K474" i="170" s="1"/>
  <c r="I438" i="170"/>
  <c r="K438" i="170" s="1"/>
  <c r="I46" i="170"/>
  <c r="K46" i="170" s="1"/>
  <c r="C559" i="170"/>
  <c r="E559" i="170" s="1"/>
  <c r="C557" i="170"/>
  <c r="E557" i="170" s="1"/>
  <c r="C555" i="170"/>
  <c r="E555" i="170" s="1"/>
  <c r="I423" i="170"/>
  <c r="K423" i="170" s="1"/>
  <c r="C213" i="170"/>
  <c r="E213" i="170" s="1"/>
  <c r="I29" i="170"/>
  <c r="K29" i="170" s="1"/>
  <c r="C645" i="170"/>
  <c r="E645" i="170" s="1"/>
  <c r="C642" i="170"/>
  <c r="E642" i="170" s="1"/>
  <c r="I194" i="170"/>
  <c r="K194" i="170" s="1"/>
  <c r="I198" i="170"/>
  <c r="K198" i="170" s="1"/>
  <c r="I314" i="170"/>
  <c r="K314" i="170" s="1"/>
  <c r="I372" i="170"/>
  <c r="K372" i="170" s="1"/>
  <c r="I355" i="170"/>
  <c r="K355" i="170" s="1"/>
  <c r="I354" i="170"/>
  <c r="K354" i="170" s="1"/>
  <c r="I490" i="170"/>
  <c r="K490" i="170" s="1"/>
  <c r="I250" i="170"/>
  <c r="K250" i="170" s="1"/>
  <c r="C162" i="170"/>
  <c r="E162" i="170" s="1"/>
  <c r="C160" i="170"/>
  <c r="E160" i="170" s="1"/>
  <c r="I452" i="170"/>
  <c r="K452" i="170" s="1"/>
  <c r="I337" i="170"/>
  <c r="K337" i="170" s="1"/>
  <c r="I181" i="170"/>
  <c r="K181" i="170" s="1"/>
  <c r="I177" i="170"/>
  <c r="K177" i="170" s="1"/>
  <c r="I505" i="170"/>
  <c r="K505" i="170" s="1"/>
  <c r="I213" i="170"/>
  <c r="K213" i="170" s="1"/>
  <c r="I299" i="170"/>
  <c r="K299" i="170" s="1"/>
  <c r="C407" i="170"/>
  <c r="E407" i="170" s="1"/>
  <c r="C229" i="170"/>
  <c r="E229" i="170" s="1"/>
  <c r="I389" i="170"/>
  <c r="K389" i="170" s="1"/>
  <c r="I388" i="170"/>
  <c r="K388" i="170" s="1"/>
  <c r="C611" i="170"/>
  <c r="E611" i="170" s="1"/>
  <c r="I574" i="170"/>
  <c r="K574" i="170" s="1"/>
  <c r="C62" i="170"/>
  <c r="E62" i="170" s="1"/>
  <c r="C492" i="170"/>
  <c r="E492" i="170" s="1"/>
  <c r="C490" i="170"/>
  <c r="E490" i="170" s="1"/>
  <c r="C488" i="170"/>
  <c r="E488" i="170" s="1"/>
  <c r="C263" i="170"/>
  <c r="E263" i="170" s="1"/>
  <c r="I625" i="170"/>
  <c r="K625" i="170" s="1"/>
  <c r="I624" i="170"/>
  <c r="K624" i="170" s="1"/>
  <c r="C97" i="170"/>
  <c r="E97" i="170" s="1"/>
  <c r="I75" i="170"/>
  <c r="K75" i="170" s="1"/>
  <c r="I145" i="170"/>
  <c r="K145" i="170" s="1"/>
  <c r="I475" i="170"/>
  <c r="K475" i="170" s="1"/>
  <c r="I527" i="170"/>
  <c r="K527" i="170" s="1"/>
  <c r="I526" i="170"/>
  <c r="K526" i="170" s="1"/>
  <c r="I436" i="170"/>
  <c r="K436" i="170" s="1"/>
  <c r="I43" i="170"/>
  <c r="K43" i="170" s="1"/>
  <c r="I424" i="170"/>
  <c r="K424" i="170" s="1"/>
  <c r="I369" i="170"/>
  <c r="K369" i="170" s="1"/>
  <c r="I352" i="170"/>
  <c r="K352" i="170" s="1"/>
  <c r="I488" i="170"/>
  <c r="K488" i="170" s="1"/>
  <c r="I251" i="170"/>
  <c r="K251" i="170" s="1"/>
  <c r="C165" i="170"/>
  <c r="E165" i="170" s="1"/>
  <c r="I297" i="170"/>
  <c r="K297" i="170" s="1"/>
  <c r="C406" i="170"/>
  <c r="E406" i="170" s="1"/>
  <c r="C233" i="170"/>
  <c r="E233" i="170" s="1"/>
  <c r="C352" i="170"/>
  <c r="E352" i="170" s="1"/>
  <c r="C350" i="170"/>
  <c r="E350" i="170" s="1"/>
  <c r="I386" i="170"/>
  <c r="K386" i="170" s="1"/>
  <c r="I92" i="170"/>
  <c r="K92" i="170" s="1"/>
  <c r="I79" i="170"/>
  <c r="K79" i="170" s="1"/>
  <c r="I143" i="170"/>
  <c r="K143" i="170" s="1"/>
  <c r="AA10" i="9"/>
  <c r="AA9" i="9" s="1"/>
  <c r="Z10" i="9"/>
  <c r="Z9" i="9" s="1"/>
  <c r="I391" i="170"/>
  <c r="K391" i="170" s="1"/>
  <c r="I477" i="170"/>
  <c r="K477" i="170" s="1"/>
  <c r="I184" i="170"/>
  <c r="K184" i="170" s="1"/>
  <c r="C391" i="170"/>
  <c r="E391" i="170" s="1"/>
  <c r="C270" i="170"/>
  <c r="E270" i="170" s="1"/>
  <c r="C495" i="170"/>
  <c r="E495" i="170" s="1"/>
  <c r="C443" i="170"/>
  <c r="E443" i="170" s="1"/>
  <c r="C682" i="170"/>
  <c r="E682" i="170" s="1"/>
  <c r="C357" i="170"/>
  <c r="E357" i="170" s="1"/>
  <c r="C426" i="170"/>
  <c r="E426" i="170" s="1"/>
  <c r="I339" i="170"/>
  <c r="K339" i="170" s="1"/>
  <c r="I512" i="170"/>
  <c r="K512" i="170" s="1"/>
  <c r="I133" i="170"/>
  <c r="K133" i="170" s="1"/>
  <c r="I529" i="170"/>
  <c r="K529" i="170" s="1"/>
  <c r="C116" i="170"/>
  <c r="E116" i="170" s="1"/>
  <c r="I426" i="170"/>
  <c r="K426" i="170" s="1"/>
  <c r="C596" i="170"/>
  <c r="E596" i="170" s="1"/>
  <c r="C304" i="170"/>
  <c r="E304" i="170" s="1"/>
  <c r="C82" i="170"/>
  <c r="E82" i="170" s="1"/>
  <c r="I31" i="170"/>
  <c r="K31" i="170" s="1"/>
  <c r="I613" i="170"/>
  <c r="K613" i="170" s="1"/>
  <c r="C459" i="170"/>
  <c r="E459" i="170" s="1"/>
  <c r="C65" i="170"/>
  <c r="E65" i="170" s="1"/>
  <c r="C218" i="170"/>
  <c r="E218" i="170" s="1"/>
  <c r="I167" i="170"/>
  <c r="K167" i="170" s="1"/>
  <c r="I459" i="170"/>
  <c r="K459" i="170" s="1"/>
  <c r="I65" i="170"/>
  <c r="K65" i="170" s="1"/>
  <c r="I236" i="170"/>
  <c r="K236" i="170" s="1"/>
  <c r="C529" i="170"/>
  <c r="E529" i="170" s="1"/>
  <c r="I253" i="170"/>
  <c r="K253" i="170" s="1"/>
  <c r="C477" i="170"/>
  <c r="E477" i="170" s="1"/>
  <c r="C201" i="170"/>
  <c r="E201" i="170" s="1"/>
  <c r="C630" i="170"/>
  <c r="E630" i="170" s="1"/>
  <c r="I150" i="170"/>
  <c r="K150" i="170" s="1"/>
  <c r="C321" i="170"/>
  <c r="E321" i="170" s="1"/>
  <c r="C545" i="170"/>
  <c r="E545" i="170" s="1"/>
  <c r="I357" i="170"/>
  <c r="K357" i="170" s="1"/>
  <c r="C512" i="170"/>
  <c r="E512" i="170" s="1"/>
  <c r="C167" i="170"/>
  <c r="E167" i="170" s="1"/>
  <c r="C648" i="170"/>
  <c r="E648" i="170" s="1"/>
  <c r="I630" i="170"/>
  <c r="K630" i="170" s="1"/>
  <c r="I682" i="170"/>
  <c r="K682" i="170" s="1"/>
  <c r="I287" i="170"/>
  <c r="K287" i="170" s="1"/>
  <c r="I579" i="170"/>
  <c r="K579" i="170" s="1"/>
  <c r="C48" i="170"/>
  <c r="E48" i="170" s="1"/>
  <c r="I82" i="170"/>
  <c r="K82" i="170" s="1"/>
  <c r="C236" i="170"/>
  <c r="E236" i="170" s="1"/>
  <c r="I545" i="170"/>
  <c r="K545" i="170" s="1"/>
  <c r="I116" i="170"/>
  <c r="K116" i="170" s="1"/>
  <c r="I270" i="170"/>
  <c r="K270" i="170" s="1"/>
  <c r="I443" i="170"/>
  <c r="K443" i="170" s="1"/>
  <c r="I596" i="170"/>
  <c r="K596" i="170" s="1"/>
  <c r="I48" i="170"/>
  <c r="K48" i="170" s="1"/>
  <c r="C562" i="170"/>
  <c r="E562" i="170" s="1"/>
  <c r="I374" i="170"/>
  <c r="K374" i="170" s="1"/>
  <c r="C339" i="170"/>
  <c r="E339" i="170" s="1"/>
  <c r="C133" i="170"/>
  <c r="E133" i="170" s="1"/>
  <c r="I495" i="170"/>
  <c r="K495" i="170" s="1"/>
  <c r="C99" i="170"/>
  <c r="E99" i="170" s="1"/>
  <c r="I648" i="170"/>
  <c r="K648" i="170" s="1"/>
  <c r="I409" i="170"/>
  <c r="K409" i="170" s="1"/>
  <c r="C613" i="170"/>
  <c r="E613" i="170" s="1"/>
  <c r="I99" i="170"/>
  <c r="K99" i="170" s="1"/>
  <c r="I562" i="170"/>
  <c r="K562" i="170" s="1"/>
  <c r="I321" i="170"/>
  <c r="K321" i="170" s="1"/>
  <c r="C184" i="170"/>
  <c r="E184" i="170" s="1"/>
  <c r="I304" i="170"/>
  <c r="K304" i="170" s="1"/>
  <c r="I201" i="170"/>
  <c r="K201" i="170" s="1"/>
  <c r="C253" i="170"/>
  <c r="E253" i="170" s="1"/>
  <c r="C287" i="170"/>
  <c r="E287" i="170" s="1"/>
  <c r="C409" i="170"/>
  <c r="E409" i="170" s="1"/>
  <c r="C150" i="170"/>
  <c r="E150" i="170" s="1"/>
  <c r="I218" i="170"/>
  <c r="K218" i="170" s="1"/>
  <c r="C579" i="170"/>
  <c r="E579" i="170" s="1"/>
  <c r="C374" i="170"/>
  <c r="E374" i="170" s="1"/>
  <c r="C31" i="170"/>
  <c r="E31" i="170" s="1"/>
  <c r="C665" i="170"/>
  <c r="E665" i="170" s="1"/>
  <c r="I665" i="170"/>
  <c r="K665" i="170" s="1"/>
  <c r="C81" i="170"/>
  <c r="E81" i="170" s="1"/>
  <c r="I30" i="170"/>
  <c r="K30" i="170" s="1"/>
  <c r="C458" i="170"/>
  <c r="E458" i="170" s="1"/>
  <c r="C528" i="170"/>
  <c r="E528" i="170" s="1"/>
  <c r="I149" i="170"/>
  <c r="K149" i="170" s="1"/>
  <c r="C320" i="170"/>
  <c r="E320" i="170" s="1"/>
  <c r="C166" i="170"/>
  <c r="E166" i="170" s="1"/>
  <c r="C64" i="170"/>
  <c r="E64" i="170" s="1"/>
  <c r="C647" i="170"/>
  <c r="E647" i="170" s="1"/>
  <c r="C217" i="170"/>
  <c r="E217" i="170" s="1"/>
  <c r="I166" i="170"/>
  <c r="K166" i="170" s="1"/>
  <c r="I235" i="170"/>
  <c r="K235" i="170" s="1"/>
  <c r="I356" i="170"/>
  <c r="K356" i="170" s="1"/>
  <c r="I629" i="170"/>
  <c r="K629" i="170" s="1"/>
  <c r="I98" i="170"/>
  <c r="K98" i="170" s="1"/>
  <c r="C578" i="170"/>
  <c r="E578" i="170" s="1"/>
  <c r="I612" i="170"/>
  <c r="K612" i="170" s="1"/>
  <c r="H5" i="170"/>
  <c r="I458" i="170"/>
  <c r="K458" i="170" s="1"/>
  <c r="C476" i="170"/>
  <c r="E476" i="170" s="1"/>
  <c r="C629" i="170"/>
  <c r="E629" i="170" s="1"/>
  <c r="C544" i="170"/>
  <c r="E544" i="170" s="1"/>
  <c r="C511" i="170"/>
  <c r="E511" i="170" s="1"/>
  <c r="I681" i="170"/>
  <c r="K681" i="170" s="1"/>
  <c r="I561" i="170"/>
  <c r="K561" i="170" s="1"/>
  <c r="I200" i="170"/>
  <c r="K200" i="170" s="1"/>
  <c r="C286" i="170"/>
  <c r="E286" i="170" s="1"/>
  <c r="C408" i="170"/>
  <c r="E408" i="170" s="1"/>
  <c r="C149" i="170"/>
  <c r="E149" i="170" s="1"/>
  <c r="I390" i="170"/>
  <c r="K390" i="170" s="1"/>
  <c r="I476" i="170"/>
  <c r="K476" i="170" s="1"/>
  <c r="I286" i="170"/>
  <c r="K286" i="170" s="1"/>
  <c r="I578" i="170"/>
  <c r="K578" i="170" s="1"/>
  <c r="I183" i="170"/>
  <c r="K183" i="170" s="1"/>
  <c r="C47" i="170"/>
  <c r="E47" i="170" s="1"/>
  <c r="C390" i="170"/>
  <c r="E390" i="170" s="1"/>
  <c r="C269" i="170"/>
  <c r="E269" i="170" s="1"/>
  <c r="C494" i="170"/>
  <c r="E494" i="170" s="1"/>
  <c r="I81" i="170"/>
  <c r="K81" i="170" s="1"/>
  <c r="C442" i="170"/>
  <c r="E442" i="170" s="1"/>
  <c r="C235" i="170"/>
  <c r="E235" i="170" s="1"/>
  <c r="C681" i="170"/>
  <c r="E681" i="170" s="1"/>
  <c r="I64" i="170"/>
  <c r="K64" i="170" s="1"/>
  <c r="I252" i="170"/>
  <c r="K252" i="170" s="1"/>
  <c r="C200" i="170"/>
  <c r="E200" i="170" s="1"/>
  <c r="I408" i="170"/>
  <c r="K408" i="170" s="1"/>
  <c r="C612" i="170"/>
  <c r="E612" i="170" s="1"/>
  <c r="I320" i="170"/>
  <c r="K320" i="170" s="1"/>
  <c r="C183" i="170"/>
  <c r="E183" i="170" s="1"/>
  <c r="I303" i="170"/>
  <c r="K303" i="170" s="1"/>
  <c r="C252" i="170"/>
  <c r="E252" i="170" s="1"/>
  <c r="I217" i="170"/>
  <c r="K217" i="170" s="1"/>
  <c r="C373" i="170"/>
  <c r="E373" i="170" s="1"/>
  <c r="C30" i="170"/>
  <c r="E30" i="170" s="1"/>
  <c r="C664" i="170"/>
  <c r="E664" i="170" s="1"/>
  <c r="I664" i="170"/>
  <c r="K664" i="170" s="1"/>
  <c r="I544" i="170"/>
  <c r="K544" i="170" s="1"/>
  <c r="I115" i="170"/>
  <c r="K115" i="170" s="1"/>
  <c r="C356" i="170"/>
  <c r="E356" i="170" s="1"/>
  <c r="I269" i="170"/>
  <c r="K269" i="170" s="1"/>
  <c r="C425" i="170"/>
  <c r="E425" i="170" s="1"/>
  <c r="I442" i="170"/>
  <c r="K442" i="170" s="1"/>
  <c r="I595" i="170"/>
  <c r="K595" i="170" s="1"/>
  <c r="I47" i="170"/>
  <c r="K47" i="170" s="1"/>
  <c r="I338" i="170"/>
  <c r="K338" i="170" s="1"/>
  <c r="I511" i="170"/>
  <c r="K511" i="170" s="1"/>
  <c r="I132" i="170"/>
  <c r="K132" i="170" s="1"/>
  <c r="C561" i="170"/>
  <c r="E561" i="170" s="1"/>
  <c r="I528" i="170"/>
  <c r="K528" i="170" s="1"/>
  <c r="I373" i="170"/>
  <c r="K373" i="170" s="1"/>
  <c r="C115" i="170"/>
  <c r="E115" i="170" s="1"/>
  <c r="I425" i="170"/>
  <c r="K425" i="170" s="1"/>
  <c r="C595" i="170"/>
  <c r="E595" i="170" s="1"/>
  <c r="C338" i="170"/>
  <c r="E338" i="170" s="1"/>
  <c r="C132" i="170"/>
  <c r="E132" i="170" s="1"/>
  <c r="I494" i="170"/>
  <c r="K494" i="170" s="1"/>
  <c r="C303" i="170"/>
  <c r="E303" i="170" s="1"/>
  <c r="C98" i="170"/>
  <c r="E98" i="170" s="1"/>
  <c r="I647" i="170"/>
  <c r="K647" i="170" s="1"/>
  <c r="C697" i="170"/>
  <c r="E697" i="170" s="1"/>
  <c r="I694" i="170"/>
  <c r="K694" i="170" s="1"/>
  <c r="I693" i="170"/>
  <c r="K693" i="170" s="1"/>
  <c r="B5" i="170"/>
  <c r="C728" i="170"/>
  <c r="E728" i="170" s="1"/>
  <c r="C729" i="170"/>
  <c r="E729" i="170" s="1"/>
  <c r="I730" i="170"/>
  <c r="K730" i="170" s="1"/>
  <c r="I725" i="170"/>
  <c r="K725" i="170" s="1"/>
  <c r="C726" i="170"/>
  <c r="E726" i="170" s="1"/>
  <c r="I729" i="170"/>
  <c r="K729" i="170" s="1"/>
  <c r="C725" i="170"/>
  <c r="E725" i="170" s="1"/>
  <c r="I726" i="170"/>
  <c r="K726" i="170" s="1"/>
  <c r="C727" i="170"/>
  <c r="E727" i="170" s="1"/>
  <c r="C730" i="170"/>
  <c r="E730" i="170" s="1"/>
  <c r="I728" i="170"/>
  <c r="K728" i="170" s="1"/>
  <c r="C724" i="170"/>
  <c r="E724" i="170" s="1"/>
  <c r="I692" i="170"/>
  <c r="K692" i="170" s="1"/>
  <c r="C692" i="170"/>
  <c r="E692" i="170" s="1"/>
  <c r="C709" i="170"/>
  <c r="E709" i="170" s="1"/>
  <c r="I724" i="170"/>
  <c r="K724" i="170" s="1"/>
  <c r="C710" i="170"/>
  <c r="E710" i="170" s="1"/>
  <c r="I695" i="170"/>
  <c r="K695" i="170" s="1"/>
  <c r="C695" i="170"/>
  <c r="E695" i="170" s="1"/>
  <c r="C712" i="170"/>
  <c r="E712" i="170" s="1"/>
  <c r="C711" i="170"/>
  <c r="E711" i="170" s="1"/>
  <c r="C714" i="170"/>
  <c r="E714" i="170" s="1"/>
  <c r="I697" i="170"/>
  <c r="K697" i="170" s="1"/>
  <c r="C713" i="170"/>
  <c r="E713" i="170" s="1"/>
  <c r="C693" i="170"/>
  <c r="E693" i="170" s="1"/>
  <c r="C696" i="170"/>
  <c r="E696" i="170" s="1"/>
  <c r="I696" i="170"/>
  <c r="K696" i="170" s="1"/>
  <c r="C694" i="170"/>
  <c r="E694" i="170" s="1"/>
  <c r="F18" i="101"/>
  <c r="X96" i="99"/>
  <c r="T97" i="99"/>
  <c r="W97" i="99" s="1"/>
  <c r="A1848" i="170"/>
  <c r="G1831" i="170"/>
  <c r="E15" i="132"/>
  <c r="G97" i="132"/>
  <c r="G85" i="132"/>
  <c r="G86" i="132"/>
  <c r="P17" i="99"/>
  <c r="F89" i="99"/>
  <c r="R16" i="99"/>
  <c r="R17" i="99"/>
  <c r="S17" i="151"/>
  <c r="R17" i="151"/>
  <c r="Q17" i="151"/>
  <c r="P17" i="151"/>
  <c r="S16" i="151"/>
  <c r="R16" i="151"/>
  <c r="R15" i="151" s="1"/>
  <c r="F91" i="99"/>
  <c r="G85" i="151"/>
  <c r="G83" i="132" s="1"/>
  <c r="E14" i="132"/>
  <c r="G56" i="132"/>
  <c r="G60" i="132"/>
  <c r="G61" i="132"/>
  <c r="G66" i="132"/>
  <c r="G57" i="132"/>
  <c r="G45" i="132"/>
  <c r="G23" i="132"/>
  <c r="G65" i="132"/>
  <c r="G36" i="132"/>
  <c r="G74" i="132"/>
  <c r="G78" i="132"/>
  <c r="G72" i="132"/>
  <c r="G81" i="132"/>
  <c r="G68" i="132"/>
  <c r="G58" i="132"/>
  <c r="G28" i="132"/>
  <c r="G24" i="132"/>
  <c r="G20" i="132"/>
  <c r="G21" i="132"/>
  <c r="G30" i="132"/>
  <c r="G82" i="132"/>
  <c r="G46" i="132"/>
  <c r="G18" i="132"/>
  <c r="G17" i="132"/>
  <c r="G27" i="132"/>
  <c r="G59" i="132"/>
  <c r="G67" i="132"/>
  <c r="G79" i="132"/>
  <c r="G32" i="132"/>
  <c r="G69" i="132"/>
  <c r="G50" i="132"/>
  <c r="G22" i="132"/>
  <c r="G75" i="132"/>
  <c r="G16" i="132"/>
  <c r="G52" i="132"/>
  <c r="G63" i="132"/>
  <c r="G55" i="132"/>
  <c r="G84" i="132"/>
  <c r="G19" i="132"/>
  <c r="G31" i="132"/>
  <c r="G70" i="132"/>
  <c r="G41" i="132"/>
  <c r="G51" i="132"/>
  <c r="G76" i="132"/>
  <c r="G53" i="132"/>
  <c r="G48" i="132"/>
  <c r="G35" i="132"/>
  <c r="G43" i="132"/>
  <c r="G73" i="132"/>
  <c r="G44" i="132"/>
  <c r="G29" i="132"/>
  <c r="G34" i="132"/>
  <c r="G25" i="132"/>
  <c r="G47" i="132"/>
  <c r="G39" i="132"/>
  <c r="G40" i="132"/>
  <c r="G33" i="132"/>
  <c r="G77" i="132"/>
  <c r="G42" i="132"/>
  <c r="G38" i="132"/>
  <c r="G64" i="132"/>
  <c r="G49" i="132"/>
  <c r="G37" i="132"/>
  <c r="G26" i="132"/>
  <c r="G71" i="132"/>
  <c r="G62" i="132"/>
  <c r="G54" i="132"/>
  <c r="G80" i="132"/>
  <c r="Q16" i="151"/>
  <c r="P16" i="99"/>
  <c r="P99" i="99" s="1"/>
  <c r="F50" i="99"/>
  <c r="F20" i="99"/>
  <c r="F52" i="99"/>
  <c r="F84" i="99"/>
  <c r="F47" i="99"/>
  <c r="F79" i="99"/>
  <c r="F58" i="99"/>
  <c r="F25" i="99"/>
  <c r="F21" i="99"/>
  <c r="F81" i="99"/>
  <c r="F70" i="99"/>
  <c r="F32" i="99"/>
  <c r="F80" i="99"/>
  <c r="F73" i="99"/>
  <c r="F43" i="99"/>
  <c r="F75" i="99"/>
  <c r="F62" i="99"/>
  <c r="F34" i="99"/>
  <c r="F69" i="99"/>
  <c r="F44" i="99"/>
  <c r="F76" i="99"/>
  <c r="F39" i="99"/>
  <c r="F71" i="99"/>
  <c r="F42" i="99"/>
  <c r="F77" i="99"/>
  <c r="F65" i="99"/>
  <c r="F54" i="99"/>
  <c r="F24" i="99"/>
  <c r="F72" i="99"/>
  <c r="F57" i="99"/>
  <c r="F35" i="99"/>
  <c r="F67" i="99"/>
  <c r="F46" i="99"/>
  <c r="F18" i="99"/>
  <c r="F33" i="99"/>
  <c r="F68" i="99"/>
  <c r="F63" i="99"/>
  <c r="F86" i="99"/>
  <c r="F61" i="99"/>
  <c r="F49" i="99"/>
  <c r="F38" i="99"/>
  <c r="F41" i="99"/>
  <c r="F27" i="99"/>
  <c r="F22" i="99"/>
  <c r="F29" i="99"/>
  <c r="F83" i="99"/>
  <c r="F30" i="99"/>
  <c r="F66" i="99"/>
  <c r="F28" i="99"/>
  <c r="F23" i="99"/>
  <c r="F87" i="99"/>
  <c r="F60" i="99"/>
  <c r="F55" i="99"/>
  <c r="F74" i="99"/>
  <c r="F45" i="99"/>
  <c r="F37" i="99"/>
  <c r="F88" i="99"/>
  <c r="F19" i="99"/>
  <c r="F78" i="99"/>
  <c r="F36" i="99"/>
  <c r="F31" i="99"/>
  <c r="F26" i="99"/>
  <c r="F85" i="99"/>
  <c r="F48" i="99"/>
  <c r="F59" i="99"/>
  <c r="F53" i="99"/>
  <c r="F40" i="99"/>
  <c r="F51" i="99"/>
  <c r="F64" i="99"/>
  <c r="F56" i="99"/>
  <c r="F82" i="99"/>
  <c r="K56" i="59"/>
  <c r="H84" i="99"/>
  <c r="O70" i="59"/>
  <c r="G70" i="59"/>
  <c r="P55" i="59"/>
  <c r="O56" i="59"/>
  <c r="G56" i="59"/>
  <c r="P62" i="59"/>
  <c r="J88" i="132" l="1"/>
  <c r="J91" i="132"/>
  <c r="E99" i="99"/>
  <c r="J87" i="132"/>
  <c r="X89" i="99"/>
  <c r="J92" i="132"/>
  <c r="J94" i="132"/>
  <c r="J93" i="132"/>
  <c r="J90" i="132"/>
  <c r="J89" i="132"/>
  <c r="J86" i="132"/>
  <c r="R99" i="99"/>
  <c r="Q15" i="151"/>
  <c r="Q99" i="99"/>
  <c r="T99" i="99"/>
  <c r="U99" i="99"/>
  <c r="I97" i="132"/>
  <c r="W90" i="99"/>
  <c r="X90" i="99" s="1"/>
  <c r="W93" i="99"/>
  <c r="X93" i="99" s="1"/>
  <c r="X17" i="151"/>
  <c r="I15" i="132" s="1"/>
  <c r="W95" i="99"/>
  <c r="X95" i="99" s="1"/>
  <c r="W91" i="99"/>
  <c r="X91" i="99" s="1"/>
  <c r="W92" i="99"/>
  <c r="X92" i="99" s="1"/>
  <c r="W94" i="99"/>
  <c r="X94" i="99" s="1"/>
  <c r="X97" i="99"/>
  <c r="K635" i="170"/>
  <c r="E653" i="170"/>
  <c r="K653" i="170"/>
  <c r="K687" i="170"/>
  <c r="E687" i="170"/>
  <c r="E670" i="170"/>
  <c r="I9" i="170"/>
  <c r="K9" i="170" s="1"/>
  <c r="I7" i="170"/>
  <c r="K7" i="170" s="1"/>
  <c r="I12" i="170"/>
  <c r="K12" i="170" s="1"/>
  <c r="I11" i="170"/>
  <c r="K11" i="170" s="1"/>
  <c r="I6" i="170"/>
  <c r="J10" i="170" s="1"/>
  <c r="L15" i="151"/>
  <c r="O15" i="151"/>
  <c r="S15" i="151"/>
  <c r="I14" i="170"/>
  <c r="K14" i="170" s="1"/>
  <c r="I700" i="170"/>
  <c r="K700" i="170" s="1"/>
  <c r="K704" i="170" s="1"/>
  <c r="I13" i="170"/>
  <c r="K13" i="170" s="1"/>
  <c r="C715" i="170"/>
  <c r="E715" i="170" s="1"/>
  <c r="E719" i="170" s="1"/>
  <c r="L719" i="170" s="1"/>
  <c r="E735" i="170"/>
  <c r="C6" i="170"/>
  <c r="D10" i="170" s="1"/>
  <c r="C700" i="170"/>
  <c r="E700" i="170" s="1"/>
  <c r="E704" i="170" s="1"/>
  <c r="L704" i="170" s="1"/>
  <c r="P70" i="59"/>
  <c r="C7" i="170"/>
  <c r="E7" i="170" s="1"/>
  <c r="C12" i="170"/>
  <c r="E12" i="170" s="1"/>
  <c r="C11" i="170"/>
  <c r="E11" i="170" s="1"/>
  <c r="G1848" i="170"/>
  <c r="A1865" i="170"/>
  <c r="G17" i="151"/>
  <c r="G15" i="132" s="1"/>
  <c r="F16" i="99"/>
  <c r="G16" i="151"/>
  <c r="F17" i="99"/>
  <c r="F99" i="99" l="1"/>
  <c r="G14" i="132"/>
  <c r="G13" i="132" s="1"/>
  <c r="J97" i="132"/>
  <c r="G15" i="151"/>
  <c r="Y92" i="151"/>
  <c r="AA92" i="151" s="1"/>
  <c r="Y95" i="151"/>
  <c r="AA95" i="151" s="1"/>
  <c r="Y96" i="151"/>
  <c r="AA96" i="151" s="1"/>
  <c r="L94" i="132" s="1"/>
  <c r="Y97" i="151"/>
  <c r="AA97" i="151" s="1"/>
  <c r="Z97" i="99" s="1"/>
  <c r="L653" i="170"/>
  <c r="Y91" i="151"/>
  <c r="AA91" i="151" s="1"/>
  <c r="Y90" i="151"/>
  <c r="AA90" i="151" s="1"/>
  <c r="Y94" i="151"/>
  <c r="AA94" i="151" s="1"/>
  <c r="Y93" i="151"/>
  <c r="AA93" i="151" s="1"/>
  <c r="Y89" i="151"/>
  <c r="AA89" i="151" s="1"/>
  <c r="L87" i="132" s="1"/>
  <c r="N87" i="132" s="1"/>
  <c r="L687" i="170"/>
  <c r="G1865" i="170"/>
  <c r="A1882" i="170"/>
  <c r="F11" i="79"/>
  <c r="Z91" i="99" l="1"/>
  <c r="AA91" i="99" s="1"/>
  <c r="L89" i="132"/>
  <c r="N89" i="132" s="1"/>
  <c r="Z95" i="99"/>
  <c r="L93" i="132"/>
  <c r="N93" i="132" s="1"/>
  <c r="Z90" i="99"/>
  <c r="AA90" i="99" s="1"/>
  <c r="L88" i="132"/>
  <c r="N88" i="132" s="1"/>
  <c r="Z96" i="99"/>
  <c r="N94" i="132"/>
  <c r="Z93" i="99"/>
  <c r="AA93" i="99" s="1"/>
  <c r="L91" i="132"/>
  <c r="N91" i="132" s="1"/>
  <c r="Z92" i="99"/>
  <c r="AA92" i="99" s="1"/>
  <c r="L90" i="132"/>
  <c r="N90" i="132" s="1"/>
  <c r="Z94" i="99"/>
  <c r="AA94" i="99" s="1"/>
  <c r="L92" i="132"/>
  <c r="N92" i="132" s="1"/>
  <c r="Z89" i="99"/>
  <c r="AA89" i="99" s="1"/>
  <c r="AA97" i="99"/>
  <c r="A1899" i="170"/>
  <c r="G1882" i="170"/>
  <c r="A1916" i="170" l="1"/>
  <c r="G1899" i="170"/>
  <c r="A1933" i="170" l="1"/>
  <c r="G1916" i="170"/>
  <c r="G1933" i="170" l="1"/>
  <c r="A1950" i="170"/>
  <c r="H20" i="79"/>
  <c r="A1967" i="170" l="1"/>
  <c r="G1950" i="170"/>
  <c r="D100" i="128"/>
  <c r="K18" i="101" s="1"/>
  <c r="D101" i="128"/>
  <c r="K19" i="101" s="1"/>
  <c r="D102" i="128"/>
  <c r="K20" i="101" s="1"/>
  <c r="D103" i="128"/>
  <c r="K21" i="101" s="1"/>
  <c r="D104" i="128"/>
  <c r="K22" i="101" s="1"/>
  <c r="D105" i="128"/>
  <c r="K23" i="101" s="1"/>
  <c r="D106" i="128"/>
  <c r="K24" i="101" s="1"/>
  <c r="D107" i="128"/>
  <c r="K25" i="101" s="1"/>
  <c r="D108" i="128"/>
  <c r="K26" i="101" s="1"/>
  <c r="D109" i="128"/>
  <c r="K27" i="101" s="1"/>
  <c r="D110" i="128"/>
  <c r="K28" i="101" s="1"/>
  <c r="D111" i="128"/>
  <c r="K29" i="101" s="1"/>
  <c r="D112" i="128"/>
  <c r="K30" i="101" s="1"/>
  <c r="D113" i="128"/>
  <c r="K31" i="101" s="1"/>
  <c r="D114" i="128"/>
  <c r="K32" i="101" s="1"/>
  <c r="D115" i="128"/>
  <c r="K33" i="101" s="1"/>
  <c r="D116" i="128"/>
  <c r="K34" i="101" s="1"/>
  <c r="D117" i="128"/>
  <c r="K35" i="101" s="1"/>
  <c r="D118" i="128"/>
  <c r="K36" i="101" s="1"/>
  <c r="D119" i="128"/>
  <c r="K37" i="101" s="1"/>
  <c r="D120" i="128"/>
  <c r="K38" i="101" s="1"/>
  <c r="D121" i="128"/>
  <c r="K39" i="101" s="1"/>
  <c r="D122" i="128"/>
  <c r="K40" i="101" s="1"/>
  <c r="D123" i="128"/>
  <c r="K41" i="101" s="1"/>
  <c r="D124" i="128"/>
  <c r="K42" i="101" s="1"/>
  <c r="D125" i="128"/>
  <c r="K43" i="101" s="1"/>
  <c r="D126" i="128"/>
  <c r="K44" i="101" s="1"/>
  <c r="D127" i="128"/>
  <c r="K45" i="101" s="1"/>
  <c r="D128" i="128"/>
  <c r="K46" i="101" s="1"/>
  <c r="D129" i="128"/>
  <c r="K47" i="101" s="1"/>
  <c r="D130" i="128"/>
  <c r="K48" i="101" s="1"/>
  <c r="D131" i="128"/>
  <c r="K49" i="101" s="1"/>
  <c r="D132" i="128"/>
  <c r="K50" i="101" s="1"/>
  <c r="D133" i="128"/>
  <c r="K51" i="101" s="1"/>
  <c r="D134" i="128"/>
  <c r="K52" i="101" s="1"/>
  <c r="D135" i="128"/>
  <c r="K53" i="101" s="1"/>
  <c r="D136" i="128"/>
  <c r="K54" i="101" s="1"/>
  <c r="D137" i="128"/>
  <c r="K55" i="101" s="1"/>
  <c r="D138" i="128"/>
  <c r="K56" i="101" s="1"/>
  <c r="D139" i="128"/>
  <c r="K57" i="101" s="1"/>
  <c r="D140" i="128"/>
  <c r="K58" i="101" s="1"/>
  <c r="D141" i="128"/>
  <c r="K59" i="101" s="1"/>
  <c r="D142" i="128"/>
  <c r="K60" i="101" s="1"/>
  <c r="D143" i="128"/>
  <c r="K61" i="101" s="1"/>
  <c r="D144" i="128"/>
  <c r="K62" i="101" s="1"/>
  <c r="D145" i="128"/>
  <c r="K63" i="101" s="1"/>
  <c r="D146" i="128"/>
  <c r="K64" i="101" s="1"/>
  <c r="D147" i="128"/>
  <c r="K65" i="101" s="1"/>
  <c r="D148" i="128"/>
  <c r="K66" i="101" s="1"/>
  <c r="D149" i="128"/>
  <c r="K67" i="101" s="1"/>
  <c r="D150" i="128"/>
  <c r="K68" i="101" s="1"/>
  <c r="D151" i="128"/>
  <c r="K69" i="101" s="1"/>
  <c r="D152" i="128"/>
  <c r="K70" i="101" s="1"/>
  <c r="D153" i="128"/>
  <c r="K71" i="101" s="1"/>
  <c r="D154" i="128"/>
  <c r="K72" i="101" s="1"/>
  <c r="D155" i="128"/>
  <c r="K73" i="101" s="1"/>
  <c r="D156" i="128"/>
  <c r="K74" i="101" s="1"/>
  <c r="D99" i="128"/>
  <c r="K82" i="101" l="1"/>
  <c r="R157" i="9"/>
  <c r="R141" i="9"/>
  <c r="R125" i="9"/>
  <c r="H143" i="151" s="1"/>
  <c r="R109" i="9"/>
  <c r="H127" i="151" s="1"/>
  <c r="R144" i="9"/>
  <c r="R128" i="9"/>
  <c r="H146" i="151" s="1"/>
  <c r="R112" i="9"/>
  <c r="H130" i="151" s="1"/>
  <c r="R155" i="9"/>
  <c r="H173" i="151" s="1"/>
  <c r="R139" i="9"/>
  <c r="R123" i="9"/>
  <c r="H141" i="151" s="1"/>
  <c r="R107" i="9"/>
  <c r="H125" i="151" s="1"/>
  <c r="R150" i="9"/>
  <c r="H168" i="151" s="1"/>
  <c r="R134" i="9"/>
  <c r="R118" i="9"/>
  <c r="H136" i="151" s="1"/>
  <c r="R102" i="9"/>
  <c r="R104" i="9"/>
  <c r="H122" i="151" s="1"/>
  <c r="R115" i="9"/>
  <c r="R142" i="9"/>
  <c r="H160" i="151" s="1"/>
  <c r="R110" i="9"/>
  <c r="R145" i="9"/>
  <c r="H163" i="151" s="1"/>
  <c r="R148" i="9"/>
  <c r="R127" i="9"/>
  <c r="H145" i="151" s="1"/>
  <c r="R154" i="9"/>
  <c r="H172" i="151" s="1"/>
  <c r="R153" i="9"/>
  <c r="H171" i="151" s="1"/>
  <c r="R137" i="9"/>
  <c r="R121" i="9"/>
  <c r="H139" i="151" s="1"/>
  <c r="R105" i="9"/>
  <c r="H123" i="151" s="1"/>
  <c r="R156" i="9"/>
  <c r="H174" i="151" s="1"/>
  <c r="R140" i="9"/>
  <c r="R124" i="9"/>
  <c r="H142" i="151" s="1"/>
  <c r="R108" i="9"/>
  <c r="R151" i="9"/>
  <c r="H169" i="151" s="1"/>
  <c r="R135" i="9"/>
  <c r="R119" i="9"/>
  <c r="R103" i="9"/>
  <c r="R146" i="9"/>
  <c r="H164" i="151" s="1"/>
  <c r="R130" i="9"/>
  <c r="R114" i="9"/>
  <c r="H132" i="151" s="1"/>
  <c r="R98" i="9"/>
  <c r="R149" i="9"/>
  <c r="H167" i="151" s="1"/>
  <c r="R133" i="9"/>
  <c r="R117" i="9"/>
  <c r="R101" i="9"/>
  <c r="H119" i="151" s="1"/>
  <c r="R152" i="9"/>
  <c r="H170" i="151" s="1"/>
  <c r="R136" i="9"/>
  <c r="R120" i="9"/>
  <c r="H138" i="151" s="1"/>
  <c r="R131" i="9"/>
  <c r="R99" i="9"/>
  <c r="H117" i="151" s="1"/>
  <c r="R126" i="9"/>
  <c r="R129" i="9"/>
  <c r="H147" i="151" s="1"/>
  <c r="R100" i="9"/>
  <c r="R111" i="9"/>
  <c r="H129" i="151" s="1"/>
  <c r="R138" i="9"/>
  <c r="R147" i="9"/>
  <c r="R113" i="9"/>
  <c r="H131" i="151" s="1"/>
  <c r="R132" i="9"/>
  <c r="H150" i="151" s="1"/>
  <c r="R122" i="9"/>
  <c r="R116" i="9"/>
  <c r="H134" i="151" s="1"/>
  <c r="R143" i="9"/>
  <c r="H161" i="151" s="1"/>
  <c r="R106" i="9"/>
  <c r="H124" i="151" s="1"/>
  <c r="L120" i="151"/>
  <c r="L143" i="151"/>
  <c r="L144" i="151"/>
  <c r="L129" i="151"/>
  <c r="L126" i="151"/>
  <c r="L125" i="151"/>
  <c r="L124" i="151"/>
  <c r="L156" i="151"/>
  <c r="L138" i="151"/>
  <c r="L121" i="151"/>
  <c r="L149" i="151"/>
  <c r="L122" i="151"/>
  <c r="L131" i="151"/>
  <c r="L163" i="151"/>
  <c r="L175" i="151"/>
  <c r="L116" i="151"/>
  <c r="L148" i="151"/>
  <c r="L154" i="151"/>
  <c r="L169" i="151"/>
  <c r="L130" i="151"/>
  <c r="L133" i="151"/>
  <c r="L146" i="151"/>
  <c r="L139" i="151"/>
  <c r="L171" i="151"/>
  <c r="L135" i="151"/>
  <c r="L167" i="151"/>
  <c r="L142" i="151"/>
  <c r="L152" i="151"/>
  <c r="L145" i="151"/>
  <c r="L166" i="151"/>
  <c r="L127" i="151"/>
  <c r="L159" i="151"/>
  <c r="L128" i="151"/>
  <c r="L160" i="151"/>
  <c r="L161" i="151"/>
  <c r="L150" i="151"/>
  <c r="L157" i="151"/>
  <c r="L140" i="151"/>
  <c r="L172" i="151"/>
  <c r="L170" i="151"/>
  <c r="L153" i="151"/>
  <c r="L162" i="151"/>
  <c r="L147" i="151"/>
  <c r="L174" i="151"/>
  <c r="L173" i="151"/>
  <c r="L132" i="151"/>
  <c r="L164" i="151"/>
  <c r="L137" i="151"/>
  <c r="L158" i="151"/>
  <c r="L165" i="151"/>
  <c r="L123" i="151"/>
  <c r="L155" i="151"/>
  <c r="L119" i="151"/>
  <c r="L151" i="151"/>
  <c r="L118" i="151"/>
  <c r="L136" i="151"/>
  <c r="L168" i="151"/>
  <c r="L117" i="151"/>
  <c r="L134" i="151"/>
  <c r="L141" i="151"/>
  <c r="R97" i="9"/>
  <c r="H115" i="151" s="1"/>
  <c r="L115" i="151"/>
  <c r="C1456" i="170"/>
  <c r="D1460" i="170" s="1"/>
  <c r="I1421" i="170"/>
  <c r="J1425" i="170" s="1"/>
  <c r="C1438" i="170"/>
  <c r="D1442" i="170" s="1"/>
  <c r="I1404" i="170"/>
  <c r="J1408" i="170" s="1"/>
  <c r="C1421" i="170"/>
  <c r="D1425" i="170" s="1"/>
  <c r="C1132" i="170"/>
  <c r="D1136" i="170" s="1"/>
  <c r="C979" i="170"/>
  <c r="D983" i="170" s="1"/>
  <c r="I894" i="170"/>
  <c r="J898" i="170" s="1"/>
  <c r="C877" i="170"/>
  <c r="D881" i="170" s="1"/>
  <c r="I1217" i="170"/>
  <c r="J1221" i="170" s="1"/>
  <c r="I1098" i="170"/>
  <c r="J1102" i="170" s="1"/>
  <c r="I826" i="170"/>
  <c r="J830" i="170" s="1"/>
  <c r="I776" i="170"/>
  <c r="J780" i="170" s="1"/>
  <c r="I1013" i="170"/>
  <c r="J1017" i="170" s="1"/>
  <c r="C810" i="170"/>
  <c r="D814" i="170" s="1"/>
  <c r="C1166" i="170"/>
  <c r="D1170" i="170" s="1"/>
  <c r="C776" i="170"/>
  <c r="D780" i="170" s="1"/>
  <c r="C1302" i="170"/>
  <c r="D1306" i="170" s="1"/>
  <c r="C860" i="170"/>
  <c r="D864" i="170" s="1"/>
  <c r="I1268" i="170"/>
  <c r="J1272" i="170" s="1"/>
  <c r="C1353" i="170"/>
  <c r="D1357" i="170" s="1"/>
  <c r="I1081" i="170"/>
  <c r="J1085" i="170" s="1"/>
  <c r="C1404" i="170"/>
  <c r="D1408" i="170" s="1"/>
  <c r="C1115" i="170"/>
  <c r="D1119" i="170" s="1"/>
  <c r="I1285" i="170"/>
  <c r="J1289" i="170" s="1"/>
  <c r="I843" i="170"/>
  <c r="J847" i="170" s="1"/>
  <c r="C894" i="170"/>
  <c r="D898" i="170" s="1"/>
  <c r="I962" i="170"/>
  <c r="J966" i="170" s="1"/>
  <c r="C1387" i="170"/>
  <c r="D1391" i="170" s="1"/>
  <c r="C843" i="170"/>
  <c r="D847" i="170" s="1"/>
  <c r="I1047" i="170"/>
  <c r="J1051" i="170" s="1"/>
  <c r="C1234" i="170"/>
  <c r="D1238" i="170" s="1"/>
  <c r="C826" i="170"/>
  <c r="D830" i="170" s="1"/>
  <c r="I1149" i="170"/>
  <c r="J1153" i="170" s="1"/>
  <c r="I1234" i="170"/>
  <c r="J1238" i="170" s="1"/>
  <c r="I1132" i="170"/>
  <c r="J1136" i="170" s="1"/>
  <c r="C945" i="170"/>
  <c r="D949" i="170" s="1"/>
  <c r="C759" i="170"/>
  <c r="D763" i="170" s="1"/>
  <c r="I1336" i="170"/>
  <c r="J1340" i="170" s="1"/>
  <c r="C1336" i="170"/>
  <c r="D1340" i="170" s="1"/>
  <c r="I1387" i="170"/>
  <c r="J1391" i="170" s="1"/>
  <c r="I996" i="170"/>
  <c r="J1000" i="170" s="1"/>
  <c r="I860" i="170"/>
  <c r="J864" i="170" s="1"/>
  <c r="C1217" i="170"/>
  <c r="D1221" i="170" s="1"/>
  <c r="I793" i="170"/>
  <c r="J797" i="170" s="1"/>
  <c r="I945" i="170"/>
  <c r="J949" i="170" s="1"/>
  <c r="I1319" i="170"/>
  <c r="J1323" i="170" s="1"/>
  <c r="C962" i="170"/>
  <c r="D966" i="170" s="1"/>
  <c r="C1081" i="170"/>
  <c r="D1085" i="170" s="1"/>
  <c r="I1115" i="170"/>
  <c r="J1119" i="170" s="1"/>
  <c r="I1370" i="170"/>
  <c r="J1374" i="170" s="1"/>
  <c r="C1251" i="170"/>
  <c r="D1255" i="170" s="1"/>
  <c r="C1268" i="170"/>
  <c r="D1272" i="170" s="1"/>
  <c r="I1064" i="170"/>
  <c r="J1068" i="170" s="1"/>
  <c r="I1353" i="170"/>
  <c r="J1357" i="170" s="1"/>
  <c r="C1013" i="170"/>
  <c r="D1017" i="170" s="1"/>
  <c r="I979" i="170"/>
  <c r="J983" i="170" s="1"/>
  <c r="C1064" i="170"/>
  <c r="D1068" i="170" s="1"/>
  <c r="C1047" i="170"/>
  <c r="D1051" i="170" s="1"/>
  <c r="I911" i="170"/>
  <c r="J915" i="170" s="1"/>
  <c r="C996" i="170"/>
  <c r="D1000" i="170" s="1"/>
  <c r="I928" i="170"/>
  <c r="J932" i="170" s="1"/>
  <c r="C1285" i="170"/>
  <c r="D1289" i="170" s="1"/>
  <c r="C1030" i="170"/>
  <c r="D1034" i="170" s="1"/>
  <c r="C1200" i="170"/>
  <c r="D1204" i="170" s="1"/>
  <c r="I1166" i="170"/>
  <c r="J1170" i="170" s="1"/>
  <c r="C1319" i="170"/>
  <c r="D1323" i="170" s="1"/>
  <c r="C1098" i="170"/>
  <c r="D1102" i="170" s="1"/>
  <c r="C1149" i="170"/>
  <c r="D1153" i="170" s="1"/>
  <c r="I1302" i="170"/>
  <c r="J1306" i="170" s="1"/>
  <c r="C1183" i="170"/>
  <c r="D1187" i="170" s="1"/>
  <c r="I877" i="170"/>
  <c r="J881" i="170" s="1"/>
  <c r="I1251" i="170"/>
  <c r="J1255" i="170" s="1"/>
  <c r="C1370" i="170"/>
  <c r="D1374" i="170" s="1"/>
  <c r="I1030" i="170"/>
  <c r="J1034" i="170" s="1"/>
  <c r="C793" i="170"/>
  <c r="D797" i="170" s="1"/>
  <c r="C928" i="170"/>
  <c r="D932" i="170" s="1"/>
  <c r="I1200" i="170"/>
  <c r="J1204" i="170" s="1"/>
  <c r="I810" i="170"/>
  <c r="J814" i="170" s="1"/>
  <c r="C911" i="170"/>
  <c r="D915" i="170" s="1"/>
  <c r="I1183" i="170"/>
  <c r="J1187" i="170" s="1"/>
  <c r="I759" i="170"/>
  <c r="J763" i="170" s="1"/>
  <c r="I742" i="170"/>
  <c r="J746" i="170" s="1"/>
  <c r="C2552" i="170"/>
  <c r="D2556" i="170" s="1"/>
  <c r="C2568" i="170"/>
  <c r="D2572" i="170" s="1"/>
  <c r="I2552" i="170"/>
  <c r="J2556" i="170" s="1"/>
  <c r="I2519" i="170"/>
  <c r="J2523" i="170" s="1"/>
  <c r="I2568" i="170"/>
  <c r="J2572" i="170" s="1"/>
  <c r="C2535" i="170"/>
  <c r="D2539" i="170" s="1"/>
  <c r="I2535" i="170"/>
  <c r="J2539" i="170" s="1"/>
  <c r="C2263" i="170"/>
  <c r="D2267" i="170" s="1"/>
  <c r="I2087" i="170"/>
  <c r="J2091" i="170" s="1"/>
  <c r="I2407" i="170"/>
  <c r="J2411" i="170" s="1"/>
  <c r="I2071" i="170"/>
  <c r="J2075" i="170" s="1"/>
  <c r="I2311" i="170"/>
  <c r="J2315" i="170" s="1"/>
  <c r="C2215" i="170"/>
  <c r="D2219" i="170" s="1"/>
  <c r="I2183" i="170"/>
  <c r="J2187" i="170" s="1"/>
  <c r="C2471" i="170"/>
  <c r="D2475" i="170" s="1"/>
  <c r="C2247" i="170"/>
  <c r="D2251" i="170" s="1"/>
  <c r="C2087" i="170"/>
  <c r="D2091" i="170" s="1"/>
  <c r="I2119" i="170"/>
  <c r="J2123" i="170" s="1"/>
  <c r="I2327" i="170"/>
  <c r="J2331" i="170" s="1"/>
  <c r="C2199" i="170"/>
  <c r="D2203" i="170" s="1"/>
  <c r="C2343" i="170"/>
  <c r="D2347" i="170" s="1"/>
  <c r="C2295" i="170"/>
  <c r="D2299" i="170" s="1"/>
  <c r="C2423" i="170"/>
  <c r="D2427" i="170" s="1"/>
  <c r="I2247" i="170"/>
  <c r="J2251" i="170" s="1"/>
  <c r="C2135" i="170"/>
  <c r="D2139" i="170" s="1"/>
  <c r="C2407" i="170"/>
  <c r="D2411" i="170" s="1"/>
  <c r="C2231" i="170"/>
  <c r="D2235" i="170" s="1"/>
  <c r="I2135" i="170"/>
  <c r="J2139" i="170" s="1"/>
  <c r="C2375" i="170"/>
  <c r="D2379" i="170" s="1"/>
  <c r="C2327" i="170"/>
  <c r="D2331" i="170" s="1"/>
  <c r="C2487" i="170"/>
  <c r="D2491" i="170" s="1"/>
  <c r="I2487" i="170"/>
  <c r="J2491" i="170" s="1"/>
  <c r="I2375" i="170"/>
  <c r="J2379" i="170" s="1"/>
  <c r="C2119" i="170"/>
  <c r="D2123" i="170" s="1"/>
  <c r="I2503" i="170"/>
  <c r="J2507" i="170" s="1"/>
  <c r="I2343" i="170"/>
  <c r="J2347" i="170" s="1"/>
  <c r="I2471" i="170"/>
  <c r="J2475" i="170" s="1"/>
  <c r="C2183" i="170"/>
  <c r="D2187" i="170" s="1"/>
  <c r="I2391" i="170"/>
  <c r="J2395" i="170" s="1"/>
  <c r="I2215" i="170"/>
  <c r="J2219" i="170" s="1"/>
  <c r="I2359" i="170"/>
  <c r="J2363" i="170" s="1"/>
  <c r="C2455" i="170"/>
  <c r="D2459" i="170" s="1"/>
  <c r="C2151" i="170"/>
  <c r="D2155" i="170" s="1"/>
  <c r="I2439" i="170"/>
  <c r="J2443" i="170" s="1"/>
  <c r="C2503" i="170"/>
  <c r="D2507" i="170" s="1"/>
  <c r="C2071" i="170"/>
  <c r="D2075" i="170" s="1"/>
  <c r="C2279" i="170"/>
  <c r="D2283" i="170" s="1"/>
  <c r="I2167" i="170"/>
  <c r="J2171" i="170" s="1"/>
  <c r="C2359" i="170"/>
  <c r="D2363" i="170" s="1"/>
  <c r="C2519" i="170"/>
  <c r="D2523" i="170" s="1"/>
  <c r="I2231" i="170"/>
  <c r="J2235" i="170" s="1"/>
  <c r="I2199" i="170"/>
  <c r="J2203" i="170" s="1"/>
  <c r="C2167" i="170"/>
  <c r="D2171" i="170" s="1"/>
  <c r="I2423" i="170"/>
  <c r="J2427" i="170" s="1"/>
  <c r="C2311" i="170"/>
  <c r="D2315" i="170" s="1"/>
  <c r="C2391" i="170"/>
  <c r="D2395" i="170" s="1"/>
  <c r="I2455" i="170"/>
  <c r="J2459" i="170" s="1"/>
  <c r="I2103" i="170"/>
  <c r="J2107" i="170" s="1"/>
  <c r="I2151" i="170"/>
  <c r="J2155" i="170" s="1"/>
  <c r="I2295" i="170"/>
  <c r="J2299" i="170" s="1"/>
  <c r="I2279" i="170"/>
  <c r="J2283" i="170" s="1"/>
  <c r="C2439" i="170"/>
  <c r="D2443" i="170" s="1"/>
  <c r="I2263" i="170"/>
  <c r="J2267" i="170" s="1"/>
  <c r="C2103" i="170"/>
  <c r="D2107" i="170" s="1"/>
  <c r="I2055" i="170"/>
  <c r="J2059" i="170" s="1"/>
  <c r="I1986" i="170"/>
  <c r="J1990" i="170" s="1"/>
  <c r="I1884" i="170"/>
  <c r="J1888" i="170" s="1"/>
  <c r="C2003" i="170"/>
  <c r="D2007" i="170" s="1"/>
  <c r="C1969" i="170"/>
  <c r="D1973" i="170" s="1"/>
  <c r="I1748" i="170"/>
  <c r="J1752" i="170" s="1"/>
  <c r="C1833" i="170"/>
  <c r="D1837" i="170" s="1"/>
  <c r="C1935" i="170"/>
  <c r="D1939" i="170" s="1"/>
  <c r="C1561" i="170"/>
  <c r="D1565" i="170" s="1"/>
  <c r="C1697" i="170"/>
  <c r="D1701" i="170" s="1"/>
  <c r="I1510" i="170"/>
  <c r="J1514" i="170" s="1"/>
  <c r="I1595" i="170"/>
  <c r="J1599" i="170" s="1"/>
  <c r="C1731" i="170"/>
  <c r="D1735" i="170" s="1"/>
  <c r="C1884" i="170"/>
  <c r="D1888" i="170" s="1"/>
  <c r="C1527" i="170"/>
  <c r="D1531" i="170" s="1"/>
  <c r="C1612" i="170"/>
  <c r="D1616" i="170" s="1"/>
  <c r="C1816" i="170"/>
  <c r="D1820" i="170" s="1"/>
  <c r="I1765" i="170"/>
  <c r="J1769" i="170" s="1"/>
  <c r="I1782" i="170"/>
  <c r="J1786" i="170" s="1"/>
  <c r="I1935" i="170"/>
  <c r="J1939" i="170" s="1"/>
  <c r="I1969" i="170"/>
  <c r="J1973" i="170" s="1"/>
  <c r="I1816" i="170"/>
  <c r="J1820" i="170" s="1"/>
  <c r="I1714" i="170"/>
  <c r="J1718" i="170" s="1"/>
  <c r="I1612" i="170"/>
  <c r="J1616" i="170" s="1"/>
  <c r="I1663" i="170"/>
  <c r="J1667" i="170" s="1"/>
  <c r="I1697" i="170"/>
  <c r="J1701" i="170" s="1"/>
  <c r="C1663" i="170"/>
  <c r="D1667" i="170" s="1"/>
  <c r="C1901" i="170"/>
  <c r="D1905" i="170" s="1"/>
  <c r="C1850" i="170"/>
  <c r="D1854" i="170" s="1"/>
  <c r="I2003" i="170"/>
  <c r="J2007" i="170" s="1"/>
  <c r="C1578" i="170"/>
  <c r="D1582" i="170" s="1"/>
  <c r="C1952" i="170"/>
  <c r="D1956" i="170" s="1"/>
  <c r="I1901" i="170"/>
  <c r="J1905" i="170" s="1"/>
  <c r="C1782" i="170"/>
  <c r="D1786" i="170" s="1"/>
  <c r="I1731" i="170"/>
  <c r="J1735" i="170" s="1"/>
  <c r="I1918" i="170"/>
  <c r="J1922" i="170" s="1"/>
  <c r="I1867" i="170"/>
  <c r="J1871" i="170" s="1"/>
  <c r="C1544" i="170"/>
  <c r="D1548" i="170" s="1"/>
  <c r="I1629" i="170"/>
  <c r="J1633" i="170" s="1"/>
  <c r="I1544" i="170"/>
  <c r="J1548" i="170" s="1"/>
  <c r="C1510" i="170"/>
  <c r="D1514" i="170" s="1"/>
  <c r="I1646" i="170"/>
  <c r="J1650" i="170" s="1"/>
  <c r="C1918" i="170"/>
  <c r="D1922" i="170" s="1"/>
  <c r="C1680" i="170"/>
  <c r="D1684" i="170" s="1"/>
  <c r="C1646" i="170"/>
  <c r="D1650" i="170" s="1"/>
  <c r="C1765" i="170"/>
  <c r="D1769" i="170" s="1"/>
  <c r="C1986" i="170"/>
  <c r="D1990" i="170" s="1"/>
  <c r="I1850" i="170"/>
  <c r="J1854" i="170" s="1"/>
  <c r="C1629" i="170"/>
  <c r="D1633" i="170" s="1"/>
  <c r="C1748" i="170"/>
  <c r="D1752" i="170" s="1"/>
  <c r="I1833" i="170"/>
  <c r="J1837" i="170" s="1"/>
  <c r="I1561" i="170"/>
  <c r="J1565" i="170" s="1"/>
  <c r="I1680" i="170"/>
  <c r="J1684" i="170" s="1"/>
  <c r="I1799" i="170"/>
  <c r="J1803" i="170" s="1"/>
  <c r="C1799" i="170"/>
  <c r="D1803" i="170" s="1"/>
  <c r="C1595" i="170"/>
  <c r="D1599" i="170" s="1"/>
  <c r="I1578" i="170"/>
  <c r="J1582" i="170" s="1"/>
  <c r="C1714" i="170"/>
  <c r="D1718" i="170" s="1"/>
  <c r="I1527" i="170"/>
  <c r="J1531" i="170" s="1"/>
  <c r="C1867" i="170"/>
  <c r="D1871" i="170" s="1"/>
  <c r="I1952" i="170"/>
  <c r="J1956" i="170" s="1"/>
  <c r="I1493" i="170"/>
  <c r="J1497" i="170" s="1"/>
  <c r="AD91" i="9"/>
  <c r="H158" i="151"/>
  <c r="H126" i="151"/>
  <c r="H156" i="151"/>
  <c r="H140" i="151"/>
  <c r="H135" i="151"/>
  <c r="H157" i="151"/>
  <c r="H118" i="151"/>
  <c r="H159" i="151"/>
  <c r="H151" i="151"/>
  <c r="H152" i="151"/>
  <c r="H120" i="151"/>
  <c r="H162" i="151"/>
  <c r="H121" i="151"/>
  <c r="H175" i="151"/>
  <c r="H148" i="151"/>
  <c r="H116" i="151"/>
  <c r="H154" i="151"/>
  <c r="H155" i="151"/>
  <c r="H165" i="151"/>
  <c r="H149" i="151"/>
  <c r="H133" i="151"/>
  <c r="H166" i="151"/>
  <c r="H144" i="151"/>
  <c r="H128" i="151"/>
  <c r="H153" i="151"/>
  <c r="H137" i="151"/>
  <c r="I2567" i="170"/>
  <c r="C2567" i="170"/>
  <c r="I2551" i="170"/>
  <c r="C2551" i="170"/>
  <c r="AD157" i="9"/>
  <c r="A1984" i="170"/>
  <c r="G1967" i="170"/>
  <c r="AD141" i="9"/>
  <c r="AD125" i="9"/>
  <c r="AD109" i="9"/>
  <c r="AD142" i="9"/>
  <c r="AD126" i="9"/>
  <c r="AD110" i="9"/>
  <c r="AD154" i="9"/>
  <c r="AD151" i="9"/>
  <c r="AD135" i="9"/>
  <c r="AD119" i="9"/>
  <c r="AD103" i="9"/>
  <c r="AD148" i="9"/>
  <c r="AD132" i="9"/>
  <c r="AD116" i="9"/>
  <c r="AD100" i="9"/>
  <c r="AD133" i="9"/>
  <c r="AD101" i="9"/>
  <c r="AD134" i="9"/>
  <c r="AD102" i="9"/>
  <c r="AD127" i="9"/>
  <c r="AD111" i="9"/>
  <c r="AD140" i="9"/>
  <c r="AD108" i="9"/>
  <c r="AD153" i="9"/>
  <c r="AD137" i="9"/>
  <c r="AD121" i="9"/>
  <c r="AD105" i="9"/>
  <c r="AD138" i="9"/>
  <c r="AD122" i="9"/>
  <c r="AD106" i="9"/>
  <c r="AD147" i="9"/>
  <c r="AD131" i="9"/>
  <c r="AD115" i="9"/>
  <c r="AD99" i="9"/>
  <c r="AD144" i="9"/>
  <c r="AD128" i="9"/>
  <c r="AD112" i="9"/>
  <c r="AD156" i="9"/>
  <c r="AD149" i="9"/>
  <c r="AD117" i="9"/>
  <c r="AD150" i="9"/>
  <c r="AD118" i="9"/>
  <c r="AD143" i="9"/>
  <c r="AD155" i="9"/>
  <c r="AD124" i="9"/>
  <c r="AD129" i="9"/>
  <c r="AD98" i="9"/>
  <c r="AD123" i="9"/>
  <c r="AD104" i="9"/>
  <c r="AD146" i="9"/>
  <c r="AD107" i="9"/>
  <c r="AD152" i="9"/>
  <c r="AD145" i="9"/>
  <c r="AD114" i="9"/>
  <c r="AD139" i="9"/>
  <c r="AD120" i="9"/>
  <c r="AD130" i="9"/>
  <c r="AD136" i="9"/>
  <c r="AD113" i="9"/>
  <c r="H108" i="151" l="1"/>
  <c r="M108" i="151" s="1"/>
  <c r="H107" i="151"/>
  <c r="M107" i="151" s="1"/>
  <c r="H105" i="151"/>
  <c r="M105" i="151" s="1"/>
  <c r="H106" i="151"/>
  <c r="M106" i="151" s="1"/>
  <c r="G1984" i="170"/>
  <c r="A2001" i="170"/>
  <c r="H104" i="151"/>
  <c r="M104" i="151" s="1"/>
  <c r="G76" i="101"/>
  <c r="L76" i="101" s="1"/>
  <c r="U155" i="9"/>
  <c r="U156" i="9"/>
  <c r="G77" i="101"/>
  <c r="L77" i="101" s="1"/>
  <c r="U154" i="9"/>
  <c r="G75" i="101"/>
  <c r="U157" i="9"/>
  <c r="G78" i="101"/>
  <c r="L78" i="101" s="1"/>
  <c r="H103" i="151"/>
  <c r="M103" i="151" s="1"/>
  <c r="H102" i="151"/>
  <c r="M102" i="151" s="1"/>
  <c r="H101" i="151"/>
  <c r="M101" i="151" s="1"/>
  <c r="L75" i="101" l="1"/>
  <c r="G88" i="101"/>
  <c r="K108" i="151"/>
  <c r="K105" i="151"/>
  <c r="K106" i="151"/>
  <c r="K107" i="151"/>
  <c r="A2053" i="170"/>
  <c r="A2018" i="170"/>
  <c r="G2001" i="170"/>
  <c r="I16" i="151"/>
  <c r="K104" i="151"/>
  <c r="K101" i="151"/>
  <c r="K103" i="151"/>
  <c r="K102" i="151"/>
  <c r="A2069" i="170" l="1"/>
  <c r="A2085" i="170" s="1"/>
  <c r="A2101" i="170" s="1"/>
  <c r="G2053" i="170"/>
  <c r="A2035" i="170"/>
  <c r="G2035" i="170" s="1"/>
  <c r="G2018" i="170"/>
  <c r="AP163" i="128"/>
  <c r="A2117" i="170" l="1"/>
  <c r="G2101" i="170"/>
  <c r="E19" i="154"/>
  <c r="AM98" i="128"/>
  <c r="E16" i="154"/>
  <c r="H18" i="154"/>
  <c r="U36" i="9"/>
  <c r="U81" i="9"/>
  <c r="H84" i="132"/>
  <c r="J84" i="132" s="1"/>
  <c r="U121" i="9"/>
  <c r="U137" i="9"/>
  <c r="U153" i="9"/>
  <c r="U21" i="9"/>
  <c r="U37" i="9"/>
  <c r="U53" i="9"/>
  <c r="U69" i="9"/>
  <c r="U77" i="9"/>
  <c r="U67" i="9"/>
  <c r="U136" i="9"/>
  <c r="U64" i="9"/>
  <c r="U102" i="9"/>
  <c r="U118" i="9"/>
  <c r="U134" i="9"/>
  <c r="U150" i="9"/>
  <c r="U18" i="9"/>
  <c r="U26" i="9"/>
  <c r="U46" i="9"/>
  <c r="U62" i="9"/>
  <c r="U43" i="9"/>
  <c r="U55" i="9"/>
  <c r="U116" i="9"/>
  <c r="U16" i="9"/>
  <c r="U40" i="9"/>
  <c r="U103" i="9"/>
  <c r="U119" i="9"/>
  <c r="U143" i="9"/>
  <c r="U19" i="9"/>
  <c r="U14" i="9"/>
  <c r="U101" i="9"/>
  <c r="U109" i="9"/>
  <c r="U117" i="9"/>
  <c r="U125" i="9"/>
  <c r="U133" i="9"/>
  <c r="U141" i="9"/>
  <c r="U149" i="9"/>
  <c r="H100" i="151"/>
  <c r="M100" i="151" s="1"/>
  <c r="U17" i="9"/>
  <c r="U25" i="9"/>
  <c r="U33" i="9"/>
  <c r="U41" i="9"/>
  <c r="U49" i="9"/>
  <c r="U57" i="9"/>
  <c r="U65" i="9"/>
  <c r="U73" i="9"/>
  <c r="U74" i="9"/>
  <c r="U59" i="9"/>
  <c r="U75" i="9"/>
  <c r="U104" i="9"/>
  <c r="U124" i="9"/>
  <c r="U148" i="9"/>
  <c r="U12" i="9"/>
  <c r="U52" i="9"/>
  <c r="U76" i="9"/>
  <c r="U98" i="9"/>
  <c r="U106" i="9"/>
  <c r="U114" i="9"/>
  <c r="U122" i="9"/>
  <c r="U130" i="9"/>
  <c r="U138" i="9"/>
  <c r="U146" i="9"/>
  <c r="U22" i="9"/>
  <c r="U30" i="9"/>
  <c r="U42" i="9"/>
  <c r="U50" i="9"/>
  <c r="U58" i="9"/>
  <c r="U66" i="9"/>
  <c r="U78" i="9"/>
  <c r="U51" i="9"/>
  <c r="U63" i="9"/>
  <c r="U105" i="9"/>
  <c r="U113" i="9"/>
  <c r="U129" i="9"/>
  <c r="U145" i="9"/>
  <c r="U13" i="9"/>
  <c r="U29" i="9"/>
  <c r="U45" i="9"/>
  <c r="U61" i="9"/>
  <c r="U47" i="9"/>
  <c r="U112" i="9"/>
  <c r="U24" i="9"/>
  <c r="U110" i="9"/>
  <c r="U126" i="9"/>
  <c r="U142" i="9"/>
  <c r="U38" i="9"/>
  <c r="U54" i="9"/>
  <c r="U70" i="9"/>
  <c r="U79" i="9"/>
  <c r="H16" i="151"/>
  <c r="M16" i="151" s="1"/>
  <c r="U83" i="9"/>
  <c r="U140" i="9"/>
  <c r="U60" i="9"/>
  <c r="U111" i="9"/>
  <c r="U127" i="9"/>
  <c r="U135" i="9"/>
  <c r="U151" i="9"/>
  <c r="U27" i="9"/>
  <c r="U35" i="9"/>
  <c r="U71" i="9"/>
  <c r="U100" i="9"/>
  <c r="U120" i="9"/>
  <c r="U144" i="9"/>
  <c r="H99" i="151"/>
  <c r="M99" i="151" s="1"/>
  <c r="U32" i="9"/>
  <c r="U56" i="9"/>
  <c r="U82" i="9"/>
  <c r="H85" i="132"/>
  <c r="J85" i="132" s="1"/>
  <c r="U34" i="9"/>
  <c r="U80" i="9"/>
  <c r="H83" i="132"/>
  <c r="J83" i="132" s="1"/>
  <c r="U128" i="9"/>
  <c r="U152" i="9"/>
  <c r="U28" i="9"/>
  <c r="U48" i="9"/>
  <c r="U72" i="9"/>
  <c r="U99" i="9"/>
  <c r="U107" i="9"/>
  <c r="U115" i="9"/>
  <c r="U123" i="9"/>
  <c r="U131" i="9"/>
  <c r="U139" i="9"/>
  <c r="U147" i="9"/>
  <c r="U97" i="9"/>
  <c r="U15" i="9"/>
  <c r="U23" i="9"/>
  <c r="U31" i="9"/>
  <c r="U39" i="9"/>
  <c r="U108" i="9"/>
  <c r="U132" i="9"/>
  <c r="U20" i="9"/>
  <c r="U44" i="9"/>
  <c r="U68" i="9"/>
  <c r="G41" i="99"/>
  <c r="G86" i="99"/>
  <c r="G22" i="101"/>
  <c r="L22" i="101" s="1"/>
  <c r="G30" i="101"/>
  <c r="L30" i="101" s="1"/>
  <c r="G38" i="101"/>
  <c r="L38" i="101" s="1"/>
  <c r="G46" i="101"/>
  <c r="L46" i="101" s="1"/>
  <c r="G54" i="101"/>
  <c r="L54" i="101" s="1"/>
  <c r="G62" i="101"/>
  <c r="L62" i="101" s="1"/>
  <c r="G70" i="101"/>
  <c r="L70" i="101" s="1"/>
  <c r="G22" i="99"/>
  <c r="G30" i="99"/>
  <c r="G38" i="99"/>
  <c r="G46" i="99"/>
  <c r="G54" i="99"/>
  <c r="G62" i="99"/>
  <c r="G70" i="99"/>
  <c r="G78" i="99"/>
  <c r="G79" i="99"/>
  <c r="G64" i="99"/>
  <c r="G80" i="99"/>
  <c r="G25" i="101"/>
  <c r="L25" i="101" s="1"/>
  <c r="G45" i="101"/>
  <c r="L45" i="101" s="1"/>
  <c r="G69" i="101"/>
  <c r="L69" i="101" s="1"/>
  <c r="G57" i="99"/>
  <c r="G81" i="99"/>
  <c r="G19" i="101"/>
  <c r="L19" i="101" s="1"/>
  <c r="G27" i="101"/>
  <c r="L27" i="101" s="1"/>
  <c r="G35" i="101"/>
  <c r="L35" i="101" s="1"/>
  <c r="G43" i="101"/>
  <c r="L43" i="101" s="1"/>
  <c r="G51" i="101"/>
  <c r="L51" i="101" s="1"/>
  <c r="G59" i="101"/>
  <c r="L59" i="101" s="1"/>
  <c r="G67" i="101"/>
  <c r="L67" i="101" s="1"/>
  <c r="G27" i="99"/>
  <c r="G35" i="99"/>
  <c r="G47" i="99"/>
  <c r="G55" i="99"/>
  <c r="G63" i="99"/>
  <c r="G71" i="99"/>
  <c r="G83" i="99"/>
  <c r="G56" i="99"/>
  <c r="G68" i="99"/>
  <c r="G49" i="101"/>
  <c r="L49" i="101" s="1"/>
  <c r="G73" i="101"/>
  <c r="L73" i="101" s="1"/>
  <c r="G33" i="99"/>
  <c r="G53" i="99"/>
  <c r="G77" i="99"/>
  <c r="G24" i="101"/>
  <c r="L24" i="101" s="1"/>
  <c r="G32" i="101"/>
  <c r="L32" i="101" s="1"/>
  <c r="G40" i="101"/>
  <c r="L40" i="101" s="1"/>
  <c r="G48" i="101"/>
  <c r="L48" i="101" s="1"/>
  <c r="G56" i="101"/>
  <c r="L56" i="101" s="1"/>
  <c r="G64" i="101"/>
  <c r="L64" i="101" s="1"/>
  <c r="G72" i="101"/>
  <c r="L72" i="101" s="1"/>
  <c r="G24" i="99"/>
  <c r="G32" i="99"/>
  <c r="G40" i="99"/>
  <c r="G76" i="99"/>
  <c r="G21" i="101"/>
  <c r="L21" i="101" s="1"/>
  <c r="G41" i="101"/>
  <c r="L41" i="101" s="1"/>
  <c r="G65" i="101"/>
  <c r="L65" i="101" s="1"/>
  <c r="G37" i="99"/>
  <c r="G61" i="99"/>
  <c r="G39" i="99"/>
  <c r="G85" i="99"/>
  <c r="G88" i="99"/>
  <c r="L88" i="99" s="1"/>
  <c r="G87" i="99"/>
  <c r="L87" i="99" s="1"/>
  <c r="G19" i="99"/>
  <c r="G26" i="101"/>
  <c r="L26" i="101" s="1"/>
  <c r="G34" i="101"/>
  <c r="L34" i="101" s="1"/>
  <c r="G42" i="101"/>
  <c r="L42" i="101" s="1"/>
  <c r="G50" i="101"/>
  <c r="L50" i="101" s="1"/>
  <c r="G58" i="101"/>
  <c r="L58" i="101" s="1"/>
  <c r="G66" i="101"/>
  <c r="L66" i="101" s="1"/>
  <c r="G74" i="101"/>
  <c r="L74" i="101" s="1"/>
  <c r="G18" i="99"/>
  <c r="G26" i="99"/>
  <c r="G34" i="99"/>
  <c r="G42" i="99"/>
  <c r="G50" i="99"/>
  <c r="G58" i="99"/>
  <c r="G66" i="99"/>
  <c r="G74" i="99"/>
  <c r="G82" i="99"/>
  <c r="G52" i="99"/>
  <c r="G72" i="99"/>
  <c r="G33" i="101"/>
  <c r="L33" i="101" s="1"/>
  <c r="G57" i="101"/>
  <c r="L57" i="101" s="1"/>
  <c r="G29" i="99"/>
  <c r="G69" i="99"/>
  <c r="G23" i="101"/>
  <c r="L23" i="101" s="1"/>
  <c r="G31" i="101"/>
  <c r="L31" i="101" s="1"/>
  <c r="G39" i="101"/>
  <c r="L39" i="101" s="1"/>
  <c r="G47" i="101"/>
  <c r="L47" i="101" s="1"/>
  <c r="G55" i="101"/>
  <c r="L55" i="101" s="1"/>
  <c r="G63" i="101"/>
  <c r="L63" i="101" s="1"/>
  <c r="G71" i="101"/>
  <c r="L71" i="101" s="1"/>
  <c r="G23" i="99"/>
  <c r="G31" i="99"/>
  <c r="G43" i="99"/>
  <c r="G51" i="99"/>
  <c r="G59" i="99"/>
  <c r="G67" i="99"/>
  <c r="G75" i="99"/>
  <c r="G48" i="99"/>
  <c r="G60" i="99"/>
  <c r="G84" i="99"/>
  <c r="G37" i="101"/>
  <c r="L37" i="101" s="1"/>
  <c r="G61" i="101"/>
  <c r="L61" i="101" s="1"/>
  <c r="G21" i="99"/>
  <c r="G45" i="99"/>
  <c r="G65" i="99"/>
  <c r="G20" i="101"/>
  <c r="L20" i="101" s="1"/>
  <c r="G28" i="101"/>
  <c r="L28" i="101" s="1"/>
  <c r="G36" i="101"/>
  <c r="L36" i="101" s="1"/>
  <c r="G44" i="101"/>
  <c r="L44" i="101" s="1"/>
  <c r="G52" i="101"/>
  <c r="L52" i="101" s="1"/>
  <c r="G60" i="101"/>
  <c r="L60" i="101" s="1"/>
  <c r="G68" i="101"/>
  <c r="L68" i="101" s="1"/>
  <c r="G20" i="99"/>
  <c r="G28" i="99"/>
  <c r="G36" i="99"/>
  <c r="G44" i="99"/>
  <c r="G29" i="101"/>
  <c r="L29" i="101" s="1"/>
  <c r="G53" i="101"/>
  <c r="L53" i="101" s="1"/>
  <c r="G25" i="99"/>
  <c r="G49" i="99"/>
  <c r="G73" i="99"/>
  <c r="J49" i="99" l="1"/>
  <c r="L49" i="99"/>
  <c r="J44" i="99"/>
  <c r="L44" i="99"/>
  <c r="J67" i="99"/>
  <c r="L67" i="99"/>
  <c r="J74" i="99"/>
  <c r="L74" i="99"/>
  <c r="J77" i="99"/>
  <c r="L77" i="99"/>
  <c r="J35" i="99"/>
  <c r="L35" i="99"/>
  <c r="J54" i="99"/>
  <c r="L54" i="99"/>
  <c r="J86" i="99"/>
  <c r="L86" i="99"/>
  <c r="J25" i="99"/>
  <c r="L25" i="99"/>
  <c r="J36" i="99"/>
  <c r="L36" i="99"/>
  <c r="J21" i="99"/>
  <c r="L21" i="99"/>
  <c r="J60" i="99"/>
  <c r="L60" i="99"/>
  <c r="J59" i="99"/>
  <c r="L59" i="99"/>
  <c r="J23" i="99"/>
  <c r="L23" i="99"/>
  <c r="J69" i="99"/>
  <c r="L69" i="99"/>
  <c r="J72" i="99"/>
  <c r="L72" i="99"/>
  <c r="J66" i="99"/>
  <c r="L66" i="99"/>
  <c r="J34" i="99"/>
  <c r="L34" i="99"/>
  <c r="J37" i="99"/>
  <c r="L37" i="99"/>
  <c r="J76" i="99"/>
  <c r="L76" i="99"/>
  <c r="J53" i="99"/>
  <c r="L53" i="99"/>
  <c r="J68" i="99"/>
  <c r="L68" i="99"/>
  <c r="J63" i="99"/>
  <c r="L63" i="99"/>
  <c r="J27" i="99"/>
  <c r="L27" i="99"/>
  <c r="J81" i="99"/>
  <c r="L81" i="99"/>
  <c r="J78" i="99"/>
  <c r="L78" i="99"/>
  <c r="J46" i="99"/>
  <c r="L46" i="99"/>
  <c r="J41" i="99"/>
  <c r="L41" i="99"/>
  <c r="J28" i="99"/>
  <c r="L28" i="99"/>
  <c r="J48" i="99"/>
  <c r="L48" i="99"/>
  <c r="J51" i="99"/>
  <c r="L51" i="99"/>
  <c r="J29" i="99"/>
  <c r="L29" i="99"/>
  <c r="J52" i="99"/>
  <c r="L52" i="99"/>
  <c r="J58" i="99"/>
  <c r="L58" i="99"/>
  <c r="J26" i="99"/>
  <c r="L26" i="99"/>
  <c r="J85" i="99"/>
  <c r="L85" i="99"/>
  <c r="J40" i="99"/>
  <c r="L40" i="99"/>
  <c r="J33" i="99"/>
  <c r="L33" i="99"/>
  <c r="J56" i="99"/>
  <c r="L56" i="99"/>
  <c r="J55" i="99"/>
  <c r="L55" i="99"/>
  <c r="J57" i="99"/>
  <c r="L57" i="99"/>
  <c r="J80" i="99"/>
  <c r="L80" i="99"/>
  <c r="J70" i="99"/>
  <c r="L70" i="99"/>
  <c r="J38" i="99"/>
  <c r="L38" i="99"/>
  <c r="J45" i="99"/>
  <c r="L45" i="99"/>
  <c r="J84" i="99"/>
  <c r="L84" i="99"/>
  <c r="J31" i="99"/>
  <c r="L31" i="99"/>
  <c r="J42" i="99"/>
  <c r="L42" i="99"/>
  <c r="J61" i="99"/>
  <c r="L61" i="99"/>
  <c r="J24" i="99"/>
  <c r="L24" i="99"/>
  <c r="J71" i="99"/>
  <c r="L71" i="99"/>
  <c r="J79" i="99"/>
  <c r="L79" i="99"/>
  <c r="J22" i="99"/>
  <c r="L22" i="99"/>
  <c r="J73" i="99"/>
  <c r="L73" i="99"/>
  <c r="J20" i="99"/>
  <c r="L20" i="99"/>
  <c r="J65" i="99"/>
  <c r="L65" i="99"/>
  <c r="J75" i="99"/>
  <c r="L75" i="99"/>
  <c r="J43" i="99"/>
  <c r="L43" i="99"/>
  <c r="J82" i="99"/>
  <c r="L82" i="99"/>
  <c r="J50" i="99"/>
  <c r="L50" i="99"/>
  <c r="J18" i="99"/>
  <c r="L18" i="99"/>
  <c r="J19" i="99"/>
  <c r="L19" i="99"/>
  <c r="J39" i="99"/>
  <c r="L39" i="99"/>
  <c r="J32" i="99"/>
  <c r="L32" i="99"/>
  <c r="J83" i="99"/>
  <c r="L83" i="99"/>
  <c r="J47" i="99"/>
  <c r="L47" i="99"/>
  <c r="J64" i="99"/>
  <c r="L64" i="99"/>
  <c r="J62" i="99"/>
  <c r="L62" i="99"/>
  <c r="J30" i="99"/>
  <c r="L30" i="99"/>
  <c r="AJ8" i="151"/>
  <c r="AA11" i="151" s="1"/>
  <c r="AM161" i="128"/>
  <c r="J87" i="99"/>
  <c r="J88" i="99"/>
  <c r="I607" i="170"/>
  <c r="K607" i="170" s="1"/>
  <c r="C624" i="170"/>
  <c r="E624" i="170" s="1"/>
  <c r="I590" i="170"/>
  <c r="K590" i="170" s="1"/>
  <c r="C607" i="170"/>
  <c r="E607" i="170" s="1"/>
  <c r="K16" i="151"/>
  <c r="H15" i="151"/>
  <c r="K175" i="151"/>
  <c r="H14" i="132"/>
  <c r="E15" i="154"/>
  <c r="U10" i="9"/>
  <c r="AB11" i="101"/>
  <c r="J60" i="101" s="1"/>
  <c r="AM166" i="128"/>
  <c r="A2133" i="170"/>
  <c r="G2117" i="170"/>
  <c r="H19" i="154"/>
  <c r="G19" i="154"/>
  <c r="G15" i="154" s="1"/>
  <c r="H17" i="154"/>
  <c r="H16" i="154"/>
  <c r="K87" i="151"/>
  <c r="K88" i="151"/>
  <c r="C626" i="170" s="1"/>
  <c r="E626" i="170" s="1"/>
  <c r="K85" i="151"/>
  <c r="I592" i="170" s="1"/>
  <c r="K592" i="170" s="1"/>
  <c r="K99" i="151"/>
  <c r="K100" i="151"/>
  <c r="K86" i="151"/>
  <c r="C609" i="170" s="1"/>
  <c r="E609" i="170" s="1"/>
  <c r="M161" i="151" l="1"/>
  <c r="M172" i="151"/>
  <c r="M148" i="151"/>
  <c r="M147" i="151"/>
  <c r="M139" i="151"/>
  <c r="M141" i="151"/>
  <c r="M155" i="151"/>
  <c r="M135" i="151"/>
  <c r="M120" i="151"/>
  <c r="M126" i="151"/>
  <c r="M128" i="151"/>
  <c r="M159" i="151"/>
  <c r="M129" i="151"/>
  <c r="M164" i="151"/>
  <c r="M122" i="151"/>
  <c r="M171" i="151"/>
  <c r="M130" i="151"/>
  <c r="M156" i="151"/>
  <c r="M160" i="151"/>
  <c r="M133" i="151"/>
  <c r="M175" i="151"/>
  <c r="M124" i="151"/>
  <c r="M174" i="151"/>
  <c r="M143" i="151"/>
  <c r="M142" i="151"/>
  <c r="M166" i="151"/>
  <c r="M165" i="151"/>
  <c r="M152" i="151"/>
  <c r="M162" i="151"/>
  <c r="M163" i="151"/>
  <c r="M131" i="151"/>
  <c r="M125" i="151"/>
  <c r="M118" i="151"/>
  <c r="M138" i="151"/>
  <c r="M145" i="151"/>
  <c r="M146" i="151"/>
  <c r="M157" i="151"/>
  <c r="M158" i="151"/>
  <c r="M137" i="151"/>
  <c r="M153" i="151"/>
  <c r="M149" i="151"/>
  <c r="M140" i="151"/>
  <c r="M117" i="151"/>
  <c r="M169" i="151"/>
  <c r="M168" i="151"/>
  <c r="M119" i="151"/>
  <c r="M132" i="151"/>
  <c r="M144" i="151"/>
  <c r="M115" i="151"/>
  <c r="M154" i="151"/>
  <c r="M116" i="151"/>
  <c r="M170" i="151"/>
  <c r="M173" i="151"/>
  <c r="M123" i="151"/>
  <c r="M134" i="151"/>
  <c r="M136" i="151"/>
  <c r="M121" i="151"/>
  <c r="M151" i="151"/>
  <c r="M150" i="151"/>
  <c r="M167" i="151"/>
  <c r="M127" i="151"/>
  <c r="I609" i="170"/>
  <c r="K609" i="170" s="1"/>
  <c r="K618" i="170" s="1"/>
  <c r="I661" i="170"/>
  <c r="K661" i="170" s="1"/>
  <c r="K670" i="170" s="1"/>
  <c r="L670" i="170" s="1"/>
  <c r="K133" i="151"/>
  <c r="AA194" i="128"/>
  <c r="T194" i="128"/>
  <c r="T193" i="128"/>
  <c r="T189" i="128" s="1"/>
  <c r="E635" i="170"/>
  <c r="L635" i="170" s="1"/>
  <c r="E618" i="170"/>
  <c r="K601" i="170"/>
  <c r="K141" i="151"/>
  <c r="K135" i="151"/>
  <c r="K168" i="151"/>
  <c r="K158" i="151"/>
  <c r="K149" i="151"/>
  <c r="K150" i="151"/>
  <c r="K161" i="151"/>
  <c r="K130" i="151"/>
  <c r="K166" i="151"/>
  <c r="K171" i="151"/>
  <c r="K120" i="151"/>
  <c r="K151" i="151"/>
  <c r="K163" i="151"/>
  <c r="K144" i="151"/>
  <c r="K159" i="151"/>
  <c r="K123" i="151"/>
  <c r="K118" i="151"/>
  <c r="J66" i="101"/>
  <c r="J75" i="101"/>
  <c r="J65" i="101"/>
  <c r="K134" i="151"/>
  <c r="K122" i="151"/>
  <c r="K148" i="151"/>
  <c r="K170" i="151"/>
  <c r="K143" i="151"/>
  <c r="K124" i="151"/>
  <c r="K117" i="151"/>
  <c r="J43" i="101"/>
  <c r="J33" i="101"/>
  <c r="J34" i="101"/>
  <c r="J28" i="101"/>
  <c r="K132" i="151"/>
  <c r="K138" i="151"/>
  <c r="K157" i="151"/>
  <c r="K145" i="151"/>
  <c r="J59" i="101"/>
  <c r="J27" i="101"/>
  <c r="J50" i="101"/>
  <c r="J21" i="101"/>
  <c r="J49" i="101"/>
  <c r="J76" i="101"/>
  <c r="J44" i="101"/>
  <c r="K139" i="151"/>
  <c r="K154" i="151"/>
  <c r="K137" i="151"/>
  <c r="K119" i="151"/>
  <c r="K116" i="151"/>
  <c r="K131" i="151"/>
  <c r="K153" i="151"/>
  <c r="K125" i="151"/>
  <c r="K155" i="151"/>
  <c r="K136" i="151"/>
  <c r="K121" i="151"/>
  <c r="K127" i="151"/>
  <c r="K142" i="151"/>
  <c r="K156" i="151"/>
  <c r="K160" i="151"/>
  <c r="K165" i="151"/>
  <c r="J23" i="101"/>
  <c r="J51" i="101"/>
  <c r="J74" i="101"/>
  <c r="J42" i="101"/>
  <c r="J73" i="101"/>
  <c r="J41" i="101"/>
  <c r="J68" i="101"/>
  <c r="J36" i="101"/>
  <c r="J67" i="101"/>
  <c r="J35" i="101"/>
  <c r="J58" i="101"/>
  <c r="J26" i="101"/>
  <c r="J57" i="101"/>
  <c r="J25" i="101"/>
  <c r="J52" i="101"/>
  <c r="K152" i="151"/>
  <c r="K167" i="151"/>
  <c r="K164" i="151"/>
  <c r="K129" i="151"/>
  <c r="K115" i="151"/>
  <c r="K126" i="151"/>
  <c r="K140" i="151"/>
  <c r="K147" i="151"/>
  <c r="K128" i="151"/>
  <c r="K169" i="151"/>
  <c r="K162" i="151"/>
  <c r="K146" i="151"/>
  <c r="K174" i="151"/>
  <c r="K172" i="151"/>
  <c r="K173" i="151"/>
  <c r="J19" i="101"/>
  <c r="J63" i="101"/>
  <c r="J47" i="101"/>
  <c r="J31" i="101"/>
  <c r="J70" i="101"/>
  <c r="J54" i="101"/>
  <c r="J38" i="101"/>
  <c r="Z13" i="101"/>
  <c r="J69" i="101"/>
  <c r="J53" i="101"/>
  <c r="J37" i="101"/>
  <c r="J20" i="101"/>
  <c r="J64" i="101"/>
  <c r="J48" i="101"/>
  <c r="J32" i="101"/>
  <c r="J78" i="101"/>
  <c r="J71" i="101"/>
  <c r="J55" i="101"/>
  <c r="J39" i="101"/>
  <c r="J22" i="101"/>
  <c r="J62" i="101"/>
  <c r="J46" i="101"/>
  <c r="J30" i="101"/>
  <c r="J77" i="101"/>
  <c r="J61" i="101"/>
  <c r="J45" i="101"/>
  <c r="J29" i="101"/>
  <c r="J72" i="101"/>
  <c r="J56" i="101"/>
  <c r="J40" i="101"/>
  <c r="J24" i="101"/>
  <c r="C10" i="170"/>
  <c r="E10" i="170" s="1"/>
  <c r="A2149" i="170"/>
  <c r="G2133" i="170"/>
  <c r="H15" i="154"/>
  <c r="T195" i="128" l="1"/>
  <c r="AA191" i="128"/>
  <c r="AA193" i="128"/>
  <c r="AA192" i="128"/>
  <c r="AA188" i="128"/>
  <c r="AA190" i="128"/>
  <c r="L618" i="170"/>
  <c r="A2165" i="170"/>
  <c r="G2149" i="170"/>
  <c r="AA189" i="128" l="1"/>
  <c r="AH192" i="128" s="1"/>
  <c r="F189" i="128"/>
  <c r="G2165" i="170"/>
  <c r="A2181" i="170"/>
  <c r="AH191" i="128" l="1"/>
  <c r="AH190" i="128"/>
  <c r="Q192" i="128"/>
  <c r="Q191" i="128"/>
  <c r="Q190" i="128"/>
  <c r="AA195" i="128"/>
  <c r="AH193" i="128"/>
  <c r="F195" i="128"/>
  <c r="G2181" i="170"/>
  <c r="A2197" i="170"/>
  <c r="Q186" i="128" l="1"/>
  <c r="Q193" i="128"/>
  <c r="AH189" i="128"/>
  <c r="Q185" i="128"/>
  <c r="A2213" i="170"/>
  <c r="G2197" i="170"/>
  <c r="Q182" i="128" l="1"/>
  <c r="Q189" i="128"/>
  <c r="A2229" i="170"/>
  <c r="G2213" i="170"/>
  <c r="A2245" i="170" l="1"/>
  <c r="G2229" i="170"/>
  <c r="A2261" i="170" l="1"/>
  <c r="G2245" i="170"/>
  <c r="G20" i="79"/>
  <c r="N3" i="9"/>
  <c r="AC12" i="9"/>
  <c r="T12" i="9"/>
  <c r="AC13" i="9"/>
  <c r="T13" i="9"/>
  <c r="I18" i="151" s="1"/>
  <c r="AC14" i="9"/>
  <c r="T14" i="9"/>
  <c r="I19" i="151" s="1"/>
  <c r="AC15" i="9"/>
  <c r="T15" i="9"/>
  <c r="I20" i="151" s="1"/>
  <c r="AC16" i="9"/>
  <c r="T16" i="9"/>
  <c r="I21" i="151" s="1"/>
  <c r="AC17" i="9"/>
  <c r="T17" i="9"/>
  <c r="I22" i="151" s="1"/>
  <c r="AC18" i="9"/>
  <c r="T18" i="9"/>
  <c r="I23" i="151" s="1"/>
  <c r="AC19" i="9"/>
  <c r="T19" i="9"/>
  <c r="I24" i="151" s="1"/>
  <c r="AC20" i="9"/>
  <c r="T20" i="9"/>
  <c r="I25" i="151" s="1"/>
  <c r="AC21" i="9"/>
  <c r="T21" i="9"/>
  <c r="I26" i="151" s="1"/>
  <c r="AC22" i="9"/>
  <c r="T22" i="9"/>
  <c r="I27" i="151" s="1"/>
  <c r="AC23" i="9"/>
  <c r="T23" i="9"/>
  <c r="I28" i="151" s="1"/>
  <c r="AC24" i="9"/>
  <c r="T24" i="9"/>
  <c r="I29" i="151" s="1"/>
  <c r="AC25" i="9"/>
  <c r="T25" i="9"/>
  <c r="I30" i="151" s="1"/>
  <c r="AC26" i="9"/>
  <c r="T26" i="9"/>
  <c r="I31" i="151" s="1"/>
  <c r="AC27" i="9"/>
  <c r="T27" i="9"/>
  <c r="I32" i="151" s="1"/>
  <c r="AC28" i="9"/>
  <c r="T28" i="9"/>
  <c r="I33" i="151" s="1"/>
  <c r="AC29" i="9"/>
  <c r="T29" i="9"/>
  <c r="I34" i="151" s="1"/>
  <c r="AC30" i="9"/>
  <c r="T30" i="9"/>
  <c r="I35" i="151" s="1"/>
  <c r="AC31" i="9"/>
  <c r="T31" i="9"/>
  <c r="I36" i="151" s="1"/>
  <c r="AC32" i="9"/>
  <c r="T32" i="9"/>
  <c r="I37" i="151" s="1"/>
  <c r="AC33" i="9"/>
  <c r="T33" i="9"/>
  <c r="I38" i="151" s="1"/>
  <c r="AC34" i="9"/>
  <c r="T34" i="9"/>
  <c r="I39" i="151" s="1"/>
  <c r="AC35" i="9"/>
  <c r="T35" i="9"/>
  <c r="I40" i="151" s="1"/>
  <c r="AC36" i="9"/>
  <c r="T36" i="9"/>
  <c r="I41" i="151" s="1"/>
  <c r="AC37" i="9"/>
  <c r="T37" i="9"/>
  <c r="I42" i="151" s="1"/>
  <c r="AC38" i="9"/>
  <c r="T38" i="9"/>
  <c r="I43" i="151" s="1"/>
  <c r="AC39" i="9"/>
  <c r="T39" i="9"/>
  <c r="I44" i="151" s="1"/>
  <c r="AC40" i="9"/>
  <c r="T40" i="9"/>
  <c r="I45" i="151" s="1"/>
  <c r="AC41" i="9"/>
  <c r="T41" i="9"/>
  <c r="I46" i="151" s="1"/>
  <c r="AC42" i="9"/>
  <c r="T42" i="9"/>
  <c r="I47" i="151" s="1"/>
  <c r="AC43" i="9"/>
  <c r="T43" i="9"/>
  <c r="I48" i="151" s="1"/>
  <c r="AC44" i="9"/>
  <c r="T44" i="9"/>
  <c r="I49" i="151" s="1"/>
  <c r="AC45" i="9"/>
  <c r="T45" i="9"/>
  <c r="I50" i="151" s="1"/>
  <c r="AC46" i="9"/>
  <c r="T46" i="9"/>
  <c r="I51" i="151" s="1"/>
  <c r="AC47" i="9"/>
  <c r="T47" i="9"/>
  <c r="I52" i="151" s="1"/>
  <c r="AC48" i="9"/>
  <c r="T48" i="9"/>
  <c r="I53" i="151" s="1"/>
  <c r="AC49" i="9"/>
  <c r="T49" i="9"/>
  <c r="I54" i="151" s="1"/>
  <c r="AC50" i="9"/>
  <c r="T50" i="9"/>
  <c r="I55" i="151" s="1"/>
  <c r="AC51" i="9"/>
  <c r="T51" i="9"/>
  <c r="I56" i="151" s="1"/>
  <c r="AC52" i="9"/>
  <c r="T52" i="9"/>
  <c r="I57" i="151" s="1"/>
  <c r="AC53" i="9"/>
  <c r="T53" i="9"/>
  <c r="I58" i="151" s="1"/>
  <c r="AC54" i="9"/>
  <c r="T54" i="9"/>
  <c r="I59" i="151" s="1"/>
  <c r="AC55" i="9"/>
  <c r="T55" i="9"/>
  <c r="I60" i="151" s="1"/>
  <c r="AC56" i="9"/>
  <c r="T56" i="9"/>
  <c r="I61" i="151" s="1"/>
  <c r="AC57" i="9"/>
  <c r="T57" i="9"/>
  <c r="I62" i="151" s="1"/>
  <c r="AC58" i="9"/>
  <c r="T58" i="9"/>
  <c r="I63" i="151" s="1"/>
  <c r="AC59" i="9"/>
  <c r="T59" i="9"/>
  <c r="I64" i="151" s="1"/>
  <c r="AC60" i="9"/>
  <c r="T60" i="9"/>
  <c r="I65" i="151" s="1"/>
  <c r="AC61" i="9"/>
  <c r="T61" i="9"/>
  <c r="I66" i="151" s="1"/>
  <c r="AC62" i="9"/>
  <c r="T62" i="9"/>
  <c r="I67" i="151" s="1"/>
  <c r="AC63" i="9"/>
  <c r="T63" i="9"/>
  <c r="I68" i="151" s="1"/>
  <c r="AC64" i="9"/>
  <c r="T64" i="9"/>
  <c r="I69" i="151" s="1"/>
  <c r="AC65" i="9"/>
  <c r="T65" i="9"/>
  <c r="I70" i="151" s="1"/>
  <c r="AC66" i="9"/>
  <c r="T66" i="9"/>
  <c r="I71" i="151" s="1"/>
  <c r="AC67" i="9"/>
  <c r="T67" i="9"/>
  <c r="I72" i="151" s="1"/>
  <c r="AC68" i="9"/>
  <c r="T68" i="9"/>
  <c r="I73" i="151" s="1"/>
  <c r="AC69" i="9"/>
  <c r="T69" i="9"/>
  <c r="I74" i="151" s="1"/>
  <c r="T70" i="9"/>
  <c r="I75" i="151" s="1"/>
  <c r="AC71" i="9"/>
  <c r="T71" i="9"/>
  <c r="I76" i="151" s="1"/>
  <c r="AC72" i="9"/>
  <c r="T72" i="9"/>
  <c r="I77" i="151" s="1"/>
  <c r="AC73" i="9"/>
  <c r="T73" i="9"/>
  <c r="I78" i="151" s="1"/>
  <c r="AC74" i="9"/>
  <c r="T74" i="9"/>
  <c r="I79" i="151" s="1"/>
  <c r="AC75" i="9"/>
  <c r="T75" i="9"/>
  <c r="I80" i="151" s="1"/>
  <c r="AC76" i="9"/>
  <c r="T76" i="9"/>
  <c r="I81" i="151" s="1"/>
  <c r="AC77" i="9"/>
  <c r="T77" i="9"/>
  <c r="I82" i="151" s="1"/>
  <c r="AC78" i="9"/>
  <c r="T78" i="9"/>
  <c r="I83" i="151" s="1"/>
  <c r="AC79" i="9"/>
  <c r="T79" i="9"/>
  <c r="I84" i="151" s="1"/>
  <c r="AF100" i="9"/>
  <c r="C96" i="9"/>
  <c r="R96" i="9" s="1"/>
  <c r="R95" i="9" s="1"/>
  <c r="T96" i="9"/>
  <c r="T95" i="9" s="1"/>
  <c r="AC98" i="9"/>
  <c r="AC99" i="9"/>
  <c r="AC100" i="9"/>
  <c r="AC101" i="9"/>
  <c r="AG101" i="9"/>
  <c r="AC102" i="9"/>
  <c r="AC103" i="9"/>
  <c r="AC104" i="9"/>
  <c r="AC105" i="9"/>
  <c r="AC106" i="9"/>
  <c r="AC107" i="9"/>
  <c r="AC108" i="9"/>
  <c r="AC109" i="9"/>
  <c r="AC110" i="9"/>
  <c r="AC111" i="9"/>
  <c r="AC112" i="9"/>
  <c r="AC113" i="9"/>
  <c r="AC114" i="9"/>
  <c r="AC115" i="9"/>
  <c r="AC116" i="9"/>
  <c r="AC117" i="9"/>
  <c r="AC118" i="9"/>
  <c r="AC119" i="9"/>
  <c r="AC120" i="9"/>
  <c r="AC121" i="9"/>
  <c r="AC122" i="9"/>
  <c r="AC123" i="9"/>
  <c r="AC124" i="9"/>
  <c r="AC125" i="9"/>
  <c r="AC126" i="9"/>
  <c r="AC127" i="9"/>
  <c r="AC128" i="9"/>
  <c r="AC129" i="9"/>
  <c r="AC130" i="9"/>
  <c r="AC131" i="9"/>
  <c r="AC132" i="9"/>
  <c r="AC133" i="9"/>
  <c r="AC134" i="9"/>
  <c r="AC135" i="9"/>
  <c r="AC136" i="9"/>
  <c r="AC137" i="9"/>
  <c r="AC138" i="9"/>
  <c r="AC139" i="9"/>
  <c r="AG139" i="9"/>
  <c r="AC140" i="9"/>
  <c r="AC141" i="9"/>
  <c r="AC142" i="9"/>
  <c r="AC143" i="9"/>
  <c r="AC144" i="9"/>
  <c r="AC145" i="9"/>
  <c r="AC146" i="9"/>
  <c r="AC147" i="9"/>
  <c r="AC148" i="9"/>
  <c r="AC149" i="9"/>
  <c r="AC150" i="9"/>
  <c r="AC151" i="9"/>
  <c r="AC152" i="9"/>
  <c r="O161" i="9"/>
  <c r="AF161" i="9"/>
  <c r="AG162" i="9"/>
  <c r="AH167" i="9"/>
  <c r="AH168" i="9" s="1"/>
  <c r="AI167" i="9"/>
  <c r="AI168" i="9" s="1"/>
  <c r="AJ167" i="9"/>
  <c r="AJ168" i="9" s="1"/>
  <c r="AK167" i="9"/>
  <c r="AK168" i="9" s="1"/>
  <c r="AO170" i="9"/>
  <c r="C155" i="99"/>
  <c r="O155" i="99"/>
  <c r="F175" i="99"/>
  <c r="F177" i="99"/>
  <c r="W196" i="99"/>
  <c r="W197" i="99"/>
  <c r="W198" i="99"/>
  <c r="W144" i="101"/>
  <c r="W145" i="101"/>
  <c r="W146" i="101"/>
  <c r="M74" i="151" l="1"/>
  <c r="H72" i="132" s="1"/>
  <c r="J72" i="132" s="1"/>
  <c r="M70" i="151"/>
  <c r="H68" i="132" s="1"/>
  <c r="J68" i="132" s="1"/>
  <c r="M66" i="151"/>
  <c r="H64" i="132" s="1"/>
  <c r="J64" i="132" s="1"/>
  <c r="M62" i="151"/>
  <c r="H60" i="132" s="1"/>
  <c r="J60" i="132" s="1"/>
  <c r="M58" i="151"/>
  <c r="H56" i="132" s="1"/>
  <c r="J56" i="132" s="1"/>
  <c r="M54" i="151"/>
  <c r="H52" i="132" s="1"/>
  <c r="J52" i="132" s="1"/>
  <c r="M50" i="151"/>
  <c r="H48" i="132" s="1"/>
  <c r="J48" i="132" s="1"/>
  <c r="M46" i="151"/>
  <c r="H44" i="132" s="1"/>
  <c r="J44" i="132" s="1"/>
  <c r="M42" i="151"/>
  <c r="H40" i="132" s="1"/>
  <c r="J40" i="132" s="1"/>
  <c r="M38" i="151"/>
  <c r="H36" i="132" s="1"/>
  <c r="J36" i="132" s="1"/>
  <c r="M34" i="151"/>
  <c r="H32" i="132" s="1"/>
  <c r="J32" i="132" s="1"/>
  <c r="M32" i="151"/>
  <c r="H30" i="132" s="1"/>
  <c r="J30" i="132" s="1"/>
  <c r="M28" i="151"/>
  <c r="H26" i="132" s="1"/>
  <c r="J26" i="132" s="1"/>
  <c r="M26" i="151"/>
  <c r="H24" i="132" s="1"/>
  <c r="J24" i="132" s="1"/>
  <c r="M24" i="151"/>
  <c r="H22" i="132" s="1"/>
  <c r="J22" i="132" s="1"/>
  <c r="M22" i="151"/>
  <c r="H20" i="132" s="1"/>
  <c r="J20" i="132" s="1"/>
  <c r="M20" i="151"/>
  <c r="H18" i="132" s="1"/>
  <c r="J18" i="132" s="1"/>
  <c r="M18" i="151"/>
  <c r="H16" i="132" s="1"/>
  <c r="J16" i="132" s="1"/>
  <c r="M72" i="151"/>
  <c r="H70" i="132" s="1"/>
  <c r="J70" i="132" s="1"/>
  <c r="M68" i="151"/>
  <c r="H66" i="132" s="1"/>
  <c r="J66" i="132" s="1"/>
  <c r="M64" i="151"/>
  <c r="H62" i="132" s="1"/>
  <c r="J62" i="132" s="1"/>
  <c r="M60" i="151"/>
  <c r="H58" i="132" s="1"/>
  <c r="J58" i="132" s="1"/>
  <c r="M56" i="151"/>
  <c r="H54" i="132" s="1"/>
  <c r="J54" i="132" s="1"/>
  <c r="M52" i="151"/>
  <c r="H50" i="132" s="1"/>
  <c r="J50" i="132" s="1"/>
  <c r="M48" i="151"/>
  <c r="H46" i="132" s="1"/>
  <c r="J46" i="132" s="1"/>
  <c r="M44" i="151"/>
  <c r="H42" i="132" s="1"/>
  <c r="J42" i="132" s="1"/>
  <c r="M40" i="151"/>
  <c r="H38" i="132" s="1"/>
  <c r="J38" i="132" s="1"/>
  <c r="M36" i="151"/>
  <c r="H34" i="132" s="1"/>
  <c r="J34" i="132" s="1"/>
  <c r="M30" i="151"/>
  <c r="H28" i="132" s="1"/>
  <c r="J28" i="132" s="1"/>
  <c r="M84" i="151"/>
  <c r="H82" i="132" s="1"/>
  <c r="J82" i="132" s="1"/>
  <c r="M82" i="151"/>
  <c r="H80" i="132" s="1"/>
  <c r="J80" i="132" s="1"/>
  <c r="M80" i="151"/>
  <c r="H78" i="132" s="1"/>
  <c r="J78" i="132" s="1"/>
  <c r="M78" i="151"/>
  <c r="H76" i="132" s="1"/>
  <c r="J76" i="132" s="1"/>
  <c r="M76" i="151"/>
  <c r="H74" i="132" s="1"/>
  <c r="J74" i="132" s="1"/>
  <c r="M69" i="151"/>
  <c r="H67" i="132" s="1"/>
  <c r="J67" i="132" s="1"/>
  <c r="M65" i="151"/>
  <c r="H63" i="132" s="1"/>
  <c r="J63" i="132" s="1"/>
  <c r="M63" i="151"/>
  <c r="H61" i="132" s="1"/>
  <c r="J61" i="132" s="1"/>
  <c r="M59" i="151"/>
  <c r="H57" i="132" s="1"/>
  <c r="J57" i="132" s="1"/>
  <c r="M55" i="151"/>
  <c r="H53" i="132" s="1"/>
  <c r="J53" i="132" s="1"/>
  <c r="M51" i="151"/>
  <c r="H49" i="132" s="1"/>
  <c r="J49" i="132" s="1"/>
  <c r="M47" i="151"/>
  <c r="H45" i="132" s="1"/>
  <c r="J45" i="132" s="1"/>
  <c r="M43" i="151"/>
  <c r="H41" i="132" s="1"/>
  <c r="J41" i="132" s="1"/>
  <c r="M41" i="151"/>
  <c r="H39" i="132" s="1"/>
  <c r="J39" i="132" s="1"/>
  <c r="M37" i="151"/>
  <c r="H35" i="132" s="1"/>
  <c r="J35" i="132" s="1"/>
  <c r="M33" i="151"/>
  <c r="H31" i="132" s="1"/>
  <c r="J31" i="132" s="1"/>
  <c r="M29" i="151"/>
  <c r="H27" i="132" s="1"/>
  <c r="J27" i="132" s="1"/>
  <c r="M27" i="151"/>
  <c r="H25" i="132" s="1"/>
  <c r="J25" i="132" s="1"/>
  <c r="M25" i="151"/>
  <c r="H23" i="132" s="1"/>
  <c r="J23" i="132" s="1"/>
  <c r="M23" i="151"/>
  <c r="H21" i="132" s="1"/>
  <c r="J21" i="132" s="1"/>
  <c r="M21" i="151"/>
  <c r="H19" i="132" s="1"/>
  <c r="J19" i="132" s="1"/>
  <c r="M19" i="151"/>
  <c r="H17" i="132" s="1"/>
  <c r="J17" i="132" s="1"/>
  <c r="M73" i="151"/>
  <c r="H71" i="132" s="1"/>
  <c r="J71" i="132" s="1"/>
  <c r="M71" i="151"/>
  <c r="H69" i="132" s="1"/>
  <c r="J69" i="132" s="1"/>
  <c r="M67" i="151"/>
  <c r="H65" i="132" s="1"/>
  <c r="J65" i="132" s="1"/>
  <c r="M61" i="151"/>
  <c r="H59" i="132" s="1"/>
  <c r="J59" i="132" s="1"/>
  <c r="M57" i="151"/>
  <c r="H55" i="132" s="1"/>
  <c r="J55" i="132" s="1"/>
  <c r="M53" i="151"/>
  <c r="H51" i="132" s="1"/>
  <c r="J51" i="132" s="1"/>
  <c r="M49" i="151"/>
  <c r="H47" i="132" s="1"/>
  <c r="J47" i="132" s="1"/>
  <c r="M45" i="151"/>
  <c r="H43" i="132" s="1"/>
  <c r="J43" i="132" s="1"/>
  <c r="M39" i="151"/>
  <c r="H37" i="132" s="1"/>
  <c r="J37" i="132" s="1"/>
  <c r="M35" i="151"/>
  <c r="H33" i="132" s="1"/>
  <c r="J33" i="132" s="1"/>
  <c r="M31" i="151"/>
  <c r="H29" i="132" s="1"/>
  <c r="J29" i="132" s="1"/>
  <c r="M83" i="151"/>
  <c r="H81" i="132" s="1"/>
  <c r="J81" i="132" s="1"/>
  <c r="M81" i="151"/>
  <c r="H79" i="132" s="1"/>
  <c r="J79" i="132" s="1"/>
  <c r="M79" i="151"/>
  <c r="H77" i="132" s="1"/>
  <c r="J77" i="132" s="1"/>
  <c r="M77" i="151"/>
  <c r="H75" i="132" s="1"/>
  <c r="J75" i="132" s="1"/>
  <c r="M75" i="151"/>
  <c r="H73" i="132" s="1"/>
  <c r="J73" i="132" s="1"/>
  <c r="C489" i="170"/>
  <c r="E489" i="170" s="1"/>
  <c r="C453" i="170"/>
  <c r="E453" i="170" s="1"/>
  <c r="C420" i="170"/>
  <c r="E420" i="170" s="1"/>
  <c r="C385" i="170"/>
  <c r="E385" i="170" s="1"/>
  <c r="C368" i="170"/>
  <c r="E368" i="170" s="1"/>
  <c r="C315" i="170"/>
  <c r="E315" i="170" s="1"/>
  <c r="C281" i="170"/>
  <c r="E281" i="170" s="1"/>
  <c r="C247" i="170"/>
  <c r="E247" i="170" s="1"/>
  <c r="C212" i="170"/>
  <c r="E212" i="170" s="1"/>
  <c r="C195" i="170"/>
  <c r="E195" i="170" s="1"/>
  <c r="C161" i="170"/>
  <c r="E161" i="170" s="1"/>
  <c r="C144" i="170"/>
  <c r="E144" i="170" s="1"/>
  <c r="C127" i="170"/>
  <c r="E127" i="170" s="1"/>
  <c r="C110" i="170"/>
  <c r="E110" i="170" s="1"/>
  <c r="C93" i="170"/>
  <c r="E93" i="170" s="1"/>
  <c r="C76" i="170"/>
  <c r="E76" i="170" s="1"/>
  <c r="C59" i="170"/>
  <c r="E59" i="170" s="1"/>
  <c r="C42" i="170"/>
  <c r="E42" i="170" s="1"/>
  <c r="C25" i="170"/>
  <c r="E25" i="170" s="1"/>
  <c r="C506" i="170"/>
  <c r="E506" i="170" s="1"/>
  <c r="C471" i="170"/>
  <c r="E471" i="170" s="1"/>
  <c r="C437" i="170"/>
  <c r="E437" i="170" s="1"/>
  <c r="C403" i="170"/>
  <c r="E403" i="170" s="1"/>
  <c r="C351" i="170"/>
  <c r="E351" i="170" s="1"/>
  <c r="C333" i="170"/>
  <c r="E333" i="170" s="1"/>
  <c r="C298" i="170"/>
  <c r="E298" i="170" s="1"/>
  <c r="C264" i="170"/>
  <c r="E264" i="170" s="1"/>
  <c r="C230" i="170"/>
  <c r="E230" i="170" s="1"/>
  <c r="C178" i="170"/>
  <c r="E178" i="170" s="1"/>
  <c r="C590" i="170"/>
  <c r="E590" i="170" s="1"/>
  <c r="C573" i="170"/>
  <c r="E573" i="170" s="1"/>
  <c r="C556" i="170"/>
  <c r="E556" i="170" s="1"/>
  <c r="C539" i="170"/>
  <c r="E539" i="170" s="1"/>
  <c r="C523" i="170"/>
  <c r="E523" i="170" s="1"/>
  <c r="I453" i="170"/>
  <c r="K453" i="170" s="1"/>
  <c r="I420" i="170"/>
  <c r="K420" i="170" s="1"/>
  <c r="I403" i="170"/>
  <c r="K403" i="170" s="1"/>
  <c r="I368" i="170"/>
  <c r="K368" i="170" s="1"/>
  <c r="I333" i="170"/>
  <c r="K333" i="170" s="1"/>
  <c r="I298" i="170"/>
  <c r="K298" i="170" s="1"/>
  <c r="I264" i="170"/>
  <c r="K264" i="170" s="1"/>
  <c r="I230" i="170"/>
  <c r="K230" i="170" s="1"/>
  <c r="I195" i="170"/>
  <c r="K195" i="170" s="1"/>
  <c r="I161" i="170"/>
  <c r="K161" i="170" s="1"/>
  <c r="I144" i="170"/>
  <c r="K144" i="170" s="1"/>
  <c r="I127" i="170"/>
  <c r="K127" i="170" s="1"/>
  <c r="I110" i="170"/>
  <c r="K110" i="170" s="1"/>
  <c r="I93" i="170"/>
  <c r="K93" i="170" s="1"/>
  <c r="I76" i="170"/>
  <c r="K76" i="170" s="1"/>
  <c r="I59" i="170"/>
  <c r="K59" i="170" s="1"/>
  <c r="I42" i="170"/>
  <c r="K42" i="170" s="1"/>
  <c r="I25" i="170"/>
  <c r="K25" i="170" s="1"/>
  <c r="I489" i="170"/>
  <c r="K489" i="170" s="1"/>
  <c r="I471" i="170"/>
  <c r="K471" i="170" s="1"/>
  <c r="I437" i="170"/>
  <c r="K437" i="170" s="1"/>
  <c r="I385" i="170"/>
  <c r="K385" i="170" s="1"/>
  <c r="I351" i="170"/>
  <c r="K351" i="170" s="1"/>
  <c r="I315" i="170"/>
  <c r="K315" i="170" s="1"/>
  <c r="I281" i="170"/>
  <c r="K281" i="170" s="1"/>
  <c r="I247" i="170"/>
  <c r="K247" i="170" s="1"/>
  <c r="I212" i="170"/>
  <c r="K212" i="170" s="1"/>
  <c r="I178" i="170"/>
  <c r="K178" i="170" s="1"/>
  <c r="I573" i="170"/>
  <c r="K573" i="170" s="1"/>
  <c r="I556" i="170"/>
  <c r="K556" i="170" s="1"/>
  <c r="I539" i="170"/>
  <c r="K539" i="170" s="1"/>
  <c r="I523" i="170"/>
  <c r="K523" i="170" s="1"/>
  <c r="I506" i="170"/>
  <c r="K506" i="170" s="1"/>
  <c r="T10" i="9"/>
  <c r="T9" i="9" s="1"/>
  <c r="Q108" i="151"/>
  <c r="P108" i="151"/>
  <c r="S108" i="151"/>
  <c r="O108" i="151"/>
  <c r="R108" i="151"/>
  <c r="N108" i="151"/>
  <c r="O80" i="101"/>
  <c r="X96" i="9"/>
  <c r="W96" i="9"/>
  <c r="O23" i="101"/>
  <c r="O25" i="101"/>
  <c r="O58" i="101"/>
  <c r="O52" i="101"/>
  <c r="O27" i="101"/>
  <c r="O41" i="101"/>
  <c r="O62" i="101"/>
  <c r="O28" i="101"/>
  <c r="O47" i="101"/>
  <c r="O50" i="101"/>
  <c r="O36" i="101"/>
  <c r="O35" i="101"/>
  <c r="O56" i="101"/>
  <c r="O22" i="101"/>
  <c r="O69" i="101"/>
  <c r="P140" i="151"/>
  <c r="P172" i="151"/>
  <c r="P170" i="151"/>
  <c r="P169" i="151"/>
  <c r="P135" i="151"/>
  <c r="P167" i="151"/>
  <c r="P150" i="151"/>
  <c r="P157" i="151"/>
  <c r="P128" i="151"/>
  <c r="P160" i="151"/>
  <c r="P117" i="151"/>
  <c r="P123" i="151"/>
  <c r="P155" i="151"/>
  <c r="P130" i="151"/>
  <c r="P133" i="151"/>
  <c r="P116" i="151"/>
  <c r="P148" i="151"/>
  <c r="P154" i="151"/>
  <c r="P153" i="151"/>
  <c r="P143" i="151"/>
  <c r="P175" i="151"/>
  <c r="P166" i="151"/>
  <c r="P173" i="151"/>
  <c r="O71" i="101"/>
  <c r="O64" i="101"/>
  <c r="O42" i="101"/>
  <c r="O77" i="101"/>
  <c r="O75" i="101"/>
  <c r="O46" i="101"/>
  <c r="O53" i="101"/>
  <c r="O31" i="101"/>
  <c r="O34" i="101"/>
  <c r="O61" i="101"/>
  <c r="P120" i="151"/>
  <c r="P152" i="151"/>
  <c r="P122" i="151"/>
  <c r="P129" i="151"/>
  <c r="P131" i="151"/>
  <c r="P163" i="151"/>
  <c r="P142" i="151"/>
  <c r="P149" i="151"/>
  <c r="O19" i="101"/>
  <c r="O57" i="101"/>
  <c r="O24" i="101"/>
  <c r="O70" i="101"/>
  <c r="O37" i="101"/>
  <c r="O55" i="101"/>
  <c r="O32" i="101"/>
  <c r="O26" i="101"/>
  <c r="O45" i="101"/>
  <c r="O59" i="101"/>
  <c r="O72" i="101"/>
  <c r="O30" i="101"/>
  <c r="O29" i="101"/>
  <c r="O49" i="101"/>
  <c r="O48" i="101"/>
  <c r="O33" i="101"/>
  <c r="O67" i="101"/>
  <c r="O54" i="101"/>
  <c r="O76" i="101"/>
  <c r="P124" i="151"/>
  <c r="P156" i="151"/>
  <c r="P138" i="151"/>
  <c r="P137" i="151"/>
  <c r="P119" i="151"/>
  <c r="P151" i="151"/>
  <c r="P126" i="151"/>
  <c r="P125" i="151"/>
  <c r="P144" i="151"/>
  <c r="P146" i="151"/>
  <c r="P145" i="151"/>
  <c r="P139" i="151"/>
  <c r="P171" i="151"/>
  <c r="P158" i="151"/>
  <c r="P165" i="151"/>
  <c r="P132" i="151"/>
  <c r="P164" i="151"/>
  <c r="P121" i="151"/>
  <c r="P127" i="151"/>
  <c r="P159" i="151"/>
  <c r="P134" i="151"/>
  <c r="P141" i="151"/>
  <c r="O39" i="101"/>
  <c r="O65" i="101"/>
  <c r="O74" i="101"/>
  <c r="O21" i="101"/>
  <c r="O43" i="101"/>
  <c r="O73" i="101"/>
  <c r="O40" i="101"/>
  <c r="O78" i="101"/>
  <c r="O60" i="101"/>
  <c r="O63" i="101"/>
  <c r="O20" i="101"/>
  <c r="O66" i="101"/>
  <c r="O68" i="101"/>
  <c r="P136" i="151"/>
  <c r="P168" i="151"/>
  <c r="P162" i="151"/>
  <c r="P161" i="151"/>
  <c r="P147" i="151"/>
  <c r="P118" i="151"/>
  <c r="P174" i="151"/>
  <c r="O51" i="101"/>
  <c r="O38" i="101"/>
  <c r="O44" i="101"/>
  <c r="P115" i="151"/>
  <c r="O18" i="101"/>
  <c r="P106" i="151"/>
  <c r="P107" i="151"/>
  <c r="R106" i="151"/>
  <c r="N106" i="151"/>
  <c r="S111" i="151"/>
  <c r="N107" i="151"/>
  <c r="Q105" i="151"/>
  <c r="S107" i="151"/>
  <c r="Q107" i="151"/>
  <c r="R107" i="151"/>
  <c r="Q111" i="151"/>
  <c r="Q106" i="151"/>
  <c r="N111" i="151"/>
  <c r="P111" i="151"/>
  <c r="O106" i="151"/>
  <c r="N105" i="151"/>
  <c r="O107" i="151"/>
  <c r="O105" i="151"/>
  <c r="S105" i="151"/>
  <c r="R111" i="151"/>
  <c r="O111" i="151"/>
  <c r="S106" i="151"/>
  <c r="R105" i="151"/>
  <c r="P105" i="151"/>
  <c r="A2277" i="170"/>
  <c r="G2261" i="170"/>
  <c r="V96" i="9"/>
  <c r="R9" i="9"/>
  <c r="I17" i="151"/>
  <c r="Q104" i="151"/>
  <c r="N104" i="151"/>
  <c r="P104" i="151"/>
  <c r="O104" i="151"/>
  <c r="R99" i="151"/>
  <c r="R104" i="151"/>
  <c r="O100" i="151"/>
  <c r="N100" i="151"/>
  <c r="O99" i="151"/>
  <c r="Q101" i="151"/>
  <c r="N99" i="151"/>
  <c r="S104" i="151"/>
  <c r="P100" i="151"/>
  <c r="R101" i="151"/>
  <c r="Q99" i="151"/>
  <c r="S102" i="151"/>
  <c r="N103" i="151"/>
  <c r="N101" i="151"/>
  <c r="Q103" i="151"/>
  <c r="O102" i="151"/>
  <c r="N102" i="151"/>
  <c r="P99" i="151"/>
  <c r="S103" i="151"/>
  <c r="S101" i="151"/>
  <c r="Q102" i="151"/>
  <c r="O103" i="151"/>
  <c r="P102" i="151"/>
  <c r="S100" i="151"/>
  <c r="Q100" i="151"/>
  <c r="O101" i="151"/>
  <c r="P103" i="151"/>
  <c r="R102" i="151"/>
  <c r="S99" i="151"/>
  <c r="R100" i="151"/>
  <c r="R103" i="151"/>
  <c r="P101" i="151"/>
  <c r="Q41" i="101"/>
  <c r="N162" i="151"/>
  <c r="O162" i="151"/>
  <c r="S168" i="151"/>
  <c r="Q43" i="101"/>
  <c r="R75" i="101"/>
  <c r="N20" i="101"/>
  <c r="P28" i="101"/>
  <c r="R28" i="101"/>
  <c r="N36" i="101"/>
  <c r="P44" i="101"/>
  <c r="M44" i="101"/>
  <c r="N52" i="101"/>
  <c r="P60" i="101"/>
  <c r="M60" i="101"/>
  <c r="N68" i="101"/>
  <c r="P76" i="101"/>
  <c r="M76" i="101"/>
  <c r="Q160" i="151"/>
  <c r="N38" i="101"/>
  <c r="Q138" i="151"/>
  <c r="R119" i="151"/>
  <c r="Q135" i="151"/>
  <c r="O151" i="151"/>
  <c r="N151" i="151"/>
  <c r="S167" i="151"/>
  <c r="R118" i="151"/>
  <c r="S118" i="151"/>
  <c r="Q130" i="151"/>
  <c r="R73" i="101"/>
  <c r="Q143" i="151"/>
  <c r="M31" i="101"/>
  <c r="S116" i="151"/>
  <c r="Q126" i="151"/>
  <c r="P78" i="101"/>
  <c r="N78" i="101"/>
  <c r="Q25" i="101"/>
  <c r="N134" i="151"/>
  <c r="O134" i="151"/>
  <c r="R146" i="151"/>
  <c r="S146" i="151"/>
  <c r="Q57" i="101"/>
  <c r="N166" i="151"/>
  <c r="O166" i="151"/>
  <c r="P62" i="101"/>
  <c r="N62" i="101"/>
  <c r="R136" i="151"/>
  <c r="O136" i="151"/>
  <c r="Q148" i="151"/>
  <c r="Q71" i="101"/>
  <c r="N27" i="101"/>
  <c r="M59" i="101"/>
  <c r="S140" i="151"/>
  <c r="Q24" i="101"/>
  <c r="R32" i="101"/>
  <c r="Q40" i="101"/>
  <c r="Q48" i="101"/>
  <c r="M56" i="101"/>
  <c r="Q64" i="101"/>
  <c r="M72" i="101"/>
  <c r="N128" i="151"/>
  <c r="R70" i="101"/>
  <c r="M26" i="101"/>
  <c r="Q42" i="101"/>
  <c r="N58" i="101"/>
  <c r="M74" i="101"/>
  <c r="R147" i="151"/>
  <c r="N122" i="151"/>
  <c r="O122" i="151"/>
  <c r="M19" i="101"/>
  <c r="N51" i="101"/>
  <c r="P51" i="101"/>
  <c r="R124" i="151"/>
  <c r="O124" i="151"/>
  <c r="O121" i="151"/>
  <c r="Q121" i="151"/>
  <c r="S129" i="151"/>
  <c r="N137" i="151"/>
  <c r="R145" i="151"/>
  <c r="O153" i="151"/>
  <c r="Q153" i="151"/>
  <c r="S161" i="151"/>
  <c r="N169" i="151"/>
  <c r="M54" i="101"/>
  <c r="S159" i="151"/>
  <c r="Q123" i="151"/>
  <c r="O139" i="151"/>
  <c r="N139" i="151"/>
  <c r="S155" i="151"/>
  <c r="R171" i="151"/>
  <c r="N158" i="151"/>
  <c r="O158" i="151"/>
  <c r="M29" i="101"/>
  <c r="N37" i="101"/>
  <c r="P37" i="101"/>
  <c r="M49" i="101"/>
  <c r="N61" i="101"/>
  <c r="P61" i="101"/>
  <c r="M69" i="101"/>
  <c r="Q152" i="151"/>
  <c r="Q164" i="151"/>
  <c r="P30" i="101"/>
  <c r="Q30" i="101"/>
  <c r="S131" i="151"/>
  <c r="N142" i="151"/>
  <c r="O142" i="151"/>
  <c r="Q154" i="151"/>
  <c r="N35" i="101"/>
  <c r="M67" i="101"/>
  <c r="S156" i="151"/>
  <c r="R117" i="151"/>
  <c r="O125" i="151"/>
  <c r="Q125" i="151"/>
  <c r="S133" i="151"/>
  <c r="N141" i="151"/>
  <c r="R149" i="151"/>
  <c r="O157" i="151"/>
  <c r="Q157" i="151"/>
  <c r="S165" i="151"/>
  <c r="R173" i="151"/>
  <c r="S144" i="151"/>
  <c r="N22" i="101"/>
  <c r="S127" i="151"/>
  <c r="R34" i="101"/>
  <c r="P50" i="101"/>
  <c r="Q50" i="101"/>
  <c r="R66" i="101"/>
  <c r="M21" i="101"/>
  <c r="N33" i="101"/>
  <c r="P33" i="101"/>
  <c r="M45" i="101"/>
  <c r="N53" i="101"/>
  <c r="P53" i="101"/>
  <c r="M65" i="101"/>
  <c r="N77" i="101"/>
  <c r="P77" i="101"/>
  <c r="M39" i="101"/>
  <c r="S120" i="151"/>
  <c r="S175" i="151"/>
  <c r="M55" i="101"/>
  <c r="S132" i="151"/>
  <c r="R47" i="101"/>
  <c r="P47" i="101"/>
  <c r="Q23" i="101"/>
  <c r="M46" i="101"/>
  <c r="R63" i="101"/>
  <c r="P63" i="101"/>
  <c r="O163" i="151"/>
  <c r="N163" i="151"/>
  <c r="S174" i="151"/>
  <c r="R41" i="101"/>
  <c r="Q162" i="151"/>
  <c r="R168" i="151"/>
  <c r="O168" i="151"/>
  <c r="R43" i="101"/>
  <c r="P43" i="101"/>
  <c r="Q75" i="101"/>
  <c r="S172" i="151"/>
  <c r="R172" i="151"/>
  <c r="P20" i="101"/>
  <c r="R20" i="101"/>
  <c r="N28" i="101"/>
  <c r="P36" i="101"/>
  <c r="R36" i="101"/>
  <c r="N44" i="101"/>
  <c r="P52" i="101"/>
  <c r="M52" i="101"/>
  <c r="N60" i="101"/>
  <c r="P68" i="101"/>
  <c r="M68" i="101"/>
  <c r="N76" i="101"/>
  <c r="N160" i="151"/>
  <c r="M38" i="101"/>
  <c r="N138" i="151"/>
  <c r="O138" i="151"/>
  <c r="O119" i="151"/>
  <c r="N119" i="151"/>
  <c r="S135" i="151"/>
  <c r="R151" i="151"/>
  <c r="Q167" i="151"/>
  <c r="N130" i="151"/>
  <c r="O130" i="151"/>
  <c r="R150" i="151"/>
  <c r="S150" i="151"/>
  <c r="Q73" i="101"/>
  <c r="S143" i="151"/>
  <c r="N31" i="101"/>
  <c r="P31" i="101"/>
  <c r="R116" i="151"/>
  <c r="O116" i="151"/>
  <c r="N126" i="151"/>
  <c r="O126" i="151"/>
  <c r="R78" i="101"/>
  <c r="R25" i="101"/>
  <c r="Q134" i="151"/>
  <c r="R57" i="101"/>
  <c r="Q166" i="151"/>
  <c r="R62" i="101"/>
  <c r="S136" i="151"/>
  <c r="N148" i="151"/>
  <c r="R71" i="101"/>
  <c r="P71" i="101"/>
  <c r="M27" i="101"/>
  <c r="N59" i="101"/>
  <c r="P59" i="101"/>
  <c r="R140" i="151"/>
  <c r="O140" i="151"/>
  <c r="R24" i="101"/>
  <c r="Q32" i="101"/>
  <c r="R40" i="101"/>
  <c r="M48" i="101"/>
  <c r="Q56" i="101"/>
  <c r="M64" i="101"/>
  <c r="Q72" i="101"/>
  <c r="Q128" i="151"/>
  <c r="P70" i="101"/>
  <c r="N70" i="101"/>
  <c r="R170" i="151"/>
  <c r="S170" i="151"/>
  <c r="Q26" i="101"/>
  <c r="M42" i="101"/>
  <c r="M58" i="101"/>
  <c r="N74" i="101"/>
  <c r="O147" i="151"/>
  <c r="N147" i="151"/>
  <c r="Q122" i="151"/>
  <c r="N19" i="101"/>
  <c r="M51" i="101"/>
  <c r="S124" i="151"/>
  <c r="N121" i="151"/>
  <c r="R129" i="151"/>
  <c r="O137" i="151"/>
  <c r="Q137" i="151"/>
  <c r="S145" i="151"/>
  <c r="N153" i="151"/>
  <c r="R161" i="151"/>
  <c r="O169" i="151"/>
  <c r="Q169" i="151"/>
  <c r="Q54" i="101"/>
  <c r="Q159" i="151"/>
  <c r="S123" i="151"/>
  <c r="R139" i="151"/>
  <c r="Q155" i="151"/>
  <c r="O171" i="151"/>
  <c r="N171" i="151"/>
  <c r="Q158" i="151"/>
  <c r="N29" i="101"/>
  <c r="P29" i="101"/>
  <c r="M37" i="101"/>
  <c r="N49" i="101"/>
  <c r="P49" i="101"/>
  <c r="M61" i="101"/>
  <c r="N69" i="101"/>
  <c r="P69" i="101"/>
  <c r="N152" i="151"/>
  <c r="N164" i="151"/>
  <c r="R30" i="101"/>
  <c r="Q131" i="151"/>
  <c r="Q142" i="151"/>
  <c r="N154" i="151"/>
  <c r="O154" i="151"/>
  <c r="M35" i="101"/>
  <c r="N67" i="101"/>
  <c r="P67" i="101"/>
  <c r="R156" i="151"/>
  <c r="O156" i="151"/>
  <c r="S117" i="151"/>
  <c r="N125" i="151"/>
  <c r="R133" i="151"/>
  <c r="O141" i="151"/>
  <c r="Q141" i="151"/>
  <c r="S149" i="151"/>
  <c r="N157" i="151"/>
  <c r="R165" i="151"/>
  <c r="S173" i="151"/>
  <c r="Q173" i="151"/>
  <c r="R144" i="151"/>
  <c r="O144" i="151"/>
  <c r="M22" i="101"/>
  <c r="Q127" i="151"/>
  <c r="P34" i="101"/>
  <c r="N34" i="101"/>
  <c r="R50" i="101"/>
  <c r="P66" i="101"/>
  <c r="Q66" i="101"/>
  <c r="N21" i="101"/>
  <c r="P21" i="101"/>
  <c r="M33" i="101"/>
  <c r="N45" i="101"/>
  <c r="P45" i="101"/>
  <c r="M53" i="101"/>
  <c r="N65" i="101"/>
  <c r="P65" i="101"/>
  <c r="M77" i="101"/>
  <c r="N39" i="101"/>
  <c r="P39" i="101"/>
  <c r="R120" i="151"/>
  <c r="O120" i="151"/>
  <c r="O175" i="151"/>
  <c r="N55" i="101"/>
  <c r="R132" i="151"/>
  <c r="O132" i="151"/>
  <c r="Q47" i="101"/>
  <c r="R23" i="101"/>
  <c r="Q46" i="101"/>
  <c r="Q63" i="101"/>
  <c r="R163" i="151"/>
  <c r="T174" i="151"/>
  <c r="R174" i="151"/>
  <c r="N168" i="151"/>
  <c r="M36" i="101"/>
  <c r="R44" i="101"/>
  <c r="Q68" i="101"/>
  <c r="R76" i="101"/>
  <c r="S160" i="151"/>
  <c r="R38" i="101"/>
  <c r="Q119" i="151"/>
  <c r="N135" i="151"/>
  <c r="Q151" i="151"/>
  <c r="N167" i="151"/>
  <c r="Q118" i="151"/>
  <c r="Q150" i="151"/>
  <c r="P73" i="101"/>
  <c r="R31" i="101"/>
  <c r="N116" i="151"/>
  <c r="S126" i="151"/>
  <c r="M25" i="101"/>
  <c r="Q146" i="151"/>
  <c r="P57" i="101"/>
  <c r="S166" i="151"/>
  <c r="R148" i="151"/>
  <c r="Q27" i="101"/>
  <c r="M24" i="101"/>
  <c r="P40" i="101"/>
  <c r="N48" i="101"/>
  <c r="R56" i="101"/>
  <c r="P72" i="101"/>
  <c r="O128" i="151"/>
  <c r="P42" i="101"/>
  <c r="R58" i="101"/>
  <c r="Q74" i="101"/>
  <c r="R122" i="151"/>
  <c r="Q19" i="101"/>
  <c r="R121" i="151"/>
  <c r="Q129" i="151"/>
  <c r="R137" i="151"/>
  <c r="Q145" i="151"/>
  <c r="R153" i="151"/>
  <c r="Q161" i="151"/>
  <c r="R169" i="151"/>
  <c r="R29" i="101"/>
  <c r="Q37" i="101"/>
  <c r="R69" i="101"/>
  <c r="S152" i="151"/>
  <c r="O164" i="151"/>
  <c r="N131" i="151"/>
  <c r="S154" i="151"/>
  <c r="R67" i="101"/>
  <c r="N156" i="151"/>
  <c r="N117" i="151"/>
  <c r="S125" i="151"/>
  <c r="N133" i="151"/>
  <c r="S141" i="151"/>
  <c r="N149" i="151"/>
  <c r="S157" i="151"/>
  <c r="N165" i="151"/>
  <c r="N173" i="151"/>
  <c r="N144" i="151"/>
  <c r="R22" i="101"/>
  <c r="R127" i="151"/>
  <c r="M34" i="101"/>
  <c r="R21" i="101"/>
  <c r="Q33" i="101"/>
  <c r="R65" i="101"/>
  <c r="Q77" i="101"/>
  <c r="R175" i="151"/>
  <c r="N47" i="101"/>
  <c r="M23" i="101"/>
  <c r="N46" i="101"/>
  <c r="N63" i="101"/>
  <c r="P41" i="101"/>
  <c r="S162" i="151"/>
  <c r="M43" i="101"/>
  <c r="P75" i="101"/>
  <c r="N172" i="151"/>
  <c r="Q20" i="101"/>
  <c r="Q44" i="101"/>
  <c r="R52" i="101"/>
  <c r="Q76" i="101"/>
  <c r="R160" i="151"/>
  <c r="P38" i="101"/>
  <c r="R138" i="151"/>
  <c r="S119" i="151"/>
  <c r="R135" i="151"/>
  <c r="S151" i="151"/>
  <c r="R167" i="151"/>
  <c r="N118" i="151"/>
  <c r="R130" i="151"/>
  <c r="N150" i="151"/>
  <c r="M73" i="101"/>
  <c r="N143" i="151"/>
  <c r="M78" i="101"/>
  <c r="N25" i="101"/>
  <c r="R134" i="151"/>
  <c r="N146" i="151"/>
  <c r="M57" i="101"/>
  <c r="Q136" i="151"/>
  <c r="R27" i="101"/>
  <c r="Q59" i="101"/>
  <c r="Q140" i="151"/>
  <c r="N24" i="101"/>
  <c r="M32" i="101"/>
  <c r="P48" i="101"/>
  <c r="N56" i="101"/>
  <c r="R64" i="101"/>
  <c r="S128" i="151"/>
  <c r="M70" i="101"/>
  <c r="O170" i="151"/>
  <c r="N26" i="101"/>
  <c r="P58" i="101"/>
  <c r="R74" i="101"/>
  <c r="R19" i="101"/>
  <c r="Q51" i="101"/>
  <c r="Q124" i="151"/>
  <c r="S121" i="151"/>
  <c r="N129" i="151"/>
  <c r="S137" i="151"/>
  <c r="N145" i="151"/>
  <c r="S153" i="151"/>
  <c r="N161" i="151"/>
  <c r="S169" i="151"/>
  <c r="N54" i="101"/>
  <c r="N159" i="151"/>
  <c r="N123" i="151"/>
  <c r="Q139" i="151"/>
  <c r="N155" i="151"/>
  <c r="Q171" i="151"/>
  <c r="S158" i="151"/>
  <c r="R37" i="101"/>
  <c r="Q49" i="101"/>
  <c r="R152" i="151"/>
  <c r="S164" i="151"/>
  <c r="N30" i="101"/>
  <c r="R131" i="151"/>
  <c r="S142" i="151"/>
  <c r="P35" i="101"/>
  <c r="O117" i="151"/>
  <c r="O133" i="151"/>
  <c r="O149" i="151"/>
  <c r="O165" i="151"/>
  <c r="O173" i="151"/>
  <c r="P22" i="101"/>
  <c r="O127" i="151"/>
  <c r="Q34" i="101"/>
  <c r="N50" i="101"/>
  <c r="R33" i="101"/>
  <c r="Q45" i="101"/>
  <c r="R77" i="101"/>
  <c r="Q39" i="101"/>
  <c r="Q120" i="151"/>
  <c r="N175" i="151"/>
  <c r="P55" i="101"/>
  <c r="N23" i="101"/>
  <c r="R46" i="101"/>
  <c r="Q163" i="151"/>
  <c r="Q174" i="151"/>
  <c r="M41" i="101"/>
  <c r="N43" i="101"/>
  <c r="M75" i="101"/>
  <c r="Q172" i="151"/>
  <c r="M20" i="101"/>
  <c r="Q28" i="101"/>
  <c r="Q52" i="101"/>
  <c r="R60" i="101"/>
  <c r="O135" i="151"/>
  <c r="O167" i="151"/>
  <c r="N73" i="101"/>
  <c r="R143" i="151"/>
  <c r="R126" i="151"/>
  <c r="Q78" i="101"/>
  <c r="N57" i="101"/>
  <c r="R166" i="151"/>
  <c r="M62" i="101"/>
  <c r="N136" i="151"/>
  <c r="O148" i="151"/>
  <c r="M71" i="101"/>
  <c r="R59" i="101"/>
  <c r="N140" i="151"/>
  <c r="P24" i="101"/>
  <c r="N32" i="101"/>
  <c r="M40" i="101"/>
  <c r="P56" i="101"/>
  <c r="N64" i="101"/>
  <c r="R72" i="101"/>
  <c r="R128" i="151"/>
  <c r="Q70" i="101"/>
  <c r="Q170" i="151"/>
  <c r="R26" i="101"/>
  <c r="N42" i="101"/>
  <c r="P74" i="101"/>
  <c r="Q147" i="151"/>
  <c r="S122" i="151"/>
  <c r="R51" i="101"/>
  <c r="N124" i="151"/>
  <c r="O129" i="151"/>
  <c r="O145" i="151"/>
  <c r="O161" i="151"/>
  <c r="R54" i="101"/>
  <c r="R159" i="151"/>
  <c r="R123" i="151"/>
  <c r="S139" i="151"/>
  <c r="R155" i="151"/>
  <c r="S171" i="151"/>
  <c r="R49" i="101"/>
  <c r="Q61" i="101"/>
  <c r="R164" i="151"/>
  <c r="M30" i="101"/>
  <c r="O131" i="151"/>
  <c r="R154" i="151"/>
  <c r="Q35" i="101"/>
  <c r="M50" i="101"/>
  <c r="N66" i="101"/>
  <c r="R45" i="101"/>
  <c r="Q53" i="101"/>
  <c r="R39" i="101"/>
  <c r="N120" i="151"/>
  <c r="T175" i="151"/>
  <c r="Q55" i="101"/>
  <c r="Q132" i="151"/>
  <c r="P46" i="101"/>
  <c r="S163" i="151"/>
  <c r="N174" i="151"/>
  <c r="N41" i="101"/>
  <c r="R162" i="151"/>
  <c r="Q168" i="151"/>
  <c r="N75" i="101"/>
  <c r="O172" i="151"/>
  <c r="M28" i="101"/>
  <c r="Q36" i="101"/>
  <c r="Q60" i="101"/>
  <c r="R68" i="101"/>
  <c r="O160" i="151"/>
  <c r="Q38" i="101"/>
  <c r="S138" i="151"/>
  <c r="O118" i="151"/>
  <c r="S130" i="151"/>
  <c r="O150" i="151"/>
  <c r="O143" i="151"/>
  <c r="Q31" i="101"/>
  <c r="Q116" i="151"/>
  <c r="P25" i="101"/>
  <c r="S134" i="151"/>
  <c r="O146" i="151"/>
  <c r="Q62" i="101"/>
  <c r="S148" i="151"/>
  <c r="N71" i="101"/>
  <c r="P27" i="101"/>
  <c r="P32" i="101"/>
  <c r="N40" i="101"/>
  <c r="R48" i="101"/>
  <c r="P64" i="101"/>
  <c r="N72" i="101"/>
  <c r="N170" i="151"/>
  <c r="P26" i="101"/>
  <c r="R42" i="101"/>
  <c r="Q58" i="101"/>
  <c r="S147" i="151"/>
  <c r="P19" i="101"/>
  <c r="P54" i="101"/>
  <c r="O159" i="151"/>
  <c r="O123" i="151"/>
  <c r="O155" i="151"/>
  <c r="R158" i="151"/>
  <c r="Q29" i="101"/>
  <c r="R61" i="101"/>
  <c r="Q69" i="101"/>
  <c r="O152" i="151"/>
  <c r="R142" i="151"/>
  <c r="R35" i="101"/>
  <c r="Q67" i="101"/>
  <c r="Q156" i="151"/>
  <c r="Q117" i="151"/>
  <c r="R125" i="151"/>
  <c r="Q133" i="151"/>
  <c r="R141" i="151"/>
  <c r="Q149" i="151"/>
  <c r="R157" i="151"/>
  <c r="Q165" i="151"/>
  <c r="T173" i="151"/>
  <c r="Q144" i="151"/>
  <c r="Q22" i="101"/>
  <c r="N127" i="151"/>
  <c r="M66" i="101"/>
  <c r="Q21" i="101"/>
  <c r="R53" i="101"/>
  <c r="Q65" i="101"/>
  <c r="Q175" i="151"/>
  <c r="R55" i="101"/>
  <c r="N132" i="151"/>
  <c r="M47" i="101"/>
  <c r="P23" i="101"/>
  <c r="M63" i="101"/>
  <c r="O174" i="151"/>
  <c r="R18" i="101"/>
  <c r="Q115" i="151"/>
  <c r="N18" i="101"/>
  <c r="N115" i="151"/>
  <c r="M18" i="101"/>
  <c r="R115" i="151"/>
  <c r="P18" i="101"/>
  <c r="S115" i="151"/>
  <c r="Q18" i="101"/>
  <c r="O115" i="151"/>
  <c r="K84" i="151"/>
  <c r="C592" i="170" s="1"/>
  <c r="E592" i="170" s="1"/>
  <c r="K82" i="151"/>
  <c r="K80" i="151"/>
  <c r="C558" i="170" s="1"/>
  <c r="E558" i="170" s="1"/>
  <c r="K78" i="151"/>
  <c r="C541" i="170" s="1"/>
  <c r="E541" i="170" s="1"/>
  <c r="E550" i="170" s="1"/>
  <c r="K76" i="151"/>
  <c r="C525" i="170" s="1"/>
  <c r="E525" i="170" s="1"/>
  <c r="K74" i="151"/>
  <c r="C508" i="170" s="1"/>
  <c r="E508" i="170" s="1"/>
  <c r="K72" i="151"/>
  <c r="C491" i="170" s="1"/>
  <c r="E491" i="170" s="1"/>
  <c r="K70" i="151"/>
  <c r="C473" i="170" s="1"/>
  <c r="E473" i="170" s="1"/>
  <c r="E482" i="170" s="1"/>
  <c r="K68" i="151"/>
  <c r="C455" i="170" s="1"/>
  <c r="E455" i="170" s="1"/>
  <c r="K66" i="151"/>
  <c r="C439" i="170" s="1"/>
  <c r="E439" i="170" s="1"/>
  <c r="K64" i="151"/>
  <c r="C422" i="170" s="1"/>
  <c r="E422" i="170" s="1"/>
  <c r="K62" i="151"/>
  <c r="C405" i="170" s="1"/>
  <c r="E405" i="170" s="1"/>
  <c r="K60" i="151"/>
  <c r="C387" i="170" s="1"/>
  <c r="E387" i="170" s="1"/>
  <c r="K58" i="151"/>
  <c r="C370" i="170" s="1"/>
  <c r="E370" i="170" s="1"/>
  <c r="K56" i="151"/>
  <c r="C353" i="170" s="1"/>
  <c r="E353" i="170" s="1"/>
  <c r="K54" i="151"/>
  <c r="C335" i="170" s="1"/>
  <c r="E335" i="170" s="1"/>
  <c r="E344" i="170" s="1"/>
  <c r="K52" i="151"/>
  <c r="K50" i="151"/>
  <c r="C300" i="170" s="1"/>
  <c r="E300" i="170" s="1"/>
  <c r="K48" i="151"/>
  <c r="C283" i="170" s="1"/>
  <c r="E283" i="170" s="1"/>
  <c r="K46" i="151"/>
  <c r="C266" i="170" s="1"/>
  <c r="E266" i="170" s="1"/>
  <c r="K44" i="151"/>
  <c r="C249" i="170" s="1"/>
  <c r="E249" i="170" s="1"/>
  <c r="K42" i="151"/>
  <c r="C232" i="170" s="1"/>
  <c r="E232" i="170" s="1"/>
  <c r="K40" i="151"/>
  <c r="C214" i="170" s="1"/>
  <c r="E214" i="170" s="1"/>
  <c r="K38" i="151"/>
  <c r="C197" i="170" s="1"/>
  <c r="E197" i="170" s="1"/>
  <c r="K36" i="151"/>
  <c r="C180" i="170" s="1"/>
  <c r="E180" i="170" s="1"/>
  <c r="K34" i="151"/>
  <c r="C163" i="170" s="1"/>
  <c r="E163" i="170" s="1"/>
  <c r="K32" i="151"/>
  <c r="C146" i="170" s="1"/>
  <c r="E146" i="170" s="1"/>
  <c r="K30" i="151"/>
  <c r="C129" i="170" s="1"/>
  <c r="E129" i="170" s="1"/>
  <c r="E138" i="170" s="1"/>
  <c r="K28" i="151"/>
  <c r="C112" i="170" s="1"/>
  <c r="E112" i="170" s="1"/>
  <c r="K26" i="151"/>
  <c r="C95" i="170" s="1"/>
  <c r="E95" i="170" s="1"/>
  <c r="K24" i="151"/>
  <c r="C78" i="170" s="1"/>
  <c r="E78" i="170" s="1"/>
  <c r="K22" i="151"/>
  <c r="C61" i="170" s="1"/>
  <c r="E61" i="170" s="1"/>
  <c r="E70" i="170" s="1"/>
  <c r="K20" i="151"/>
  <c r="C44" i="170" s="1"/>
  <c r="E44" i="170" s="1"/>
  <c r="K18" i="151"/>
  <c r="C27" i="170" s="1"/>
  <c r="E27" i="170" s="1"/>
  <c r="K83" i="151"/>
  <c r="I575" i="170" s="1"/>
  <c r="K575" i="170" s="1"/>
  <c r="K81" i="151"/>
  <c r="I558" i="170" s="1"/>
  <c r="K558" i="170" s="1"/>
  <c r="K79" i="151"/>
  <c r="K77" i="151"/>
  <c r="I525" i="170" s="1"/>
  <c r="K525" i="170" s="1"/>
  <c r="K75" i="151"/>
  <c r="I508" i="170" s="1"/>
  <c r="K508" i="170" s="1"/>
  <c r="K73" i="151"/>
  <c r="I491" i="170" s="1"/>
  <c r="K491" i="170" s="1"/>
  <c r="K71" i="151"/>
  <c r="I473" i="170" s="1"/>
  <c r="K473" i="170" s="1"/>
  <c r="K69" i="151"/>
  <c r="I455" i="170" s="1"/>
  <c r="K455" i="170" s="1"/>
  <c r="K67" i="151"/>
  <c r="I439" i="170" s="1"/>
  <c r="K439" i="170" s="1"/>
  <c r="K65" i="151"/>
  <c r="K63" i="151"/>
  <c r="I405" i="170" s="1"/>
  <c r="K405" i="170" s="1"/>
  <c r="K61" i="151"/>
  <c r="I387" i="170" s="1"/>
  <c r="K387" i="170" s="1"/>
  <c r="K59" i="151"/>
  <c r="I370" i="170" s="1"/>
  <c r="K370" i="170" s="1"/>
  <c r="K57" i="151"/>
  <c r="I353" i="170" s="1"/>
  <c r="K353" i="170" s="1"/>
  <c r="K362" i="170" s="1"/>
  <c r="K55" i="151"/>
  <c r="I335" i="170" s="1"/>
  <c r="K335" i="170" s="1"/>
  <c r="K53" i="151"/>
  <c r="I317" i="170" s="1"/>
  <c r="K317" i="170" s="1"/>
  <c r="K51" i="151"/>
  <c r="I300" i="170" s="1"/>
  <c r="K300" i="170" s="1"/>
  <c r="K49" i="151"/>
  <c r="I283" i="170" s="1"/>
  <c r="K283" i="170" s="1"/>
  <c r="K47" i="151"/>
  <c r="I266" i="170" s="1"/>
  <c r="K266" i="170" s="1"/>
  <c r="K45" i="151"/>
  <c r="I249" i="170" s="1"/>
  <c r="K249" i="170" s="1"/>
  <c r="K43" i="151"/>
  <c r="I232" i="170" s="1"/>
  <c r="K232" i="170" s="1"/>
  <c r="K41" i="151"/>
  <c r="I214" i="170" s="1"/>
  <c r="K214" i="170" s="1"/>
  <c r="K223" i="170" s="1"/>
  <c r="K39" i="151"/>
  <c r="I197" i="170" s="1"/>
  <c r="K197" i="170" s="1"/>
  <c r="K37" i="151"/>
  <c r="K35" i="151"/>
  <c r="I163" i="170" s="1"/>
  <c r="K163" i="170" s="1"/>
  <c r="K33" i="151"/>
  <c r="I146" i="170" s="1"/>
  <c r="K146" i="170" s="1"/>
  <c r="K155" i="170" s="1"/>
  <c r="K31" i="151"/>
  <c r="I129" i="170" s="1"/>
  <c r="K129" i="170" s="1"/>
  <c r="K29" i="151"/>
  <c r="I112" i="170" s="1"/>
  <c r="K112" i="170" s="1"/>
  <c r="K27" i="151"/>
  <c r="K25" i="151"/>
  <c r="I78" i="170" s="1"/>
  <c r="K78" i="170" s="1"/>
  <c r="K87" i="170" s="1"/>
  <c r="K23" i="151"/>
  <c r="I61" i="170" s="1"/>
  <c r="K61" i="170" s="1"/>
  <c r="K21" i="151"/>
  <c r="I44" i="170" s="1"/>
  <c r="K44" i="170" s="1"/>
  <c r="K19" i="151"/>
  <c r="C17" i="101"/>
  <c r="K17" i="101" s="1"/>
  <c r="AD96" i="9"/>
  <c r="T172" i="151"/>
  <c r="O82" i="99"/>
  <c r="W82" i="99" s="1"/>
  <c r="O74" i="99"/>
  <c r="W74" i="99" s="1"/>
  <c r="O66" i="99"/>
  <c r="W66" i="99" s="1"/>
  <c r="O62" i="99"/>
  <c r="W62" i="99" s="1"/>
  <c r="O54" i="99"/>
  <c r="W54" i="99" s="1"/>
  <c r="O50" i="99"/>
  <c r="W50" i="99" s="1"/>
  <c r="O42" i="99"/>
  <c r="W42" i="99" s="1"/>
  <c r="O38" i="99"/>
  <c r="W38" i="99" s="1"/>
  <c r="O34" i="99"/>
  <c r="W34" i="99" s="1"/>
  <c r="O30" i="99"/>
  <c r="W30" i="99" s="1"/>
  <c r="O26" i="99"/>
  <c r="W26" i="99" s="1"/>
  <c r="O22" i="99"/>
  <c r="W22" i="99" s="1"/>
  <c r="O87" i="99"/>
  <c r="W87" i="99" s="1"/>
  <c r="O83" i="99"/>
  <c r="W83" i="99" s="1"/>
  <c r="O79" i="99"/>
  <c r="W79" i="99" s="1"/>
  <c r="O75" i="99"/>
  <c r="W75" i="99" s="1"/>
  <c r="O71" i="99"/>
  <c r="W71" i="99" s="1"/>
  <c r="O67" i="99"/>
  <c r="W67" i="99" s="1"/>
  <c r="O63" i="99"/>
  <c r="W63" i="99" s="1"/>
  <c r="O59" i="99"/>
  <c r="W59" i="99" s="1"/>
  <c r="O55" i="99"/>
  <c r="W55" i="99" s="1"/>
  <c r="O51" i="99"/>
  <c r="W51" i="99" s="1"/>
  <c r="O47" i="99"/>
  <c r="W47" i="99" s="1"/>
  <c r="O43" i="99"/>
  <c r="W43" i="99" s="1"/>
  <c r="O39" i="99"/>
  <c r="W39" i="99" s="1"/>
  <c r="O35" i="99"/>
  <c r="W35" i="99" s="1"/>
  <c r="O31" i="99"/>
  <c r="W31" i="99" s="1"/>
  <c r="O27" i="99"/>
  <c r="W27" i="99" s="1"/>
  <c r="O23" i="99"/>
  <c r="W23" i="99" s="1"/>
  <c r="O19" i="99"/>
  <c r="W19" i="99" s="1"/>
  <c r="O84" i="99"/>
  <c r="W84" i="99" s="1"/>
  <c r="O80" i="99"/>
  <c r="W80" i="99" s="1"/>
  <c r="O76" i="99"/>
  <c r="W76" i="99" s="1"/>
  <c r="O72" i="99"/>
  <c r="W72" i="99" s="1"/>
  <c r="O68" i="99"/>
  <c r="W68" i="99" s="1"/>
  <c r="O64" i="99"/>
  <c r="W64" i="99" s="1"/>
  <c r="O60" i="99"/>
  <c r="W60" i="99" s="1"/>
  <c r="O56" i="99"/>
  <c r="W56" i="99" s="1"/>
  <c r="O52" i="99"/>
  <c r="W52" i="99" s="1"/>
  <c r="O48" i="99"/>
  <c r="W48" i="99" s="1"/>
  <c r="O44" i="99"/>
  <c r="W44" i="99" s="1"/>
  <c r="O40" i="99"/>
  <c r="W40" i="99" s="1"/>
  <c r="O36" i="99"/>
  <c r="W36" i="99" s="1"/>
  <c r="O32" i="99"/>
  <c r="W32" i="99" s="1"/>
  <c r="O28" i="99"/>
  <c r="W28" i="99" s="1"/>
  <c r="O24" i="99"/>
  <c r="W24" i="99" s="1"/>
  <c r="O20" i="99"/>
  <c r="W20" i="99" s="1"/>
  <c r="O86" i="99"/>
  <c r="W86" i="99" s="1"/>
  <c r="O78" i="99"/>
  <c r="W78" i="99" s="1"/>
  <c r="O70" i="99"/>
  <c r="W70" i="99" s="1"/>
  <c r="O58" i="99"/>
  <c r="W58" i="99" s="1"/>
  <c r="O46" i="99"/>
  <c r="W46" i="99" s="1"/>
  <c r="O18" i="99"/>
  <c r="W18" i="99" s="1"/>
  <c r="O85" i="99"/>
  <c r="W85" i="99" s="1"/>
  <c r="O81" i="99"/>
  <c r="W81" i="99" s="1"/>
  <c r="O77" i="99"/>
  <c r="W77" i="99" s="1"/>
  <c r="O73" i="99"/>
  <c r="W73" i="99" s="1"/>
  <c r="O69" i="99"/>
  <c r="W69" i="99" s="1"/>
  <c r="O65" i="99"/>
  <c r="W65" i="99" s="1"/>
  <c r="O61" i="99"/>
  <c r="W61" i="99" s="1"/>
  <c r="O57" i="99"/>
  <c r="W57" i="99" s="1"/>
  <c r="O53" i="99"/>
  <c r="W53" i="99" s="1"/>
  <c r="O49" i="99"/>
  <c r="W49" i="99" s="1"/>
  <c r="O45" i="99"/>
  <c r="W45" i="99" s="1"/>
  <c r="O41" i="99"/>
  <c r="W41" i="99" s="1"/>
  <c r="O37" i="99"/>
  <c r="W37" i="99" s="1"/>
  <c r="O33" i="99"/>
  <c r="W33" i="99" s="1"/>
  <c r="O29" i="99"/>
  <c r="W29" i="99" s="1"/>
  <c r="O25" i="99"/>
  <c r="W25" i="99" s="1"/>
  <c r="O21" i="99"/>
  <c r="W21" i="99" s="1"/>
  <c r="D114" i="151"/>
  <c r="D12" i="136"/>
  <c r="D17" i="136" s="1"/>
  <c r="AC96" i="9"/>
  <c r="AC95" i="9" s="1"/>
  <c r="I161" i="9"/>
  <c r="AC70" i="9"/>
  <c r="AC10" i="9" s="1"/>
  <c r="T175" i="99"/>
  <c r="AC97" i="9"/>
  <c r="L161" i="9"/>
  <c r="J161" i="9"/>
  <c r="P161" i="9"/>
  <c r="Q166" i="9" s="1"/>
  <c r="M161" i="9"/>
  <c r="N161" i="9"/>
  <c r="G161" i="9"/>
  <c r="P180" i="9" s="1"/>
  <c r="K161" i="9"/>
  <c r="H161" i="9"/>
  <c r="L114" i="151" l="1"/>
  <c r="L113" i="151" s="1"/>
  <c r="H177" i="132"/>
  <c r="I175" i="132"/>
  <c r="G176" i="132"/>
  <c r="G175" i="132"/>
  <c r="G177" i="132"/>
  <c r="I176" i="132"/>
  <c r="H175" i="132"/>
  <c r="I177" i="132"/>
  <c r="H176" i="132"/>
  <c r="Z79" i="101"/>
  <c r="AA79" i="101" s="1"/>
  <c r="L175" i="132"/>
  <c r="N175" i="132" s="1"/>
  <c r="G172" i="132"/>
  <c r="G171" i="132"/>
  <c r="G174" i="132"/>
  <c r="G173" i="132"/>
  <c r="Z80" i="101"/>
  <c r="L176" i="132"/>
  <c r="N176" i="132" s="1"/>
  <c r="Z81" i="101"/>
  <c r="AA81" i="101" s="1"/>
  <c r="L177" i="132"/>
  <c r="N177" i="132" s="1"/>
  <c r="H173" i="132"/>
  <c r="H174" i="132"/>
  <c r="H171" i="132"/>
  <c r="H172" i="132"/>
  <c r="T113" i="151"/>
  <c r="E189" i="170"/>
  <c r="E379" i="170"/>
  <c r="E223" i="170"/>
  <c r="E500" i="170"/>
  <c r="K17" i="151"/>
  <c r="M17" i="151"/>
  <c r="K500" i="170"/>
  <c r="I95" i="170"/>
  <c r="K95" i="170" s="1"/>
  <c r="I727" i="170"/>
  <c r="K727" i="170" s="1"/>
  <c r="K735" i="170" s="1"/>
  <c r="L735" i="170" s="1"/>
  <c r="X95" i="9"/>
  <c r="X9" i="9" s="1"/>
  <c r="V95" i="9"/>
  <c r="V9" i="9" s="1"/>
  <c r="W95" i="9"/>
  <c r="W9" i="9" s="1"/>
  <c r="W18" i="101"/>
  <c r="E292" i="170"/>
  <c r="E431" i="170"/>
  <c r="K567" i="170"/>
  <c r="H117" i="132"/>
  <c r="H137" i="132"/>
  <c r="H116" i="132"/>
  <c r="H118" i="132"/>
  <c r="H160" i="132"/>
  <c r="H133" i="132"/>
  <c r="H136" i="132"/>
  <c r="H158" i="132"/>
  <c r="H123" i="132"/>
  <c r="H145" i="132"/>
  <c r="H119" i="132"/>
  <c r="H127" i="132"/>
  <c r="H159" i="132"/>
  <c r="H164" i="132"/>
  <c r="H165" i="132"/>
  <c r="H124" i="132"/>
  <c r="H156" i="132"/>
  <c r="H162" i="132"/>
  <c r="H130" i="132"/>
  <c r="H169" i="132"/>
  <c r="H150" i="132"/>
  <c r="H163" i="132"/>
  <c r="H114" i="132"/>
  <c r="H161" i="132"/>
  <c r="H167" i="132"/>
  <c r="H142" i="132"/>
  <c r="H125" i="132"/>
  <c r="H168" i="132"/>
  <c r="H149" i="132"/>
  <c r="H131" i="132"/>
  <c r="H121" i="132"/>
  <c r="H140" i="132"/>
  <c r="H166" i="132"/>
  <c r="H170" i="132"/>
  <c r="H135" i="132"/>
  <c r="H138" i="132"/>
  <c r="H139" i="132"/>
  <c r="H128" i="132"/>
  <c r="H157" i="132"/>
  <c r="H152" i="132"/>
  <c r="H141" i="132"/>
  <c r="H122" i="132"/>
  <c r="H154" i="132"/>
  <c r="H120" i="132"/>
  <c r="H147" i="132"/>
  <c r="H153" i="132"/>
  <c r="H134" i="132"/>
  <c r="H132" i="132"/>
  <c r="H129" i="132"/>
  <c r="H155" i="132"/>
  <c r="H115" i="132"/>
  <c r="H144" i="132"/>
  <c r="H126" i="132"/>
  <c r="H146" i="132"/>
  <c r="H143" i="132"/>
  <c r="H148" i="132"/>
  <c r="H151" i="132"/>
  <c r="E275" i="170"/>
  <c r="E414" i="170"/>
  <c r="K121" i="170"/>
  <c r="K464" i="170"/>
  <c r="E36" i="170"/>
  <c r="E104" i="170"/>
  <c r="E172" i="170"/>
  <c r="K292" i="170"/>
  <c r="X143" i="151"/>
  <c r="I142" i="132" s="1"/>
  <c r="X116" i="151"/>
  <c r="I115" i="132" s="1"/>
  <c r="X130" i="151"/>
  <c r="I129" i="132" s="1"/>
  <c r="X128" i="151"/>
  <c r="I127" i="132" s="1"/>
  <c r="X151" i="151"/>
  <c r="I150" i="132" s="1"/>
  <c r="X99" i="151"/>
  <c r="K53" i="170"/>
  <c r="X136" i="151"/>
  <c r="I135" i="132" s="1"/>
  <c r="E258" i="170"/>
  <c r="E396" i="170"/>
  <c r="W63" i="101"/>
  <c r="X175" i="151"/>
  <c r="I174" i="132" s="1"/>
  <c r="X159" i="151"/>
  <c r="I158" i="132" s="1"/>
  <c r="X172" i="151"/>
  <c r="I171" i="132" s="1"/>
  <c r="X157" i="151"/>
  <c r="I156" i="132" s="1"/>
  <c r="X147" i="151"/>
  <c r="I146" i="132" s="1"/>
  <c r="X107" i="151"/>
  <c r="X127" i="151"/>
  <c r="I126" i="132" s="1"/>
  <c r="X174" i="151"/>
  <c r="I173" i="132" s="1"/>
  <c r="X140" i="151"/>
  <c r="I139" i="132" s="1"/>
  <c r="X155" i="151"/>
  <c r="I154" i="132" s="1"/>
  <c r="X145" i="151"/>
  <c r="I144" i="132" s="1"/>
  <c r="X144" i="151"/>
  <c r="I143" i="132" s="1"/>
  <c r="X149" i="151"/>
  <c r="I148" i="132" s="1"/>
  <c r="X117" i="151"/>
  <c r="I116" i="132" s="1"/>
  <c r="X131" i="151"/>
  <c r="I130" i="132" s="1"/>
  <c r="X167" i="151"/>
  <c r="I166" i="132" s="1"/>
  <c r="X125" i="151"/>
  <c r="I124" i="132" s="1"/>
  <c r="X154" i="151"/>
  <c r="I153" i="132" s="1"/>
  <c r="X164" i="151"/>
  <c r="I163" i="132" s="1"/>
  <c r="X148" i="151"/>
  <c r="I147" i="132" s="1"/>
  <c r="X160" i="151"/>
  <c r="I159" i="132" s="1"/>
  <c r="X139" i="151"/>
  <c r="I138" i="132" s="1"/>
  <c r="X122" i="151"/>
  <c r="I121" i="132" s="1"/>
  <c r="X102" i="151"/>
  <c r="X103" i="151"/>
  <c r="X124" i="151"/>
  <c r="I123" i="132" s="1"/>
  <c r="X115" i="151"/>
  <c r="I114" i="132" s="1"/>
  <c r="X132" i="151"/>
  <c r="I131" i="132" s="1"/>
  <c r="X170" i="151"/>
  <c r="I169" i="132" s="1"/>
  <c r="X150" i="151"/>
  <c r="I149" i="132" s="1"/>
  <c r="X173" i="151"/>
  <c r="I172" i="132" s="1"/>
  <c r="X156" i="151"/>
  <c r="I155" i="132" s="1"/>
  <c r="X152" i="151"/>
  <c r="I151" i="132" s="1"/>
  <c r="X153" i="151"/>
  <c r="I152" i="132" s="1"/>
  <c r="X126" i="151"/>
  <c r="I125" i="132" s="1"/>
  <c r="X141" i="151"/>
  <c r="I140" i="132" s="1"/>
  <c r="X158" i="151"/>
  <c r="I157" i="132" s="1"/>
  <c r="X169" i="151"/>
  <c r="I168" i="132" s="1"/>
  <c r="X166" i="151"/>
  <c r="I165" i="132" s="1"/>
  <c r="X100" i="151"/>
  <c r="X104" i="151"/>
  <c r="X111" i="151"/>
  <c r="X106" i="151"/>
  <c r="X108" i="151"/>
  <c r="X146" i="151"/>
  <c r="I145" i="132" s="1"/>
  <c r="X118" i="151"/>
  <c r="I117" i="132" s="1"/>
  <c r="X171" i="151"/>
  <c r="I170" i="132" s="1"/>
  <c r="X119" i="151"/>
  <c r="I118" i="132" s="1"/>
  <c r="X163" i="151"/>
  <c r="I162" i="132" s="1"/>
  <c r="X142" i="151"/>
  <c r="I141" i="132" s="1"/>
  <c r="W28" i="101"/>
  <c r="X120" i="151"/>
  <c r="I119" i="132" s="1"/>
  <c r="W71" i="101"/>
  <c r="X123" i="151"/>
  <c r="I122" i="132" s="1"/>
  <c r="X161" i="151"/>
  <c r="I160" i="132" s="1"/>
  <c r="X129" i="151"/>
  <c r="I128" i="132" s="1"/>
  <c r="W57" i="101"/>
  <c r="W23" i="101"/>
  <c r="X165" i="151"/>
  <c r="I164" i="132" s="1"/>
  <c r="X133" i="151"/>
  <c r="I132" i="132" s="1"/>
  <c r="X135" i="151"/>
  <c r="I134" i="132" s="1"/>
  <c r="X168" i="151"/>
  <c r="I167" i="132" s="1"/>
  <c r="X121" i="151"/>
  <c r="I120" i="132" s="1"/>
  <c r="X138" i="151"/>
  <c r="I137" i="132" s="1"/>
  <c r="W68" i="101"/>
  <c r="X137" i="151"/>
  <c r="I136" i="132" s="1"/>
  <c r="X134" i="151"/>
  <c r="I133" i="132" s="1"/>
  <c r="X162" i="151"/>
  <c r="I161" i="132" s="1"/>
  <c r="X101" i="151"/>
  <c r="X105" i="151"/>
  <c r="W78" i="101"/>
  <c r="W74" i="101"/>
  <c r="E206" i="170"/>
  <c r="E53" i="170"/>
  <c r="E121" i="170"/>
  <c r="E464" i="170"/>
  <c r="K70" i="170"/>
  <c r="K138" i="170"/>
  <c r="K206" i="170"/>
  <c r="K275" i="170"/>
  <c r="K344" i="170"/>
  <c r="K414" i="170"/>
  <c r="E87" i="170"/>
  <c r="E155" i="170"/>
  <c r="K172" i="170"/>
  <c r="K379" i="170"/>
  <c r="E362" i="170"/>
  <c r="K104" i="170"/>
  <c r="K241" i="170"/>
  <c r="K309" i="170"/>
  <c r="K258" i="170"/>
  <c r="K326" i="170"/>
  <c r="K396" i="170"/>
  <c r="K534" i="170"/>
  <c r="E241" i="170"/>
  <c r="E309" i="170"/>
  <c r="E448" i="170"/>
  <c r="E517" i="170"/>
  <c r="W35" i="101"/>
  <c r="W56" i="101"/>
  <c r="W50" i="101"/>
  <c r="W75" i="101"/>
  <c r="W70" i="101"/>
  <c r="W24" i="101"/>
  <c r="W37" i="101"/>
  <c r="W42" i="101"/>
  <c r="W64" i="101"/>
  <c r="W38" i="101"/>
  <c r="W46" i="101"/>
  <c r="W39" i="101"/>
  <c r="W67" i="101"/>
  <c r="W29" i="101"/>
  <c r="W58" i="101"/>
  <c r="W66" i="101"/>
  <c r="W47" i="101"/>
  <c r="W32" i="101"/>
  <c r="W73" i="101"/>
  <c r="W33" i="101"/>
  <c r="W61" i="101"/>
  <c r="W51" i="101"/>
  <c r="W55" i="101"/>
  <c r="W21" i="101"/>
  <c r="W49" i="101"/>
  <c r="W54" i="101"/>
  <c r="W72" i="101"/>
  <c r="W59" i="101"/>
  <c r="W31" i="101"/>
  <c r="W44" i="101"/>
  <c r="W77" i="101"/>
  <c r="W65" i="101"/>
  <c r="W19" i="101"/>
  <c r="W76" i="101"/>
  <c r="W30" i="101"/>
  <c r="W40" i="101"/>
  <c r="W62" i="101"/>
  <c r="W20" i="101"/>
  <c r="W41" i="101"/>
  <c r="W43" i="101"/>
  <c r="W34" i="101"/>
  <c r="W25" i="101"/>
  <c r="W36" i="101"/>
  <c r="W53" i="101"/>
  <c r="W22" i="101"/>
  <c r="W48" i="101"/>
  <c r="W27" i="101"/>
  <c r="W52" i="101"/>
  <c r="W45" i="101"/>
  <c r="W69" i="101"/>
  <c r="W26" i="101"/>
  <c r="W60" i="101"/>
  <c r="K482" i="170"/>
  <c r="E534" i="170"/>
  <c r="E601" i="170"/>
  <c r="L601" i="170" s="1"/>
  <c r="K448" i="170"/>
  <c r="K517" i="170"/>
  <c r="K584" i="170"/>
  <c r="E567" i="170"/>
  <c r="C575" i="170"/>
  <c r="E575" i="170" s="1"/>
  <c r="E584" i="170" s="1"/>
  <c r="I422" i="170"/>
  <c r="K422" i="170" s="1"/>
  <c r="K431" i="170" s="1"/>
  <c r="C317" i="170"/>
  <c r="E317" i="170" s="1"/>
  <c r="E326" i="170" s="1"/>
  <c r="C2203" i="170"/>
  <c r="E2203" i="170" s="1"/>
  <c r="C2523" i="170"/>
  <c r="E2523" i="170" s="1"/>
  <c r="I2427" i="170"/>
  <c r="K2427" i="170" s="1"/>
  <c r="I2347" i="170"/>
  <c r="K2347" i="170" s="1"/>
  <c r="I2139" i="170"/>
  <c r="K2139" i="170" s="1"/>
  <c r="C2299" i="170"/>
  <c r="E2299" i="170" s="1"/>
  <c r="C2123" i="170"/>
  <c r="E2123" i="170" s="1"/>
  <c r="C2267" i="170"/>
  <c r="E2267" i="170" s="1"/>
  <c r="I2299" i="170"/>
  <c r="K2299" i="170" s="1"/>
  <c r="C2251" i="170"/>
  <c r="E2251" i="170" s="1"/>
  <c r="I2267" i="170"/>
  <c r="K2267" i="170" s="1"/>
  <c r="C2363" i="170"/>
  <c r="E2363" i="170" s="1"/>
  <c r="I2187" i="170"/>
  <c r="K2187" i="170" s="1"/>
  <c r="I2523" i="170"/>
  <c r="K2523" i="170" s="1"/>
  <c r="C2331" i="170"/>
  <c r="E2331" i="170" s="1"/>
  <c r="C2411" i="170"/>
  <c r="E2411" i="170" s="1"/>
  <c r="I2203" i="170"/>
  <c r="K2203" i="170" s="1"/>
  <c r="C2427" i="170"/>
  <c r="E2427" i="170" s="1"/>
  <c r="C2283" i="170"/>
  <c r="E2283" i="170" s="1"/>
  <c r="C2395" i="170"/>
  <c r="E2395" i="170" s="1"/>
  <c r="I2123" i="170"/>
  <c r="K2123" i="170" s="1"/>
  <c r="C2443" i="170"/>
  <c r="E2443" i="170" s="1"/>
  <c r="I2331" i="170"/>
  <c r="K2331" i="170" s="1"/>
  <c r="C2475" i="170"/>
  <c r="E2475" i="170" s="1"/>
  <c r="I2283" i="170"/>
  <c r="K2283" i="170" s="1"/>
  <c r="I2507" i="170"/>
  <c r="K2507" i="170" s="1"/>
  <c r="I2059" i="170"/>
  <c r="K2059" i="170" s="1"/>
  <c r="C2459" i="170"/>
  <c r="E2459" i="170" s="1"/>
  <c r="I2171" i="170"/>
  <c r="K2171" i="170" s="1"/>
  <c r="I2091" i="170"/>
  <c r="K2091" i="170" s="1"/>
  <c r="C2155" i="170"/>
  <c r="E2155" i="170" s="1"/>
  <c r="I2459" i="170"/>
  <c r="K2459" i="170" s="1"/>
  <c r="C2315" i="170"/>
  <c r="E2315" i="170" s="1"/>
  <c r="I2395" i="170"/>
  <c r="K2395" i="170" s="1"/>
  <c r="C2219" i="170"/>
  <c r="E2219" i="170" s="1"/>
  <c r="I2379" i="170"/>
  <c r="K2379" i="170" s="1"/>
  <c r="C2507" i="170"/>
  <c r="E2507" i="170" s="1"/>
  <c r="C2107" i="170"/>
  <c r="E2107" i="170" s="1"/>
  <c r="I2235" i="170"/>
  <c r="K2235" i="170" s="1"/>
  <c r="I2315" i="170"/>
  <c r="K2315" i="170" s="1"/>
  <c r="C2187" i="170"/>
  <c r="E2187" i="170" s="1"/>
  <c r="G121" i="132"/>
  <c r="G152" i="132"/>
  <c r="G116" i="132"/>
  <c r="G169" i="132"/>
  <c r="G140" i="132"/>
  <c r="G157" i="132"/>
  <c r="G118" i="132"/>
  <c r="G162" i="132"/>
  <c r="G142" i="132"/>
  <c r="G122" i="132"/>
  <c r="G168" i="132"/>
  <c r="G146" i="132"/>
  <c r="G126" i="132"/>
  <c r="G144" i="132"/>
  <c r="G136" i="132"/>
  <c r="G119" i="132"/>
  <c r="G147" i="132"/>
  <c r="G127" i="132"/>
  <c r="G139" i="132"/>
  <c r="G117" i="132"/>
  <c r="G158" i="132"/>
  <c r="G138" i="132"/>
  <c r="G137" i="132"/>
  <c r="G128" i="132"/>
  <c r="G153" i="132"/>
  <c r="G159" i="132"/>
  <c r="G161" i="132"/>
  <c r="G163" i="132"/>
  <c r="G143" i="132"/>
  <c r="G155" i="132"/>
  <c r="G141" i="132"/>
  <c r="G132" i="132"/>
  <c r="G149" i="132"/>
  <c r="G160" i="132"/>
  <c r="G120" i="132"/>
  <c r="G145" i="132"/>
  <c r="G123" i="132"/>
  <c r="G151" i="132"/>
  <c r="G115" i="132"/>
  <c r="G156" i="132"/>
  <c r="G135" i="132"/>
  <c r="G164" i="132"/>
  <c r="G124" i="132"/>
  <c r="G130" i="132"/>
  <c r="G154" i="132"/>
  <c r="G134" i="132"/>
  <c r="G167" i="132"/>
  <c r="G131" i="132"/>
  <c r="G125" i="132"/>
  <c r="G148" i="132"/>
  <c r="G165" i="132"/>
  <c r="G129" i="132"/>
  <c r="G166" i="132"/>
  <c r="G133" i="132"/>
  <c r="G170" i="132"/>
  <c r="G150" i="132"/>
  <c r="G114" i="132"/>
  <c r="I15" i="151"/>
  <c r="H15" i="132"/>
  <c r="C2075" i="170"/>
  <c r="E2075" i="170" s="1"/>
  <c r="C2491" i="170"/>
  <c r="E2491" i="170" s="1"/>
  <c r="I2363" i="170"/>
  <c r="K2363" i="170" s="1"/>
  <c r="I2219" i="170"/>
  <c r="K2219" i="170" s="1"/>
  <c r="C2347" i="170"/>
  <c r="E2347" i="170" s="1"/>
  <c r="C2171" i="170"/>
  <c r="E2171" i="170" s="1"/>
  <c r="I2251" i="170"/>
  <c r="K2251" i="170" s="1"/>
  <c r="C2139" i="170"/>
  <c r="E2139" i="170" s="1"/>
  <c r="I2107" i="170"/>
  <c r="K2107" i="170" s="1"/>
  <c r="C2091" i="170"/>
  <c r="E2091" i="170" s="1"/>
  <c r="I2075" i="170"/>
  <c r="K2075" i="170" s="1"/>
  <c r="C2235" i="170"/>
  <c r="E2235" i="170" s="1"/>
  <c r="I2155" i="170"/>
  <c r="K2155" i="170" s="1"/>
  <c r="I2411" i="170"/>
  <c r="K2411" i="170" s="1"/>
  <c r="C2379" i="170"/>
  <c r="E2379" i="170" s="1"/>
  <c r="C2539" i="170"/>
  <c r="E2539" i="170" s="1"/>
  <c r="I2572" i="170"/>
  <c r="K2572" i="170" s="1"/>
  <c r="I541" i="170"/>
  <c r="K541" i="170" s="1"/>
  <c r="K550" i="170" s="1"/>
  <c r="I27" i="170"/>
  <c r="K27" i="170" s="1"/>
  <c r="K36" i="170" s="1"/>
  <c r="I180" i="170"/>
  <c r="K180" i="170" s="1"/>
  <c r="K189" i="170" s="1"/>
  <c r="C2600" i="170"/>
  <c r="E2600" i="170" s="1"/>
  <c r="C2585" i="170"/>
  <c r="E2585" i="170" s="1"/>
  <c r="C2558" i="170"/>
  <c r="E2558" i="170" s="1"/>
  <c r="I2587" i="170"/>
  <c r="K2587" i="170" s="1"/>
  <c r="I2571" i="170"/>
  <c r="K2571" i="170" s="1"/>
  <c r="I2558" i="170"/>
  <c r="K2558" i="170" s="1"/>
  <c r="C2541" i="170"/>
  <c r="E2541" i="170" s="1"/>
  <c r="C2537" i="170"/>
  <c r="E2537" i="170" s="1"/>
  <c r="I2536" i="170"/>
  <c r="K2536" i="170" s="1"/>
  <c r="I2538" i="170"/>
  <c r="K2538" i="170" s="1"/>
  <c r="C2589" i="170"/>
  <c r="E2589" i="170" s="1"/>
  <c r="C2557" i="170"/>
  <c r="E2557" i="170" s="1"/>
  <c r="I2586" i="170"/>
  <c r="K2586" i="170" s="1"/>
  <c r="C2574" i="170"/>
  <c r="E2574" i="170" s="1"/>
  <c r="I2555" i="170"/>
  <c r="K2555" i="170" s="1"/>
  <c r="I2520" i="170"/>
  <c r="K2520" i="170" s="1"/>
  <c r="I2541" i="170"/>
  <c r="K2541" i="170" s="1"/>
  <c r="C2590" i="170"/>
  <c r="E2590" i="170" s="1"/>
  <c r="C2554" i="170"/>
  <c r="E2554" i="170" s="1"/>
  <c r="C2553" i="170"/>
  <c r="E2553" i="170" s="1"/>
  <c r="I2589" i="170"/>
  <c r="K2589" i="170" s="1"/>
  <c r="I2573" i="170"/>
  <c r="K2573" i="170" s="1"/>
  <c r="C2571" i="170"/>
  <c r="E2571" i="170" s="1"/>
  <c r="I2553" i="170"/>
  <c r="K2553" i="170" s="1"/>
  <c r="I2525" i="170"/>
  <c r="K2525" i="170" s="1"/>
  <c r="C2536" i="170"/>
  <c r="E2536" i="170" s="1"/>
  <c r="C2540" i="170"/>
  <c r="E2540" i="170" s="1"/>
  <c r="I2537" i="170"/>
  <c r="K2537" i="170" s="1"/>
  <c r="C2587" i="170"/>
  <c r="E2587" i="170" s="1"/>
  <c r="C2586" i="170"/>
  <c r="E2586" i="170" s="1"/>
  <c r="I2590" i="170"/>
  <c r="K2590" i="170" s="1"/>
  <c r="I2574" i="170"/>
  <c r="K2574" i="170" s="1"/>
  <c r="C2573" i="170"/>
  <c r="E2573" i="170" s="1"/>
  <c r="C2569" i="170"/>
  <c r="E2569" i="170" s="1"/>
  <c r="I2554" i="170"/>
  <c r="K2554" i="170" s="1"/>
  <c r="I2522" i="170"/>
  <c r="K2522" i="170" s="1"/>
  <c r="I2521" i="170"/>
  <c r="K2521" i="170" s="1"/>
  <c r="C2592" i="170"/>
  <c r="E2592" i="170" s="1"/>
  <c r="C2555" i="170"/>
  <c r="E2555" i="170" s="1"/>
  <c r="I2569" i="170"/>
  <c r="K2569" i="170" s="1"/>
  <c r="I2557" i="170"/>
  <c r="K2557" i="170" s="1"/>
  <c r="I2524" i="170"/>
  <c r="K2524" i="170" s="1"/>
  <c r="C2538" i="170"/>
  <c r="E2538" i="170" s="1"/>
  <c r="I2540" i="170"/>
  <c r="K2540" i="170" s="1"/>
  <c r="I2588" i="170"/>
  <c r="K2588" i="170" s="1"/>
  <c r="C2266" i="170"/>
  <c r="E2266" i="170" s="1"/>
  <c r="C2269" i="170"/>
  <c r="E2269" i="170" s="1"/>
  <c r="C2265" i="170"/>
  <c r="E2265" i="170" s="1"/>
  <c r="C2264" i="170"/>
  <c r="E2264" i="170" s="1"/>
  <c r="C2268" i="170"/>
  <c r="E2268" i="170" s="1"/>
  <c r="I2186" i="170"/>
  <c r="K2186" i="170" s="1"/>
  <c r="I2188" i="170"/>
  <c r="K2188" i="170" s="1"/>
  <c r="C2476" i="170"/>
  <c r="E2476" i="170" s="1"/>
  <c r="C2429" i="170"/>
  <c r="E2429" i="170" s="1"/>
  <c r="I2410" i="170"/>
  <c r="K2410" i="170" s="1"/>
  <c r="I2330" i="170"/>
  <c r="K2330" i="170" s="1"/>
  <c r="C2250" i="170"/>
  <c r="E2250" i="170" s="1"/>
  <c r="C2252" i="170"/>
  <c r="E2252" i="170" s="1"/>
  <c r="I2250" i="170"/>
  <c r="K2250" i="170" s="1"/>
  <c r="C2205" i="170"/>
  <c r="E2205" i="170" s="1"/>
  <c r="I2312" i="170"/>
  <c r="K2312" i="170" s="1"/>
  <c r="C2093" i="170"/>
  <c r="E2093" i="170" s="1"/>
  <c r="C2218" i="170"/>
  <c r="E2218" i="170" s="1"/>
  <c r="C2140" i="170"/>
  <c r="E2140" i="170" s="1"/>
  <c r="C2136" i="170"/>
  <c r="E2136" i="170" s="1"/>
  <c r="I2121" i="170"/>
  <c r="K2121" i="170" s="1"/>
  <c r="I2120" i="170"/>
  <c r="K2120" i="170" s="1"/>
  <c r="C2412" i="170"/>
  <c r="E2412" i="170" s="1"/>
  <c r="C2408" i="170"/>
  <c r="E2408" i="170" s="1"/>
  <c r="I2184" i="170"/>
  <c r="K2184" i="170" s="1"/>
  <c r="C2477" i="170"/>
  <c r="E2477" i="170" s="1"/>
  <c r="I2093" i="170"/>
  <c r="K2093" i="170" s="1"/>
  <c r="I2092" i="170"/>
  <c r="K2092" i="170" s="1"/>
  <c r="C2426" i="170"/>
  <c r="E2426" i="170" s="1"/>
  <c r="C2425" i="170"/>
  <c r="E2425" i="170" s="1"/>
  <c r="I2408" i="170"/>
  <c r="K2408" i="170" s="1"/>
  <c r="I2412" i="170"/>
  <c r="K2412" i="170" s="1"/>
  <c r="I2329" i="170"/>
  <c r="K2329" i="170" s="1"/>
  <c r="I2333" i="170"/>
  <c r="K2333" i="170" s="1"/>
  <c r="I2077" i="170"/>
  <c r="K2077" i="170" s="1"/>
  <c r="I2076" i="170"/>
  <c r="K2076" i="170" s="1"/>
  <c r="C2248" i="170"/>
  <c r="E2248" i="170" s="1"/>
  <c r="I2249" i="170"/>
  <c r="K2249" i="170" s="1"/>
  <c r="I2253" i="170"/>
  <c r="K2253" i="170" s="1"/>
  <c r="C2201" i="170"/>
  <c r="E2201" i="170" s="1"/>
  <c r="C2202" i="170"/>
  <c r="E2202" i="170" s="1"/>
  <c r="I2314" i="170"/>
  <c r="K2314" i="170" s="1"/>
  <c r="C2090" i="170"/>
  <c r="E2090" i="170" s="1"/>
  <c r="C2217" i="170"/>
  <c r="E2217" i="170" s="1"/>
  <c r="C2141" i="170"/>
  <c r="E2141" i="170" s="1"/>
  <c r="C2413" i="170"/>
  <c r="E2413" i="170" s="1"/>
  <c r="C2428" i="170"/>
  <c r="E2428" i="170" s="1"/>
  <c r="I2252" i="170"/>
  <c r="K2252" i="170" s="1"/>
  <c r="I2317" i="170"/>
  <c r="K2317" i="170" s="1"/>
  <c r="C2089" i="170"/>
  <c r="E2089" i="170" s="1"/>
  <c r="C2137" i="170"/>
  <c r="E2137" i="170" s="1"/>
  <c r="I2124" i="170"/>
  <c r="K2124" i="170" s="1"/>
  <c r="C2409" i="170"/>
  <c r="E2409" i="170" s="1"/>
  <c r="I2381" i="170"/>
  <c r="K2381" i="170" s="1"/>
  <c r="C2344" i="170"/>
  <c r="E2344" i="170" s="1"/>
  <c r="C2232" i="170"/>
  <c r="E2232" i="170" s="1"/>
  <c r="I2136" i="170"/>
  <c r="K2136" i="170" s="1"/>
  <c r="I2140" i="170"/>
  <c r="K2140" i="170" s="1"/>
  <c r="C2122" i="170"/>
  <c r="E2122" i="170" s="1"/>
  <c r="C2121" i="170"/>
  <c r="E2121" i="170" s="1"/>
  <c r="I2506" i="170"/>
  <c r="K2506" i="170" s="1"/>
  <c r="I2505" i="170"/>
  <c r="K2505" i="170" s="1"/>
  <c r="C2301" i="170"/>
  <c r="E2301" i="170" s="1"/>
  <c r="I2221" i="170"/>
  <c r="K2221" i="170" s="1"/>
  <c r="I2220" i="170"/>
  <c r="K2220" i="170" s="1"/>
  <c r="I2461" i="170"/>
  <c r="K2461" i="170" s="1"/>
  <c r="I2457" i="170"/>
  <c r="K2457" i="170" s="1"/>
  <c r="C2473" i="170"/>
  <c r="E2473" i="170" s="1"/>
  <c r="I2089" i="170"/>
  <c r="K2089" i="170" s="1"/>
  <c r="I2413" i="170"/>
  <c r="K2413" i="170" s="1"/>
  <c r="I2332" i="170"/>
  <c r="K2332" i="170" s="1"/>
  <c r="C2253" i="170"/>
  <c r="E2253" i="170" s="1"/>
  <c r="I2316" i="170"/>
  <c r="K2316" i="170" s="1"/>
  <c r="C2092" i="170"/>
  <c r="E2092" i="170" s="1"/>
  <c r="C2220" i="170"/>
  <c r="E2220" i="170" s="1"/>
  <c r="I2380" i="170"/>
  <c r="K2380" i="170" s="1"/>
  <c r="C2237" i="170"/>
  <c r="E2237" i="170" s="1"/>
  <c r="C2124" i="170"/>
  <c r="E2124" i="170" s="1"/>
  <c r="I2508" i="170"/>
  <c r="K2508" i="170" s="1"/>
  <c r="C2298" i="170"/>
  <c r="E2298" i="170" s="1"/>
  <c r="I2189" i="170"/>
  <c r="K2189" i="170" s="1"/>
  <c r="C2474" i="170"/>
  <c r="E2474" i="170" s="1"/>
  <c r="I2090" i="170"/>
  <c r="K2090" i="170" s="1"/>
  <c r="I2074" i="170"/>
  <c r="K2074" i="170" s="1"/>
  <c r="C2204" i="170"/>
  <c r="E2204" i="170" s="1"/>
  <c r="I2313" i="170"/>
  <c r="K2313" i="170" s="1"/>
  <c r="C2216" i="170"/>
  <c r="E2216" i="170" s="1"/>
  <c r="C2138" i="170"/>
  <c r="E2138" i="170" s="1"/>
  <c r="I2125" i="170"/>
  <c r="K2125" i="170" s="1"/>
  <c r="C2410" i="170"/>
  <c r="E2410" i="170" s="1"/>
  <c r="C2424" i="170"/>
  <c r="E2424" i="170" s="1"/>
  <c r="C2249" i="170"/>
  <c r="E2249" i="170" s="1"/>
  <c r="I2378" i="170"/>
  <c r="K2378" i="170" s="1"/>
  <c r="C2348" i="170"/>
  <c r="E2348" i="170" s="1"/>
  <c r="C2233" i="170"/>
  <c r="E2233" i="170" s="1"/>
  <c r="C2300" i="170"/>
  <c r="E2300" i="170" s="1"/>
  <c r="I2218" i="170"/>
  <c r="K2218" i="170" s="1"/>
  <c r="I2460" i="170"/>
  <c r="K2460" i="170" s="1"/>
  <c r="I2458" i="170"/>
  <c r="K2458" i="170" s="1"/>
  <c r="I2200" i="170"/>
  <c r="K2200" i="170" s="1"/>
  <c r="I2204" i="170"/>
  <c r="K2204" i="170" s="1"/>
  <c r="I2345" i="170"/>
  <c r="K2345" i="170" s="1"/>
  <c r="C2333" i="170"/>
  <c r="E2333" i="170" s="1"/>
  <c r="I2360" i="170"/>
  <c r="K2360" i="170" s="1"/>
  <c r="C2488" i="170"/>
  <c r="E2488" i="170" s="1"/>
  <c r="C2458" i="170"/>
  <c r="E2458" i="170" s="1"/>
  <c r="C2457" i="170"/>
  <c r="E2457" i="170" s="1"/>
  <c r="C2188" i="170"/>
  <c r="E2188" i="170" s="1"/>
  <c r="C2189" i="170"/>
  <c r="E2189" i="170" s="1"/>
  <c r="I2104" i="170"/>
  <c r="K2104" i="170" s="1"/>
  <c r="I2108" i="170"/>
  <c r="K2108" i="170" s="1"/>
  <c r="C2154" i="170"/>
  <c r="E2154" i="170" s="1"/>
  <c r="C2153" i="170"/>
  <c r="E2153" i="170" s="1"/>
  <c r="I2300" i="170"/>
  <c r="K2300" i="170" s="1"/>
  <c r="I2296" i="170"/>
  <c r="K2296" i="170" s="1"/>
  <c r="I2393" i="170"/>
  <c r="K2393" i="170" s="1"/>
  <c r="I2392" i="170"/>
  <c r="K2392" i="170" s="1"/>
  <c r="C2072" i="170"/>
  <c r="E2072" i="170" s="1"/>
  <c r="I2185" i="170"/>
  <c r="K2185" i="170" s="1"/>
  <c r="I2409" i="170"/>
  <c r="K2409" i="170" s="1"/>
  <c r="I2248" i="170"/>
  <c r="K2248" i="170" s="1"/>
  <c r="I2122" i="170"/>
  <c r="K2122" i="170" s="1"/>
  <c r="C2349" i="170"/>
  <c r="E2349" i="170" s="1"/>
  <c r="C2236" i="170"/>
  <c r="E2236" i="170" s="1"/>
  <c r="I2141" i="170"/>
  <c r="K2141" i="170" s="1"/>
  <c r="C2297" i="170"/>
  <c r="E2297" i="170" s="1"/>
  <c r="I2216" i="170"/>
  <c r="K2216" i="170" s="1"/>
  <c r="I2348" i="170"/>
  <c r="K2348" i="170" s="1"/>
  <c r="C2380" i="170"/>
  <c r="E2380" i="170" s="1"/>
  <c r="C2330" i="170"/>
  <c r="E2330" i="170" s="1"/>
  <c r="I2477" i="170"/>
  <c r="K2477" i="170" s="1"/>
  <c r="I2364" i="170"/>
  <c r="K2364" i="170" s="1"/>
  <c r="I2365" i="170"/>
  <c r="K2365" i="170" s="1"/>
  <c r="C2460" i="170"/>
  <c r="E2460" i="170" s="1"/>
  <c r="C2184" i="170"/>
  <c r="E2184" i="170" s="1"/>
  <c r="C2156" i="170"/>
  <c r="E2156" i="170" s="1"/>
  <c r="I2298" i="170"/>
  <c r="K2298" i="170" s="1"/>
  <c r="I2493" i="170"/>
  <c r="K2493" i="170" s="1"/>
  <c r="I2490" i="170"/>
  <c r="K2490" i="170" s="1"/>
  <c r="I2445" i="170"/>
  <c r="K2445" i="170" s="1"/>
  <c r="C2472" i="170"/>
  <c r="E2472" i="170" s="1"/>
  <c r="I2328" i="170"/>
  <c r="K2328" i="170" s="1"/>
  <c r="C2200" i="170"/>
  <c r="E2200" i="170" s="1"/>
  <c r="C2088" i="170"/>
  <c r="E2088" i="170" s="1"/>
  <c r="I2377" i="170"/>
  <c r="K2377" i="170" s="1"/>
  <c r="C2346" i="170"/>
  <c r="E2346" i="170" s="1"/>
  <c r="I2138" i="170"/>
  <c r="K2138" i="170" s="1"/>
  <c r="C2125" i="170"/>
  <c r="E2125" i="170" s="1"/>
  <c r="I2509" i="170"/>
  <c r="K2509" i="170" s="1"/>
  <c r="I2217" i="170"/>
  <c r="K2217" i="170" s="1"/>
  <c r="I2456" i="170"/>
  <c r="K2456" i="170" s="1"/>
  <c r="I2205" i="170"/>
  <c r="K2205" i="170" s="1"/>
  <c r="I2201" i="170"/>
  <c r="K2201" i="170" s="1"/>
  <c r="I2344" i="170"/>
  <c r="K2344" i="170" s="1"/>
  <c r="C2381" i="170"/>
  <c r="E2381" i="170" s="1"/>
  <c r="C2378" i="170"/>
  <c r="E2378" i="170" s="1"/>
  <c r="C2329" i="170"/>
  <c r="E2329" i="170" s="1"/>
  <c r="C2328" i="170"/>
  <c r="E2328" i="170" s="1"/>
  <c r="I2476" i="170"/>
  <c r="K2476" i="170" s="1"/>
  <c r="I2474" i="170"/>
  <c r="K2474" i="170" s="1"/>
  <c r="I2362" i="170"/>
  <c r="K2362" i="170" s="1"/>
  <c r="C2493" i="170"/>
  <c r="E2493" i="170" s="1"/>
  <c r="C2489" i="170"/>
  <c r="E2489" i="170" s="1"/>
  <c r="C2456" i="170"/>
  <c r="E2456" i="170" s="1"/>
  <c r="I2109" i="170"/>
  <c r="K2109" i="170" s="1"/>
  <c r="C2152" i="170"/>
  <c r="E2152" i="170" s="1"/>
  <c r="I2297" i="170"/>
  <c r="K2297" i="170" s="1"/>
  <c r="I2301" i="170"/>
  <c r="K2301" i="170" s="1"/>
  <c r="I2397" i="170"/>
  <c r="K2397" i="170" s="1"/>
  <c r="I2396" i="170"/>
  <c r="K2396" i="170" s="1"/>
  <c r="I2489" i="170"/>
  <c r="K2489" i="170" s="1"/>
  <c r="I2488" i="170"/>
  <c r="K2488" i="170" s="1"/>
  <c r="I2442" i="170"/>
  <c r="K2442" i="170" s="1"/>
  <c r="C2506" i="170"/>
  <c r="E2506" i="170" s="1"/>
  <c r="C2234" i="170"/>
  <c r="E2234" i="170" s="1"/>
  <c r="C2296" i="170"/>
  <c r="E2296" i="170" s="1"/>
  <c r="I2202" i="170"/>
  <c r="K2202" i="170" s="1"/>
  <c r="I2473" i="170"/>
  <c r="K2473" i="170" s="1"/>
  <c r="C2490" i="170"/>
  <c r="E2490" i="170" s="1"/>
  <c r="C2186" i="170"/>
  <c r="E2186" i="170" s="1"/>
  <c r="C2157" i="170"/>
  <c r="E2157" i="170" s="1"/>
  <c r="I2441" i="170"/>
  <c r="K2441" i="170" s="1"/>
  <c r="C2505" i="170"/>
  <c r="E2505" i="170" s="1"/>
  <c r="I2157" i="170"/>
  <c r="K2157" i="170" s="1"/>
  <c r="I2156" i="170"/>
  <c r="K2156" i="170" s="1"/>
  <c r="I2281" i="170"/>
  <c r="K2281" i="170" s="1"/>
  <c r="I2285" i="170"/>
  <c r="K2285" i="170" s="1"/>
  <c r="C2170" i="170"/>
  <c r="E2170" i="170" s="1"/>
  <c r="C2169" i="170"/>
  <c r="E2169" i="170" s="1"/>
  <c r="C2280" i="170"/>
  <c r="E2280" i="170" s="1"/>
  <c r="I2425" i="170"/>
  <c r="K2425" i="170" s="1"/>
  <c r="I2424" i="170"/>
  <c r="K2424" i="170" s="1"/>
  <c r="C2108" i="170"/>
  <c r="E2108" i="170" s="1"/>
  <c r="C2104" i="170"/>
  <c r="E2104" i="170" s="1"/>
  <c r="I2170" i="170"/>
  <c r="K2170" i="170" s="1"/>
  <c r="C2445" i="170"/>
  <c r="E2445" i="170" s="1"/>
  <c r="C2314" i="170"/>
  <c r="E2314" i="170" s="1"/>
  <c r="C2316" i="170"/>
  <c r="E2316" i="170" s="1"/>
  <c r="C2362" i="170"/>
  <c r="E2362" i="170" s="1"/>
  <c r="I2266" i="170"/>
  <c r="K2266" i="170" s="1"/>
  <c r="C2396" i="170"/>
  <c r="E2396" i="170" s="1"/>
  <c r="I2232" i="170"/>
  <c r="K2232" i="170" s="1"/>
  <c r="I2088" i="170"/>
  <c r="K2088" i="170" s="1"/>
  <c r="I2137" i="170"/>
  <c r="K2137" i="170" s="1"/>
  <c r="C2376" i="170"/>
  <c r="E2376" i="170" s="1"/>
  <c r="I2472" i="170"/>
  <c r="K2472" i="170" s="1"/>
  <c r="C2492" i="170"/>
  <c r="E2492" i="170" s="1"/>
  <c r="C2185" i="170"/>
  <c r="E2185" i="170" s="1"/>
  <c r="I2394" i="170"/>
  <c r="K2394" i="170" s="1"/>
  <c r="I2444" i="170"/>
  <c r="K2444" i="170" s="1"/>
  <c r="C2508" i="170"/>
  <c r="E2508" i="170" s="1"/>
  <c r="C2074" i="170"/>
  <c r="E2074" i="170" s="1"/>
  <c r="I2154" i="170"/>
  <c r="K2154" i="170" s="1"/>
  <c r="I2284" i="170"/>
  <c r="K2284" i="170" s="1"/>
  <c r="C2109" i="170"/>
  <c r="E2109" i="170" s="1"/>
  <c r="I2168" i="170"/>
  <c r="K2168" i="170" s="1"/>
  <c r="I2172" i="170"/>
  <c r="K2172" i="170" s="1"/>
  <c r="C2442" i="170"/>
  <c r="E2442" i="170" s="1"/>
  <c r="C2441" i="170"/>
  <c r="E2441" i="170" s="1"/>
  <c r="C2312" i="170"/>
  <c r="E2312" i="170" s="1"/>
  <c r="C2360" i="170"/>
  <c r="E2360" i="170" s="1"/>
  <c r="C2364" i="170"/>
  <c r="E2364" i="170" s="1"/>
  <c r="I2265" i="170"/>
  <c r="K2265" i="170" s="1"/>
  <c r="I2269" i="170"/>
  <c r="K2269" i="170" s="1"/>
  <c r="C2525" i="170"/>
  <c r="E2525" i="170" s="1"/>
  <c r="C2524" i="170"/>
  <c r="E2524" i="170" s="1"/>
  <c r="C2397" i="170"/>
  <c r="E2397" i="170" s="1"/>
  <c r="I2233" i="170"/>
  <c r="K2233" i="170" s="1"/>
  <c r="I2504" i="170"/>
  <c r="K2504" i="170" s="1"/>
  <c r="I2346" i="170"/>
  <c r="K2346" i="170" s="1"/>
  <c r="C2332" i="170"/>
  <c r="E2332" i="170" s="1"/>
  <c r="I2440" i="170"/>
  <c r="K2440" i="170" s="1"/>
  <c r="C2504" i="170"/>
  <c r="E2504" i="170" s="1"/>
  <c r="C2077" i="170"/>
  <c r="E2077" i="170" s="1"/>
  <c r="I2282" i="170"/>
  <c r="K2282" i="170" s="1"/>
  <c r="C2173" i="170"/>
  <c r="E2173" i="170" s="1"/>
  <c r="C2282" i="170"/>
  <c r="E2282" i="170" s="1"/>
  <c r="C2284" i="170"/>
  <c r="E2284" i="170" s="1"/>
  <c r="I2072" i="170"/>
  <c r="K2072" i="170" s="1"/>
  <c r="C2221" i="170"/>
  <c r="E2221" i="170" s="1"/>
  <c r="I2376" i="170"/>
  <c r="K2376" i="170" s="1"/>
  <c r="C2120" i="170"/>
  <c r="E2120" i="170" s="1"/>
  <c r="I2349" i="170"/>
  <c r="K2349" i="170" s="1"/>
  <c r="C2461" i="170"/>
  <c r="E2461" i="170" s="1"/>
  <c r="I2106" i="170"/>
  <c r="K2106" i="170" s="1"/>
  <c r="I2492" i="170"/>
  <c r="K2492" i="170" s="1"/>
  <c r="C2509" i="170"/>
  <c r="E2509" i="170" s="1"/>
  <c r="C2076" i="170"/>
  <c r="E2076" i="170" s="1"/>
  <c r="I2152" i="170"/>
  <c r="K2152" i="170" s="1"/>
  <c r="I2280" i="170"/>
  <c r="K2280" i="170" s="1"/>
  <c r="C2172" i="170"/>
  <c r="E2172" i="170" s="1"/>
  <c r="C2168" i="170"/>
  <c r="E2168" i="170" s="1"/>
  <c r="C2285" i="170"/>
  <c r="E2285" i="170" s="1"/>
  <c r="C2281" i="170"/>
  <c r="E2281" i="170" s="1"/>
  <c r="I2429" i="170"/>
  <c r="K2429" i="170" s="1"/>
  <c r="I2428" i="170"/>
  <c r="K2428" i="170" s="1"/>
  <c r="C2106" i="170"/>
  <c r="E2106" i="170" s="1"/>
  <c r="C2105" i="170"/>
  <c r="E2105" i="170" s="1"/>
  <c r="C2522" i="170"/>
  <c r="E2522" i="170" s="1"/>
  <c r="C2394" i="170"/>
  <c r="E2394" i="170" s="1"/>
  <c r="I2236" i="170"/>
  <c r="K2236" i="170" s="1"/>
  <c r="C2440" i="170"/>
  <c r="E2440" i="170" s="1"/>
  <c r="C2361" i="170"/>
  <c r="E2361" i="170" s="1"/>
  <c r="C2520" i="170"/>
  <c r="E2520" i="170" s="1"/>
  <c r="I2234" i="170"/>
  <c r="K2234" i="170" s="1"/>
  <c r="I2173" i="170"/>
  <c r="K2173" i="170" s="1"/>
  <c r="C2317" i="170"/>
  <c r="E2317" i="170" s="1"/>
  <c r="I2268" i="170"/>
  <c r="K2268" i="170" s="1"/>
  <c r="C2393" i="170"/>
  <c r="E2393" i="170" s="1"/>
  <c r="I2169" i="170"/>
  <c r="K2169" i="170" s="1"/>
  <c r="C2313" i="170"/>
  <c r="E2313" i="170" s="1"/>
  <c r="I2264" i="170"/>
  <c r="K2264" i="170" s="1"/>
  <c r="C2392" i="170"/>
  <c r="E2392" i="170" s="1"/>
  <c r="I2426" i="170"/>
  <c r="K2426" i="170" s="1"/>
  <c r="C2444" i="170"/>
  <c r="E2444" i="170" s="1"/>
  <c r="C2365" i="170"/>
  <c r="E2365" i="170" s="1"/>
  <c r="C2521" i="170"/>
  <c r="E2521" i="170" s="1"/>
  <c r="I2237" i="170"/>
  <c r="K2237" i="170" s="1"/>
  <c r="I2058" i="170"/>
  <c r="K2058" i="170" s="1"/>
  <c r="I2057" i="170"/>
  <c r="K2057" i="170" s="1"/>
  <c r="I2060" i="170"/>
  <c r="K2060" i="170" s="1"/>
  <c r="I2061" i="170"/>
  <c r="K2061" i="170" s="1"/>
  <c r="I2056" i="170"/>
  <c r="K2056" i="170" s="1"/>
  <c r="I1424" i="170"/>
  <c r="K1424" i="170" s="1"/>
  <c r="I1423" i="170"/>
  <c r="K1423" i="170" s="1"/>
  <c r="I1422" i="170"/>
  <c r="K1422" i="170" s="1"/>
  <c r="I1426" i="170"/>
  <c r="K1426" i="170" s="1"/>
  <c r="I1427" i="170"/>
  <c r="K1427" i="170" s="1"/>
  <c r="I1425" i="170"/>
  <c r="K1425" i="170" s="1"/>
  <c r="C1426" i="170"/>
  <c r="E1426" i="170" s="1"/>
  <c r="C1424" i="170"/>
  <c r="E1424" i="170" s="1"/>
  <c r="I1409" i="170"/>
  <c r="K1409" i="170" s="1"/>
  <c r="I1407" i="170"/>
  <c r="K1407" i="170" s="1"/>
  <c r="C1440" i="170"/>
  <c r="E1440" i="170" s="1"/>
  <c r="I1446" i="170"/>
  <c r="K1446" i="170" s="1"/>
  <c r="C1423" i="170"/>
  <c r="E1423" i="170" s="1"/>
  <c r="C1427" i="170"/>
  <c r="E1427" i="170" s="1"/>
  <c r="I1410" i="170"/>
  <c r="K1410" i="170" s="1"/>
  <c r="C1439" i="170"/>
  <c r="E1439" i="170" s="1"/>
  <c r="I1444" i="170"/>
  <c r="K1444" i="170" s="1"/>
  <c r="I1405" i="170"/>
  <c r="K1405" i="170" s="1"/>
  <c r="C1441" i="170"/>
  <c r="E1441" i="170" s="1"/>
  <c r="C1444" i="170"/>
  <c r="E1444" i="170" s="1"/>
  <c r="I1442" i="170"/>
  <c r="K1442" i="170" s="1"/>
  <c r="I1439" i="170"/>
  <c r="K1439" i="170" s="1"/>
  <c r="C1425" i="170"/>
  <c r="E1425" i="170" s="1"/>
  <c r="C1422" i="170"/>
  <c r="E1422" i="170" s="1"/>
  <c r="I1406" i="170"/>
  <c r="K1406" i="170" s="1"/>
  <c r="C1443" i="170"/>
  <c r="E1443" i="170" s="1"/>
  <c r="C1442" i="170"/>
  <c r="E1442" i="170" s="1"/>
  <c r="I1440" i="170"/>
  <c r="K1440" i="170" s="1"/>
  <c r="I1443" i="170"/>
  <c r="K1443" i="170" s="1"/>
  <c r="I1408" i="170"/>
  <c r="K1408" i="170" s="1"/>
  <c r="I1441" i="170"/>
  <c r="K1441" i="170" s="1"/>
  <c r="C1136" i="170"/>
  <c r="E1136" i="170" s="1"/>
  <c r="C1135" i="170"/>
  <c r="E1135" i="170" s="1"/>
  <c r="I1099" i="170"/>
  <c r="K1099" i="170" s="1"/>
  <c r="I1103" i="170"/>
  <c r="K1103" i="170" s="1"/>
  <c r="I829" i="170"/>
  <c r="K829" i="170" s="1"/>
  <c r="I828" i="170"/>
  <c r="K828" i="170" s="1"/>
  <c r="C985" i="170"/>
  <c r="E985" i="170" s="1"/>
  <c r="I778" i="170"/>
  <c r="K778" i="170" s="1"/>
  <c r="I780" i="170"/>
  <c r="K780" i="170" s="1"/>
  <c r="I1018" i="170"/>
  <c r="K1018" i="170" s="1"/>
  <c r="I1270" i="170"/>
  <c r="K1270" i="170" s="1"/>
  <c r="C1359" i="170"/>
  <c r="E1359" i="170" s="1"/>
  <c r="C1357" i="170"/>
  <c r="E1357" i="170" s="1"/>
  <c r="C815" i="170"/>
  <c r="E815" i="170" s="1"/>
  <c r="C814" i="170"/>
  <c r="E814" i="170" s="1"/>
  <c r="C1167" i="170"/>
  <c r="E1167" i="170" s="1"/>
  <c r="I1083" i="170"/>
  <c r="K1083" i="170" s="1"/>
  <c r="I1082" i="170"/>
  <c r="K1082" i="170" s="1"/>
  <c r="C765" i="170"/>
  <c r="E765" i="170" s="1"/>
  <c r="C778" i="170"/>
  <c r="E778" i="170" s="1"/>
  <c r="I1151" i="170"/>
  <c r="K1151" i="170" s="1"/>
  <c r="I1150" i="170"/>
  <c r="K1150" i="170" s="1"/>
  <c r="I1341" i="170"/>
  <c r="K1341" i="170" s="1"/>
  <c r="I1339" i="170"/>
  <c r="K1339" i="170" s="1"/>
  <c r="I797" i="170"/>
  <c r="K797" i="170" s="1"/>
  <c r="I798" i="170"/>
  <c r="K798" i="170" s="1"/>
  <c r="C1304" i="170"/>
  <c r="E1304" i="170" s="1"/>
  <c r="C1303" i="170"/>
  <c r="E1303" i="170" s="1"/>
  <c r="I1220" i="170"/>
  <c r="K1220" i="170" s="1"/>
  <c r="C1405" i="170"/>
  <c r="E1405" i="170" s="1"/>
  <c r="C1406" i="170"/>
  <c r="E1406" i="170" s="1"/>
  <c r="C865" i="170"/>
  <c r="E865" i="170" s="1"/>
  <c r="I1236" i="170"/>
  <c r="K1236" i="170" s="1"/>
  <c r="I968" i="170"/>
  <c r="K968" i="170" s="1"/>
  <c r="C1137" i="170"/>
  <c r="E1137" i="170" s="1"/>
  <c r="C1138" i="170"/>
  <c r="E1138" i="170" s="1"/>
  <c r="I827" i="170"/>
  <c r="K827" i="170" s="1"/>
  <c r="C981" i="170"/>
  <c r="E981" i="170" s="1"/>
  <c r="I782" i="170"/>
  <c r="K782" i="170" s="1"/>
  <c r="I1019" i="170"/>
  <c r="K1019" i="170" s="1"/>
  <c r="I1269" i="170"/>
  <c r="K1269" i="170" s="1"/>
  <c r="I1272" i="170"/>
  <c r="K1272" i="170" s="1"/>
  <c r="C1356" i="170"/>
  <c r="E1356" i="170" s="1"/>
  <c r="C1355" i="170"/>
  <c r="E1355" i="170" s="1"/>
  <c r="C811" i="170"/>
  <c r="E811" i="170" s="1"/>
  <c r="C1170" i="170"/>
  <c r="E1170" i="170" s="1"/>
  <c r="C1169" i="170"/>
  <c r="E1169" i="170" s="1"/>
  <c r="I1086" i="170"/>
  <c r="K1086" i="170" s="1"/>
  <c r="C761" i="170"/>
  <c r="E761" i="170" s="1"/>
  <c r="C763" i="170"/>
  <c r="E763" i="170" s="1"/>
  <c r="I900" i="170"/>
  <c r="K900" i="170" s="1"/>
  <c r="I898" i="170"/>
  <c r="K898" i="170" s="1"/>
  <c r="C780" i="170"/>
  <c r="E780" i="170" s="1"/>
  <c r="C779" i="170"/>
  <c r="E779" i="170" s="1"/>
  <c r="I1154" i="170"/>
  <c r="K1154" i="170" s="1"/>
  <c r="I1338" i="170"/>
  <c r="K1338" i="170" s="1"/>
  <c r="I799" i="170"/>
  <c r="K799" i="170" s="1"/>
  <c r="I795" i="170"/>
  <c r="K795" i="170" s="1"/>
  <c r="C882" i="170"/>
  <c r="E882" i="170" s="1"/>
  <c r="C880" i="170"/>
  <c r="E880" i="170" s="1"/>
  <c r="C1409" i="170"/>
  <c r="E1409" i="170" s="1"/>
  <c r="C1407" i="170"/>
  <c r="E1407" i="170" s="1"/>
  <c r="C866" i="170"/>
  <c r="E866" i="170" s="1"/>
  <c r="I1235" i="170"/>
  <c r="K1235" i="170" s="1"/>
  <c r="I1238" i="170"/>
  <c r="K1238" i="170" s="1"/>
  <c r="I965" i="170"/>
  <c r="K965" i="170" s="1"/>
  <c r="C1134" i="170"/>
  <c r="E1134" i="170" s="1"/>
  <c r="I1104" i="170"/>
  <c r="K1104" i="170" s="1"/>
  <c r="I1102" i="170"/>
  <c r="K1102" i="170" s="1"/>
  <c r="I831" i="170"/>
  <c r="K831" i="170" s="1"/>
  <c r="C980" i="170"/>
  <c r="E980" i="170" s="1"/>
  <c r="I779" i="170"/>
  <c r="K779" i="170" s="1"/>
  <c r="I781" i="170"/>
  <c r="K781" i="170" s="1"/>
  <c r="I1017" i="170"/>
  <c r="K1017" i="170" s="1"/>
  <c r="I1016" i="170"/>
  <c r="K1016" i="170" s="1"/>
  <c r="I1274" i="170"/>
  <c r="K1274" i="170" s="1"/>
  <c r="C1354" i="170"/>
  <c r="E1354" i="170" s="1"/>
  <c r="C816" i="170"/>
  <c r="E816" i="170" s="1"/>
  <c r="C1171" i="170"/>
  <c r="E1171" i="170" s="1"/>
  <c r="C1172" i="170"/>
  <c r="E1172" i="170" s="1"/>
  <c r="I832" i="170"/>
  <c r="K832" i="170" s="1"/>
  <c r="C982" i="170"/>
  <c r="E982" i="170" s="1"/>
  <c r="I1014" i="170"/>
  <c r="K1014" i="170" s="1"/>
  <c r="C1168" i="170"/>
  <c r="E1168" i="170" s="1"/>
  <c r="C760" i="170"/>
  <c r="E760" i="170" s="1"/>
  <c r="I896" i="170"/>
  <c r="K896" i="170" s="1"/>
  <c r="C781" i="170"/>
  <c r="E781" i="170" s="1"/>
  <c r="I1155" i="170"/>
  <c r="K1155" i="170" s="1"/>
  <c r="I1337" i="170"/>
  <c r="K1337" i="170" s="1"/>
  <c r="I796" i="170"/>
  <c r="K796" i="170" s="1"/>
  <c r="C883" i="170"/>
  <c r="E883" i="170" s="1"/>
  <c r="C1307" i="170"/>
  <c r="E1307" i="170" s="1"/>
  <c r="I1219" i="170"/>
  <c r="K1219" i="170" s="1"/>
  <c r="C863" i="170"/>
  <c r="E863" i="170" s="1"/>
  <c r="I1240" i="170"/>
  <c r="K1240" i="170" s="1"/>
  <c r="I963" i="170"/>
  <c r="K963" i="170" s="1"/>
  <c r="I967" i="170"/>
  <c r="K967" i="170" s="1"/>
  <c r="C1390" i="170"/>
  <c r="E1390" i="170" s="1"/>
  <c r="C1389" i="170"/>
  <c r="E1389" i="170" s="1"/>
  <c r="C1121" i="170"/>
  <c r="E1121" i="170" s="1"/>
  <c r="C848" i="170"/>
  <c r="E848" i="170" s="1"/>
  <c r="C847" i="170"/>
  <c r="E847" i="170" s="1"/>
  <c r="I1052" i="170"/>
  <c r="K1052" i="170" s="1"/>
  <c r="C1236" i="170"/>
  <c r="E1236" i="170" s="1"/>
  <c r="C1235" i="170"/>
  <c r="E1235" i="170" s="1"/>
  <c r="I1288" i="170"/>
  <c r="K1288" i="170" s="1"/>
  <c r="C1342" i="170"/>
  <c r="E1342" i="170" s="1"/>
  <c r="C1341" i="170"/>
  <c r="E1341" i="170" s="1"/>
  <c r="C829" i="170"/>
  <c r="E829" i="170" s="1"/>
  <c r="C830" i="170"/>
  <c r="E830" i="170" s="1"/>
  <c r="I1135" i="170"/>
  <c r="K1135" i="170" s="1"/>
  <c r="I1134" i="170"/>
  <c r="K1134" i="170" s="1"/>
  <c r="I865" i="170"/>
  <c r="K865" i="170" s="1"/>
  <c r="I866" i="170"/>
  <c r="K866" i="170" s="1"/>
  <c r="C1222" i="170"/>
  <c r="E1222" i="170" s="1"/>
  <c r="C946" i="170"/>
  <c r="E946" i="170" s="1"/>
  <c r="I848" i="170"/>
  <c r="K848" i="170" s="1"/>
  <c r="C898" i="170"/>
  <c r="E898" i="170" s="1"/>
  <c r="C897" i="170"/>
  <c r="E897" i="170" s="1"/>
  <c r="C1133" i="170"/>
  <c r="E1133" i="170" s="1"/>
  <c r="I830" i="170"/>
  <c r="K830" i="170" s="1"/>
  <c r="I777" i="170"/>
  <c r="K777" i="170" s="1"/>
  <c r="I1273" i="170"/>
  <c r="K1273" i="170" s="1"/>
  <c r="C1358" i="170"/>
  <c r="E1358" i="170" s="1"/>
  <c r="I1085" i="170"/>
  <c r="K1085" i="170" s="1"/>
  <c r="C764" i="170"/>
  <c r="E764" i="170" s="1"/>
  <c r="I899" i="170"/>
  <c r="K899" i="170" s="1"/>
  <c r="C782" i="170"/>
  <c r="E782" i="170" s="1"/>
  <c r="I1152" i="170"/>
  <c r="K1152" i="170" s="1"/>
  <c r="I1342" i="170"/>
  <c r="K1342" i="170" s="1"/>
  <c r="C878" i="170"/>
  <c r="E878" i="170" s="1"/>
  <c r="C1306" i="170"/>
  <c r="E1306" i="170" s="1"/>
  <c r="I1222" i="170"/>
  <c r="K1222" i="170" s="1"/>
  <c r="I1221" i="170"/>
  <c r="K1221" i="170" s="1"/>
  <c r="C1408" i="170"/>
  <c r="E1408" i="170" s="1"/>
  <c r="C861" i="170"/>
  <c r="E861" i="170" s="1"/>
  <c r="I1237" i="170"/>
  <c r="K1237" i="170" s="1"/>
  <c r="C1388" i="170"/>
  <c r="E1388" i="170" s="1"/>
  <c r="C1117" i="170"/>
  <c r="E1117" i="170" s="1"/>
  <c r="C844" i="170"/>
  <c r="E844" i="170" s="1"/>
  <c r="I1053" i="170"/>
  <c r="K1053" i="170" s="1"/>
  <c r="C1340" i="170"/>
  <c r="E1340" i="170" s="1"/>
  <c r="C1339" i="170"/>
  <c r="E1339" i="170" s="1"/>
  <c r="I1133" i="170"/>
  <c r="K1133" i="170" s="1"/>
  <c r="I1137" i="170"/>
  <c r="K1137" i="170" s="1"/>
  <c r="I862" i="170"/>
  <c r="K862" i="170" s="1"/>
  <c r="C1223" i="170"/>
  <c r="E1223" i="170" s="1"/>
  <c r="C1221" i="170"/>
  <c r="E1221" i="170" s="1"/>
  <c r="C950" i="170"/>
  <c r="E950" i="170" s="1"/>
  <c r="C949" i="170"/>
  <c r="E949" i="170" s="1"/>
  <c r="C948" i="170"/>
  <c r="E948" i="170" s="1"/>
  <c r="I1388" i="170"/>
  <c r="K1388" i="170" s="1"/>
  <c r="I1389" i="170"/>
  <c r="K1389" i="170" s="1"/>
  <c r="I846" i="170"/>
  <c r="K846" i="170" s="1"/>
  <c r="C899" i="170"/>
  <c r="E899" i="170" s="1"/>
  <c r="C900" i="170"/>
  <c r="E900" i="170" s="1"/>
  <c r="I1101" i="170"/>
  <c r="K1101" i="170" s="1"/>
  <c r="C984" i="170"/>
  <c r="E984" i="170" s="1"/>
  <c r="I1271" i="170"/>
  <c r="K1271" i="170" s="1"/>
  <c r="C813" i="170"/>
  <c r="E813" i="170" s="1"/>
  <c r="I1087" i="170"/>
  <c r="K1087" i="170" s="1"/>
  <c r="C762" i="170"/>
  <c r="E762" i="170" s="1"/>
  <c r="I897" i="170"/>
  <c r="K897" i="170" s="1"/>
  <c r="I1340" i="170"/>
  <c r="K1340" i="170" s="1"/>
  <c r="I794" i="170"/>
  <c r="K794" i="170" s="1"/>
  <c r="C881" i="170"/>
  <c r="E881" i="170" s="1"/>
  <c r="C1308" i="170"/>
  <c r="E1308" i="170" s="1"/>
  <c r="I1218" i="170"/>
  <c r="K1218" i="170" s="1"/>
  <c r="C864" i="170"/>
  <c r="E864" i="170" s="1"/>
  <c r="I966" i="170"/>
  <c r="K966" i="170" s="1"/>
  <c r="C1392" i="170"/>
  <c r="E1392" i="170" s="1"/>
  <c r="C1116" i="170"/>
  <c r="E1116" i="170" s="1"/>
  <c r="C849" i="170"/>
  <c r="E849" i="170" s="1"/>
  <c r="I1051" i="170"/>
  <c r="K1051" i="170" s="1"/>
  <c r="I1050" i="170"/>
  <c r="K1050" i="170" s="1"/>
  <c r="C1240" i="170"/>
  <c r="E1240" i="170" s="1"/>
  <c r="C1239" i="170"/>
  <c r="E1239" i="170" s="1"/>
  <c r="I1286" i="170"/>
  <c r="K1286" i="170" s="1"/>
  <c r="I1287" i="170"/>
  <c r="K1287" i="170" s="1"/>
  <c r="C1338" i="170"/>
  <c r="E1338" i="170" s="1"/>
  <c r="C1337" i="170"/>
  <c r="E1337" i="170" s="1"/>
  <c r="C831" i="170"/>
  <c r="E831" i="170" s="1"/>
  <c r="C827" i="170"/>
  <c r="E827" i="170" s="1"/>
  <c r="I861" i="170"/>
  <c r="K861" i="170" s="1"/>
  <c r="C1220" i="170"/>
  <c r="E1220" i="170" s="1"/>
  <c r="C1219" i="170"/>
  <c r="E1219" i="170" s="1"/>
  <c r="C951" i="170"/>
  <c r="E951" i="170" s="1"/>
  <c r="I1392" i="170"/>
  <c r="K1392" i="170" s="1"/>
  <c r="I1393" i="170"/>
  <c r="K1393" i="170" s="1"/>
  <c r="I1391" i="170"/>
  <c r="K1391" i="170" s="1"/>
  <c r="I849" i="170"/>
  <c r="K849" i="170" s="1"/>
  <c r="I847" i="170"/>
  <c r="K847" i="170" s="1"/>
  <c r="I1100" i="170"/>
  <c r="K1100" i="170" s="1"/>
  <c r="C812" i="170"/>
  <c r="E812" i="170" s="1"/>
  <c r="C1305" i="170"/>
  <c r="E1305" i="170" s="1"/>
  <c r="C1410" i="170"/>
  <c r="E1410" i="170" s="1"/>
  <c r="I964" i="170"/>
  <c r="K964" i="170" s="1"/>
  <c r="C1119" i="170"/>
  <c r="E1119" i="170" s="1"/>
  <c r="I1049" i="170"/>
  <c r="K1049" i="170" s="1"/>
  <c r="I1290" i="170"/>
  <c r="K1290" i="170" s="1"/>
  <c r="I1136" i="170"/>
  <c r="K1136" i="170" s="1"/>
  <c r="C1218" i="170"/>
  <c r="E1218" i="170" s="1"/>
  <c r="I845" i="170"/>
  <c r="K845" i="170" s="1"/>
  <c r="C895" i="170"/>
  <c r="E895" i="170" s="1"/>
  <c r="I947" i="170"/>
  <c r="K947" i="170" s="1"/>
  <c r="I946" i="170"/>
  <c r="K946" i="170" s="1"/>
  <c r="I1375" i="170"/>
  <c r="K1375" i="170" s="1"/>
  <c r="I1373" i="170"/>
  <c r="K1373" i="170" s="1"/>
  <c r="C1256" i="170"/>
  <c r="E1256" i="170" s="1"/>
  <c r="I1320" i="170"/>
  <c r="K1320" i="170" s="1"/>
  <c r="I1321" i="170"/>
  <c r="K1321" i="170" s="1"/>
  <c r="C964" i="170"/>
  <c r="E964" i="170" s="1"/>
  <c r="C1069" i="170"/>
  <c r="E1069" i="170" s="1"/>
  <c r="C1070" i="170"/>
  <c r="E1070" i="170" s="1"/>
  <c r="C1082" i="170"/>
  <c r="E1082" i="170" s="1"/>
  <c r="I1117" i="170"/>
  <c r="K1117" i="170" s="1"/>
  <c r="I1116" i="170"/>
  <c r="K1116" i="170" s="1"/>
  <c r="C983" i="170"/>
  <c r="E983" i="170" s="1"/>
  <c r="I895" i="170"/>
  <c r="K895" i="170" s="1"/>
  <c r="C862" i="170"/>
  <c r="E862" i="170" s="1"/>
  <c r="C1393" i="170"/>
  <c r="E1393" i="170" s="1"/>
  <c r="C1118" i="170"/>
  <c r="E1118" i="170" s="1"/>
  <c r="I1048" i="170"/>
  <c r="K1048" i="170" s="1"/>
  <c r="I1291" i="170"/>
  <c r="K1291" i="170" s="1"/>
  <c r="C832" i="170"/>
  <c r="E832" i="170" s="1"/>
  <c r="I1390" i="170"/>
  <c r="K1390" i="170" s="1"/>
  <c r="C896" i="170"/>
  <c r="E896" i="170" s="1"/>
  <c r="I950" i="170"/>
  <c r="K950" i="170" s="1"/>
  <c r="I1372" i="170"/>
  <c r="K1372" i="170" s="1"/>
  <c r="C1257" i="170"/>
  <c r="E1257" i="170" s="1"/>
  <c r="C1255" i="170"/>
  <c r="E1255" i="170" s="1"/>
  <c r="I1324" i="170"/>
  <c r="K1324" i="170" s="1"/>
  <c r="I1325" i="170"/>
  <c r="K1325" i="170" s="1"/>
  <c r="I1323" i="170"/>
  <c r="K1323" i="170" s="1"/>
  <c r="C963" i="170"/>
  <c r="E963" i="170" s="1"/>
  <c r="C1066" i="170"/>
  <c r="E1066" i="170" s="1"/>
  <c r="I1002" i="170"/>
  <c r="K1002" i="170" s="1"/>
  <c r="I1000" i="170"/>
  <c r="K1000" i="170" s="1"/>
  <c r="C1086" i="170"/>
  <c r="E1086" i="170" s="1"/>
  <c r="C1085" i="170"/>
  <c r="E1085" i="170" s="1"/>
  <c r="C1084" i="170"/>
  <c r="E1084" i="170" s="1"/>
  <c r="I1120" i="170"/>
  <c r="K1120" i="170" s="1"/>
  <c r="I1015" i="170"/>
  <c r="K1015" i="170" s="1"/>
  <c r="C777" i="170"/>
  <c r="E777" i="170" s="1"/>
  <c r="I1239" i="170"/>
  <c r="K1239" i="170" s="1"/>
  <c r="C1391" i="170"/>
  <c r="E1391" i="170" s="1"/>
  <c r="C846" i="170"/>
  <c r="E846" i="170" s="1"/>
  <c r="C1238" i="170"/>
  <c r="E1238" i="170" s="1"/>
  <c r="I1289" i="170"/>
  <c r="K1289" i="170" s="1"/>
  <c r="C828" i="170"/>
  <c r="E828" i="170" s="1"/>
  <c r="I864" i="170"/>
  <c r="K864" i="170" s="1"/>
  <c r="C947" i="170"/>
  <c r="E947" i="170" s="1"/>
  <c r="I951" i="170"/>
  <c r="K951" i="170" s="1"/>
  <c r="I1371" i="170"/>
  <c r="K1371" i="170" s="1"/>
  <c r="I1374" i="170"/>
  <c r="K1374" i="170" s="1"/>
  <c r="C1254" i="170"/>
  <c r="E1254" i="170" s="1"/>
  <c r="C1253" i="170"/>
  <c r="E1253" i="170" s="1"/>
  <c r="I1322" i="170"/>
  <c r="K1322" i="170" s="1"/>
  <c r="C966" i="170"/>
  <c r="E966" i="170" s="1"/>
  <c r="C965" i="170"/>
  <c r="E965" i="170" s="1"/>
  <c r="C1065" i="170"/>
  <c r="E1065" i="170" s="1"/>
  <c r="I999" i="170"/>
  <c r="K999" i="170" s="1"/>
  <c r="I998" i="170"/>
  <c r="K998" i="170" s="1"/>
  <c r="C1087" i="170"/>
  <c r="E1087" i="170" s="1"/>
  <c r="I1121" i="170"/>
  <c r="K1121" i="170" s="1"/>
  <c r="I1153" i="170"/>
  <c r="K1153" i="170" s="1"/>
  <c r="I844" i="170"/>
  <c r="K844" i="170" s="1"/>
  <c r="C968" i="170"/>
  <c r="E968" i="170" s="1"/>
  <c r="I997" i="170"/>
  <c r="K997" i="170" s="1"/>
  <c r="I1119" i="170"/>
  <c r="K1119" i="170" s="1"/>
  <c r="I1169" i="170"/>
  <c r="K1169" i="170" s="1"/>
  <c r="I1168" i="170"/>
  <c r="K1168" i="170" s="1"/>
  <c r="C1325" i="170"/>
  <c r="E1325" i="170" s="1"/>
  <c r="C1323" i="170"/>
  <c r="E1323" i="170" s="1"/>
  <c r="C1052" i="170"/>
  <c r="E1052" i="170" s="1"/>
  <c r="C1051" i="170"/>
  <c r="E1051" i="170" s="1"/>
  <c r="C1050" i="170"/>
  <c r="E1050" i="170" s="1"/>
  <c r="I916" i="170"/>
  <c r="K916" i="170" s="1"/>
  <c r="C1100" i="170"/>
  <c r="E1100" i="170" s="1"/>
  <c r="C1205" i="170"/>
  <c r="E1205" i="170" s="1"/>
  <c r="C1206" i="170"/>
  <c r="E1206" i="170" s="1"/>
  <c r="C1150" i="170"/>
  <c r="E1150" i="170" s="1"/>
  <c r="I1356" i="170"/>
  <c r="K1356" i="170" s="1"/>
  <c r="I816" i="170"/>
  <c r="K816" i="170" s="1"/>
  <c r="I815" i="170"/>
  <c r="K815" i="170" s="1"/>
  <c r="C997" i="170"/>
  <c r="E997" i="170" s="1"/>
  <c r="I1304" i="170"/>
  <c r="K1304" i="170" s="1"/>
  <c r="I1036" i="170"/>
  <c r="K1036" i="170" s="1"/>
  <c r="I1034" i="170"/>
  <c r="K1034" i="170" s="1"/>
  <c r="I760" i="170"/>
  <c r="K760" i="170" s="1"/>
  <c r="I765" i="170"/>
  <c r="K765" i="170" s="1"/>
  <c r="C1184" i="170"/>
  <c r="E1184" i="170" s="1"/>
  <c r="C913" i="170"/>
  <c r="E913" i="170" s="1"/>
  <c r="I1187" i="170"/>
  <c r="K1187" i="170" s="1"/>
  <c r="I1186" i="170"/>
  <c r="K1186" i="170" s="1"/>
  <c r="C1376" i="170"/>
  <c r="E1376" i="170" s="1"/>
  <c r="C1375" i="170"/>
  <c r="E1375" i="170" s="1"/>
  <c r="C799" i="170"/>
  <c r="E799" i="170" s="1"/>
  <c r="I880" i="170"/>
  <c r="K880" i="170" s="1"/>
  <c r="I879" i="170"/>
  <c r="K879" i="170" s="1"/>
  <c r="C933" i="170"/>
  <c r="E933" i="170" s="1"/>
  <c r="C934" i="170"/>
  <c r="E934" i="170" s="1"/>
  <c r="I1205" i="170"/>
  <c r="K1205" i="170" s="1"/>
  <c r="I1203" i="170"/>
  <c r="K1203" i="170" s="1"/>
  <c r="I929" i="170"/>
  <c r="K929" i="170" s="1"/>
  <c r="I933" i="170"/>
  <c r="K933" i="170" s="1"/>
  <c r="C1288" i="170"/>
  <c r="E1288" i="170" s="1"/>
  <c r="C1287" i="170"/>
  <c r="E1287" i="170" s="1"/>
  <c r="C1019" i="170"/>
  <c r="E1019" i="170" s="1"/>
  <c r="I985" i="170"/>
  <c r="K985" i="170" s="1"/>
  <c r="C1031" i="170"/>
  <c r="E1031" i="170" s="1"/>
  <c r="C879" i="170"/>
  <c r="E879" i="170" s="1"/>
  <c r="C1120" i="170"/>
  <c r="E1120" i="170" s="1"/>
  <c r="I1138" i="170"/>
  <c r="K1138" i="170" s="1"/>
  <c r="I1376" i="170"/>
  <c r="K1376" i="170" s="1"/>
  <c r="I1001" i="170"/>
  <c r="K1001" i="170" s="1"/>
  <c r="I1118" i="170"/>
  <c r="K1118" i="170" s="1"/>
  <c r="C1274" i="170"/>
  <c r="E1274" i="170" s="1"/>
  <c r="C1273" i="170"/>
  <c r="E1273" i="170" s="1"/>
  <c r="I1167" i="170"/>
  <c r="K1167" i="170" s="1"/>
  <c r="I1171" i="170"/>
  <c r="K1171" i="170" s="1"/>
  <c r="C1322" i="170"/>
  <c r="E1322" i="170" s="1"/>
  <c r="C1321" i="170"/>
  <c r="E1321" i="170" s="1"/>
  <c r="C1053" i="170"/>
  <c r="E1053" i="170" s="1"/>
  <c r="I917" i="170"/>
  <c r="K917" i="170" s="1"/>
  <c r="C1099" i="170"/>
  <c r="E1099" i="170" s="1"/>
  <c r="C1202" i="170"/>
  <c r="E1202" i="170" s="1"/>
  <c r="I1070" i="170"/>
  <c r="K1070" i="170" s="1"/>
  <c r="I1068" i="170"/>
  <c r="K1068" i="170" s="1"/>
  <c r="C1154" i="170"/>
  <c r="E1154" i="170" s="1"/>
  <c r="C1153" i="170"/>
  <c r="E1153" i="170" s="1"/>
  <c r="C1152" i="170"/>
  <c r="E1152" i="170" s="1"/>
  <c r="I1252" i="170"/>
  <c r="K1252" i="170" s="1"/>
  <c r="I1253" i="170"/>
  <c r="K1253" i="170" s="1"/>
  <c r="I814" i="170"/>
  <c r="K814" i="170" s="1"/>
  <c r="I813" i="170"/>
  <c r="K813" i="170" s="1"/>
  <c r="C1000" i="170"/>
  <c r="E1000" i="170" s="1"/>
  <c r="C999" i="170"/>
  <c r="E999" i="170" s="1"/>
  <c r="I1303" i="170"/>
  <c r="K1303" i="170" s="1"/>
  <c r="I1306" i="170"/>
  <c r="K1306" i="170" s="1"/>
  <c r="I1033" i="170"/>
  <c r="K1033" i="170" s="1"/>
  <c r="I1032" i="170"/>
  <c r="K1032" i="170" s="1"/>
  <c r="I763" i="170"/>
  <c r="K763" i="170" s="1"/>
  <c r="I762" i="170"/>
  <c r="K762" i="170" s="1"/>
  <c r="C1188" i="170"/>
  <c r="E1188" i="170" s="1"/>
  <c r="C1187" i="170"/>
  <c r="E1187" i="170" s="1"/>
  <c r="C1186" i="170"/>
  <c r="E1186" i="170" s="1"/>
  <c r="C912" i="170"/>
  <c r="E912" i="170" s="1"/>
  <c r="I1185" i="170"/>
  <c r="K1185" i="170" s="1"/>
  <c r="I1184" i="170"/>
  <c r="K1184" i="170" s="1"/>
  <c r="C1374" i="170"/>
  <c r="E1374" i="170" s="1"/>
  <c r="C1373" i="170"/>
  <c r="E1373" i="170" s="1"/>
  <c r="C798" i="170"/>
  <c r="E798" i="170" s="1"/>
  <c r="C795" i="170"/>
  <c r="E795" i="170" s="1"/>
  <c r="C797" i="170"/>
  <c r="E797" i="170" s="1"/>
  <c r="I878" i="170"/>
  <c r="K878" i="170" s="1"/>
  <c r="I881" i="170"/>
  <c r="K881" i="170" s="1"/>
  <c r="C930" i="170"/>
  <c r="E930" i="170" s="1"/>
  <c r="I1206" i="170"/>
  <c r="K1206" i="170" s="1"/>
  <c r="I1204" i="170"/>
  <c r="K1204" i="170" s="1"/>
  <c r="C1286" i="170"/>
  <c r="E1286" i="170" s="1"/>
  <c r="C1015" i="170"/>
  <c r="E1015" i="170" s="1"/>
  <c r="I983" i="170"/>
  <c r="K983" i="170" s="1"/>
  <c r="I982" i="170"/>
  <c r="K982" i="170" s="1"/>
  <c r="C1034" i="170"/>
  <c r="E1034" i="170" s="1"/>
  <c r="C1033" i="170"/>
  <c r="E1033" i="170" s="1"/>
  <c r="I1084" i="170"/>
  <c r="K1084" i="170" s="1"/>
  <c r="I1223" i="170"/>
  <c r="K1223" i="170" s="1"/>
  <c r="C1237" i="170"/>
  <c r="E1237" i="170" s="1"/>
  <c r="I948" i="170"/>
  <c r="K948" i="170" s="1"/>
  <c r="C1252" i="170"/>
  <c r="E1252" i="170" s="1"/>
  <c r="C967" i="170"/>
  <c r="E967" i="170" s="1"/>
  <c r="C1067" i="170"/>
  <c r="E1067" i="170" s="1"/>
  <c r="C1270" i="170"/>
  <c r="E1270" i="170" s="1"/>
  <c r="C1269" i="170"/>
  <c r="E1269" i="170" s="1"/>
  <c r="I1172" i="170"/>
  <c r="K1172" i="170" s="1"/>
  <c r="I1170" i="170"/>
  <c r="K1170" i="170" s="1"/>
  <c r="C1324" i="170"/>
  <c r="E1324" i="170" s="1"/>
  <c r="C1048" i="170"/>
  <c r="E1048" i="170" s="1"/>
  <c r="I913" i="170"/>
  <c r="K913" i="170" s="1"/>
  <c r="I912" i="170"/>
  <c r="K912" i="170" s="1"/>
  <c r="C1103" i="170"/>
  <c r="E1103" i="170" s="1"/>
  <c r="C1104" i="170"/>
  <c r="E1104" i="170" s="1"/>
  <c r="C1204" i="170"/>
  <c r="E1204" i="170" s="1"/>
  <c r="C1203" i="170"/>
  <c r="E1203" i="170" s="1"/>
  <c r="I1065" i="170"/>
  <c r="K1065" i="170" s="1"/>
  <c r="I1069" i="170"/>
  <c r="K1069" i="170" s="1"/>
  <c r="C1151" i="170"/>
  <c r="E1151" i="170" s="1"/>
  <c r="C845" i="170"/>
  <c r="E845" i="170" s="1"/>
  <c r="I863" i="170"/>
  <c r="K863" i="170" s="1"/>
  <c r="I949" i="170"/>
  <c r="K949" i="170" s="1"/>
  <c r="C1068" i="170"/>
  <c r="E1068" i="170" s="1"/>
  <c r="C1083" i="170"/>
  <c r="E1083" i="170" s="1"/>
  <c r="C1272" i="170"/>
  <c r="E1272" i="170" s="1"/>
  <c r="C1271" i="170"/>
  <c r="E1271" i="170" s="1"/>
  <c r="C1320" i="170"/>
  <c r="E1320" i="170" s="1"/>
  <c r="C1049" i="170"/>
  <c r="E1049" i="170" s="1"/>
  <c r="I915" i="170"/>
  <c r="K915" i="170" s="1"/>
  <c r="I914" i="170"/>
  <c r="K914" i="170" s="1"/>
  <c r="C1102" i="170"/>
  <c r="E1102" i="170" s="1"/>
  <c r="C1101" i="170"/>
  <c r="E1101" i="170" s="1"/>
  <c r="C1201" i="170"/>
  <c r="E1201" i="170" s="1"/>
  <c r="I1067" i="170"/>
  <c r="K1067" i="170" s="1"/>
  <c r="I1066" i="170"/>
  <c r="K1066" i="170" s="1"/>
  <c r="C1155" i="170"/>
  <c r="E1155" i="170" s="1"/>
  <c r="I1256" i="170"/>
  <c r="K1256" i="170" s="1"/>
  <c r="I1257" i="170"/>
  <c r="K1257" i="170" s="1"/>
  <c r="I1255" i="170"/>
  <c r="K1255" i="170" s="1"/>
  <c r="I1354" i="170"/>
  <c r="K1354" i="170" s="1"/>
  <c r="I1355" i="170"/>
  <c r="K1355" i="170" s="1"/>
  <c r="I812" i="170"/>
  <c r="K812" i="170" s="1"/>
  <c r="I811" i="170"/>
  <c r="K811" i="170" s="1"/>
  <c r="C1001" i="170"/>
  <c r="E1001" i="170" s="1"/>
  <c r="C1002" i="170"/>
  <c r="E1002" i="170" s="1"/>
  <c r="I1308" i="170"/>
  <c r="K1308" i="170" s="1"/>
  <c r="I1031" i="170"/>
  <c r="K1031" i="170" s="1"/>
  <c r="I1035" i="170"/>
  <c r="K1035" i="170" s="1"/>
  <c r="I761" i="170"/>
  <c r="K761" i="170" s="1"/>
  <c r="I764" i="170"/>
  <c r="K764" i="170" s="1"/>
  <c r="C1189" i="170"/>
  <c r="E1189" i="170" s="1"/>
  <c r="C916" i="170"/>
  <c r="E916" i="170" s="1"/>
  <c r="C915" i="170"/>
  <c r="E915" i="170" s="1"/>
  <c r="C914" i="170"/>
  <c r="E914" i="170" s="1"/>
  <c r="I1188" i="170"/>
  <c r="K1188" i="170" s="1"/>
  <c r="C1372" i="170"/>
  <c r="E1372" i="170" s="1"/>
  <c r="C1371" i="170"/>
  <c r="E1371" i="170" s="1"/>
  <c r="C796" i="170"/>
  <c r="E796" i="170" s="1"/>
  <c r="C794" i="170"/>
  <c r="E794" i="170" s="1"/>
  <c r="C929" i="170"/>
  <c r="E929" i="170" s="1"/>
  <c r="I1201" i="170"/>
  <c r="K1201" i="170" s="1"/>
  <c r="I1202" i="170"/>
  <c r="K1202" i="170" s="1"/>
  <c r="I934" i="170"/>
  <c r="K934" i="170" s="1"/>
  <c r="I932" i="170"/>
  <c r="K932" i="170" s="1"/>
  <c r="C1290" i="170"/>
  <c r="E1290" i="170" s="1"/>
  <c r="C1014" i="170"/>
  <c r="E1014" i="170" s="1"/>
  <c r="I981" i="170"/>
  <c r="K981" i="170" s="1"/>
  <c r="I980" i="170"/>
  <c r="K980" i="170" s="1"/>
  <c r="C1035" i="170"/>
  <c r="E1035" i="170" s="1"/>
  <c r="C1036" i="170"/>
  <c r="E1036" i="170" s="1"/>
  <c r="I1357" i="170"/>
  <c r="K1357" i="170" s="1"/>
  <c r="C1185" i="170"/>
  <c r="E1185" i="170" s="1"/>
  <c r="I883" i="170"/>
  <c r="K883" i="170" s="1"/>
  <c r="C1291" i="170"/>
  <c r="E1291" i="170" s="1"/>
  <c r="C1016" i="170"/>
  <c r="E1016" i="170" s="1"/>
  <c r="I1254" i="170"/>
  <c r="K1254" i="170" s="1"/>
  <c r="I1307" i="170"/>
  <c r="K1307" i="170" s="1"/>
  <c r="I1189" i="170"/>
  <c r="K1189" i="170" s="1"/>
  <c r="C1289" i="170"/>
  <c r="E1289" i="170" s="1"/>
  <c r="I1358" i="170"/>
  <c r="K1358" i="170" s="1"/>
  <c r="I1305" i="170"/>
  <c r="K1305" i="170" s="1"/>
  <c r="C932" i="170"/>
  <c r="E932" i="170" s="1"/>
  <c r="I931" i="170"/>
  <c r="K931" i="170" s="1"/>
  <c r="C1018" i="170"/>
  <c r="E1018" i="170" s="1"/>
  <c r="I984" i="170"/>
  <c r="K984" i="170" s="1"/>
  <c r="I1359" i="170"/>
  <c r="K1359" i="170" s="1"/>
  <c r="C998" i="170"/>
  <c r="E998" i="170" s="1"/>
  <c r="C917" i="170"/>
  <c r="E917" i="170" s="1"/>
  <c r="I882" i="170"/>
  <c r="K882" i="170" s="1"/>
  <c r="C931" i="170"/>
  <c r="E931" i="170" s="1"/>
  <c r="I930" i="170"/>
  <c r="K930" i="170" s="1"/>
  <c r="C1017" i="170"/>
  <c r="E1017" i="170" s="1"/>
  <c r="C1032" i="170"/>
  <c r="E1032" i="170" s="1"/>
  <c r="I748" i="170"/>
  <c r="K748" i="170" s="1"/>
  <c r="I746" i="170"/>
  <c r="K746" i="170" s="1"/>
  <c r="I743" i="170"/>
  <c r="K743" i="170" s="1"/>
  <c r="I745" i="170"/>
  <c r="K745" i="170" s="1"/>
  <c r="I744" i="170"/>
  <c r="K744" i="170" s="1"/>
  <c r="I747" i="170"/>
  <c r="K747" i="170" s="1"/>
  <c r="AC9" i="9"/>
  <c r="C2040" i="170"/>
  <c r="E2040" i="170" s="1"/>
  <c r="C2038" i="170"/>
  <c r="E2038" i="170" s="1"/>
  <c r="C2039" i="170"/>
  <c r="E2039" i="170" s="1"/>
  <c r="C2045" i="170"/>
  <c r="E2045" i="170" s="1"/>
  <c r="C2043" i="170"/>
  <c r="E2043" i="170" s="1"/>
  <c r="C2041" i="170"/>
  <c r="E2041" i="170" s="1"/>
  <c r="C2044" i="170"/>
  <c r="E2044" i="170" s="1"/>
  <c r="C2024" i="170"/>
  <c r="E2024" i="170" s="1"/>
  <c r="C2028" i="170"/>
  <c r="E2028" i="170" s="1"/>
  <c r="I2024" i="170"/>
  <c r="K2024" i="170" s="1"/>
  <c r="C2021" i="170"/>
  <c r="E2021" i="170" s="1"/>
  <c r="C2026" i="170"/>
  <c r="E2026" i="170" s="1"/>
  <c r="I2027" i="170"/>
  <c r="K2027" i="170" s="1"/>
  <c r="I2022" i="170"/>
  <c r="K2022" i="170" s="1"/>
  <c r="C2023" i="170"/>
  <c r="E2023" i="170" s="1"/>
  <c r="C2027" i="170"/>
  <c r="E2027" i="170" s="1"/>
  <c r="I2023" i="170"/>
  <c r="K2023" i="170" s="1"/>
  <c r="I2028" i="170"/>
  <c r="K2028" i="170" s="1"/>
  <c r="C2022" i="170"/>
  <c r="E2022" i="170" s="1"/>
  <c r="I2026" i="170"/>
  <c r="K2026" i="170" s="1"/>
  <c r="I2021" i="170"/>
  <c r="K2021" i="170" s="1"/>
  <c r="I1990" i="170"/>
  <c r="K1990" i="170" s="1"/>
  <c r="I1992" i="170"/>
  <c r="K1992" i="170" s="1"/>
  <c r="C1953" i="170"/>
  <c r="E1953" i="170" s="1"/>
  <c r="C1905" i="170"/>
  <c r="E1905" i="170" s="1"/>
  <c r="C1904" i="170"/>
  <c r="E1904" i="170" s="1"/>
  <c r="I1888" i="170"/>
  <c r="K1888" i="170" s="1"/>
  <c r="I1890" i="170"/>
  <c r="K1890" i="170" s="1"/>
  <c r="I1771" i="170"/>
  <c r="K1771" i="170" s="1"/>
  <c r="I1905" i="170"/>
  <c r="K1905" i="170" s="1"/>
  <c r="C1732" i="170"/>
  <c r="E1732" i="170" s="1"/>
  <c r="C1734" i="170"/>
  <c r="E1734" i="170" s="1"/>
  <c r="C2009" i="170"/>
  <c r="E2009" i="170" s="1"/>
  <c r="C1783" i="170"/>
  <c r="E1783" i="170" s="1"/>
  <c r="C1975" i="170"/>
  <c r="E1975" i="170" s="1"/>
  <c r="I1941" i="170"/>
  <c r="K1941" i="170" s="1"/>
  <c r="I1737" i="170"/>
  <c r="K1737" i="170" s="1"/>
  <c r="C1887" i="170"/>
  <c r="E1887" i="170" s="1"/>
  <c r="C1890" i="170"/>
  <c r="E1890" i="170" s="1"/>
  <c r="I1752" i="170"/>
  <c r="K1752" i="170" s="1"/>
  <c r="I1750" i="170"/>
  <c r="K1750" i="170" s="1"/>
  <c r="I1970" i="170"/>
  <c r="K1970" i="170" s="1"/>
  <c r="I1919" i="170"/>
  <c r="K1919" i="170" s="1"/>
  <c r="C1922" i="170"/>
  <c r="E1922" i="170" s="1"/>
  <c r="C1920" i="170"/>
  <c r="E1920" i="170" s="1"/>
  <c r="C1835" i="170"/>
  <c r="E1835" i="170" s="1"/>
  <c r="C1837" i="170"/>
  <c r="E1837" i="170" s="1"/>
  <c r="I1819" i="170"/>
  <c r="K1819" i="170" s="1"/>
  <c r="I1818" i="170"/>
  <c r="K1818" i="170" s="1"/>
  <c r="I1869" i="170"/>
  <c r="K1869" i="170" s="1"/>
  <c r="I1870" i="170"/>
  <c r="K1870" i="170" s="1"/>
  <c r="I2006" i="170"/>
  <c r="K2006" i="170" s="1"/>
  <c r="I2005" i="170"/>
  <c r="K2005" i="170" s="1"/>
  <c r="C1941" i="170"/>
  <c r="E1941" i="170" s="1"/>
  <c r="I1717" i="170"/>
  <c r="K1717" i="170" s="1"/>
  <c r="C1818" i="170"/>
  <c r="E1818" i="170" s="1"/>
  <c r="C1955" i="170"/>
  <c r="E1955" i="170" s="1"/>
  <c r="C1954" i="170"/>
  <c r="E1954" i="170" s="1"/>
  <c r="I1788" i="170"/>
  <c r="K1788" i="170" s="1"/>
  <c r="C1785" i="170"/>
  <c r="E1785" i="170" s="1"/>
  <c r="C1856" i="170"/>
  <c r="E1856" i="170" s="1"/>
  <c r="C1851" i="170"/>
  <c r="E1851" i="170" s="1"/>
  <c r="C1973" i="170"/>
  <c r="E1973" i="170" s="1"/>
  <c r="I1938" i="170"/>
  <c r="K1938" i="170" s="1"/>
  <c r="I1735" i="170"/>
  <c r="K1735" i="170" s="1"/>
  <c r="C1885" i="170"/>
  <c r="E1885" i="170" s="1"/>
  <c r="I1754" i="170"/>
  <c r="K1754" i="170" s="1"/>
  <c r="I1972" i="170"/>
  <c r="K1972" i="170" s="1"/>
  <c r="I2004" i="170"/>
  <c r="K2004" i="170" s="1"/>
  <c r="C1939" i="170"/>
  <c r="E1939" i="170" s="1"/>
  <c r="I1715" i="170"/>
  <c r="K1715" i="170" s="1"/>
  <c r="I1716" i="170"/>
  <c r="K1716" i="170" s="1"/>
  <c r="I1988" i="170"/>
  <c r="K1988" i="170" s="1"/>
  <c r="C1822" i="170"/>
  <c r="E1822" i="170" s="1"/>
  <c r="C1902" i="170"/>
  <c r="E1902" i="170" s="1"/>
  <c r="I1885" i="170"/>
  <c r="K1885" i="170" s="1"/>
  <c r="I1768" i="170"/>
  <c r="K1768" i="170" s="1"/>
  <c r="I1734" i="170"/>
  <c r="K1734" i="170" s="1"/>
  <c r="C1888" i="170"/>
  <c r="E1888" i="170" s="1"/>
  <c r="I1749" i="170"/>
  <c r="K1749" i="170" s="1"/>
  <c r="I1751" i="170"/>
  <c r="K1751" i="170" s="1"/>
  <c r="I1975" i="170"/>
  <c r="K1975" i="170" s="1"/>
  <c r="C1937" i="170"/>
  <c r="E1937" i="170" s="1"/>
  <c r="I1989" i="170"/>
  <c r="K1989" i="170" s="1"/>
  <c r="C1817" i="170"/>
  <c r="E1817" i="170" s="1"/>
  <c r="C1956" i="170"/>
  <c r="E1956" i="170" s="1"/>
  <c r="C1958" i="170"/>
  <c r="E1958" i="170" s="1"/>
  <c r="C1903" i="170"/>
  <c r="E1903" i="170" s="1"/>
  <c r="I1887" i="170"/>
  <c r="K1887" i="170" s="1"/>
  <c r="I1766" i="170"/>
  <c r="K1766" i="170" s="1"/>
  <c r="I1904" i="170"/>
  <c r="K1904" i="170" s="1"/>
  <c r="I1907" i="170"/>
  <c r="K1907" i="170" s="1"/>
  <c r="C1735" i="170"/>
  <c r="E1735" i="170" s="1"/>
  <c r="C1733" i="170"/>
  <c r="E1733" i="170" s="1"/>
  <c r="C2006" i="170"/>
  <c r="E2006" i="170" s="1"/>
  <c r="I1783" i="170"/>
  <c r="K1783" i="170" s="1"/>
  <c r="I1784" i="170"/>
  <c r="K1784" i="170" s="1"/>
  <c r="C1786" i="170"/>
  <c r="E1786" i="170" s="1"/>
  <c r="C1784" i="170"/>
  <c r="E1784" i="170" s="1"/>
  <c r="C1788" i="170"/>
  <c r="E1788" i="170" s="1"/>
  <c r="C1852" i="170"/>
  <c r="E1852" i="170" s="1"/>
  <c r="C1970" i="170"/>
  <c r="E1970" i="170" s="1"/>
  <c r="I1936" i="170"/>
  <c r="K1936" i="170" s="1"/>
  <c r="I1732" i="170"/>
  <c r="K1732" i="170" s="1"/>
  <c r="I1733" i="170"/>
  <c r="K1733" i="170" s="1"/>
  <c r="I1973" i="170"/>
  <c r="K1973" i="170" s="1"/>
  <c r="I1922" i="170"/>
  <c r="K1922" i="170" s="1"/>
  <c r="I1920" i="170"/>
  <c r="K1920" i="170" s="1"/>
  <c r="C1921" i="170"/>
  <c r="E1921" i="170" s="1"/>
  <c r="C1924" i="170"/>
  <c r="E1924" i="170" s="1"/>
  <c r="C1839" i="170"/>
  <c r="E1839" i="170" s="1"/>
  <c r="I1822" i="170"/>
  <c r="K1822" i="170" s="1"/>
  <c r="I1873" i="170"/>
  <c r="K1873" i="170" s="1"/>
  <c r="I2009" i="170"/>
  <c r="K2009" i="170" s="1"/>
  <c r="C1936" i="170"/>
  <c r="E1936" i="170" s="1"/>
  <c r="I1720" i="170"/>
  <c r="K1720" i="170" s="1"/>
  <c r="C1820" i="170"/>
  <c r="E1820" i="170" s="1"/>
  <c r="C1907" i="170"/>
  <c r="E1907" i="170" s="1"/>
  <c r="I1886" i="170"/>
  <c r="K1886" i="170" s="1"/>
  <c r="I1769" i="170"/>
  <c r="K1769" i="170" s="1"/>
  <c r="I1767" i="170"/>
  <c r="K1767" i="170" s="1"/>
  <c r="I1903" i="170"/>
  <c r="K1903" i="170" s="1"/>
  <c r="C2004" i="170"/>
  <c r="E2004" i="170" s="1"/>
  <c r="I1786" i="170"/>
  <c r="K1786" i="170" s="1"/>
  <c r="I1939" i="170"/>
  <c r="K1939" i="170" s="1"/>
  <c r="C1886" i="170"/>
  <c r="E1886" i="170" s="1"/>
  <c r="I1971" i="170"/>
  <c r="K1971" i="170" s="1"/>
  <c r="I1924" i="170"/>
  <c r="K1924" i="170" s="1"/>
  <c r="C1836" i="170"/>
  <c r="E1836" i="170" s="1"/>
  <c r="I1820" i="170"/>
  <c r="K1820" i="170" s="1"/>
  <c r="I1868" i="170"/>
  <c r="K1868" i="170" s="1"/>
  <c r="I1987" i="170"/>
  <c r="K1987" i="170" s="1"/>
  <c r="C1819" i="170"/>
  <c r="E1819" i="170" s="1"/>
  <c r="I1902" i="170"/>
  <c r="K1902" i="170" s="1"/>
  <c r="C1737" i="170"/>
  <c r="E1737" i="170" s="1"/>
  <c r="C2007" i="170"/>
  <c r="E2007" i="170" s="1"/>
  <c r="C2005" i="170"/>
  <c r="E2005" i="170" s="1"/>
  <c r="I1785" i="170"/>
  <c r="K1785" i="170" s="1"/>
  <c r="C1853" i="170"/>
  <c r="E1853" i="170" s="1"/>
  <c r="C1854" i="170"/>
  <c r="E1854" i="170" s="1"/>
  <c r="C1972" i="170"/>
  <c r="E1972" i="170" s="1"/>
  <c r="C1971" i="170"/>
  <c r="E1971" i="170" s="1"/>
  <c r="I1937" i="170"/>
  <c r="K1937" i="170" s="1"/>
  <c r="I1921" i="170"/>
  <c r="K1921" i="170" s="1"/>
  <c r="C1919" i="170"/>
  <c r="E1919" i="170" s="1"/>
  <c r="C1834" i="170"/>
  <c r="E1834" i="170" s="1"/>
  <c r="I1817" i="170"/>
  <c r="K1817" i="170" s="1"/>
  <c r="I1871" i="170"/>
  <c r="K1871" i="170" s="1"/>
  <c r="I2007" i="170"/>
  <c r="K2007" i="170" s="1"/>
  <c r="C1938" i="170"/>
  <c r="E1938" i="170" s="1"/>
  <c r="I1718" i="170"/>
  <c r="K1718" i="170" s="1"/>
  <c r="C1768" i="170"/>
  <c r="E1768" i="170" s="1"/>
  <c r="I1800" i="170"/>
  <c r="K1800" i="170" s="1"/>
  <c r="C1873" i="170"/>
  <c r="E1873" i="170" s="1"/>
  <c r="C1868" i="170"/>
  <c r="E1868" i="170" s="1"/>
  <c r="C1990" i="170"/>
  <c r="E1990" i="170" s="1"/>
  <c r="C1988" i="170"/>
  <c r="E1988" i="170" s="1"/>
  <c r="I1839" i="170"/>
  <c r="K1839" i="170" s="1"/>
  <c r="C1800" i="170"/>
  <c r="E1800" i="170" s="1"/>
  <c r="I1956" i="170"/>
  <c r="K1956" i="170" s="1"/>
  <c r="I1954" i="170"/>
  <c r="K1954" i="170" s="1"/>
  <c r="I1852" i="170"/>
  <c r="K1852" i="170" s="1"/>
  <c r="I1801" i="170"/>
  <c r="K1801" i="170" s="1"/>
  <c r="C1771" i="170"/>
  <c r="E1771" i="170" s="1"/>
  <c r="C1769" i="170"/>
  <c r="E1769" i="170" s="1"/>
  <c r="C1754" i="170"/>
  <c r="E1754" i="170" s="1"/>
  <c r="I1803" i="170"/>
  <c r="K1803" i="170" s="1"/>
  <c r="C1869" i="170"/>
  <c r="E1869" i="170" s="1"/>
  <c r="C1989" i="170"/>
  <c r="E1989" i="170" s="1"/>
  <c r="I1836" i="170"/>
  <c r="K1836" i="170" s="1"/>
  <c r="I1834" i="170"/>
  <c r="K1834" i="170" s="1"/>
  <c r="C1803" i="170"/>
  <c r="E1803" i="170" s="1"/>
  <c r="C1805" i="170"/>
  <c r="E1805" i="170" s="1"/>
  <c r="I1958" i="170"/>
  <c r="K1958" i="170" s="1"/>
  <c r="I1856" i="170"/>
  <c r="K1856" i="170" s="1"/>
  <c r="I1851" i="170"/>
  <c r="K1851" i="170" s="1"/>
  <c r="C1749" i="170"/>
  <c r="E1749" i="170" s="1"/>
  <c r="C1751" i="170"/>
  <c r="E1751" i="170" s="1"/>
  <c r="I1802" i="170"/>
  <c r="K1802" i="170" s="1"/>
  <c r="I1805" i="170"/>
  <c r="K1805" i="170" s="1"/>
  <c r="C1871" i="170"/>
  <c r="E1871" i="170" s="1"/>
  <c r="I1837" i="170"/>
  <c r="K1837" i="170" s="1"/>
  <c r="C1802" i="170"/>
  <c r="E1802" i="170" s="1"/>
  <c r="I1955" i="170"/>
  <c r="K1955" i="170" s="1"/>
  <c r="I1853" i="170"/>
  <c r="K1853" i="170" s="1"/>
  <c r="I1854" i="170"/>
  <c r="K1854" i="170" s="1"/>
  <c r="C1766" i="170"/>
  <c r="E1766" i="170" s="1"/>
  <c r="C1767" i="170"/>
  <c r="E1767" i="170" s="1"/>
  <c r="C1752" i="170"/>
  <c r="E1752" i="170" s="1"/>
  <c r="C1750" i="170"/>
  <c r="E1750" i="170" s="1"/>
  <c r="C1870" i="170"/>
  <c r="E1870" i="170" s="1"/>
  <c r="C1987" i="170"/>
  <c r="E1987" i="170" s="1"/>
  <c r="C1992" i="170"/>
  <c r="E1992" i="170" s="1"/>
  <c r="I1835" i="170"/>
  <c r="K1835" i="170" s="1"/>
  <c r="C1801" i="170"/>
  <c r="E1801" i="170" s="1"/>
  <c r="I1953" i="170"/>
  <c r="K1953" i="170" s="1"/>
  <c r="C2042" i="170"/>
  <c r="E2042" i="170" s="1"/>
  <c r="I2025" i="170"/>
  <c r="K2025" i="170" s="1"/>
  <c r="C2025" i="170"/>
  <c r="E2025" i="170" s="1"/>
  <c r="C1821" i="170"/>
  <c r="E1821" i="170" s="1"/>
  <c r="C1957" i="170"/>
  <c r="E1957" i="170" s="1"/>
  <c r="I1906" i="170"/>
  <c r="K1906" i="170" s="1"/>
  <c r="C1855" i="170"/>
  <c r="E1855" i="170" s="1"/>
  <c r="I1736" i="170"/>
  <c r="K1736" i="170" s="1"/>
  <c r="I1923" i="170"/>
  <c r="K1923" i="170" s="1"/>
  <c r="I1991" i="170"/>
  <c r="K1991" i="170" s="1"/>
  <c r="C1787" i="170"/>
  <c r="E1787" i="170" s="1"/>
  <c r="C1974" i="170"/>
  <c r="E1974" i="170" s="1"/>
  <c r="C1940" i="170"/>
  <c r="E1940" i="170" s="1"/>
  <c r="C1906" i="170"/>
  <c r="E1906" i="170" s="1"/>
  <c r="I1770" i="170"/>
  <c r="K1770" i="170" s="1"/>
  <c r="I1940" i="170"/>
  <c r="K1940" i="170" s="1"/>
  <c r="C1889" i="170"/>
  <c r="E1889" i="170" s="1"/>
  <c r="I1974" i="170"/>
  <c r="K1974" i="170" s="1"/>
  <c r="I1719" i="170"/>
  <c r="K1719" i="170" s="1"/>
  <c r="I1889" i="170"/>
  <c r="K1889" i="170" s="1"/>
  <c r="C2008" i="170"/>
  <c r="E2008" i="170" s="1"/>
  <c r="I1753" i="170"/>
  <c r="K1753" i="170" s="1"/>
  <c r="C1838" i="170"/>
  <c r="E1838" i="170" s="1"/>
  <c r="I1821" i="170"/>
  <c r="K1821" i="170" s="1"/>
  <c r="I1872" i="170"/>
  <c r="K1872" i="170" s="1"/>
  <c r="C1736" i="170"/>
  <c r="E1736" i="170" s="1"/>
  <c r="I1787" i="170"/>
  <c r="K1787" i="170" s="1"/>
  <c r="C1923" i="170"/>
  <c r="E1923" i="170" s="1"/>
  <c r="I2008" i="170"/>
  <c r="K2008" i="170" s="1"/>
  <c r="C1770" i="170"/>
  <c r="E1770" i="170" s="1"/>
  <c r="I1804" i="170"/>
  <c r="K1804" i="170" s="1"/>
  <c r="C1872" i="170"/>
  <c r="E1872" i="170" s="1"/>
  <c r="I1957" i="170"/>
  <c r="K1957" i="170" s="1"/>
  <c r="C1753" i="170"/>
  <c r="E1753" i="170" s="1"/>
  <c r="C1804" i="170"/>
  <c r="E1804" i="170" s="1"/>
  <c r="C1991" i="170"/>
  <c r="E1991" i="170" s="1"/>
  <c r="E808" i="170"/>
  <c r="I1838" i="170"/>
  <c r="K1838" i="170" s="1"/>
  <c r="I1855" i="170"/>
  <c r="K1855" i="170" s="1"/>
  <c r="C1547" i="170"/>
  <c r="E1547" i="170" s="1"/>
  <c r="C1684" i="170"/>
  <c r="E1684" i="170" s="1"/>
  <c r="C1564" i="170"/>
  <c r="E1564" i="170" s="1"/>
  <c r="C1565" i="170"/>
  <c r="E1565" i="170" s="1"/>
  <c r="I1613" i="170"/>
  <c r="K1613" i="170" s="1"/>
  <c r="I1633" i="170"/>
  <c r="K1633" i="170" s="1"/>
  <c r="I1630" i="170"/>
  <c r="K1630" i="170" s="1"/>
  <c r="C1531" i="170"/>
  <c r="E1531" i="170" s="1"/>
  <c r="C1529" i="170"/>
  <c r="E1529" i="170" s="1"/>
  <c r="I1546" i="170"/>
  <c r="K1546" i="170" s="1"/>
  <c r="C1579" i="170"/>
  <c r="E1579" i="170" s="1"/>
  <c r="C1703" i="170"/>
  <c r="E1703" i="170" s="1"/>
  <c r="I1665" i="170"/>
  <c r="K1665" i="170" s="1"/>
  <c r="I1664" i="170"/>
  <c r="K1664" i="170" s="1"/>
  <c r="C1516" i="170"/>
  <c r="E1516" i="170" s="1"/>
  <c r="C1514" i="170"/>
  <c r="E1514" i="170" s="1"/>
  <c r="C1615" i="170"/>
  <c r="E1615" i="170" s="1"/>
  <c r="I1512" i="170"/>
  <c r="K1512" i="170" s="1"/>
  <c r="I1699" i="170"/>
  <c r="K1699" i="170" s="1"/>
  <c r="I1703" i="170"/>
  <c r="K1703" i="170" s="1"/>
  <c r="I1648" i="170"/>
  <c r="K1648" i="170" s="1"/>
  <c r="C1647" i="170"/>
  <c r="E1647" i="170" s="1"/>
  <c r="I1597" i="170"/>
  <c r="K1597" i="170" s="1"/>
  <c r="C1667" i="170"/>
  <c r="E1667" i="170" s="1"/>
  <c r="C1550" i="170"/>
  <c r="E1550" i="170" s="1"/>
  <c r="C1548" i="170"/>
  <c r="E1548" i="170" s="1"/>
  <c r="C1683" i="170"/>
  <c r="E1683" i="170" s="1"/>
  <c r="C1567" i="170"/>
  <c r="E1567" i="170" s="1"/>
  <c r="I1615" i="170"/>
  <c r="K1615" i="170" s="1"/>
  <c r="I1616" i="170"/>
  <c r="K1616" i="170" s="1"/>
  <c r="C1528" i="170"/>
  <c r="E1528" i="170" s="1"/>
  <c r="I1548" i="170"/>
  <c r="K1548" i="170" s="1"/>
  <c r="C1580" i="170"/>
  <c r="E1580" i="170" s="1"/>
  <c r="I1667" i="170"/>
  <c r="K1667" i="170" s="1"/>
  <c r="C1614" i="170"/>
  <c r="E1614" i="170" s="1"/>
  <c r="C1613" i="170"/>
  <c r="E1613" i="170" s="1"/>
  <c r="I1514" i="170"/>
  <c r="K1514" i="170" s="1"/>
  <c r="I1701" i="170"/>
  <c r="K1701" i="170" s="1"/>
  <c r="I1698" i="170"/>
  <c r="K1698" i="170" s="1"/>
  <c r="I1647" i="170"/>
  <c r="K1647" i="170" s="1"/>
  <c r="C1648" i="170"/>
  <c r="E1648" i="170" s="1"/>
  <c r="I1599" i="170"/>
  <c r="K1599" i="170" s="1"/>
  <c r="I1601" i="170"/>
  <c r="K1601" i="170" s="1"/>
  <c r="C1664" i="170"/>
  <c r="E1664" i="170" s="1"/>
  <c r="C1665" i="170"/>
  <c r="E1665" i="170" s="1"/>
  <c r="C1546" i="170"/>
  <c r="E1546" i="170" s="1"/>
  <c r="C1686" i="170"/>
  <c r="E1686" i="170" s="1"/>
  <c r="C1563" i="170"/>
  <c r="E1563" i="170" s="1"/>
  <c r="I1618" i="170"/>
  <c r="K1618" i="170" s="1"/>
  <c r="I1632" i="170"/>
  <c r="K1632" i="170" s="1"/>
  <c r="I1545" i="170"/>
  <c r="K1545" i="170" s="1"/>
  <c r="I1547" i="170"/>
  <c r="K1547" i="170" s="1"/>
  <c r="C1582" i="170"/>
  <c r="E1582" i="170" s="1"/>
  <c r="C1584" i="170"/>
  <c r="E1584" i="170" s="1"/>
  <c r="C1698" i="170"/>
  <c r="E1698" i="170" s="1"/>
  <c r="C1699" i="170"/>
  <c r="E1699" i="170" s="1"/>
  <c r="I1669" i="170"/>
  <c r="K1669" i="170" s="1"/>
  <c r="C1511" i="170"/>
  <c r="E1511" i="170" s="1"/>
  <c r="C1616" i="170"/>
  <c r="E1616" i="170" s="1"/>
  <c r="I1511" i="170"/>
  <c r="K1511" i="170" s="1"/>
  <c r="I1649" i="170"/>
  <c r="K1649" i="170" s="1"/>
  <c r="I1650" i="170"/>
  <c r="K1650" i="170" s="1"/>
  <c r="C1650" i="170"/>
  <c r="E1650" i="170" s="1"/>
  <c r="C1652" i="170"/>
  <c r="E1652" i="170" s="1"/>
  <c r="I1598" i="170"/>
  <c r="K1598" i="170" s="1"/>
  <c r="C1666" i="170"/>
  <c r="E1666" i="170" s="1"/>
  <c r="C1545" i="170"/>
  <c r="E1545" i="170" s="1"/>
  <c r="C1682" i="170"/>
  <c r="E1682" i="170" s="1"/>
  <c r="C1681" i="170"/>
  <c r="E1681" i="170" s="1"/>
  <c r="C1562" i="170"/>
  <c r="E1562" i="170" s="1"/>
  <c r="I1614" i="170"/>
  <c r="K1614" i="170" s="1"/>
  <c r="I1631" i="170"/>
  <c r="K1631" i="170" s="1"/>
  <c r="I1635" i="170"/>
  <c r="K1635" i="170" s="1"/>
  <c r="C1533" i="170"/>
  <c r="E1533" i="170" s="1"/>
  <c r="C1530" i="170"/>
  <c r="E1530" i="170" s="1"/>
  <c r="I1550" i="170"/>
  <c r="K1550" i="170" s="1"/>
  <c r="C1581" i="170"/>
  <c r="E1581" i="170" s="1"/>
  <c r="C1700" i="170"/>
  <c r="E1700" i="170" s="1"/>
  <c r="C1701" i="170"/>
  <c r="E1701" i="170" s="1"/>
  <c r="I1666" i="170"/>
  <c r="K1666" i="170" s="1"/>
  <c r="C1513" i="170"/>
  <c r="E1513" i="170" s="1"/>
  <c r="C1512" i="170"/>
  <c r="E1512" i="170" s="1"/>
  <c r="C1618" i="170"/>
  <c r="E1618" i="170" s="1"/>
  <c r="I1513" i="170"/>
  <c r="K1513" i="170" s="1"/>
  <c r="I1516" i="170"/>
  <c r="K1516" i="170" s="1"/>
  <c r="I1700" i="170"/>
  <c r="K1700" i="170" s="1"/>
  <c r="I1652" i="170"/>
  <c r="K1652" i="170" s="1"/>
  <c r="C1649" i="170"/>
  <c r="E1649" i="170" s="1"/>
  <c r="I1596" i="170"/>
  <c r="K1596" i="170" s="1"/>
  <c r="C1669" i="170"/>
  <c r="E1669" i="170" s="1"/>
  <c r="I1565" i="170"/>
  <c r="K1565" i="170" s="1"/>
  <c r="I1562" i="170"/>
  <c r="K1562" i="170" s="1"/>
  <c r="C1598" i="170"/>
  <c r="E1598" i="170" s="1"/>
  <c r="C1717" i="170"/>
  <c r="E1717" i="170" s="1"/>
  <c r="C1630" i="170"/>
  <c r="E1630" i="170" s="1"/>
  <c r="I1686" i="170"/>
  <c r="K1686" i="170" s="1"/>
  <c r="I1579" i="170"/>
  <c r="K1579" i="170" s="1"/>
  <c r="I1531" i="170"/>
  <c r="K1531" i="170" s="1"/>
  <c r="I1530" i="170"/>
  <c r="K1530" i="170" s="1"/>
  <c r="I1584" i="170"/>
  <c r="K1584" i="170" s="1"/>
  <c r="I1563" i="170"/>
  <c r="K1563" i="170" s="1"/>
  <c r="I1567" i="170"/>
  <c r="K1567" i="170" s="1"/>
  <c r="C1596" i="170"/>
  <c r="E1596" i="170" s="1"/>
  <c r="C1597" i="170"/>
  <c r="E1597" i="170" s="1"/>
  <c r="C1718" i="170"/>
  <c r="E1718" i="170" s="1"/>
  <c r="C1720" i="170"/>
  <c r="E1720" i="170" s="1"/>
  <c r="C1631" i="170"/>
  <c r="E1631" i="170" s="1"/>
  <c r="I1683" i="170"/>
  <c r="K1683" i="170" s="1"/>
  <c r="I1684" i="170"/>
  <c r="K1684" i="170" s="1"/>
  <c r="I1580" i="170"/>
  <c r="K1580" i="170" s="1"/>
  <c r="I1529" i="170"/>
  <c r="K1529" i="170" s="1"/>
  <c r="I1528" i="170"/>
  <c r="K1528" i="170" s="1"/>
  <c r="C1601" i="170"/>
  <c r="E1601" i="170" s="1"/>
  <c r="C1715" i="170"/>
  <c r="E1715" i="170" s="1"/>
  <c r="C1632" i="170"/>
  <c r="E1632" i="170" s="1"/>
  <c r="C1633" i="170"/>
  <c r="E1633" i="170" s="1"/>
  <c r="I1682" i="170"/>
  <c r="K1682" i="170" s="1"/>
  <c r="I1581" i="170"/>
  <c r="K1581" i="170" s="1"/>
  <c r="I1582" i="170"/>
  <c r="K1582" i="170" s="1"/>
  <c r="I1533" i="170"/>
  <c r="K1533" i="170" s="1"/>
  <c r="I1564" i="170"/>
  <c r="K1564" i="170" s="1"/>
  <c r="C1599" i="170"/>
  <c r="E1599" i="170" s="1"/>
  <c r="C1716" i="170"/>
  <c r="E1716" i="170" s="1"/>
  <c r="C1635" i="170"/>
  <c r="E1635" i="170" s="1"/>
  <c r="I1681" i="170"/>
  <c r="K1681" i="170" s="1"/>
  <c r="I1497" i="170"/>
  <c r="K1497" i="170" s="1"/>
  <c r="I1495" i="170"/>
  <c r="K1495" i="170" s="1"/>
  <c r="I1494" i="170"/>
  <c r="K1494" i="170" s="1"/>
  <c r="I1499" i="170"/>
  <c r="K1499" i="170" s="1"/>
  <c r="I1496" i="170"/>
  <c r="K1496" i="170" s="1"/>
  <c r="C1461" i="170"/>
  <c r="E1461" i="170" s="1"/>
  <c r="I1464" i="170"/>
  <c r="K1464" i="170" s="1"/>
  <c r="E1454" i="170"/>
  <c r="C1462" i="170"/>
  <c r="E1462" i="170" s="1"/>
  <c r="I1481" i="170"/>
  <c r="K1481" i="170" s="1"/>
  <c r="I1479" i="170"/>
  <c r="K1479" i="170" s="1"/>
  <c r="I1459" i="170"/>
  <c r="K1459" i="170" s="1"/>
  <c r="I1462" i="170"/>
  <c r="K1462" i="170" s="1"/>
  <c r="I1475" i="170"/>
  <c r="K1475" i="170" s="1"/>
  <c r="K1472" i="170"/>
  <c r="I1463" i="170"/>
  <c r="K1463" i="170" s="1"/>
  <c r="K1454" i="170"/>
  <c r="I1460" i="170"/>
  <c r="K1460" i="170" s="1"/>
  <c r="I1458" i="170"/>
  <c r="K1458" i="170" s="1"/>
  <c r="C1459" i="170"/>
  <c r="E1459" i="170" s="1"/>
  <c r="C1457" i="170"/>
  <c r="E1457" i="170" s="1"/>
  <c r="I1477" i="170"/>
  <c r="K1477" i="170" s="1"/>
  <c r="I1478" i="170"/>
  <c r="K1478" i="170" s="1"/>
  <c r="I1461" i="170"/>
  <c r="K1461" i="170" s="1"/>
  <c r="C1460" i="170"/>
  <c r="E1460" i="170" s="1"/>
  <c r="I1457" i="170"/>
  <c r="K1457" i="170" s="1"/>
  <c r="C1458" i="170"/>
  <c r="E1458" i="170" s="1"/>
  <c r="I1480" i="170"/>
  <c r="K1480" i="170" s="1"/>
  <c r="I1476" i="170"/>
  <c r="K1476" i="170" s="1"/>
  <c r="E1472" i="170"/>
  <c r="C1549" i="170"/>
  <c r="E1549" i="170" s="1"/>
  <c r="I1617" i="170"/>
  <c r="K1617" i="170" s="1"/>
  <c r="C1668" i="170"/>
  <c r="E1668" i="170" s="1"/>
  <c r="C1685" i="170"/>
  <c r="E1685" i="170" s="1"/>
  <c r="I1549" i="170"/>
  <c r="K1549" i="170" s="1"/>
  <c r="C1702" i="170"/>
  <c r="E1702" i="170" s="1"/>
  <c r="I1515" i="170"/>
  <c r="K1515" i="170" s="1"/>
  <c r="I1651" i="170"/>
  <c r="K1651" i="170" s="1"/>
  <c r="C1566" i="170"/>
  <c r="E1566" i="170" s="1"/>
  <c r="I1634" i="170"/>
  <c r="K1634" i="170" s="1"/>
  <c r="C1515" i="170"/>
  <c r="E1515" i="170" s="1"/>
  <c r="C1532" i="170"/>
  <c r="E1532" i="170" s="1"/>
  <c r="C1583" i="170"/>
  <c r="E1583" i="170" s="1"/>
  <c r="I1668" i="170"/>
  <c r="K1668" i="170" s="1"/>
  <c r="C1617" i="170"/>
  <c r="E1617" i="170" s="1"/>
  <c r="I1702" i="170"/>
  <c r="K1702" i="170" s="1"/>
  <c r="C1651" i="170"/>
  <c r="E1651" i="170" s="1"/>
  <c r="I1600" i="170"/>
  <c r="K1600" i="170" s="1"/>
  <c r="C1719" i="170"/>
  <c r="E1719" i="170" s="1"/>
  <c r="I1583" i="170"/>
  <c r="K1583" i="170" s="1"/>
  <c r="C1600" i="170"/>
  <c r="E1600" i="170" s="1"/>
  <c r="I1685" i="170"/>
  <c r="K1685" i="170" s="1"/>
  <c r="C1634" i="170"/>
  <c r="E1634" i="170" s="1"/>
  <c r="E1062" i="170"/>
  <c r="E1368" i="170"/>
  <c r="I1566" i="170"/>
  <c r="K1566" i="170" s="1"/>
  <c r="I1532" i="170"/>
  <c r="K1532" i="170" s="1"/>
  <c r="I1498" i="170"/>
  <c r="K1498" i="170" s="1"/>
  <c r="C2319" i="170"/>
  <c r="E2319" i="170" s="1"/>
  <c r="I2095" i="170"/>
  <c r="K2095" i="170" s="1"/>
  <c r="I1603" i="170"/>
  <c r="K1603" i="170" s="1"/>
  <c r="C2011" i="170"/>
  <c r="E2011" i="170" s="1"/>
  <c r="C1586" i="170"/>
  <c r="E1586" i="170" s="1"/>
  <c r="I1756" i="170"/>
  <c r="K1756" i="170" s="1"/>
  <c r="I1637" i="170"/>
  <c r="K1637" i="170" s="1"/>
  <c r="C1926" i="170"/>
  <c r="E1926" i="170" s="1"/>
  <c r="C1892" i="170"/>
  <c r="E1892" i="170" s="1"/>
  <c r="I1705" i="170"/>
  <c r="K1705" i="170" s="1"/>
  <c r="I868" i="170"/>
  <c r="K868" i="170" s="1"/>
  <c r="C885" i="170"/>
  <c r="E885" i="170" s="1"/>
  <c r="I936" i="170"/>
  <c r="K936" i="170" s="1"/>
  <c r="C1191" i="170"/>
  <c r="E1191" i="170" s="1"/>
  <c r="I1089" i="170"/>
  <c r="K1089" i="170" s="1"/>
  <c r="C767" i="170"/>
  <c r="E767" i="170" s="1"/>
  <c r="C970" i="170"/>
  <c r="E970" i="170" s="1"/>
  <c r="I1276" i="170"/>
  <c r="K1276" i="170" s="1"/>
  <c r="I2560" i="170"/>
  <c r="K2560" i="170" s="1"/>
  <c r="C2191" i="170"/>
  <c r="E2191" i="170" s="1"/>
  <c r="C2415" i="170"/>
  <c r="E2415" i="170" s="1"/>
  <c r="I2191" i="170"/>
  <c r="K2191" i="170" s="1"/>
  <c r="C2255" i="170"/>
  <c r="E2255" i="170" s="1"/>
  <c r="I2367" i="170"/>
  <c r="K2367" i="170" s="1"/>
  <c r="C2239" i="170"/>
  <c r="E2239" i="170" s="1"/>
  <c r="I1977" i="170"/>
  <c r="K1977" i="170" s="1"/>
  <c r="I1535" i="170"/>
  <c r="K1535" i="170" s="1"/>
  <c r="C1293" i="170"/>
  <c r="E1293" i="170" s="1"/>
  <c r="C1378" i="170"/>
  <c r="E1378" i="170" s="1"/>
  <c r="C801" i="170"/>
  <c r="E801" i="170" s="1"/>
  <c r="C1004" i="170"/>
  <c r="E1004" i="170" s="1"/>
  <c r="I2527" i="170"/>
  <c r="K2527" i="170" s="1"/>
  <c r="I1429" i="170"/>
  <c r="K1429" i="170" s="1"/>
  <c r="C2511" i="170"/>
  <c r="E2511" i="170" s="1"/>
  <c r="C2271" i="170"/>
  <c r="E2271" i="170" s="1"/>
  <c r="I2287" i="170"/>
  <c r="K2287" i="170" s="1"/>
  <c r="I2511" i="170"/>
  <c r="K2511" i="170" s="1"/>
  <c r="I2111" i="170"/>
  <c r="K2111" i="170" s="1"/>
  <c r="I2399" i="170"/>
  <c r="K2399" i="170" s="1"/>
  <c r="C1688" i="170"/>
  <c r="E1688" i="170" s="1"/>
  <c r="I1790" i="170"/>
  <c r="K1790" i="170" s="1"/>
  <c r="I1518" i="170"/>
  <c r="K1518" i="170" s="1"/>
  <c r="I1943" i="170"/>
  <c r="K1943" i="170" s="1"/>
  <c r="I1586" i="170"/>
  <c r="K1586" i="170" s="1"/>
  <c r="C1841" i="170"/>
  <c r="E1841" i="170" s="1"/>
  <c r="C1569" i="170"/>
  <c r="E1569" i="170" s="1"/>
  <c r="I1259" i="170"/>
  <c r="K1259" i="170" s="1"/>
  <c r="C953" i="170"/>
  <c r="E953" i="170" s="1"/>
  <c r="I987" i="170"/>
  <c r="K987" i="170" s="1"/>
  <c r="I1004" i="170"/>
  <c r="K1004" i="170" s="1"/>
  <c r="I1327" i="170"/>
  <c r="K1327" i="170" s="1"/>
  <c r="I1038" i="170"/>
  <c r="K1038" i="170" s="1"/>
  <c r="I1395" i="170"/>
  <c r="K1395" i="170" s="1"/>
  <c r="C868" i="170"/>
  <c r="E868" i="170" s="1"/>
  <c r="C1361" i="170"/>
  <c r="E1361" i="170" s="1"/>
  <c r="I2543" i="170"/>
  <c r="K2543" i="170" s="1"/>
  <c r="C1446" i="170"/>
  <c r="E1446" i="170" s="1"/>
  <c r="I2603" i="170"/>
  <c r="K2603" i="170" s="1"/>
  <c r="I2447" i="170"/>
  <c r="K2447" i="170" s="1"/>
  <c r="C2383" i="170"/>
  <c r="E2383" i="170" s="1"/>
  <c r="I2351" i="170"/>
  <c r="K2351" i="170" s="1"/>
  <c r="I2239" i="170"/>
  <c r="K2239" i="170" s="1"/>
  <c r="I2255" i="170"/>
  <c r="K2255" i="170" s="1"/>
  <c r="C2079" i="170"/>
  <c r="E2079" i="170" s="1"/>
  <c r="C2351" i="170"/>
  <c r="E2351" i="170" s="1"/>
  <c r="I2011" i="170"/>
  <c r="K2011" i="170" s="1"/>
  <c r="I1875" i="170"/>
  <c r="K1875" i="170" s="1"/>
  <c r="C1773" i="170"/>
  <c r="E1773" i="170" s="1"/>
  <c r="I1739" i="170"/>
  <c r="K1739" i="170" s="1"/>
  <c r="C1535" i="170"/>
  <c r="E1535" i="170" s="1"/>
  <c r="C1994" i="170"/>
  <c r="E1994" i="170" s="1"/>
  <c r="C1518" i="170"/>
  <c r="E1518" i="170" s="1"/>
  <c r="I1773" i="170"/>
  <c r="K1773" i="170" s="1"/>
  <c r="C1637" i="170"/>
  <c r="E1637" i="170" s="1"/>
  <c r="C1739" i="170"/>
  <c r="E1739" i="170" s="1"/>
  <c r="C1620" i="170"/>
  <c r="E1620" i="170" s="1"/>
  <c r="I1807" i="170"/>
  <c r="K1807" i="170" s="1"/>
  <c r="I1191" i="170"/>
  <c r="K1191" i="170" s="1"/>
  <c r="I1055" i="170"/>
  <c r="K1055" i="170" s="1"/>
  <c r="I1072" i="170"/>
  <c r="K1072" i="170" s="1"/>
  <c r="I953" i="170"/>
  <c r="K953" i="170" s="1"/>
  <c r="I1157" i="170"/>
  <c r="K1157" i="170" s="1"/>
  <c r="C1327" i="170"/>
  <c r="E1327" i="170" s="1"/>
  <c r="C1242" i="170"/>
  <c r="E1242" i="170" s="1"/>
  <c r="I885" i="170"/>
  <c r="K885" i="170" s="1"/>
  <c r="I1208" i="170"/>
  <c r="K1208" i="170" s="1"/>
  <c r="I851" i="170"/>
  <c r="K851" i="170" s="1"/>
  <c r="C1157" i="170"/>
  <c r="E1157" i="170" s="1"/>
  <c r="C1412" i="170"/>
  <c r="E1412" i="170" s="1"/>
  <c r="I2079" i="170"/>
  <c r="K2079" i="170" s="1"/>
  <c r="I2143" i="170"/>
  <c r="K2143" i="170" s="1"/>
  <c r="I2431" i="170"/>
  <c r="K2431" i="170" s="1"/>
  <c r="I2463" i="170"/>
  <c r="K2463" i="170" s="1"/>
  <c r="C2447" i="170"/>
  <c r="E2447" i="170" s="1"/>
  <c r="C2399" i="170"/>
  <c r="E2399" i="170" s="1"/>
  <c r="C2143" i="170"/>
  <c r="E2143" i="170" s="1"/>
  <c r="I2415" i="170"/>
  <c r="K2415" i="170" s="1"/>
  <c r="I2159" i="170"/>
  <c r="K2159" i="170" s="1"/>
  <c r="C2367" i="170"/>
  <c r="E2367" i="170" s="1"/>
  <c r="I2223" i="170"/>
  <c r="K2223" i="170" s="1"/>
  <c r="C2479" i="170"/>
  <c r="E2479" i="170" s="1"/>
  <c r="I2127" i="170"/>
  <c r="K2127" i="170" s="1"/>
  <c r="I2207" i="170"/>
  <c r="K2207" i="170" s="1"/>
  <c r="I2175" i="170"/>
  <c r="K2175" i="170" s="1"/>
  <c r="C2335" i="170"/>
  <c r="E2335" i="170" s="1"/>
  <c r="I2335" i="170"/>
  <c r="K2335" i="170" s="1"/>
  <c r="I1569" i="170"/>
  <c r="K1569" i="170" s="1"/>
  <c r="I1892" i="170"/>
  <c r="K1892" i="170" s="1"/>
  <c r="I1620" i="170"/>
  <c r="K1620" i="170" s="1"/>
  <c r="I1654" i="170"/>
  <c r="K1654" i="170" s="1"/>
  <c r="I1671" i="170"/>
  <c r="K1671" i="170" s="1"/>
  <c r="C1960" i="170"/>
  <c r="E1960" i="170" s="1"/>
  <c r="I1552" i="170"/>
  <c r="K1552" i="170" s="1"/>
  <c r="C1705" i="170"/>
  <c r="E1705" i="170" s="1"/>
  <c r="I1688" i="170"/>
  <c r="K1688" i="170" s="1"/>
  <c r="C1671" i="170"/>
  <c r="E1671" i="170" s="1"/>
  <c r="C1909" i="170"/>
  <c r="E1909" i="170" s="1"/>
  <c r="C851" i="170"/>
  <c r="E851" i="170" s="1"/>
  <c r="C1140" i="170"/>
  <c r="E1140" i="170" s="1"/>
  <c r="C1344" i="170"/>
  <c r="E1344" i="170" s="1"/>
  <c r="C1123" i="170"/>
  <c r="E1123" i="170" s="1"/>
  <c r="I801" i="170"/>
  <c r="K801" i="170" s="1"/>
  <c r="C1089" i="170"/>
  <c r="E1089" i="170" s="1"/>
  <c r="C1276" i="170"/>
  <c r="E1276" i="170" s="1"/>
  <c r="I1140" i="170"/>
  <c r="K1140" i="170" s="1"/>
  <c r="I1021" i="170"/>
  <c r="K1021" i="170" s="1"/>
  <c r="C1038" i="170"/>
  <c r="E1038" i="170" s="1"/>
  <c r="I1242" i="170"/>
  <c r="K1242" i="170" s="1"/>
  <c r="C1395" i="170"/>
  <c r="E1395" i="170" s="1"/>
  <c r="I902" i="170"/>
  <c r="K902" i="170" s="1"/>
  <c r="C1259" i="170"/>
  <c r="E1259" i="170" s="1"/>
  <c r="I1174" i="170"/>
  <c r="K1174" i="170" s="1"/>
  <c r="I1106" i="170"/>
  <c r="K1106" i="170" s="1"/>
  <c r="I2576" i="170"/>
  <c r="K2576" i="170" s="1"/>
  <c r="C1429" i="170"/>
  <c r="E1429" i="170" s="1"/>
  <c r="I2271" i="170"/>
  <c r="K2271" i="170" s="1"/>
  <c r="C2527" i="170"/>
  <c r="E2527" i="170" s="1"/>
  <c r="I2495" i="170"/>
  <c r="K2495" i="170" s="1"/>
  <c r="C2159" i="170"/>
  <c r="E2159" i="170" s="1"/>
  <c r="C2463" i="170"/>
  <c r="E2463" i="170" s="1"/>
  <c r="C1722" i="170"/>
  <c r="E1722" i="170" s="1"/>
  <c r="C1756" i="170"/>
  <c r="E1756" i="170" s="1"/>
  <c r="C1021" i="170"/>
  <c r="E1021" i="170" s="1"/>
  <c r="C834" i="170"/>
  <c r="E834" i="170" s="1"/>
  <c r="I970" i="170"/>
  <c r="K970" i="170" s="1"/>
  <c r="I1361" i="170"/>
  <c r="K1361" i="170" s="1"/>
  <c r="C987" i="170"/>
  <c r="E987" i="170" s="1"/>
  <c r="I2063" i="170"/>
  <c r="K2063" i="170" s="1"/>
  <c r="I2319" i="170"/>
  <c r="K2319" i="170" s="1"/>
  <c r="C2495" i="170"/>
  <c r="E2495" i="170" s="1"/>
  <c r="I2479" i="170"/>
  <c r="K2479" i="170" s="1"/>
  <c r="C2095" i="170"/>
  <c r="E2095" i="170" s="1"/>
  <c r="I2383" i="170"/>
  <c r="K2383" i="170" s="1"/>
  <c r="C2287" i="170"/>
  <c r="E2287" i="170" s="1"/>
  <c r="C2207" i="170"/>
  <c r="E2207" i="170" s="1"/>
  <c r="C2223" i="170"/>
  <c r="E2223" i="170" s="1"/>
  <c r="C2303" i="170"/>
  <c r="E2303" i="170" s="1"/>
  <c r="I2303" i="170"/>
  <c r="K2303" i="170" s="1"/>
  <c r="C2127" i="170"/>
  <c r="E2127" i="170" s="1"/>
  <c r="C1654" i="170"/>
  <c r="E1654" i="170" s="1"/>
  <c r="C1977" i="170"/>
  <c r="E1977" i="170" s="1"/>
  <c r="C1807" i="170"/>
  <c r="E1807" i="170" s="1"/>
  <c r="I1994" i="170"/>
  <c r="K1994" i="170" s="1"/>
  <c r="C1858" i="170"/>
  <c r="E1858" i="170" s="1"/>
  <c r="C1824" i="170"/>
  <c r="E1824" i="170" s="1"/>
  <c r="I1824" i="170"/>
  <c r="K1824" i="170" s="1"/>
  <c r="I1722" i="170"/>
  <c r="K1722" i="170" s="1"/>
  <c r="C1875" i="170"/>
  <c r="E1875" i="170" s="1"/>
  <c r="I1960" i="170"/>
  <c r="K1960" i="170" s="1"/>
  <c r="C1943" i="170"/>
  <c r="E1943" i="170" s="1"/>
  <c r="I750" i="170"/>
  <c r="K750" i="170" s="1"/>
  <c r="I784" i="170"/>
  <c r="K784" i="170" s="1"/>
  <c r="C1310" i="170"/>
  <c r="E1310" i="170" s="1"/>
  <c r="C1225" i="170"/>
  <c r="E1225" i="170" s="1"/>
  <c r="I1293" i="170"/>
  <c r="K1293" i="170" s="1"/>
  <c r="C818" i="170"/>
  <c r="E818" i="170" s="1"/>
  <c r="I834" i="170"/>
  <c r="K834" i="170" s="1"/>
  <c r="C919" i="170"/>
  <c r="E919" i="170" s="1"/>
  <c r="I818" i="170"/>
  <c r="K818" i="170" s="1"/>
  <c r="I1225" i="170"/>
  <c r="K1225" i="170" s="1"/>
  <c r="I919" i="170"/>
  <c r="K919" i="170" s="1"/>
  <c r="I1123" i="170"/>
  <c r="K1123" i="170" s="1"/>
  <c r="C1055" i="170"/>
  <c r="E1055" i="170" s="1"/>
  <c r="C1208" i="170"/>
  <c r="E1208" i="170" s="1"/>
  <c r="C1072" i="170"/>
  <c r="E1072" i="170" s="1"/>
  <c r="I767" i="170"/>
  <c r="K767" i="170" s="1"/>
  <c r="C902" i="170"/>
  <c r="E902" i="170" s="1"/>
  <c r="I1378" i="170"/>
  <c r="K1378" i="170" s="1"/>
  <c r="C1106" i="170"/>
  <c r="E1106" i="170" s="1"/>
  <c r="I1310" i="170"/>
  <c r="K1310" i="170" s="1"/>
  <c r="C936" i="170"/>
  <c r="E936" i="170" s="1"/>
  <c r="I1412" i="170"/>
  <c r="K1412" i="170" s="1"/>
  <c r="C2576" i="170"/>
  <c r="E2576" i="170" s="1"/>
  <c r="C2543" i="170"/>
  <c r="E2543" i="170" s="1"/>
  <c r="C1464" i="170"/>
  <c r="E1464" i="170" s="1"/>
  <c r="O17" i="101"/>
  <c r="O82" i="101" s="1"/>
  <c r="K1436" i="170"/>
  <c r="K1402" i="170"/>
  <c r="E1419" i="170"/>
  <c r="K1419" i="170"/>
  <c r="E1436" i="170"/>
  <c r="K1300" i="170"/>
  <c r="K1181" i="170"/>
  <c r="E1079" i="170"/>
  <c r="K943" i="170"/>
  <c r="K960" i="170"/>
  <c r="K1266" i="170"/>
  <c r="E1283" i="170"/>
  <c r="K1249" i="170"/>
  <c r="E1266" i="170"/>
  <c r="E1045" i="170"/>
  <c r="K1147" i="170"/>
  <c r="K1334" i="170"/>
  <c r="E1164" i="170"/>
  <c r="E858" i="170"/>
  <c r="E977" i="170"/>
  <c r="K1283" i="170"/>
  <c r="E824" i="170"/>
  <c r="K808" i="170"/>
  <c r="K892" i="170"/>
  <c r="E1215" i="170"/>
  <c r="K1215" i="170"/>
  <c r="K1096" i="170"/>
  <c r="K1045" i="170"/>
  <c r="K858" i="170"/>
  <c r="E875" i="170"/>
  <c r="E1181" i="170"/>
  <c r="E1096" i="170"/>
  <c r="E926" i="170"/>
  <c r="K926" i="170"/>
  <c r="E1130" i="170"/>
  <c r="E1113" i="170"/>
  <c r="E960" i="170"/>
  <c r="E1028" i="170"/>
  <c r="K1079" i="170"/>
  <c r="K1028" i="170"/>
  <c r="E1351" i="170"/>
  <c r="K1232" i="170"/>
  <c r="K1317" i="170"/>
  <c r="K994" i="170"/>
  <c r="E1011" i="170"/>
  <c r="E1317" i="170"/>
  <c r="E1198" i="170"/>
  <c r="K1062" i="170"/>
  <c r="K841" i="170"/>
  <c r="E1402" i="170"/>
  <c r="E1249" i="170"/>
  <c r="E1232" i="170"/>
  <c r="E1334" i="170"/>
  <c r="E1300" i="170"/>
  <c r="K1351" i="170"/>
  <c r="K1164" i="170"/>
  <c r="K909" i="170"/>
  <c r="E943" i="170"/>
  <c r="K1368" i="170"/>
  <c r="K824" i="170"/>
  <c r="K1130" i="170"/>
  <c r="E1147" i="170"/>
  <c r="K977" i="170"/>
  <c r="E994" i="170"/>
  <c r="E909" i="170"/>
  <c r="K875" i="170"/>
  <c r="K1198" i="170"/>
  <c r="E892" i="170"/>
  <c r="K1113" i="170"/>
  <c r="E1385" i="170"/>
  <c r="E841" i="170"/>
  <c r="K1011" i="170"/>
  <c r="K1385" i="170"/>
  <c r="K2566" i="170"/>
  <c r="K2533" i="170"/>
  <c r="K2550" i="170"/>
  <c r="K2517" i="170"/>
  <c r="E2566" i="170"/>
  <c r="E2582" i="170"/>
  <c r="E2550" i="170"/>
  <c r="K2582" i="170"/>
  <c r="E2533" i="170"/>
  <c r="E2069" i="170"/>
  <c r="E2325" i="170"/>
  <c r="E2117" i="170"/>
  <c r="E2501" i="170"/>
  <c r="K2197" i="170"/>
  <c r="K2101" i="170"/>
  <c r="K2213" i="170"/>
  <c r="E2245" i="170"/>
  <c r="E2261" i="170"/>
  <c r="E2405" i="170"/>
  <c r="K2469" i="170"/>
  <c r="E2373" i="170"/>
  <c r="K2069" i="170"/>
  <c r="K2485" i="170"/>
  <c r="K2149" i="170"/>
  <c r="K2405" i="170"/>
  <c r="E2165" i="170"/>
  <c r="E2421" i="170"/>
  <c r="K2245" i="170"/>
  <c r="E2197" i="170"/>
  <c r="E2453" i="170"/>
  <c r="E2277" i="170"/>
  <c r="K2453" i="170"/>
  <c r="K2357" i="170"/>
  <c r="K2341" i="170"/>
  <c r="K2437" i="170"/>
  <c r="E2149" i="170"/>
  <c r="E2133" i="170"/>
  <c r="E2389" i="170"/>
  <c r="E2181" i="170"/>
  <c r="K2325" i="170"/>
  <c r="E2485" i="170"/>
  <c r="K2229" i="170"/>
  <c r="K2277" i="170"/>
  <c r="K2501" i="170"/>
  <c r="E2293" i="170"/>
  <c r="E2517" i="170"/>
  <c r="K2117" i="170"/>
  <c r="E2341" i="170"/>
  <c r="K2421" i="170"/>
  <c r="E2469" i="170"/>
  <c r="K2389" i="170"/>
  <c r="K2293" i="170"/>
  <c r="K2261" i="170"/>
  <c r="K2181" i="170"/>
  <c r="E2437" i="170"/>
  <c r="E2101" i="170"/>
  <c r="K2165" i="170"/>
  <c r="K2133" i="170"/>
  <c r="K2373" i="170"/>
  <c r="E2309" i="170"/>
  <c r="E2357" i="170"/>
  <c r="E2213" i="170"/>
  <c r="E2085" i="170"/>
  <c r="E2229" i="170"/>
  <c r="K2085" i="170"/>
  <c r="K2309" i="170"/>
  <c r="K2053" i="170"/>
  <c r="E2018" i="170"/>
  <c r="E2035" i="170"/>
  <c r="K2018" i="170"/>
  <c r="E1695" i="170"/>
  <c r="E1576" i="170"/>
  <c r="K1508" i="170"/>
  <c r="K1933" i="170"/>
  <c r="K1695" i="170"/>
  <c r="K1882" i="170"/>
  <c r="K1865" i="170"/>
  <c r="E1899" i="170"/>
  <c r="K1712" i="170"/>
  <c r="K2001" i="170"/>
  <c r="E1814" i="170"/>
  <c r="E1559" i="170"/>
  <c r="K1916" i="170"/>
  <c r="K1661" i="170"/>
  <c r="E1661" i="170"/>
  <c r="E1780" i="170"/>
  <c r="K1746" i="170"/>
  <c r="E1882" i="170"/>
  <c r="K1593" i="170"/>
  <c r="E2001" i="170"/>
  <c r="E1916" i="170"/>
  <c r="K1542" i="170"/>
  <c r="K1729" i="170"/>
  <c r="E1542" i="170"/>
  <c r="E1967" i="170"/>
  <c r="K1763" i="170"/>
  <c r="K1780" i="170"/>
  <c r="E1950" i="170"/>
  <c r="E1525" i="170"/>
  <c r="E1508" i="170"/>
  <c r="K1610" i="170"/>
  <c r="E1610" i="170"/>
  <c r="K1899" i="170"/>
  <c r="K1984" i="170"/>
  <c r="E1644" i="170"/>
  <c r="E1831" i="170"/>
  <c r="E1848" i="170"/>
  <c r="K1644" i="170"/>
  <c r="E1678" i="170"/>
  <c r="E1933" i="170"/>
  <c r="K1967" i="170"/>
  <c r="K1627" i="170"/>
  <c r="E1729" i="170"/>
  <c r="K1814" i="170"/>
  <c r="K1559" i="170"/>
  <c r="E1712" i="170"/>
  <c r="K1678" i="170"/>
  <c r="E1593" i="170"/>
  <c r="E1797" i="170"/>
  <c r="K1576" i="170"/>
  <c r="K1950" i="170"/>
  <c r="K1525" i="170"/>
  <c r="K1831" i="170"/>
  <c r="K1848" i="170"/>
  <c r="E1746" i="170"/>
  <c r="E1865" i="170"/>
  <c r="E1627" i="170"/>
  <c r="K1797" i="170"/>
  <c r="E1763" i="170"/>
  <c r="E1984" i="170"/>
  <c r="K1491" i="170"/>
  <c r="P114" i="151"/>
  <c r="P113" i="151" s="1"/>
  <c r="I2062" i="170"/>
  <c r="K2062" i="170" s="1"/>
  <c r="C2174" i="170"/>
  <c r="E2174" i="170" s="1"/>
  <c r="I2318" i="170"/>
  <c r="K2318" i="170" s="1"/>
  <c r="I2478" i="170"/>
  <c r="K2478" i="170" s="1"/>
  <c r="I2382" i="170"/>
  <c r="K2382" i="170" s="1"/>
  <c r="C1653" i="170"/>
  <c r="E1653" i="170" s="1"/>
  <c r="I1292" i="170"/>
  <c r="K1292" i="170" s="1"/>
  <c r="C817" i="170"/>
  <c r="E817" i="170" s="1"/>
  <c r="I766" i="170"/>
  <c r="K766" i="170" s="1"/>
  <c r="C2302" i="170"/>
  <c r="E2302" i="170" s="1"/>
  <c r="C1874" i="170"/>
  <c r="E1874" i="170" s="1"/>
  <c r="I749" i="170"/>
  <c r="K749" i="170" s="1"/>
  <c r="C1071" i="170"/>
  <c r="E1071" i="170" s="1"/>
  <c r="C1976" i="170"/>
  <c r="E1976" i="170" s="1"/>
  <c r="C1568" i="170"/>
  <c r="E1568" i="170" s="1"/>
  <c r="I833" i="170"/>
  <c r="K833" i="170" s="1"/>
  <c r="C1105" i="170"/>
  <c r="E1105" i="170" s="1"/>
  <c r="C2094" i="170"/>
  <c r="E2094" i="170" s="1"/>
  <c r="C2222" i="170"/>
  <c r="E2222" i="170" s="1"/>
  <c r="C2126" i="170"/>
  <c r="E2126" i="170" s="1"/>
  <c r="I1959" i="170"/>
  <c r="K1959" i="170" s="1"/>
  <c r="C2510" i="170"/>
  <c r="E2510" i="170" s="1"/>
  <c r="I2270" i="170"/>
  <c r="K2270" i="170" s="1"/>
  <c r="I2398" i="170"/>
  <c r="K2398" i="170" s="1"/>
  <c r="I1755" i="170"/>
  <c r="K1755" i="170" s="1"/>
  <c r="I1789" i="170"/>
  <c r="K1789" i="170" s="1"/>
  <c r="I1585" i="170"/>
  <c r="K1585" i="170" s="1"/>
  <c r="C2190" i="170"/>
  <c r="E2190" i="170" s="1"/>
  <c r="C2414" i="170"/>
  <c r="E2414" i="170" s="1"/>
  <c r="C2382" i="170"/>
  <c r="E2382" i="170" s="1"/>
  <c r="I2366" i="170"/>
  <c r="K2366" i="170" s="1"/>
  <c r="I2238" i="170"/>
  <c r="K2238" i="170" s="1"/>
  <c r="I2010" i="170"/>
  <c r="K2010" i="170" s="1"/>
  <c r="I1857" i="170"/>
  <c r="K1857" i="170" s="1"/>
  <c r="I2526" i="170"/>
  <c r="K2526" i="170" s="1"/>
  <c r="C2542" i="170"/>
  <c r="E2542" i="170" s="1"/>
  <c r="I1500" i="170"/>
  <c r="K1500" i="170" s="1"/>
  <c r="C1857" i="170"/>
  <c r="E1857" i="170" s="1"/>
  <c r="C1602" i="170"/>
  <c r="E1602" i="170" s="1"/>
  <c r="C1309" i="170"/>
  <c r="E1309" i="170" s="1"/>
  <c r="I1224" i="170"/>
  <c r="K1224" i="170" s="1"/>
  <c r="C1207" i="170"/>
  <c r="E1207" i="170" s="1"/>
  <c r="C901" i="170"/>
  <c r="E901" i="170" s="1"/>
  <c r="I1377" i="170"/>
  <c r="K1377" i="170" s="1"/>
  <c r="I2510" i="170"/>
  <c r="K2510" i="170" s="1"/>
  <c r="C2462" i="170"/>
  <c r="E2462" i="170" s="1"/>
  <c r="I2094" i="170"/>
  <c r="K2094" i="170" s="1"/>
  <c r="C2010" i="170"/>
  <c r="E2010" i="170" s="1"/>
  <c r="C1585" i="170"/>
  <c r="E1585" i="170" s="1"/>
  <c r="C1721" i="170"/>
  <c r="E1721" i="170" s="1"/>
  <c r="I1840" i="170"/>
  <c r="K1840" i="170" s="1"/>
  <c r="C1755" i="170"/>
  <c r="E1755" i="170" s="1"/>
  <c r="C1840" i="170"/>
  <c r="E1840" i="170" s="1"/>
  <c r="C1925" i="170"/>
  <c r="E1925" i="170" s="1"/>
  <c r="C1789" i="170"/>
  <c r="E1789" i="170" s="1"/>
  <c r="I1704" i="170"/>
  <c r="K1704" i="170" s="1"/>
  <c r="I867" i="170"/>
  <c r="K867" i="170" s="1"/>
  <c r="C1020" i="170"/>
  <c r="E1020" i="170" s="1"/>
  <c r="C833" i="170"/>
  <c r="E833" i="170" s="1"/>
  <c r="I969" i="170"/>
  <c r="K969" i="170" s="1"/>
  <c r="I1258" i="170"/>
  <c r="K1258" i="170" s="1"/>
  <c r="C952" i="170"/>
  <c r="E952" i="170" s="1"/>
  <c r="C1173" i="170"/>
  <c r="E1173" i="170" s="1"/>
  <c r="I986" i="170"/>
  <c r="K986" i="170" s="1"/>
  <c r="I1360" i="170"/>
  <c r="K1360" i="170" s="1"/>
  <c r="C1190" i="170"/>
  <c r="E1190" i="170" s="1"/>
  <c r="C986" i="170"/>
  <c r="E986" i="170" s="1"/>
  <c r="I1326" i="170"/>
  <c r="K1326" i="170" s="1"/>
  <c r="I1037" i="170"/>
  <c r="K1037" i="170" s="1"/>
  <c r="I1394" i="170"/>
  <c r="K1394" i="170" s="1"/>
  <c r="C766" i="170"/>
  <c r="E766" i="170" s="1"/>
  <c r="C969" i="170"/>
  <c r="E969" i="170" s="1"/>
  <c r="I1275" i="170"/>
  <c r="K1275" i="170" s="1"/>
  <c r="I2542" i="170"/>
  <c r="K2542" i="170" s="1"/>
  <c r="I2575" i="170"/>
  <c r="K2575" i="170" s="1"/>
  <c r="C2430" i="170"/>
  <c r="E2430" i="170" s="1"/>
  <c r="I2190" i="170"/>
  <c r="K2190" i="170" s="1"/>
  <c r="C2238" i="170"/>
  <c r="E2238" i="170" s="1"/>
  <c r="I2350" i="170"/>
  <c r="K2350" i="170" s="1"/>
  <c r="C2078" i="170"/>
  <c r="E2078" i="170" s="1"/>
  <c r="C2110" i="170"/>
  <c r="E2110" i="170" s="1"/>
  <c r="I1874" i="170"/>
  <c r="K1874" i="170" s="1"/>
  <c r="I1738" i="170"/>
  <c r="K1738" i="170" s="1"/>
  <c r="C1534" i="170"/>
  <c r="E1534" i="170" s="1"/>
  <c r="C1993" i="170"/>
  <c r="E1993" i="170" s="1"/>
  <c r="I1976" i="170"/>
  <c r="K1976" i="170" s="1"/>
  <c r="I1772" i="170"/>
  <c r="K1772" i="170" s="1"/>
  <c r="C1636" i="170"/>
  <c r="E1636" i="170" s="1"/>
  <c r="I1908" i="170"/>
  <c r="K1908" i="170" s="1"/>
  <c r="C1738" i="170"/>
  <c r="E1738" i="170" s="1"/>
  <c r="C1619" i="170"/>
  <c r="E1619" i="170" s="1"/>
  <c r="I1190" i="170"/>
  <c r="K1190" i="170" s="1"/>
  <c r="I1054" i="170"/>
  <c r="K1054" i="170" s="1"/>
  <c r="I1071" i="170"/>
  <c r="K1071" i="170" s="1"/>
  <c r="I1156" i="170"/>
  <c r="K1156" i="170" s="1"/>
  <c r="C1326" i="170"/>
  <c r="E1326" i="170" s="1"/>
  <c r="C1241" i="170"/>
  <c r="E1241" i="170" s="1"/>
  <c r="I1207" i="170"/>
  <c r="K1207" i="170" s="1"/>
  <c r="I850" i="170"/>
  <c r="K850" i="170" s="1"/>
  <c r="C783" i="170"/>
  <c r="E783" i="170" s="1"/>
  <c r="C1292" i="170"/>
  <c r="E1292" i="170" s="1"/>
  <c r="C1411" i="170"/>
  <c r="E1411" i="170" s="1"/>
  <c r="C1377" i="170"/>
  <c r="E1377" i="170" s="1"/>
  <c r="C1003" i="170"/>
  <c r="E1003" i="170" s="1"/>
  <c r="C2559" i="170"/>
  <c r="E2559" i="170" s="1"/>
  <c r="C1445" i="170"/>
  <c r="E1445" i="170" s="1"/>
  <c r="I2302" i="170"/>
  <c r="K2302" i="170" s="1"/>
  <c r="I1993" i="170"/>
  <c r="K1993" i="170" s="1"/>
  <c r="I1721" i="170"/>
  <c r="K1721" i="170" s="1"/>
  <c r="C2318" i="170"/>
  <c r="E2318" i="170" s="1"/>
  <c r="I2494" i="170"/>
  <c r="K2494" i="170" s="1"/>
  <c r="C2158" i="170"/>
  <c r="E2158" i="170" s="1"/>
  <c r="I2142" i="170"/>
  <c r="K2142" i="170" s="1"/>
  <c r="I2430" i="170"/>
  <c r="K2430" i="170" s="1"/>
  <c r="I2462" i="170"/>
  <c r="K2462" i="170" s="1"/>
  <c r="C2478" i="170"/>
  <c r="E2478" i="170" s="1"/>
  <c r="I2206" i="170"/>
  <c r="K2206" i="170" s="1"/>
  <c r="I2174" i="170"/>
  <c r="K2174" i="170" s="1"/>
  <c r="I1891" i="170"/>
  <c r="K1891" i="170" s="1"/>
  <c r="I1619" i="170"/>
  <c r="K1619" i="170" s="1"/>
  <c r="I1925" i="170"/>
  <c r="K1925" i="170" s="1"/>
  <c r="I1551" i="170"/>
  <c r="K1551" i="170" s="1"/>
  <c r="I1687" i="170"/>
  <c r="K1687" i="170" s="1"/>
  <c r="I2592" i="170"/>
  <c r="K2592" i="170" s="1"/>
  <c r="C1806" i="170"/>
  <c r="E1806" i="170" s="1"/>
  <c r="C1224" i="170"/>
  <c r="E1224" i="170" s="1"/>
  <c r="C918" i="170"/>
  <c r="E918" i="170" s="1"/>
  <c r="I918" i="170"/>
  <c r="K918" i="170" s="1"/>
  <c r="I1343" i="170"/>
  <c r="K1343" i="170" s="1"/>
  <c r="I1122" i="170"/>
  <c r="K1122" i="170" s="1"/>
  <c r="I1411" i="170"/>
  <c r="K1411" i="170" s="1"/>
  <c r="I2286" i="170"/>
  <c r="K2286" i="170" s="1"/>
  <c r="C2398" i="170"/>
  <c r="E2398" i="170" s="1"/>
  <c r="I2158" i="170"/>
  <c r="K2158" i="170" s="1"/>
  <c r="C2366" i="170"/>
  <c r="E2366" i="170" s="1"/>
  <c r="I2222" i="170"/>
  <c r="K2222" i="170" s="1"/>
  <c r="C2334" i="170"/>
  <c r="E2334" i="170" s="1"/>
  <c r="C1551" i="170"/>
  <c r="E1551" i="170" s="1"/>
  <c r="I1568" i="170"/>
  <c r="K1568" i="170" s="1"/>
  <c r="C1959" i="170"/>
  <c r="E1959" i="170" s="1"/>
  <c r="C1704" i="170"/>
  <c r="E1704" i="170" s="1"/>
  <c r="C1670" i="170"/>
  <c r="E1670" i="170" s="1"/>
  <c r="C850" i="170"/>
  <c r="E850" i="170" s="1"/>
  <c r="C1139" i="170"/>
  <c r="E1139" i="170" s="1"/>
  <c r="C1343" i="170"/>
  <c r="E1343" i="170" s="1"/>
  <c r="I800" i="170"/>
  <c r="K800" i="170" s="1"/>
  <c r="C1088" i="170"/>
  <c r="E1088" i="170" s="1"/>
  <c r="C1275" i="170"/>
  <c r="E1275" i="170" s="1"/>
  <c r="I1020" i="170"/>
  <c r="K1020" i="170" s="1"/>
  <c r="C1037" i="170"/>
  <c r="E1037" i="170" s="1"/>
  <c r="I1241" i="170"/>
  <c r="K1241" i="170" s="1"/>
  <c r="I901" i="170"/>
  <c r="K901" i="170" s="1"/>
  <c r="C1258" i="170"/>
  <c r="E1258" i="170" s="1"/>
  <c r="I1173" i="170"/>
  <c r="K1173" i="170" s="1"/>
  <c r="I1428" i="170"/>
  <c r="K1428" i="170" s="1"/>
  <c r="B2054" i="170"/>
  <c r="C2603" i="170"/>
  <c r="E2603" i="170" s="1"/>
  <c r="I2601" i="170"/>
  <c r="K2601" i="170" s="1"/>
  <c r="C2601" i="170"/>
  <c r="E2601" i="170" s="1"/>
  <c r="I2600" i="170"/>
  <c r="K2600" i="170" s="1"/>
  <c r="I2491" i="170"/>
  <c r="K2491" i="170" s="1"/>
  <c r="C2572" i="170"/>
  <c r="E2572" i="170" s="1"/>
  <c r="C2588" i="170"/>
  <c r="E2588" i="170" s="1"/>
  <c r="B1492" i="170"/>
  <c r="I2539" i="170"/>
  <c r="K2539" i="170" s="1"/>
  <c r="B741" i="170"/>
  <c r="C1478" i="170"/>
  <c r="E1478" i="170" s="1"/>
  <c r="C1477" i="170"/>
  <c r="E1477" i="170" s="1"/>
  <c r="C1476" i="170"/>
  <c r="E1476" i="170" s="1"/>
  <c r="C1479" i="170"/>
  <c r="E1479" i="170" s="1"/>
  <c r="C1481" i="170"/>
  <c r="E1481" i="170" s="1"/>
  <c r="C1480" i="170"/>
  <c r="E1480" i="170" s="1"/>
  <c r="C1475" i="170"/>
  <c r="E1475" i="170" s="1"/>
  <c r="I2556" i="170"/>
  <c r="K2556" i="170" s="1"/>
  <c r="C2602" i="170"/>
  <c r="E2602" i="170" s="1"/>
  <c r="I1445" i="170"/>
  <c r="K1445" i="170" s="1"/>
  <c r="C2606" i="170"/>
  <c r="E2606" i="170" s="1"/>
  <c r="C2556" i="170"/>
  <c r="E2556" i="170" s="1"/>
  <c r="C2604" i="170"/>
  <c r="E2604" i="170" s="1"/>
  <c r="C2605" i="170"/>
  <c r="E2605" i="170" s="1"/>
  <c r="I2602" i="170"/>
  <c r="K2602" i="170" s="1"/>
  <c r="I2604" i="170"/>
  <c r="K2604" i="170" s="1"/>
  <c r="I2605" i="170"/>
  <c r="K2605" i="170" s="1"/>
  <c r="A2293" i="170"/>
  <c r="G2277" i="170"/>
  <c r="AA95" i="99"/>
  <c r="AA96" i="99"/>
  <c r="S114" i="151"/>
  <c r="R114" i="151"/>
  <c r="R17" i="101"/>
  <c r="R82" i="101" s="1"/>
  <c r="Q17" i="101"/>
  <c r="Q82" i="101" s="1"/>
  <c r="Z161" i="9"/>
  <c r="AA161" i="9"/>
  <c r="P17" i="101"/>
  <c r="P82" i="101" s="1"/>
  <c r="Y73" i="151"/>
  <c r="Y47" i="151"/>
  <c r="Y20" i="151"/>
  <c r="Y40" i="151"/>
  <c r="Y80" i="151"/>
  <c r="Y38" i="151"/>
  <c r="U96" i="9"/>
  <c r="R161" i="9"/>
  <c r="N17" i="101"/>
  <c r="M82" i="101"/>
  <c r="E113" i="132"/>
  <c r="O88" i="99"/>
  <c r="W88" i="99" s="1"/>
  <c r="O16" i="99"/>
  <c r="W16" i="99" s="1"/>
  <c r="P16" i="151"/>
  <c r="X16" i="151" s="1"/>
  <c r="Y16" i="151" s="1"/>
  <c r="O17" i="99"/>
  <c r="W17" i="99" s="1"/>
  <c r="T179" i="151"/>
  <c r="N114" i="151"/>
  <c r="N113" i="151" s="1"/>
  <c r="O114" i="151"/>
  <c r="Q114" i="151"/>
  <c r="H114" i="151"/>
  <c r="I114" i="151"/>
  <c r="P27" i="59"/>
  <c r="P13" i="59"/>
  <c r="F161" i="9"/>
  <c r="F178" i="99"/>
  <c r="AB161" i="9"/>
  <c r="T161" i="9"/>
  <c r="S161" i="9"/>
  <c r="J173" i="132" l="1"/>
  <c r="J174" i="132"/>
  <c r="J172" i="132"/>
  <c r="J171" i="132"/>
  <c r="J177" i="132"/>
  <c r="J176" i="132"/>
  <c r="J175" i="132"/>
  <c r="Q113" i="151"/>
  <c r="Q179" i="151" s="1"/>
  <c r="R113" i="151"/>
  <c r="R179" i="151" s="1"/>
  <c r="O113" i="151"/>
  <c r="O179" i="151" s="1"/>
  <c r="M114" i="151"/>
  <c r="M113" i="151" s="1"/>
  <c r="I113" i="151"/>
  <c r="I179" i="151" s="1"/>
  <c r="S113" i="151"/>
  <c r="S179" i="151" s="1"/>
  <c r="H113" i="151"/>
  <c r="H179" i="151" s="1"/>
  <c r="N82" i="101"/>
  <c r="W17" i="101"/>
  <c r="P15" i="151"/>
  <c r="I14" i="132"/>
  <c r="I13" i="132" s="1"/>
  <c r="J15" i="132"/>
  <c r="H13" i="132"/>
  <c r="W99" i="99"/>
  <c r="O99" i="99"/>
  <c r="U95" i="9"/>
  <c r="U9" i="9" s="1"/>
  <c r="U161" i="9" s="1"/>
  <c r="J134" i="132"/>
  <c r="P179" i="151"/>
  <c r="J165" i="132"/>
  <c r="J114" i="132"/>
  <c r="J125" i="132"/>
  <c r="J139" i="132"/>
  <c r="J170" i="132"/>
  <c r="J115" i="132"/>
  <c r="J137" i="132"/>
  <c r="J148" i="132"/>
  <c r="J127" i="132"/>
  <c r="J124" i="132"/>
  <c r="J161" i="132"/>
  <c r="J168" i="132"/>
  <c r="J118" i="132"/>
  <c r="J159" i="132"/>
  <c r="J135" i="132"/>
  <c r="J123" i="132"/>
  <c r="J126" i="132"/>
  <c r="J150" i="132"/>
  <c r="J129" i="132"/>
  <c r="J152" i="132"/>
  <c r="J166" i="132"/>
  <c r="J149" i="132"/>
  <c r="J143" i="132"/>
  <c r="J147" i="132"/>
  <c r="J142" i="132"/>
  <c r="J131" i="132"/>
  <c r="J156" i="132"/>
  <c r="J145" i="132"/>
  <c r="J132" i="132"/>
  <c r="J128" i="132"/>
  <c r="J119" i="132"/>
  <c r="J146" i="132"/>
  <c r="J162" i="132"/>
  <c r="J121" i="132"/>
  <c r="J167" i="132"/>
  <c r="J136" i="132"/>
  <c r="J116" i="132"/>
  <c r="J155" i="132"/>
  <c r="J138" i="132"/>
  <c r="J122" i="132"/>
  <c r="J154" i="132"/>
  <c r="J153" i="132"/>
  <c r="J158" i="132"/>
  <c r="J140" i="132"/>
  <c r="X114" i="151"/>
  <c r="J130" i="132"/>
  <c r="J163" i="132"/>
  <c r="J117" i="132"/>
  <c r="J169" i="132"/>
  <c r="J120" i="132"/>
  <c r="J141" i="132"/>
  <c r="J133" i="132"/>
  <c r="J164" i="132"/>
  <c r="J151" i="132"/>
  <c r="J160" i="132"/>
  <c r="J144" i="132"/>
  <c r="J157" i="132"/>
  <c r="I2475" i="170"/>
  <c r="K2475" i="170" s="1"/>
  <c r="K2483" i="170" s="1"/>
  <c r="I2361" i="170"/>
  <c r="K2361" i="170" s="1"/>
  <c r="K2371" i="170" s="1"/>
  <c r="C2345" i="170"/>
  <c r="E2345" i="170" s="1"/>
  <c r="I2570" i="170"/>
  <c r="K2570" i="170" s="1"/>
  <c r="K2580" i="170" s="1"/>
  <c r="M15" i="151"/>
  <c r="I8" i="170"/>
  <c r="K8" i="170" s="1"/>
  <c r="C2377" i="170"/>
  <c r="E2377" i="170" s="1"/>
  <c r="E2387" i="170" s="1"/>
  <c r="I2073" i="170"/>
  <c r="K2073" i="170" s="1"/>
  <c r="I2153" i="170"/>
  <c r="K2153" i="170" s="1"/>
  <c r="K2163" i="170" s="1"/>
  <c r="C2073" i="170"/>
  <c r="E2073" i="170" s="1"/>
  <c r="E2083" i="170" s="1"/>
  <c r="I2105" i="170"/>
  <c r="K2105" i="170" s="1"/>
  <c r="C2570" i="170"/>
  <c r="E2570" i="170" s="1"/>
  <c r="I2443" i="170"/>
  <c r="K2443" i="170" s="1"/>
  <c r="X23" i="99"/>
  <c r="X40" i="99"/>
  <c r="X61" i="99"/>
  <c r="X51" i="99"/>
  <c r="X39" i="99"/>
  <c r="X77" i="99"/>
  <c r="X66" i="99"/>
  <c r="X76" i="99"/>
  <c r="X82" i="99"/>
  <c r="X46" i="99"/>
  <c r="X59" i="99"/>
  <c r="X58" i="99"/>
  <c r="X68" i="99"/>
  <c r="X55" i="99"/>
  <c r="X65" i="99"/>
  <c r="W80" i="101"/>
  <c r="X80" i="101" s="1"/>
  <c r="AA80" i="101" s="1"/>
  <c r="X72" i="99"/>
  <c r="X78" i="99"/>
  <c r="X87" i="99"/>
  <c r="X22" i="99"/>
  <c r="X36" i="99"/>
  <c r="X81" i="99"/>
  <c r="X67" i="99"/>
  <c r="X71" i="99"/>
  <c r="X28" i="99"/>
  <c r="X73" i="99"/>
  <c r="X29" i="99"/>
  <c r="X33" i="99"/>
  <c r="X41" i="99"/>
  <c r="X25" i="99"/>
  <c r="X31" i="99"/>
  <c r="X37" i="99"/>
  <c r="X27" i="99"/>
  <c r="X84" i="99"/>
  <c r="X21" i="99"/>
  <c r="X26" i="99"/>
  <c r="X44" i="99"/>
  <c r="X54" i="99"/>
  <c r="X38" i="99"/>
  <c r="X75" i="101"/>
  <c r="X42" i="99"/>
  <c r="X74" i="99"/>
  <c r="X60" i="99"/>
  <c r="X48" i="99"/>
  <c r="X70" i="99"/>
  <c r="X50" i="99"/>
  <c r="X52" i="99"/>
  <c r="X76" i="101"/>
  <c r="X77" i="101"/>
  <c r="X45" i="99"/>
  <c r="X18" i="99"/>
  <c r="X80" i="99"/>
  <c r="X49" i="99"/>
  <c r="X24" i="99"/>
  <c r="X57" i="99"/>
  <c r="X47" i="99"/>
  <c r="X35" i="99"/>
  <c r="X43" i="99"/>
  <c r="X86" i="99"/>
  <c r="X56" i="99"/>
  <c r="C1394" i="170"/>
  <c r="E1394" i="170" s="1"/>
  <c r="E1400" i="170" s="1"/>
  <c r="C1908" i="170"/>
  <c r="E1908" i="170" s="1"/>
  <c r="E1914" i="170" s="1"/>
  <c r="I2126" i="170"/>
  <c r="K2126" i="170" s="1"/>
  <c r="K2131" i="170" s="1"/>
  <c r="C935" i="170"/>
  <c r="E935" i="170" s="1"/>
  <c r="E941" i="170" s="1"/>
  <c r="C2206" i="170"/>
  <c r="E2206" i="170" s="1"/>
  <c r="E2211" i="170" s="1"/>
  <c r="I2334" i="170"/>
  <c r="K2334" i="170" s="1"/>
  <c r="K2339" i="170" s="1"/>
  <c r="I2078" i="170"/>
  <c r="K2078" i="170" s="1"/>
  <c r="C2286" i="170"/>
  <c r="E2286" i="170" s="1"/>
  <c r="E2291" i="170" s="1"/>
  <c r="C1156" i="170"/>
  <c r="E1156" i="170" s="1"/>
  <c r="E1162" i="170" s="1"/>
  <c r="I952" i="170"/>
  <c r="K952" i="170" s="1"/>
  <c r="K958" i="170" s="1"/>
  <c r="I1534" i="170"/>
  <c r="K1534" i="170" s="1"/>
  <c r="K1540" i="170" s="1"/>
  <c r="C1772" i="170"/>
  <c r="E1772" i="170" s="1"/>
  <c r="E1778" i="170" s="1"/>
  <c r="I2254" i="170"/>
  <c r="K2254" i="170" s="1"/>
  <c r="K2259" i="170" s="1"/>
  <c r="C1360" i="170"/>
  <c r="E1360" i="170" s="1"/>
  <c r="E1366" i="170" s="1"/>
  <c r="I1088" i="170"/>
  <c r="K1088" i="170" s="1"/>
  <c r="K1094" i="170" s="1"/>
  <c r="I935" i="170"/>
  <c r="K935" i="170" s="1"/>
  <c r="K941" i="170" s="1"/>
  <c r="C1891" i="170"/>
  <c r="E1891" i="170" s="1"/>
  <c r="E1897" i="170" s="1"/>
  <c r="I1942" i="170"/>
  <c r="K1942" i="170" s="1"/>
  <c r="K1948" i="170" s="1"/>
  <c r="I1602" i="170"/>
  <c r="K1602" i="170" s="1"/>
  <c r="K1608" i="170" s="1"/>
  <c r="C2270" i="170"/>
  <c r="E2270" i="170" s="1"/>
  <c r="E2275" i="170" s="1"/>
  <c r="C1054" i="170"/>
  <c r="E1054" i="170" s="1"/>
  <c r="E1060" i="170" s="1"/>
  <c r="C2575" i="170"/>
  <c r="E2575" i="170" s="1"/>
  <c r="C2350" i="170"/>
  <c r="E2350" i="170" s="1"/>
  <c r="C2254" i="170"/>
  <c r="E2254" i="170" s="1"/>
  <c r="E2259" i="170" s="1"/>
  <c r="I1517" i="170"/>
  <c r="K1517" i="170" s="1"/>
  <c r="K1523" i="170" s="1"/>
  <c r="I2110" i="170"/>
  <c r="K2110" i="170" s="1"/>
  <c r="I1823" i="170"/>
  <c r="K1823" i="170" s="1"/>
  <c r="K1829" i="170" s="1"/>
  <c r="C1428" i="170"/>
  <c r="E1428" i="170" s="1"/>
  <c r="E1434" i="170" s="1"/>
  <c r="C2526" i="170"/>
  <c r="E2526" i="170" s="1"/>
  <c r="E2531" i="170" s="1"/>
  <c r="I1309" i="170"/>
  <c r="K1309" i="170" s="1"/>
  <c r="K1315" i="170" s="1"/>
  <c r="I783" i="170"/>
  <c r="K783" i="170" s="1"/>
  <c r="K789" i="170" s="1"/>
  <c r="C2494" i="170"/>
  <c r="E2494" i="170" s="1"/>
  <c r="E2499" i="170" s="1"/>
  <c r="C1463" i="170"/>
  <c r="E1463" i="170" s="1"/>
  <c r="E1469" i="170" s="1"/>
  <c r="C2560" i="170"/>
  <c r="E2560" i="170" s="1"/>
  <c r="E2564" i="170" s="1"/>
  <c r="I1344" i="170"/>
  <c r="K1344" i="170" s="1"/>
  <c r="K1349" i="170" s="1"/>
  <c r="C1603" i="170"/>
  <c r="E1603" i="170" s="1"/>
  <c r="E1608" i="170" s="1"/>
  <c r="C2175" i="170"/>
  <c r="E2175" i="170" s="1"/>
  <c r="E2179" i="170" s="1"/>
  <c r="C1174" i="170"/>
  <c r="E1174" i="170" s="1"/>
  <c r="E1179" i="170" s="1"/>
  <c r="C1790" i="170"/>
  <c r="E1790" i="170" s="1"/>
  <c r="E1795" i="170" s="1"/>
  <c r="C784" i="170"/>
  <c r="E784" i="170" s="1"/>
  <c r="E789" i="170" s="1"/>
  <c r="I1858" i="170"/>
  <c r="K1858" i="170" s="1"/>
  <c r="K1863" i="170" s="1"/>
  <c r="I2606" i="170"/>
  <c r="K2606" i="170" s="1"/>
  <c r="K2612" i="170" s="1"/>
  <c r="I2414" i="170"/>
  <c r="K2414" i="170" s="1"/>
  <c r="K2419" i="170" s="1"/>
  <c r="I1105" i="170"/>
  <c r="K1105" i="170" s="1"/>
  <c r="K1111" i="170" s="1"/>
  <c r="I1139" i="170"/>
  <c r="K1139" i="170" s="1"/>
  <c r="K1145" i="170" s="1"/>
  <c r="C1122" i="170"/>
  <c r="E1122" i="170" s="1"/>
  <c r="E1128" i="170" s="1"/>
  <c r="I1670" i="170"/>
  <c r="K1670" i="170" s="1"/>
  <c r="K1676" i="170" s="1"/>
  <c r="C2142" i="170"/>
  <c r="E2142" i="170" s="1"/>
  <c r="E2147" i="170" s="1"/>
  <c r="I817" i="170"/>
  <c r="K817" i="170" s="1"/>
  <c r="K823" i="170" s="1"/>
  <c r="I1653" i="170"/>
  <c r="K1653" i="170" s="1"/>
  <c r="K1659" i="170" s="1"/>
  <c r="C2446" i="170"/>
  <c r="E2446" i="170" s="1"/>
  <c r="E2451" i="170" s="1"/>
  <c r="I2559" i="170"/>
  <c r="K2559" i="170" s="1"/>
  <c r="K2564" i="170" s="1"/>
  <c r="C800" i="170"/>
  <c r="E800" i="170" s="1"/>
  <c r="E806" i="170" s="1"/>
  <c r="I884" i="170"/>
  <c r="K884" i="170" s="1"/>
  <c r="K890" i="170" s="1"/>
  <c r="I1806" i="170"/>
  <c r="K1806" i="170" s="1"/>
  <c r="K1812" i="170" s="1"/>
  <c r="C1517" i="170"/>
  <c r="E1517" i="170" s="1"/>
  <c r="E1523" i="170" s="1"/>
  <c r="I2446" i="170"/>
  <c r="K2446" i="170" s="1"/>
  <c r="C867" i="170"/>
  <c r="E867" i="170" s="1"/>
  <c r="E873" i="170" s="1"/>
  <c r="I1003" i="170"/>
  <c r="K1003" i="170" s="1"/>
  <c r="K1009" i="170" s="1"/>
  <c r="C884" i="170"/>
  <c r="E884" i="170" s="1"/>
  <c r="E890" i="170" s="1"/>
  <c r="C1687" i="170"/>
  <c r="E1687" i="170" s="1"/>
  <c r="E1693" i="170" s="1"/>
  <c r="C1823" i="170"/>
  <c r="E1823" i="170" s="1"/>
  <c r="E1829" i="170" s="1"/>
  <c r="C1942" i="170"/>
  <c r="E1942" i="170" s="1"/>
  <c r="E1948" i="170" s="1"/>
  <c r="I1501" i="170"/>
  <c r="K1501" i="170" s="1"/>
  <c r="K1506" i="170" s="1"/>
  <c r="I1926" i="170"/>
  <c r="K1926" i="170" s="1"/>
  <c r="K1931" i="170" s="1"/>
  <c r="C1552" i="170"/>
  <c r="E1552" i="170" s="1"/>
  <c r="E1557" i="170" s="1"/>
  <c r="C2111" i="170"/>
  <c r="E2111" i="170" s="1"/>
  <c r="E2115" i="170" s="1"/>
  <c r="C2431" i="170"/>
  <c r="E2431" i="170" s="1"/>
  <c r="E2435" i="170" s="1"/>
  <c r="I1841" i="170"/>
  <c r="K1841" i="170" s="1"/>
  <c r="K1846" i="170" s="1"/>
  <c r="I1909" i="170"/>
  <c r="K1909" i="170" s="1"/>
  <c r="K1914" i="170" s="1"/>
  <c r="N15" i="151"/>
  <c r="I10" i="170"/>
  <c r="K10" i="170" s="1"/>
  <c r="K15" i="151"/>
  <c r="X32" i="99"/>
  <c r="K2467" i="170"/>
  <c r="I2591" i="170"/>
  <c r="K2591" i="170" s="1"/>
  <c r="K2387" i="170"/>
  <c r="E2467" i="170"/>
  <c r="E924" i="170"/>
  <c r="K992" i="170"/>
  <c r="E1383" i="170"/>
  <c r="K1332" i="170"/>
  <c r="K1230" i="170"/>
  <c r="E772" i="170"/>
  <c r="E1145" i="170"/>
  <c r="K2531" i="170"/>
  <c r="K2403" i="170"/>
  <c r="E2131" i="170"/>
  <c r="K2435" i="170"/>
  <c r="K2275" i="170"/>
  <c r="E2547" i="170"/>
  <c r="K2499" i="170"/>
  <c r="K755" i="170"/>
  <c r="E1213" i="170"/>
  <c r="E1281" i="170"/>
  <c r="K772" i="170"/>
  <c r="K1077" i="170"/>
  <c r="E1111" i="170"/>
  <c r="E1043" i="170"/>
  <c r="K1128" i="170"/>
  <c r="K1383" i="170"/>
  <c r="K1060" i="170"/>
  <c r="K1400" i="170"/>
  <c r="E1230" i="170"/>
  <c r="K975" i="170"/>
  <c r="K1026" i="170"/>
  <c r="K1281" i="170"/>
  <c r="K1451" i="170"/>
  <c r="C2591" i="170"/>
  <c r="E2591" i="170" s="1"/>
  <c r="E2596" i="170" s="1"/>
  <c r="K2323" i="170"/>
  <c r="E2307" i="170"/>
  <c r="K1213" i="170"/>
  <c r="K1179" i="170"/>
  <c r="E856" i="170"/>
  <c r="K839" i="170"/>
  <c r="K2099" i="170"/>
  <c r="E2403" i="170"/>
  <c r="K2547" i="170"/>
  <c r="K2355" i="170"/>
  <c r="E2483" i="170"/>
  <c r="X62" i="99"/>
  <c r="E2227" i="170"/>
  <c r="E2323" i="170"/>
  <c r="K2179" i="170"/>
  <c r="K2067" i="170"/>
  <c r="E2371" i="170"/>
  <c r="K2515" i="170"/>
  <c r="K2211" i="170"/>
  <c r="E2419" i="170"/>
  <c r="E2099" i="170"/>
  <c r="E1026" i="170"/>
  <c r="K1366" i="170"/>
  <c r="K924" i="170"/>
  <c r="E1196" i="170"/>
  <c r="E1077" i="170"/>
  <c r="K1298" i="170"/>
  <c r="E975" i="170"/>
  <c r="E1349" i="170"/>
  <c r="E1315" i="170"/>
  <c r="E1247" i="170"/>
  <c r="K1247" i="170"/>
  <c r="K907" i="170"/>
  <c r="E823" i="170"/>
  <c r="K806" i="170"/>
  <c r="E1451" i="170"/>
  <c r="K1434" i="170"/>
  <c r="E1332" i="170"/>
  <c r="K856" i="170"/>
  <c r="E1094" i="170"/>
  <c r="E2195" i="170"/>
  <c r="K2243" i="170"/>
  <c r="E2515" i="170"/>
  <c r="E2163" i="170"/>
  <c r="K2195" i="170"/>
  <c r="K2307" i="170"/>
  <c r="E2243" i="170"/>
  <c r="K2227" i="170"/>
  <c r="K2147" i="170"/>
  <c r="K2291" i="170"/>
  <c r="E2339" i="170"/>
  <c r="K1264" i="170"/>
  <c r="E1298" i="170"/>
  <c r="K1196" i="170"/>
  <c r="K1043" i="170"/>
  <c r="E1009" i="170"/>
  <c r="K1162" i="170"/>
  <c r="E1264" i="170"/>
  <c r="E992" i="170"/>
  <c r="E907" i="170"/>
  <c r="K873" i="170"/>
  <c r="E839" i="170"/>
  <c r="E958" i="170"/>
  <c r="E1417" i="170"/>
  <c r="K1417" i="170"/>
  <c r="K1965" i="170"/>
  <c r="E1812" i="170"/>
  <c r="K1999" i="170"/>
  <c r="E2016" i="170"/>
  <c r="K1795" i="170"/>
  <c r="K1897" i="170"/>
  <c r="K1727" i="170"/>
  <c r="E1965" i="170"/>
  <c r="E1846" i="170"/>
  <c r="K1778" i="170"/>
  <c r="K2016" i="170"/>
  <c r="K2033" i="170"/>
  <c r="E2050" i="170"/>
  <c r="L2050" i="170" s="1"/>
  <c r="E1761" i="170"/>
  <c r="E1931" i="170"/>
  <c r="K1744" i="170"/>
  <c r="E1744" i="170"/>
  <c r="E2033" i="170"/>
  <c r="E1999" i="170"/>
  <c r="E1880" i="170"/>
  <c r="K1880" i="170"/>
  <c r="E1982" i="170"/>
  <c r="K1761" i="170"/>
  <c r="E1863" i="170"/>
  <c r="K1982" i="170"/>
  <c r="E1491" i="170"/>
  <c r="K1693" i="170"/>
  <c r="K1574" i="170"/>
  <c r="E1625" i="170"/>
  <c r="I1636" i="170"/>
  <c r="K1636" i="170" s="1"/>
  <c r="K1642" i="170" s="1"/>
  <c r="E1591" i="170"/>
  <c r="E1642" i="170"/>
  <c r="K1557" i="170"/>
  <c r="K1710" i="170"/>
  <c r="K1625" i="170"/>
  <c r="E2053" i="170"/>
  <c r="K1486" i="170"/>
  <c r="E1727" i="170"/>
  <c r="E1574" i="170"/>
  <c r="E1676" i="170"/>
  <c r="K1469" i="170"/>
  <c r="K1591" i="170"/>
  <c r="E1710" i="170"/>
  <c r="E1659" i="170"/>
  <c r="E1540" i="170"/>
  <c r="X64" i="99"/>
  <c r="X20" i="99"/>
  <c r="X74" i="101"/>
  <c r="X75" i="99"/>
  <c r="X63" i="99"/>
  <c r="C9" i="170"/>
  <c r="E9" i="170" s="1"/>
  <c r="L155" i="170"/>
  <c r="L584" i="170"/>
  <c r="L379" i="170"/>
  <c r="C2056" i="170"/>
  <c r="E2056" i="170" s="1"/>
  <c r="C2055" i="170"/>
  <c r="D2059" i="170" s="1"/>
  <c r="C742" i="170"/>
  <c r="D746" i="170" s="1"/>
  <c r="C1494" i="170"/>
  <c r="E1494" i="170" s="1"/>
  <c r="C1493" i="170"/>
  <c r="D1497" i="170" s="1"/>
  <c r="E2612" i="170"/>
  <c r="E1486" i="170"/>
  <c r="C743" i="170"/>
  <c r="E743" i="170" s="1"/>
  <c r="L206" i="170"/>
  <c r="L138" i="170"/>
  <c r="L275" i="170"/>
  <c r="L517" i="170"/>
  <c r="L344" i="170"/>
  <c r="L258" i="170"/>
  <c r="L241" i="170"/>
  <c r="L396" i="170"/>
  <c r="L53" i="170"/>
  <c r="L172" i="170"/>
  <c r="L414" i="170"/>
  <c r="L534" i="170"/>
  <c r="L121" i="170"/>
  <c r="L448" i="170"/>
  <c r="C1499" i="170"/>
  <c r="E1499" i="170" s="1"/>
  <c r="C2061" i="170"/>
  <c r="E2061" i="170" s="1"/>
  <c r="C747" i="170"/>
  <c r="E747" i="170" s="1"/>
  <c r="C744" i="170"/>
  <c r="E744" i="170" s="1"/>
  <c r="L362" i="170"/>
  <c r="L326" i="170"/>
  <c r="L567" i="170"/>
  <c r="L70" i="170"/>
  <c r="C748" i="170"/>
  <c r="E748" i="170" s="1"/>
  <c r="L550" i="170"/>
  <c r="L482" i="170"/>
  <c r="L309" i="170"/>
  <c r="L464" i="170"/>
  <c r="L223" i="170"/>
  <c r="L104" i="170"/>
  <c r="L36" i="170"/>
  <c r="C1496" i="170"/>
  <c r="E1496" i="170" s="1"/>
  <c r="C2058" i="170"/>
  <c r="E2058" i="170" s="1"/>
  <c r="C8" i="170"/>
  <c r="E8" i="170" s="1"/>
  <c r="C2060" i="170"/>
  <c r="E2060" i="170" s="1"/>
  <c r="C1498" i="170"/>
  <c r="E1498" i="170" s="1"/>
  <c r="C745" i="170"/>
  <c r="E745" i="170" s="1"/>
  <c r="L500" i="170"/>
  <c r="L431" i="170"/>
  <c r="L189" i="170"/>
  <c r="L822" i="170"/>
  <c r="L292" i="170"/>
  <c r="L87" i="170"/>
  <c r="G2293" i="170"/>
  <c r="A2309" i="170"/>
  <c r="X34" i="99"/>
  <c r="X53" i="99"/>
  <c r="X85" i="99"/>
  <c r="X69" i="99"/>
  <c r="X79" i="99"/>
  <c r="X30" i="99"/>
  <c r="X83" i="99"/>
  <c r="X19" i="99"/>
  <c r="D28" i="154"/>
  <c r="Y61" i="151"/>
  <c r="AA61" i="151" s="1"/>
  <c r="Y56" i="151"/>
  <c r="Y18" i="151"/>
  <c r="Y81" i="151"/>
  <c r="Y28" i="151"/>
  <c r="AA28" i="151" s="1"/>
  <c r="Y58" i="151"/>
  <c r="Y84" i="151"/>
  <c r="AA84" i="151" s="1"/>
  <c r="Y37" i="151"/>
  <c r="AA37" i="151" s="1"/>
  <c r="Y87" i="151"/>
  <c r="J187" i="132"/>
  <c r="Y54" i="151"/>
  <c r="Y79" i="151"/>
  <c r="AA79" i="151" s="1"/>
  <c r="Y52" i="151"/>
  <c r="AA52" i="151" s="1"/>
  <c r="Y77" i="151"/>
  <c r="Y85" i="151"/>
  <c r="Y55" i="151"/>
  <c r="Y59" i="151"/>
  <c r="AA59" i="151" s="1"/>
  <c r="Y78" i="151"/>
  <c r="Y36" i="151"/>
  <c r="AA36" i="151" s="1"/>
  <c r="Y43" i="151"/>
  <c r="AA43" i="151" s="1"/>
  <c r="Y82" i="151"/>
  <c r="Y32" i="151"/>
  <c r="AA32" i="151" s="1"/>
  <c r="Y31" i="151"/>
  <c r="Y45" i="151"/>
  <c r="AA45" i="151" s="1"/>
  <c r="Y34" i="151"/>
  <c r="Y44" i="151"/>
  <c r="AA44" i="151" s="1"/>
  <c r="Y75" i="151"/>
  <c r="AA75" i="151" s="1"/>
  <c r="Y41" i="151"/>
  <c r="AA41" i="151" s="1"/>
  <c r="Y21" i="151"/>
  <c r="Y71" i="151"/>
  <c r="Y63" i="151"/>
  <c r="Y39" i="151"/>
  <c r="AA39" i="151" s="1"/>
  <c r="Y30" i="151"/>
  <c r="F17" i="101"/>
  <c r="F82" i="101" s="1"/>
  <c r="Y24" i="151"/>
  <c r="Y46" i="151"/>
  <c r="AA46" i="151" s="1"/>
  <c r="Y62" i="151"/>
  <c r="AA62" i="151" s="1"/>
  <c r="Y22" i="151"/>
  <c r="Y67" i="151"/>
  <c r="Y26" i="151"/>
  <c r="Y27" i="151"/>
  <c r="Y35" i="151"/>
  <c r="Y83" i="151"/>
  <c r="Y53" i="151"/>
  <c r="AA53" i="151" s="1"/>
  <c r="Y69" i="151"/>
  <c r="AA69" i="151" s="1"/>
  <c r="Y74" i="151"/>
  <c r="Y19" i="151"/>
  <c r="AA19" i="151" s="1"/>
  <c r="Y64" i="151"/>
  <c r="AA64" i="151" s="1"/>
  <c r="Y70" i="151"/>
  <c r="AA70" i="151" s="1"/>
  <c r="Y51" i="151"/>
  <c r="Y50" i="151"/>
  <c r="Y72" i="151"/>
  <c r="Y29" i="151"/>
  <c r="Y48" i="151"/>
  <c r="Y86" i="151"/>
  <c r="AA86" i="151" s="1"/>
  <c r="Y42" i="151"/>
  <c r="Y65" i="151"/>
  <c r="Y23" i="151"/>
  <c r="AA23" i="151" s="1"/>
  <c r="Y25" i="151"/>
  <c r="Y76" i="151"/>
  <c r="Y66" i="151"/>
  <c r="Y33" i="151"/>
  <c r="Y49" i="151"/>
  <c r="AA49" i="151" s="1"/>
  <c r="Y57" i="151"/>
  <c r="AA57" i="151" s="1"/>
  <c r="AG16" i="151"/>
  <c r="Y60" i="151"/>
  <c r="AA60" i="151" s="1"/>
  <c r="Y68" i="151"/>
  <c r="AA68" i="151" s="1"/>
  <c r="X161" i="9"/>
  <c r="AA80" i="151"/>
  <c r="AA20" i="151"/>
  <c r="AA47" i="151"/>
  <c r="AA40" i="151"/>
  <c r="AA38" i="151"/>
  <c r="AA73" i="151"/>
  <c r="G114" i="151"/>
  <c r="K114" i="151"/>
  <c r="K113" i="151" s="1"/>
  <c r="W161" i="9"/>
  <c r="Y161" i="9"/>
  <c r="H16" i="99"/>
  <c r="G16" i="99"/>
  <c r="H17" i="99"/>
  <c r="G17" i="99"/>
  <c r="G18" i="101"/>
  <c r="H18" i="101"/>
  <c r="G17" i="101"/>
  <c r="H17" i="101"/>
  <c r="F179" i="99"/>
  <c r="V161" i="9"/>
  <c r="AF165" i="9"/>
  <c r="AF163" i="9"/>
  <c r="AF164" i="9"/>
  <c r="G85" i="101" l="1"/>
  <c r="L16" i="99"/>
  <c r="G113" i="151"/>
  <c r="G179" i="151" s="1"/>
  <c r="H181" i="151" s="1"/>
  <c r="H113" i="132"/>
  <c r="H112" i="132" s="1"/>
  <c r="L17" i="101"/>
  <c r="I113" i="132"/>
  <c r="I112" i="132" s="1"/>
  <c r="X113" i="151"/>
  <c r="G99" i="99"/>
  <c r="L18" i="101"/>
  <c r="H99" i="99"/>
  <c r="H82" i="101"/>
  <c r="L17" i="99"/>
  <c r="G82" i="101"/>
  <c r="W82" i="101"/>
  <c r="J16" i="99"/>
  <c r="K2083" i="170"/>
  <c r="J17" i="101"/>
  <c r="N179" i="151"/>
  <c r="D22" i="154" s="1"/>
  <c r="G22" i="154" s="1"/>
  <c r="K2115" i="170"/>
  <c r="K19" i="170"/>
  <c r="J17" i="99"/>
  <c r="Z73" i="99"/>
  <c r="AA73" i="99" s="1"/>
  <c r="L71" i="132"/>
  <c r="N71" i="132" s="1"/>
  <c r="Z60" i="99"/>
  <c r="AA60" i="99" s="1"/>
  <c r="L58" i="132"/>
  <c r="N58" i="132" s="1"/>
  <c r="Z23" i="99"/>
  <c r="L21" i="132"/>
  <c r="N21" i="132" s="1"/>
  <c r="Z46" i="99"/>
  <c r="AA46" i="99" s="1"/>
  <c r="L44" i="132"/>
  <c r="N44" i="132" s="1"/>
  <c r="Z59" i="99"/>
  <c r="AA59" i="99" s="1"/>
  <c r="L57" i="132"/>
  <c r="N57" i="132" s="1"/>
  <c r="Z28" i="99"/>
  <c r="AA28" i="99" s="1"/>
  <c r="L26" i="132"/>
  <c r="N26" i="132" s="1"/>
  <c r="Z61" i="99"/>
  <c r="AA61" i="99" s="1"/>
  <c r="L59" i="132"/>
  <c r="N59" i="132" s="1"/>
  <c r="Z38" i="99"/>
  <c r="AA38" i="99" s="1"/>
  <c r="L36" i="132"/>
  <c r="N36" i="132" s="1"/>
  <c r="Z80" i="99"/>
  <c r="AA80" i="99" s="1"/>
  <c r="L78" i="132"/>
  <c r="N78" i="132" s="1"/>
  <c r="Z70" i="99"/>
  <c r="AA70" i="99" s="1"/>
  <c r="L68" i="132"/>
  <c r="N68" i="132" s="1"/>
  <c r="Z69" i="99"/>
  <c r="AA69" i="99" s="1"/>
  <c r="L67" i="132"/>
  <c r="N67" i="132" s="1"/>
  <c r="Z39" i="99"/>
  <c r="AA39" i="99" s="1"/>
  <c r="L37" i="132"/>
  <c r="N37" i="132" s="1"/>
  <c r="Z41" i="99"/>
  <c r="AA41" i="99" s="1"/>
  <c r="L39" i="132"/>
  <c r="N39" i="132" s="1"/>
  <c r="Z45" i="99"/>
  <c r="AA45" i="99" s="1"/>
  <c r="L43" i="132"/>
  <c r="N43" i="132" s="1"/>
  <c r="Z43" i="99"/>
  <c r="AA43" i="99" s="1"/>
  <c r="L41" i="132"/>
  <c r="N41" i="132" s="1"/>
  <c r="Z79" i="99"/>
  <c r="AA79" i="99" s="1"/>
  <c r="L77" i="132"/>
  <c r="N77" i="132" s="1"/>
  <c r="Z37" i="99"/>
  <c r="AA37" i="99" s="1"/>
  <c r="L35" i="132"/>
  <c r="N35" i="132" s="1"/>
  <c r="Z40" i="99"/>
  <c r="AA40" i="99" s="1"/>
  <c r="L38" i="132"/>
  <c r="N38" i="132" s="1"/>
  <c r="Z57" i="99"/>
  <c r="AA57" i="99" s="1"/>
  <c r="L55" i="132"/>
  <c r="N55" i="132" s="1"/>
  <c r="Z64" i="99"/>
  <c r="AA64" i="99" s="1"/>
  <c r="L62" i="132"/>
  <c r="N62" i="132" s="1"/>
  <c r="Z53" i="99"/>
  <c r="AA53" i="99" s="1"/>
  <c r="L51" i="132"/>
  <c r="N51" i="132" s="1"/>
  <c r="Z75" i="99"/>
  <c r="AA75" i="99" s="1"/>
  <c r="L73" i="132"/>
  <c r="N73" i="132" s="1"/>
  <c r="Z36" i="99"/>
  <c r="AA36" i="99" s="1"/>
  <c r="L34" i="132"/>
  <c r="N34" i="132" s="1"/>
  <c r="Z84" i="99"/>
  <c r="AA84" i="99" s="1"/>
  <c r="L82" i="132"/>
  <c r="N82" i="132" s="1"/>
  <c r="Z20" i="99"/>
  <c r="AA20" i="99" s="1"/>
  <c r="L18" i="132"/>
  <c r="N18" i="132" s="1"/>
  <c r="Z52" i="99"/>
  <c r="AA52" i="99" s="1"/>
  <c r="L50" i="132"/>
  <c r="N50" i="132" s="1"/>
  <c r="Z47" i="99"/>
  <c r="AA47" i="99" s="1"/>
  <c r="L45" i="132"/>
  <c r="N45" i="132" s="1"/>
  <c r="Z68" i="99"/>
  <c r="AA68" i="99" s="1"/>
  <c r="L66" i="132"/>
  <c r="N66" i="132" s="1"/>
  <c r="Z49" i="99"/>
  <c r="AA49" i="99" s="1"/>
  <c r="L47" i="132"/>
  <c r="N47" i="132" s="1"/>
  <c r="Z86" i="99"/>
  <c r="AA86" i="99" s="1"/>
  <c r="L84" i="132"/>
  <c r="N84" i="132" s="1"/>
  <c r="Z19" i="99"/>
  <c r="L17" i="132"/>
  <c r="N17" i="132" s="1"/>
  <c r="Z62" i="99"/>
  <c r="AA62" i="99" s="1"/>
  <c r="L60" i="132"/>
  <c r="N60" i="132" s="1"/>
  <c r="Z44" i="99"/>
  <c r="AA44" i="99" s="1"/>
  <c r="L42" i="132"/>
  <c r="N42" i="132" s="1"/>
  <c r="Z32" i="99"/>
  <c r="AA32" i="99" s="1"/>
  <c r="L30" i="132"/>
  <c r="N30" i="132" s="1"/>
  <c r="K197" i="151"/>
  <c r="E2580" i="170"/>
  <c r="L2580" i="170" s="1"/>
  <c r="E2355" i="170"/>
  <c r="K2451" i="170"/>
  <c r="L2451" i="170" s="1"/>
  <c r="K200" i="151"/>
  <c r="X88" i="99"/>
  <c r="G113" i="132"/>
  <c r="G112" i="132" s="1"/>
  <c r="M179" i="151"/>
  <c r="K179" i="151"/>
  <c r="K198" i="151"/>
  <c r="M198" i="151" s="1"/>
  <c r="U15" i="151"/>
  <c r="U179" i="151" s="1"/>
  <c r="K199" i="151"/>
  <c r="M199" i="151" s="1"/>
  <c r="C2063" i="170"/>
  <c r="E2063" i="170" s="1"/>
  <c r="L2612" i="170"/>
  <c r="L1486" i="170"/>
  <c r="C750" i="170"/>
  <c r="E750" i="170" s="1"/>
  <c r="Y111" i="151"/>
  <c r="AA111" i="151" s="1"/>
  <c r="V15" i="151"/>
  <c r="C14" i="170"/>
  <c r="E14" i="170" s="1"/>
  <c r="L1469" i="170"/>
  <c r="C1501" i="170"/>
  <c r="E1501" i="170" s="1"/>
  <c r="AB100" i="99"/>
  <c r="Y108" i="151"/>
  <c r="AA108" i="151" s="1"/>
  <c r="L2195" i="170"/>
  <c r="L2259" i="170"/>
  <c r="L2275" i="170"/>
  <c r="L2307" i="170"/>
  <c r="L2099" i="170"/>
  <c r="L2483" i="170"/>
  <c r="L2419" i="170"/>
  <c r="L2323" i="170"/>
  <c r="L2291" i="170"/>
  <c r="L2467" i="170"/>
  <c r="L2147" i="170"/>
  <c r="L1366" i="170"/>
  <c r="L2515" i="170"/>
  <c r="L1710" i="170"/>
  <c r="C2057" i="170"/>
  <c r="E2057" i="170" s="1"/>
  <c r="C1495" i="170"/>
  <c r="E1495" i="170" s="1"/>
  <c r="L1009" i="170"/>
  <c r="L941" i="170"/>
  <c r="L1761" i="170"/>
  <c r="L1332" i="170"/>
  <c r="L1676" i="170"/>
  <c r="Y105" i="151"/>
  <c r="AA105" i="151" s="1"/>
  <c r="L1162" i="170"/>
  <c r="L1383" i="170"/>
  <c r="Y107" i="151"/>
  <c r="AA107" i="151" s="1"/>
  <c r="Y128" i="151"/>
  <c r="AA128" i="151" s="1"/>
  <c r="Y164" i="151"/>
  <c r="AA164" i="151" s="1"/>
  <c r="Y140" i="151"/>
  <c r="AA140" i="151" s="1"/>
  <c r="Y139" i="151"/>
  <c r="AA139" i="151" s="1"/>
  <c r="Y137" i="151"/>
  <c r="AA137" i="151" s="1"/>
  <c r="Y138" i="151"/>
  <c r="AA138" i="151" s="1"/>
  <c r="Y154" i="151"/>
  <c r="AA154" i="151" s="1"/>
  <c r="Y118" i="151"/>
  <c r="AA118" i="151" s="1"/>
  <c r="Y166" i="151"/>
  <c r="AA166" i="151" s="1"/>
  <c r="Y146" i="151"/>
  <c r="AA146" i="151" s="1"/>
  <c r="Y170" i="151"/>
  <c r="AA170" i="151" s="1"/>
  <c r="Y117" i="151"/>
  <c r="AA117" i="151" s="1"/>
  <c r="Y163" i="151"/>
  <c r="AA163" i="151" s="1"/>
  <c r="Y143" i="151"/>
  <c r="AA143" i="151" s="1"/>
  <c r="Y159" i="151"/>
  <c r="AA159" i="151" s="1"/>
  <c r="Y145" i="151"/>
  <c r="AA145" i="151" s="1"/>
  <c r="Y130" i="151"/>
  <c r="AA130" i="151" s="1"/>
  <c r="Y149" i="151"/>
  <c r="AA149" i="151" s="1"/>
  <c r="Y162" i="151"/>
  <c r="Y152" i="151"/>
  <c r="AA152" i="151" s="1"/>
  <c r="Y126" i="151"/>
  <c r="AA126" i="151" s="1"/>
  <c r="Y158" i="151"/>
  <c r="AA158" i="151" s="1"/>
  <c r="Y129" i="151"/>
  <c r="AA129" i="151" s="1"/>
  <c r="Y153" i="151"/>
  <c r="AA153" i="151" s="1"/>
  <c r="Y122" i="151"/>
  <c r="AA122" i="151" s="1"/>
  <c r="Y135" i="151"/>
  <c r="AA135" i="151" s="1"/>
  <c r="Y134" i="151"/>
  <c r="AA134" i="151" s="1"/>
  <c r="Y119" i="151"/>
  <c r="AA119" i="151" s="1"/>
  <c r="Y132" i="151"/>
  <c r="AA132" i="151" s="1"/>
  <c r="Y133" i="151"/>
  <c r="AA133" i="151" s="1"/>
  <c r="Y124" i="151"/>
  <c r="AA124" i="151" s="1"/>
  <c r="Y150" i="151"/>
  <c r="AA150" i="151" s="1"/>
  <c r="Y136" i="151"/>
  <c r="AA136" i="151" s="1"/>
  <c r="L1247" i="170"/>
  <c r="L806" i="170"/>
  <c r="L1026" i="170"/>
  <c r="L1298" i="170"/>
  <c r="L2339" i="170"/>
  <c r="L1999" i="170"/>
  <c r="L1043" i="170"/>
  <c r="L1574" i="170"/>
  <c r="L1846" i="170"/>
  <c r="L1744" i="170"/>
  <c r="L2115" i="170"/>
  <c r="L1077" i="170"/>
  <c r="L1315" i="170"/>
  <c r="L1727" i="170"/>
  <c r="L1417" i="170"/>
  <c r="L907" i="170"/>
  <c r="L958" i="170"/>
  <c r="L1145" i="170"/>
  <c r="Y174" i="151"/>
  <c r="AA174" i="151" s="1"/>
  <c r="L1128" i="170"/>
  <c r="L1451" i="170"/>
  <c r="L1434" i="170"/>
  <c r="L1094" i="170"/>
  <c r="L1880" i="170"/>
  <c r="L1540" i="170"/>
  <c r="L992" i="170"/>
  <c r="L2531" i="170"/>
  <c r="L1829" i="170"/>
  <c r="L1281" i="170"/>
  <c r="L1111" i="170"/>
  <c r="L1264" i="170"/>
  <c r="L856" i="170"/>
  <c r="L1608" i="170"/>
  <c r="L1982" i="170"/>
  <c r="L2403" i="170"/>
  <c r="L2564" i="170"/>
  <c r="L1230" i="170"/>
  <c r="L1196" i="170"/>
  <c r="L1591" i="170"/>
  <c r="L975" i="170"/>
  <c r="L2033" i="170"/>
  <c r="Y106" i="151"/>
  <c r="Y141" i="151"/>
  <c r="AA141" i="151" s="1"/>
  <c r="Y168" i="151"/>
  <c r="AA168" i="151" s="1"/>
  <c r="Y115" i="151"/>
  <c r="Y171" i="151"/>
  <c r="AA171" i="151" s="1"/>
  <c r="Y165" i="151"/>
  <c r="AA165" i="151" s="1"/>
  <c r="Y123" i="151"/>
  <c r="AA123" i="151" s="1"/>
  <c r="Y156" i="151"/>
  <c r="AA156" i="151" s="1"/>
  <c r="Y172" i="151"/>
  <c r="AA172" i="151" s="1"/>
  <c r="Y155" i="151"/>
  <c r="AA155" i="151" s="1"/>
  <c r="Y167" i="151"/>
  <c r="AA167" i="151" s="1"/>
  <c r="Y116" i="151"/>
  <c r="AA116" i="151" s="1"/>
  <c r="Y160" i="151"/>
  <c r="AA160" i="151" s="1"/>
  <c r="Y104" i="151"/>
  <c r="Y100" i="151"/>
  <c r="Y102" i="151"/>
  <c r="Y142" i="151"/>
  <c r="AA142" i="151" s="1"/>
  <c r="Y151" i="151"/>
  <c r="AA151" i="151" s="1"/>
  <c r="Y157" i="151"/>
  <c r="AA157" i="151" s="1"/>
  <c r="Y131" i="151"/>
  <c r="AA131" i="151" s="1"/>
  <c r="Y125" i="151"/>
  <c r="AA125" i="151" s="1"/>
  <c r="Y144" i="151"/>
  <c r="AA144" i="151" s="1"/>
  <c r="Y127" i="151"/>
  <c r="AA127" i="151" s="1"/>
  <c r="Y120" i="151"/>
  <c r="AA120" i="151" s="1"/>
  <c r="L1659" i="170"/>
  <c r="L789" i="170"/>
  <c r="L1863" i="170"/>
  <c r="L1625" i="170"/>
  <c r="L1795" i="170"/>
  <c r="L2499" i="170"/>
  <c r="Y99" i="151"/>
  <c r="L772" i="170"/>
  <c r="Y103" i="151"/>
  <c r="Y173" i="151"/>
  <c r="AA173" i="151" s="1"/>
  <c r="L1179" i="170"/>
  <c r="L890" i="170"/>
  <c r="L873" i="170"/>
  <c r="L1914" i="170"/>
  <c r="L1213" i="170"/>
  <c r="L1642" i="170"/>
  <c r="L1060" i="170"/>
  <c r="L924" i="170"/>
  <c r="Y175" i="151"/>
  <c r="AA175" i="151" s="1"/>
  <c r="L2243" i="170"/>
  <c r="L1693" i="170"/>
  <c r="L1778" i="170"/>
  <c r="L839" i="170"/>
  <c r="L2227" i="170"/>
  <c r="Y101" i="151"/>
  <c r="D26" i="154"/>
  <c r="G26" i="154" s="1"/>
  <c r="L1965" i="170"/>
  <c r="L1349" i="170"/>
  <c r="L1523" i="170"/>
  <c r="L1948" i="170"/>
  <c r="L1400" i="170"/>
  <c r="L1897" i="170"/>
  <c r="L1931" i="170"/>
  <c r="L1557" i="170"/>
  <c r="L2016" i="170"/>
  <c r="D27" i="154"/>
  <c r="G27" i="154" s="1"/>
  <c r="C2062" i="170"/>
  <c r="E2062" i="170" s="1"/>
  <c r="Y148" i="151"/>
  <c r="AA148" i="151" s="1"/>
  <c r="C749" i="170"/>
  <c r="E749" i="170" s="1"/>
  <c r="C1500" i="170"/>
  <c r="E1500" i="170" s="1"/>
  <c r="Y121" i="151"/>
  <c r="AA121" i="151" s="1"/>
  <c r="Y169" i="151"/>
  <c r="AA169" i="151" s="1"/>
  <c r="Y147" i="151"/>
  <c r="AA147" i="151" s="1"/>
  <c r="Y161" i="151"/>
  <c r="AA161" i="151" s="1"/>
  <c r="L823" i="170"/>
  <c r="L1812" i="170"/>
  <c r="C13" i="170"/>
  <c r="E13" i="170" s="1"/>
  <c r="C2059" i="170"/>
  <c r="E2059" i="170" s="1"/>
  <c r="C746" i="170"/>
  <c r="E746" i="170" s="1"/>
  <c r="C1497" i="170"/>
  <c r="E1497" i="170" s="1"/>
  <c r="G2309" i="170"/>
  <c r="A2325" i="170"/>
  <c r="D25" i="154"/>
  <c r="X78" i="101"/>
  <c r="AA81" i="151"/>
  <c r="AA56" i="151"/>
  <c r="AA71" i="151"/>
  <c r="AA58" i="151"/>
  <c r="AA78" i="151"/>
  <c r="AA18" i="151"/>
  <c r="AA54" i="151"/>
  <c r="AA85" i="151"/>
  <c r="AA87" i="151"/>
  <c r="Y17" i="151"/>
  <c r="AA77" i="151"/>
  <c r="AA55" i="151"/>
  <c r="AA21" i="151"/>
  <c r="AA34" i="151"/>
  <c r="AA82" i="151"/>
  <c r="AA63" i="151"/>
  <c r="AA31" i="151"/>
  <c r="AA30" i="151"/>
  <c r="AA24" i="151"/>
  <c r="AA27" i="151"/>
  <c r="L97" i="132" s="1"/>
  <c r="N97" i="132" s="1"/>
  <c r="AA35" i="151"/>
  <c r="AA48" i="151"/>
  <c r="AA67" i="151"/>
  <c r="AA22" i="151"/>
  <c r="AA51" i="151"/>
  <c r="AA83" i="151"/>
  <c r="AA50" i="151"/>
  <c r="AA26" i="151"/>
  <c r="AA29" i="151"/>
  <c r="AA74" i="151"/>
  <c r="AA72" i="151"/>
  <c r="AA42" i="151"/>
  <c r="AA76" i="151"/>
  <c r="AA65" i="151"/>
  <c r="AA66" i="151"/>
  <c r="AA33" i="151"/>
  <c r="AA25" i="151"/>
  <c r="Y88" i="151"/>
  <c r="D24" i="154"/>
  <c r="H24" i="154" s="1"/>
  <c r="D23" i="154"/>
  <c r="G23" i="154" s="1"/>
  <c r="X40" i="101"/>
  <c r="X55" i="101"/>
  <c r="X50" i="101"/>
  <c r="X33" i="101"/>
  <c r="X48" i="101"/>
  <c r="X29" i="101"/>
  <c r="X36" i="101"/>
  <c r="X23" i="101"/>
  <c r="X24" i="101"/>
  <c r="X46" i="101"/>
  <c r="X49" i="101"/>
  <c r="X54" i="101"/>
  <c r="X72" i="101"/>
  <c r="X37" i="101"/>
  <c r="X64" i="101"/>
  <c r="X41" i="101"/>
  <c r="X53" i="101"/>
  <c r="X67" i="101"/>
  <c r="X31" i="101"/>
  <c r="X61" i="101"/>
  <c r="X69" i="101"/>
  <c r="X45" i="101"/>
  <c r="X52" i="101"/>
  <c r="X21" i="101"/>
  <c r="X47" i="101"/>
  <c r="X39" i="101"/>
  <c r="X38" i="101"/>
  <c r="X22" i="101"/>
  <c r="X20" i="101"/>
  <c r="X71" i="101"/>
  <c r="X60" i="101"/>
  <c r="X44" i="101"/>
  <c r="X30" i="101"/>
  <c r="X35" i="101"/>
  <c r="X28" i="101"/>
  <c r="X58" i="101"/>
  <c r="X34" i="101"/>
  <c r="X66" i="101"/>
  <c r="X57" i="101"/>
  <c r="X26" i="101"/>
  <c r="X62" i="101"/>
  <c r="X59" i="101"/>
  <c r="X19" i="101"/>
  <c r="X63" i="101"/>
  <c r="J18" i="101"/>
  <c r="L187" i="132"/>
  <c r="X65" i="101"/>
  <c r="X43" i="101"/>
  <c r="X70" i="101"/>
  <c r="X32" i="101"/>
  <c r="X51" i="101"/>
  <c r="X56" i="101"/>
  <c r="X42" i="101"/>
  <c r="L82" i="101" l="1"/>
  <c r="J82" i="101"/>
  <c r="L99" i="99"/>
  <c r="J99" i="99"/>
  <c r="H15" i="153" s="1"/>
  <c r="Z76" i="101"/>
  <c r="AA76" i="101" s="1"/>
  <c r="L172" i="132"/>
  <c r="N172" i="132" s="1"/>
  <c r="Z77" i="101"/>
  <c r="AA77" i="101" s="1"/>
  <c r="L173" i="132"/>
  <c r="N173" i="132" s="1"/>
  <c r="Z75" i="101"/>
  <c r="AA75" i="101" s="1"/>
  <c r="L171" i="132"/>
  <c r="N171" i="132" s="1"/>
  <c r="Z78" i="101"/>
  <c r="AA78" i="101" s="1"/>
  <c r="L174" i="132"/>
  <c r="N174" i="132" s="1"/>
  <c r="AA115" i="151"/>
  <c r="Z18" i="101" s="1"/>
  <c r="G186" i="132"/>
  <c r="V179" i="151"/>
  <c r="D29" i="154" s="1"/>
  <c r="L31" i="132"/>
  <c r="N31" i="132" s="1"/>
  <c r="Z33" i="99"/>
  <c r="AA33" i="99" s="1"/>
  <c r="Z76" i="99"/>
  <c r="AA76" i="99" s="1"/>
  <c r="L74" i="132"/>
  <c r="N74" i="132" s="1"/>
  <c r="Z74" i="99"/>
  <c r="AA74" i="99" s="1"/>
  <c r="L72" i="132"/>
  <c r="N72" i="132" s="1"/>
  <c r="Z83" i="99"/>
  <c r="AA83" i="99" s="1"/>
  <c r="L81" i="132"/>
  <c r="N81" i="132" s="1"/>
  <c r="Z48" i="99"/>
  <c r="AA48" i="99" s="1"/>
  <c r="L46" i="132"/>
  <c r="N46" i="132" s="1"/>
  <c r="Z30" i="99"/>
  <c r="AA30" i="99" s="1"/>
  <c r="L28" i="132"/>
  <c r="N28" i="132" s="1"/>
  <c r="Z34" i="99"/>
  <c r="AA34" i="99" s="1"/>
  <c r="L32" i="132"/>
  <c r="N32" i="132" s="1"/>
  <c r="Z18" i="99"/>
  <c r="AA18" i="99" s="1"/>
  <c r="L16" i="132"/>
  <c r="N16" i="132" s="1"/>
  <c r="Z56" i="99"/>
  <c r="AA56" i="99" s="1"/>
  <c r="L54" i="132"/>
  <c r="N54" i="132" s="1"/>
  <c r="Z47" i="101"/>
  <c r="AA47" i="101" s="1"/>
  <c r="L143" i="132"/>
  <c r="N143" i="132" s="1"/>
  <c r="Z19" i="101"/>
  <c r="AA19" i="101" s="1"/>
  <c r="L115" i="132"/>
  <c r="N115" i="132" s="1"/>
  <c r="Z44" i="101"/>
  <c r="AA44" i="101" s="1"/>
  <c r="L140" i="132"/>
  <c r="N140" i="132" s="1"/>
  <c r="Z53" i="101"/>
  <c r="AA53" i="101" s="1"/>
  <c r="L149" i="132"/>
  <c r="N149" i="132" s="1"/>
  <c r="Z22" i="101"/>
  <c r="AA22" i="101" s="1"/>
  <c r="L118" i="132"/>
  <c r="N118" i="132" s="1"/>
  <c r="Z56" i="101"/>
  <c r="AA56" i="101" s="1"/>
  <c r="L152" i="132"/>
  <c r="N152" i="132" s="1"/>
  <c r="L128" i="132"/>
  <c r="N128" i="132" s="1"/>
  <c r="Z32" i="101"/>
  <c r="AA32" i="101" s="1"/>
  <c r="Z62" i="101"/>
  <c r="AA62" i="101" s="1"/>
  <c r="L158" i="132"/>
  <c r="N158" i="132" s="1"/>
  <c r="Z40" i="101"/>
  <c r="AA40" i="101" s="1"/>
  <c r="L136" i="132"/>
  <c r="N136" i="132" s="1"/>
  <c r="Z67" i="101"/>
  <c r="AA67" i="101" s="1"/>
  <c r="L163" i="132"/>
  <c r="N163" i="132" s="1"/>
  <c r="Z78" i="99"/>
  <c r="AA78" i="99" s="1"/>
  <c r="L76" i="132"/>
  <c r="N76" i="132" s="1"/>
  <c r="Z25" i="99"/>
  <c r="AA25" i="99" s="1"/>
  <c r="L23" i="132"/>
  <c r="N23" i="132" s="1"/>
  <c r="L63" i="132"/>
  <c r="N63" i="132" s="1"/>
  <c r="Z65" i="99"/>
  <c r="AA65" i="99" s="1"/>
  <c r="Z72" i="99"/>
  <c r="AA72" i="99" s="1"/>
  <c r="L70" i="132"/>
  <c r="N70" i="132" s="1"/>
  <c r="Z50" i="99"/>
  <c r="AA50" i="99" s="1"/>
  <c r="L48" i="132"/>
  <c r="N48" i="132" s="1"/>
  <c r="Z67" i="99"/>
  <c r="AA67" i="99" s="1"/>
  <c r="L65" i="132"/>
  <c r="N65" i="132" s="1"/>
  <c r="Z24" i="99"/>
  <c r="AA24" i="99" s="1"/>
  <c r="L22" i="132"/>
  <c r="N22" i="132" s="1"/>
  <c r="Z82" i="99"/>
  <c r="AA82" i="99" s="1"/>
  <c r="L80" i="132"/>
  <c r="N80" i="132" s="1"/>
  <c r="Z77" i="99"/>
  <c r="AA77" i="99" s="1"/>
  <c r="L75" i="132"/>
  <c r="N75" i="132" s="1"/>
  <c r="Z54" i="99"/>
  <c r="AA54" i="99" s="1"/>
  <c r="L52" i="132"/>
  <c r="N52" i="132" s="1"/>
  <c r="Z71" i="99"/>
  <c r="AA71" i="99" s="1"/>
  <c r="L69" i="132"/>
  <c r="N69" i="132" s="1"/>
  <c r="Z50" i="101"/>
  <c r="AA50" i="101" s="1"/>
  <c r="L146" i="132"/>
  <c r="N146" i="132" s="1"/>
  <c r="Z54" i="101"/>
  <c r="AA54" i="101" s="1"/>
  <c r="L150" i="132"/>
  <c r="N150" i="132" s="1"/>
  <c r="Z68" i="101"/>
  <c r="L164" i="132"/>
  <c r="N164" i="132" s="1"/>
  <c r="Z71" i="101"/>
  <c r="AA71" i="101" s="1"/>
  <c r="L167" i="132"/>
  <c r="N167" i="132" s="1"/>
  <c r="Z39" i="101"/>
  <c r="AA39" i="101" s="1"/>
  <c r="L135" i="132"/>
  <c r="N135" i="132" s="1"/>
  <c r="Z35" i="101"/>
  <c r="AA35" i="101" s="1"/>
  <c r="L131" i="132"/>
  <c r="N131" i="132" s="1"/>
  <c r="Z25" i="101"/>
  <c r="L121" i="132"/>
  <c r="N121" i="132" s="1"/>
  <c r="Z55" i="101"/>
  <c r="AA55" i="101" s="1"/>
  <c r="L151" i="132"/>
  <c r="N151" i="132" s="1"/>
  <c r="L144" i="132"/>
  <c r="N144" i="132" s="1"/>
  <c r="Z48" i="101"/>
  <c r="AA48" i="101" s="1"/>
  <c r="Z73" i="101"/>
  <c r="L169" i="132"/>
  <c r="N169" i="132" s="1"/>
  <c r="Z21" i="101"/>
  <c r="AA21" i="101" s="1"/>
  <c r="L117" i="132"/>
  <c r="N117" i="132" s="1"/>
  <c r="Z57" i="101"/>
  <c r="AA57" i="101" s="1"/>
  <c r="L153" i="132"/>
  <c r="N153" i="132" s="1"/>
  <c r="Z41" i="101"/>
  <c r="AA41" i="101" s="1"/>
  <c r="L137" i="132"/>
  <c r="N137" i="132" s="1"/>
  <c r="Z29" i="99"/>
  <c r="AA29" i="99" s="1"/>
  <c r="L27" i="132"/>
  <c r="N27" i="132" s="1"/>
  <c r="Z51" i="99"/>
  <c r="AA51" i="99" s="1"/>
  <c r="L49" i="132"/>
  <c r="N49" i="132" s="1"/>
  <c r="Z35" i="99"/>
  <c r="AA35" i="99" s="1"/>
  <c r="L33" i="132"/>
  <c r="N33" i="132" s="1"/>
  <c r="Z31" i="99"/>
  <c r="AA31" i="99" s="1"/>
  <c r="L29" i="132"/>
  <c r="N29" i="132" s="1"/>
  <c r="Z21" i="99"/>
  <c r="AA21" i="99" s="1"/>
  <c r="L19" i="132"/>
  <c r="N19" i="132" s="1"/>
  <c r="Z87" i="99"/>
  <c r="AA87" i="99" s="1"/>
  <c r="L85" i="132"/>
  <c r="N85" i="132" s="1"/>
  <c r="Z81" i="99"/>
  <c r="AA81" i="99" s="1"/>
  <c r="L79" i="132"/>
  <c r="N79" i="132" s="1"/>
  <c r="Z64" i="101"/>
  <c r="AA64" i="101" s="1"/>
  <c r="L160" i="132"/>
  <c r="N160" i="132" s="1"/>
  <c r="Z72" i="101"/>
  <c r="AA72" i="101" s="1"/>
  <c r="L168" i="132"/>
  <c r="N168" i="132" s="1"/>
  <c r="Z30" i="101"/>
  <c r="AA30" i="101" s="1"/>
  <c r="L126" i="132"/>
  <c r="N126" i="132" s="1"/>
  <c r="Z28" i="101"/>
  <c r="AA28" i="101" s="1"/>
  <c r="L124" i="132"/>
  <c r="N124" i="132" s="1"/>
  <c r="Z45" i="101"/>
  <c r="AA45" i="101" s="1"/>
  <c r="L141" i="132"/>
  <c r="N141" i="132" s="1"/>
  <c r="Z63" i="101"/>
  <c r="AA63" i="101" s="1"/>
  <c r="L159" i="132"/>
  <c r="N159" i="132" s="1"/>
  <c r="Z70" i="101"/>
  <c r="AA70" i="101" s="1"/>
  <c r="L166" i="132"/>
  <c r="N166" i="132" s="1"/>
  <c r="Z59" i="101"/>
  <c r="AA59" i="101" s="1"/>
  <c r="L155" i="132"/>
  <c r="N155" i="132" s="1"/>
  <c r="Z74" i="101"/>
  <c r="AA74" i="101" s="1"/>
  <c r="L170" i="132"/>
  <c r="N170" i="132" s="1"/>
  <c r="Z27" i="101"/>
  <c r="L123" i="132"/>
  <c r="N123" i="132" s="1"/>
  <c r="Z37" i="101"/>
  <c r="AA37" i="101" s="1"/>
  <c r="L133" i="132"/>
  <c r="N133" i="132" s="1"/>
  <c r="Z61" i="101"/>
  <c r="AA61" i="101" s="1"/>
  <c r="L157" i="132"/>
  <c r="N157" i="132" s="1"/>
  <c r="Z52" i="101"/>
  <c r="AA52" i="101" s="1"/>
  <c r="L148" i="132"/>
  <c r="N148" i="132" s="1"/>
  <c r="Z46" i="101"/>
  <c r="AA46" i="101" s="1"/>
  <c r="L142" i="132"/>
  <c r="N142" i="132" s="1"/>
  <c r="Z66" i="101"/>
  <c r="AA66" i="101" s="1"/>
  <c r="L162" i="132"/>
  <c r="N162" i="132" s="1"/>
  <c r="Z49" i="101"/>
  <c r="AA49" i="101" s="1"/>
  <c r="L145" i="132"/>
  <c r="N145" i="132" s="1"/>
  <c r="Z42" i="101"/>
  <c r="AA42" i="101" s="1"/>
  <c r="L138" i="132"/>
  <c r="N138" i="132" s="1"/>
  <c r="Z43" i="101"/>
  <c r="AA43" i="101" s="1"/>
  <c r="L139" i="132"/>
  <c r="N139" i="132" s="1"/>
  <c r="Z66" i="99"/>
  <c r="AA66" i="99" s="1"/>
  <c r="L64" i="132"/>
  <c r="N64" i="132" s="1"/>
  <c r="Z42" i="99"/>
  <c r="AA42" i="99" s="1"/>
  <c r="L40" i="132"/>
  <c r="N40" i="132" s="1"/>
  <c r="Z26" i="99"/>
  <c r="AA26" i="99" s="1"/>
  <c r="L24" i="132"/>
  <c r="N24" i="132" s="1"/>
  <c r="Z22" i="99"/>
  <c r="AA22" i="99" s="1"/>
  <c r="L20" i="132"/>
  <c r="N20" i="132" s="1"/>
  <c r="Z27" i="99"/>
  <c r="AA27" i="99" s="1"/>
  <c r="L25" i="132"/>
  <c r="N25" i="132" s="1"/>
  <c r="Z63" i="99"/>
  <c r="AA63" i="99" s="1"/>
  <c r="L61" i="132"/>
  <c r="N61" i="132" s="1"/>
  <c r="Z55" i="99"/>
  <c r="AA55" i="99" s="1"/>
  <c r="L53" i="132"/>
  <c r="N53" i="132" s="1"/>
  <c r="Z85" i="99"/>
  <c r="AA85" i="99" s="1"/>
  <c r="L83" i="132"/>
  <c r="N83" i="132" s="1"/>
  <c r="Z58" i="99"/>
  <c r="AA58" i="99" s="1"/>
  <c r="L56" i="132"/>
  <c r="N56" i="132" s="1"/>
  <c r="Z24" i="101"/>
  <c r="AA24" i="101" s="1"/>
  <c r="L120" i="132"/>
  <c r="N120" i="132" s="1"/>
  <c r="Z51" i="101"/>
  <c r="AA51" i="101" s="1"/>
  <c r="L147" i="132"/>
  <c r="N147" i="132" s="1"/>
  <c r="Z23" i="101"/>
  <c r="AA23" i="101" s="1"/>
  <c r="L119" i="132"/>
  <c r="N119" i="132" s="1"/>
  <c r="Z34" i="101"/>
  <c r="AA34" i="101" s="1"/>
  <c r="L130" i="132"/>
  <c r="N130" i="132" s="1"/>
  <c r="Z60" i="101"/>
  <c r="AA60" i="101" s="1"/>
  <c r="L156" i="132"/>
  <c r="N156" i="132" s="1"/>
  <c r="Z58" i="101"/>
  <c r="AA58" i="101" s="1"/>
  <c r="L154" i="132"/>
  <c r="N154" i="132" s="1"/>
  <c r="Z26" i="101"/>
  <c r="AA26" i="101" s="1"/>
  <c r="L122" i="132"/>
  <c r="N122" i="132" s="1"/>
  <c r="L132" i="132"/>
  <c r="N132" i="132" s="1"/>
  <c r="Z36" i="101"/>
  <c r="AA36" i="101" s="1"/>
  <c r="Z38" i="101"/>
  <c r="AA38" i="101" s="1"/>
  <c r="L134" i="132"/>
  <c r="N134" i="132" s="1"/>
  <c r="Z29" i="101"/>
  <c r="AA29" i="101" s="1"/>
  <c r="L125" i="132"/>
  <c r="N125" i="132" s="1"/>
  <c r="Z33" i="101"/>
  <c r="AA33" i="101" s="1"/>
  <c r="L129" i="132"/>
  <c r="N129" i="132" s="1"/>
  <c r="L116" i="132"/>
  <c r="N116" i="132" s="1"/>
  <c r="Z20" i="101"/>
  <c r="AA20" i="101" s="1"/>
  <c r="Z69" i="101"/>
  <c r="AA69" i="101" s="1"/>
  <c r="L165" i="132"/>
  <c r="N165" i="132" s="1"/>
  <c r="Z31" i="101"/>
  <c r="AA31" i="101" s="1"/>
  <c r="L127" i="132"/>
  <c r="N127" i="132" s="1"/>
  <c r="AA19" i="99"/>
  <c r="H186" i="132"/>
  <c r="X15" i="151"/>
  <c r="J14" i="132"/>
  <c r="J13" i="132" s="1"/>
  <c r="K202" i="151"/>
  <c r="M197" i="151"/>
  <c r="M202" i="151" s="1"/>
  <c r="E2067" i="170"/>
  <c r="L2067" i="170" s="1"/>
  <c r="E1506" i="170"/>
  <c r="L1506" i="170" s="1"/>
  <c r="M2050" i="170" s="1"/>
  <c r="E19" i="170"/>
  <c r="L19" i="170" s="1"/>
  <c r="M738" i="170" s="1"/>
  <c r="E755" i="170"/>
  <c r="L755" i="170" s="1"/>
  <c r="M1489" i="170" s="1"/>
  <c r="O1489" i="170" s="1"/>
  <c r="H16" i="153"/>
  <c r="AA23" i="99"/>
  <c r="AA162" i="151"/>
  <c r="H22" i="154"/>
  <c r="L2211" i="170"/>
  <c r="L2179" i="170"/>
  <c r="L2355" i="170"/>
  <c r="L2163" i="170"/>
  <c r="L2435" i="170"/>
  <c r="L2547" i="170"/>
  <c r="L2131" i="170"/>
  <c r="L2371" i="170"/>
  <c r="L2387" i="170"/>
  <c r="L2083" i="170"/>
  <c r="X17" i="101"/>
  <c r="X17" i="99"/>
  <c r="AA100" i="151"/>
  <c r="AA102" i="151"/>
  <c r="AA106" i="151"/>
  <c r="AA104" i="151"/>
  <c r="AA99" i="151"/>
  <c r="H26" i="154"/>
  <c r="AA101" i="151"/>
  <c r="AA103" i="151"/>
  <c r="H27" i="154"/>
  <c r="O211" i="151"/>
  <c r="A2341" i="170"/>
  <c r="G2325" i="170"/>
  <c r="Y15" i="151"/>
  <c r="Y114" i="151"/>
  <c r="Y113" i="151" s="1"/>
  <c r="G25" i="154"/>
  <c r="H25" i="154"/>
  <c r="AA17" i="151"/>
  <c r="N187" i="132"/>
  <c r="G24" i="154"/>
  <c r="AA88" i="151"/>
  <c r="H23" i="154"/>
  <c r="X27" i="101"/>
  <c r="X68" i="101"/>
  <c r="X73" i="101"/>
  <c r="X25" i="101"/>
  <c r="F157" i="99"/>
  <c r="J157" i="99" s="1"/>
  <c r="X18" i="101"/>
  <c r="F156" i="99"/>
  <c r="J156" i="99" s="1"/>
  <c r="F158" i="99"/>
  <c r="J158" i="99" s="1"/>
  <c r="F155" i="99"/>
  <c r="J155" i="99" s="1"/>
  <c r="F176" i="99"/>
  <c r="H14" i="153" l="1"/>
  <c r="I14" i="153" s="1"/>
  <c r="L14" i="153" s="1"/>
  <c r="L114" i="132"/>
  <c r="N114" i="132" s="1"/>
  <c r="Y179" i="151"/>
  <c r="X99" i="99"/>
  <c r="X82" i="101"/>
  <c r="G29" i="154"/>
  <c r="H29" i="154"/>
  <c r="I15" i="153"/>
  <c r="L15" i="153" s="1"/>
  <c r="M15" i="153" s="1"/>
  <c r="I19" i="153"/>
  <c r="L19" i="153" s="1"/>
  <c r="M19" i="153" s="1"/>
  <c r="I16" i="153"/>
  <c r="L16" i="153" s="1"/>
  <c r="M16" i="153" s="1"/>
  <c r="H18" i="153"/>
  <c r="I18" i="153" s="1"/>
  <c r="I20" i="153"/>
  <c r="X179" i="151"/>
  <c r="AE188" i="151" s="1"/>
  <c r="Z17" i="99"/>
  <c r="AA17" i="99" s="1"/>
  <c r="L15" i="132"/>
  <c r="N15" i="132" s="1"/>
  <c r="Z88" i="99"/>
  <c r="AA88" i="99" s="1"/>
  <c r="L86" i="132"/>
  <c r="Z65" i="101"/>
  <c r="AA65" i="101" s="1"/>
  <c r="L161" i="132"/>
  <c r="N161" i="132" s="1"/>
  <c r="J165" i="99"/>
  <c r="F190" i="99"/>
  <c r="J176" i="99"/>
  <c r="F180" i="99" s="1"/>
  <c r="L180" i="99" s="1"/>
  <c r="H23" i="153"/>
  <c r="I23" i="153" s="1"/>
  <c r="L23" i="153" s="1"/>
  <c r="M23" i="153" s="1"/>
  <c r="J113" i="132"/>
  <c r="J112" i="132" s="1"/>
  <c r="I186" i="132"/>
  <c r="O2050" i="170"/>
  <c r="O738" i="170"/>
  <c r="AA68" i="101"/>
  <c r="AA16" i="151"/>
  <c r="G2341" i="170"/>
  <c r="A2357" i="170"/>
  <c r="AA114" i="151"/>
  <c r="AA113" i="151" s="1"/>
  <c r="AA27" i="101"/>
  <c r="AA18" i="101"/>
  <c r="AA25" i="101"/>
  <c r="AA73" i="101"/>
  <c r="H22" i="153"/>
  <c r="I22" i="153" s="1"/>
  <c r="H189" i="132"/>
  <c r="F165" i="99"/>
  <c r="G19" i="79"/>
  <c r="G25" i="79" s="1"/>
  <c r="K34" i="59"/>
  <c r="K42" i="59" s="1"/>
  <c r="L18" i="153" l="1"/>
  <c r="M18" i="153" s="1"/>
  <c r="M14" i="153"/>
  <c r="N86" i="132"/>
  <c r="L20" i="153"/>
  <c r="M20" i="153" s="1"/>
  <c r="J186" i="132"/>
  <c r="H17" i="153"/>
  <c r="I17" i="153" s="1"/>
  <c r="L17" i="153" s="1"/>
  <c r="M17" i="153" s="1"/>
  <c r="F14" i="136"/>
  <c r="Z17" i="101"/>
  <c r="Z82" i="101" s="1"/>
  <c r="L113" i="132"/>
  <c r="L112" i="132" s="1"/>
  <c r="Z16" i="99"/>
  <c r="L14" i="132"/>
  <c r="L13" i="132" s="1"/>
  <c r="L22" i="153"/>
  <c r="M22" i="153" s="1"/>
  <c r="M21" i="153" s="1"/>
  <c r="H28" i="154"/>
  <c r="H21" i="154" s="1"/>
  <c r="G28" i="154"/>
  <c r="I189" i="132"/>
  <c r="AA15" i="151"/>
  <c r="A2373" i="170"/>
  <c r="G2357" i="170"/>
  <c r="P16" i="153"/>
  <c r="Q16" i="153" s="1"/>
  <c r="G34" i="59"/>
  <c r="G42" i="59" s="1"/>
  <c r="C48" i="59"/>
  <c r="K6" i="59"/>
  <c r="K14" i="59" s="1"/>
  <c r="M165" i="99"/>
  <c r="W165" i="99" s="1"/>
  <c r="G20" i="59"/>
  <c r="G28" i="59" s="1"/>
  <c r="O20" i="59"/>
  <c r="O6" i="59"/>
  <c r="O14" i="59" s="1"/>
  <c r="M12" i="153" l="1"/>
  <c r="L12" i="153"/>
  <c r="G21" i="154"/>
  <c r="K21" i="154" s="1"/>
  <c r="L186" i="132"/>
  <c r="Z99" i="99"/>
  <c r="P18" i="153"/>
  <c r="P23" i="153"/>
  <c r="Q23" i="153" s="1"/>
  <c r="P26" i="153"/>
  <c r="L21" i="153"/>
  <c r="AA179" i="151"/>
  <c r="N113" i="132"/>
  <c r="N112" i="132" s="1"/>
  <c r="AA16" i="99"/>
  <c r="N14" i="132"/>
  <c r="N13" i="132" s="1"/>
  <c r="AA17" i="101"/>
  <c r="AA82" i="101"/>
  <c r="G2373" i="170"/>
  <c r="A2389" i="170"/>
  <c r="P15" i="153"/>
  <c r="Q15" i="153" s="1"/>
  <c r="O28" i="59"/>
  <c r="P48" i="59"/>
  <c r="C56" i="59"/>
  <c r="P56" i="59" s="1"/>
  <c r="C6" i="59"/>
  <c r="AA99" i="99" l="1"/>
  <c r="AE179" i="151"/>
  <c r="AE184" i="151" s="1"/>
  <c r="P17" i="153"/>
  <c r="Q17" i="153" s="1"/>
  <c r="F13" i="136"/>
  <c r="G13" i="136" s="1"/>
  <c r="F10" i="167" s="1"/>
  <c r="N186" i="132"/>
  <c r="K16" i="154" s="1"/>
  <c r="A2405" i="170"/>
  <c r="G2389" i="170"/>
  <c r="P22" i="153"/>
  <c r="Q22" i="153" s="1"/>
  <c r="C14" i="59"/>
  <c r="G6" i="59"/>
  <c r="G14" i="59" s="1"/>
  <c r="G2405" i="170" l="1"/>
  <c r="A2421" i="170"/>
  <c r="P14" i="59"/>
  <c r="P6" i="59"/>
  <c r="A2437" i="170" l="1"/>
  <c r="G2421" i="170"/>
  <c r="G14" i="136"/>
  <c r="F11" i="167" s="1"/>
  <c r="F14" i="167" s="1"/>
  <c r="J184" i="132" l="1"/>
  <c r="G184" i="132"/>
  <c r="A2453" i="170"/>
  <c r="G2437" i="170"/>
  <c r="H14" i="136"/>
  <c r="K184" i="132" s="1"/>
  <c r="C34" i="59"/>
  <c r="L184" i="132" l="1"/>
  <c r="N184" i="132" s="1"/>
  <c r="A2469" i="170"/>
  <c r="G2453" i="170"/>
  <c r="I14" i="136"/>
  <c r="G11" i="167"/>
  <c r="C42" i="59"/>
  <c r="C20" i="59"/>
  <c r="A2485" i="170" l="1"/>
  <c r="G2469" i="170"/>
  <c r="P112" i="132"/>
  <c r="Q112" i="132" s="1"/>
  <c r="C28" i="59"/>
  <c r="A2501" i="170" l="1"/>
  <c r="G2485" i="170"/>
  <c r="G2501" i="170" l="1"/>
  <c r="A2517" i="170"/>
  <c r="G2517" i="170" l="1"/>
  <c r="A2533" i="170"/>
  <c r="K20" i="59"/>
  <c r="P20" i="59" s="1"/>
  <c r="G2533" i="170" l="1"/>
  <c r="A2550" i="170"/>
  <c r="K28" i="59"/>
  <c r="P28" i="59" s="1"/>
  <c r="G2550" i="170" l="1"/>
  <c r="A2566" i="170"/>
  <c r="G2566" i="170" l="1"/>
  <c r="A2582" i="170"/>
  <c r="G2582" i="170" l="1"/>
  <c r="A2598" i="170"/>
  <c r="G2598" i="170" s="1"/>
  <c r="G183" i="132" l="1"/>
  <c r="G182" i="132" s="1"/>
  <c r="G188" i="132" s="1"/>
  <c r="G189" i="132" s="1"/>
  <c r="J183" i="132"/>
  <c r="J182" i="132" s="1"/>
  <c r="K17" i="167"/>
  <c r="G12" i="136"/>
  <c r="G17" i="136" s="1"/>
  <c r="H13" i="136"/>
  <c r="K183" i="132" s="1"/>
  <c r="K182" i="132" s="1"/>
  <c r="F12" i="136"/>
  <c r="F17" i="136" s="1"/>
  <c r="L183" i="132" l="1"/>
  <c r="L182" i="132" s="1"/>
  <c r="J188" i="132"/>
  <c r="J189" i="132" s="1"/>
  <c r="G10" i="167"/>
  <c r="G14" i="167" s="1"/>
  <c r="H12" i="136"/>
  <c r="H17" i="136" s="1"/>
  <c r="G33" i="154"/>
  <c r="G32" i="154" s="1"/>
  <c r="I13" i="136"/>
  <c r="I12" i="136" s="1"/>
  <c r="I17" i="136" s="1"/>
  <c r="N183" i="132" l="1"/>
  <c r="N182" i="132" s="1"/>
  <c r="K188" i="132"/>
  <c r="H33" i="154"/>
  <c r="H32" i="154" l="1"/>
  <c r="L188" i="132"/>
  <c r="K189" i="132"/>
  <c r="N188" i="132" l="1"/>
  <c r="AC161" i="9" l="1"/>
  <c r="I2585" i="170"/>
  <c r="K2585" i="170" s="1"/>
  <c r="K2596" i="170" s="1"/>
  <c r="K213" i="151" l="1"/>
  <c r="AI18" i="9"/>
  <c r="L2596" i="170"/>
  <c r="M2609" i="170" s="1"/>
  <c r="AF28" i="9"/>
  <c r="AG9" i="9"/>
  <c r="Q161" i="9"/>
  <c r="AI8" i="9"/>
  <c r="AG20" i="9"/>
  <c r="AG21" i="9" s="1"/>
  <c r="AG22" i="9" s="1"/>
  <c r="T4" i="9"/>
  <c r="O2611" i="170" l="1"/>
  <c r="M2611" i="170"/>
  <c r="H30" i="154"/>
  <c r="H14" i="154" s="1"/>
  <c r="H13" i="154" s="1"/>
  <c r="H35" i="154" s="1"/>
  <c r="L2615" i="170"/>
  <c r="M2622" i="170" s="1"/>
  <c r="M213" i="151"/>
  <c r="P202" i="151" s="1"/>
  <c r="Z202" i="151" s="1"/>
  <c r="D30" i="154"/>
  <c r="M2624" i="170" l="1"/>
  <c r="K39" i="154"/>
  <c r="G14" i="154" l="1"/>
  <c r="P203" i="132"/>
  <c r="G13" i="154" l="1"/>
  <c r="G35" i="154" s="1"/>
  <c r="K17" i="154"/>
  <c r="P186" i="132"/>
  <c r="L189" i="132"/>
  <c r="M215" i="151"/>
  <c r="Q203" i="132"/>
  <c r="C16" i="157"/>
  <c r="N189" i="132" l="1"/>
  <c r="C12" i="158"/>
  <c r="C16" i="158" s="1"/>
  <c r="E12" i="157"/>
  <c r="E16" i="157" s="1"/>
  <c r="E12" i="158" l="1"/>
  <c r="E16" i="158" s="1"/>
  <c r="D17" i="79" l="1"/>
  <c r="D20" i="79" s="1"/>
  <c r="G23" i="79" l="1"/>
  <c r="G16" i="79" l="1"/>
</calcChain>
</file>

<file path=xl/sharedStrings.xml><?xml version="1.0" encoding="utf-8"?>
<sst xmlns="http://schemas.openxmlformats.org/spreadsheetml/2006/main" count="16222" uniqueCount="871">
  <si>
    <t>Hòa bình - Độc lập - Dân chủ - Thống nhất - Thịnh vượng</t>
  </si>
  <si>
    <t>Đvt</t>
  </si>
  <si>
    <t>Thảo Văn Vông</t>
  </si>
  <si>
    <t>CÔNG TY TNHH CỔ PHẦN QUASA - GERUCO</t>
  </si>
  <si>
    <t>STT</t>
  </si>
  <si>
    <t>Họ và Tên</t>
  </si>
  <si>
    <t>Lào</t>
  </si>
  <si>
    <t>Việt Nam</t>
  </si>
  <si>
    <t>Chức vụ</t>
  </si>
  <si>
    <t>ĐVT</t>
  </si>
  <si>
    <t>Ký nhận</t>
  </si>
  <si>
    <t>Thuế
 TNCN</t>
  </si>
  <si>
    <t>Trích KP
 Công Đoàn</t>
  </si>
  <si>
    <t>Thực 
Nhận</t>
  </si>
  <si>
    <t>Stt</t>
  </si>
  <si>
    <t>Họ và tên</t>
  </si>
  <si>
    <t>Tổng</t>
  </si>
  <si>
    <t>Phụ cấp</t>
  </si>
  <si>
    <t>Thành tiền</t>
  </si>
  <si>
    <t>Chức
 vụ</t>
  </si>
  <si>
    <t>LƯƠNG</t>
  </si>
  <si>
    <t xml:space="preserve">Thuế TNCN </t>
  </si>
  <si>
    <t>Lương chăm sóc</t>
  </si>
  <si>
    <t>Lương sản lượng</t>
  </si>
  <si>
    <t>Phụ cấp khai thác</t>
  </si>
  <si>
    <t>Thành 
tiền</t>
  </si>
  <si>
    <t xml:space="preserve">Hạng
kỹ
thuật
</t>
  </si>
  <si>
    <t>Thành
tiền</t>
  </si>
  <si>
    <t>CNKT</t>
  </si>
  <si>
    <t>PHÒNG TC - HC</t>
  </si>
  <si>
    <t>PHÒNG TC - KT</t>
  </si>
  <si>
    <t>TỔNG GIÁM ĐỐC</t>
  </si>
  <si>
    <t>Họ và Tên Lào</t>
  </si>
  <si>
    <t>Tổng công</t>
  </si>
  <si>
    <t>Mủ tạp</t>
  </si>
  <si>
    <t>Ngày công</t>
  </si>
  <si>
    <t>Xác Nhận</t>
  </si>
  <si>
    <t>CN-KT</t>
  </si>
  <si>
    <t>A</t>
  </si>
  <si>
    <t>Xếp loại KT tính lương</t>
  </si>
  <si>
    <t>Hòa Bình - Độc Lập - Dân Chủ - Thống Nhất - Thịnh Vượng</t>
  </si>
  <si>
    <t>Phụ cấp 
khai thác</t>
  </si>
  <si>
    <t>À¯ñ­À¤ò­</t>
  </si>
  <si>
    <t>Trần Viết Hùng</t>
  </si>
  <si>
    <t>Mai Đức Hiếu</t>
  </si>
  <si>
    <t>Hoàng Hữu Công</t>
  </si>
  <si>
    <t>B</t>
  </si>
  <si>
    <t>D</t>
  </si>
  <si>
    <t>Hòa Bình - Độc Lập - Dân Chủ -Thống Nhất - Thịnh Vượng</t>
  </si>
  <si>
    <t>T/T</t>
  </si>
  <si>
    <t>Họ tên</t>
  </si>
  <si>
    <t>Chức  vụ</t>
  </si>
  <si>
    <t>Ngày</t>
  </si>
  <si>
    <t>x</t>
  </si>
  <si>
    <t>CỘNG HÒA DÂN CHỦ NHÂN DÂN LÀO</t>
  </si>
  <si>
    <t>Hòa Bình -Độc Lập  - Dân Chủ - thống Nhất - Thịnh Vượng</t>
  </si>
  <si>
    <t>TT</t>
  </si>
  <si>
    <t>HỌ VÀ TÊN</t>
  </si>
  <si>
    <t>Tổng cộng</t>
  </si>
  <si>
    <t>Phụ cấp ngày cạo, ngày chủ nhật</t>
  </si>
  <si>
    <t>Sản lượng mủ</t>
  </si>
  <si>
    <t>Các khoản PC</t>
  </si>
  <si>
    <t>II</t>
  </si>
  <si>
    <t>Ghi chú</t>
  </si>
  <si>
    <t>NÔNG TRƯỜNG 2</t>
  </si>
  <si>
    <t>HẠNG MỤC CÔNG VIỆC</t>
  </si>
  <si>
    <t>Tên Công nhân</t>
  </si>
  <si>
    <t>Ghi chú</t>
  </si>
  <si>
    <t>In Ton</t>
  </si>
  <si>
    <t>Nông luông</t>
  </si>
  <si>
    <t>Đội I</t>
  </si>
  <si>
    <t>I</t>
  </si>
  <si>
    <t>Ngày công</t>
  </si>
  <si>
    <t>Pha Lu</t>
  </si>
  <si>
    <t>KÝ NHẬN</t>
  </si>
  <si>
    <t>GHI CHÚ</t>
  </si>
  <si>
    <t>CHỨC VỤ</t>
  </si>
  <si>
    <t>Công sản phẩm</t>
  </si>
  <si>
    <t>Sản lượng mủ</t>
  </si>
  <si>
    <t xml:space="preserve">Các khoản trừ </t>
  </si>
  <si>
    <t xml:space="preserve">Tạm ứng </t>
  </si>
  <si>
    <t>Tổng trừ:</t>
  </si>
  <si>
    <t xml:space="preserve">Còn lãnh </t>
  </si>
  <si>
    <t>Huội Sai</t>
  </si>
  <si>
    <t>Na Ka Pun</t>
  </si>
  <si>
    <t>TÊN BẢN</t>
  </si>
  <si>
    <t>SỐ CÔNG NHÂN</t>
  </si>
  <si>
    <t>Trưởng bản</t>
  </si>
  <si>
    <t>Na Ka Nông</t>
  </si>
  <si>
    <t>Xôm Xa Ạt</t>
  </si>
  <si>
    <t>Von</t>
  </si>
  <si>
    <t>Xi</t>
  </si>
  <si>
    <t>THỰC NHẬN</t>
  </si>
  <si>
    <t>BẢNG CHẤM CÔNG CB QUẢN LÝ, PHỤC VỤ SẢN XUẤT</t>
  </si>
  <si>
    <t>III</t>
  </si>
  <si>
    <t>Mã số nhân viên</t>
  </si>
  <si>
    <t>Mứt</t>
  </si>
  <si>
    <t>Nộ Na</t>
  </si>
  <si>
    <t>Thăm Mã La</t>
  </si>
  <si>
    <t>Pết</t>
  </si>
  <si>
    <t>Bun Lơng</t>
  </si>
  <si>
    <t>Khăn Hạ</t>
  </si>
  <si>
    <t>00383</t>
  </si>
  <si>
    <t>00377</t>
  </si>
  <si>
    <t>00376</t>
  </si>
  <si>
    <t>00397</t>
  </si>
  <si>
    <t>DANH SÁCH CÔNG NHÂN CHƯA CÓ HỢP ĐỒNG VÀ MÃ SỐ NHÂN VIÊN</t>
  </si>
  <si>
    <t>DANH SÁCH CÔNG NHÂN NGHỈ</t>
  </si>
  <si>
    <t>HỌ TÊN</t>
  </si>
  <si>
    <t>Thăm Ma Lay</t>
  </si>
  <si>
    <t>Bun Mi</t>
  </si>
  <si>
    <t>Son Vi Lay</t>
  </si>
  <si>
    <t>Xi Xa Văn</t>
  </si>
  <si>
    <t>Sênh Đôm Đi</t>
  </si>
  <si>
    <t>Kíp</t>
  </si>
  <si>
    <t>Đội: 1.2.3.4</t>
  </si>
  <si>
    <t>cn</t>
  </si>
  <si>
    <t>Phaloong</t>
  </si>
  <si>
    <t>La Vay</t>
  </si>
  <si>
    <t>Thảo Keo</t>
  </si>
  <si>
    <t>Đội 2</t>
  </si>
  <si>
    <t>Đội 4</t>
  </si>
  <si>
    <t>GIÁM ĐỐC NÔNG TRƯỜNG</t>
  </si>
  <si>
    <t>Tổng
 cộng</t>
  </si>
  <si>
    <t>Tổng 
công</t>
  </si>
  <si>
    <t>Quy khô
DRC=50</t>
  </si>
  <si>
    <t>Trần Viết Dũng</t>
  </si>
  <si>
    <t xml:space="preserve">VC KINH DOANH NĂM </t>
  </si>
  <si>
    <t>Công</t>
  </si>
  <si>
    <t>Nguyễn Trí Thạch</t>
  </si>
  <si>
    <t>BẢNG THANH TOÁN TIỀN HỖ TRỢ CÁC TRƯỞNG BẢN
 CÓ CÔNG NHÂN LÀM VIỆC CHO NÔNG TRƯỜNG VÀ CÔNG AN CỤM BẢN</t>
  </si>
  <si>
    <t>Trưởng Công an</t>
  </si>
  <si>
    <t>BẢNG CHẤM CÔNG CB QUẢN LÝ CÁC ĐỘI KHAI THÁC</t>
  </si>
  <si>
    <t>Quy khô</t>
  </si>
  <si>
    <t>NGƯỜI LẬP</t>
  </si>
  <si>
    <t xml:space="preserve">Trần Văn Lý </t>
  </si>
  <si>
    <t>Tổng sản lượng mủ tạp+mủ dây quy khô</t>
  </si>
  <si>
    <t>Lương USD</t>
  </si>
  <si>
    <t>Các khoản trừ</t>
  </si>
  <si>
    <t>Mã nhân viên</t>
  </si>
  <si>
    <t>Bảo Vệ</t>
  </si>
  <si>
    <t xml:space="preserve">Lập biểu </t>
  </si>
  <si>
    <t>Xum Phon</t>
  </si>
  <si>
    <t>Đội 1</t>
  </si>
  <si>
    <t>Đội 3</t>
  </si>
  <si>
    <t>T. Đi</t>
  </si>
  <si>
    <t>T. Nhung</t>
  </si>
  <si>
    <t>Lương thực lãnh</t>
  </si>
  <si>
    <t>Tiền ăn</t>
  </si>
  <si>
    <t>Xăng T</t>
  </si>
  <si>
    <t>Các khoản nợ</t>
  </si>
  <si>
    <t>Tiền card</t>
  </si>
  <si>
    <t>Lương thực nhận</t>
  </si>
  <si>
    <t>Xăng</t>
  </si>
  <si>
    <t>ທ້າວ ສີ</t>
  </si>
  <si>
    <t>tiền lê</t>
  </si>
  <si>
    <t>Keo</t>
  </si>
  <si>
    <t>Tổng cộng</t>
  </si>
  <si>
    <t>Nang Quamg</t>
  </si>
  <si>
    <t>Bun Khăm</t>
  </si>
  <si>
    <t xml:space="preserve">  PHÒNG TC - KT</t>
  </si>
  <si>
    <t xml:space="preserve">       PHÒNG TC - HC</t>
  </si>
  <si>
    <t xml:space="preserve"> </t>
  </si>
  <si>
    <t>TỔNG CÔNG</t>
  </si>
  <si>
    <t>ĐƠN GIÁ ( 25.000 KÍP )</t>
  </si>
  <si>
    <t>THÀNH TIỀN</t>
  </si>
  <si>
    <t>Thuế TNCN</t>
  </si>
  <si>
    <t>ịi</t>
  </si>
  <si>
    <t>Thảo Phôn Chay</t>
  </si>
  <si>
    <t>T .Nhum</t>
  </si>
  <si>
    <t>T . Phết</t>
  </si>
  <si>
    <t>N . Khâm (1)</t>
  </si>
  <si>
    <t>Tạp vụ</t>
  </si>
  <si>
    <t>Tạp Vụ</t>
  </si>
  <si>
    <t>lương Đội Lào Phôn +bun khưn</t>
  </si>
  <si>
    <t>Đô La</t>
  </si>
  <si>
    <t>Danh mục</t>
  </si>
  <si>
    <t>Số lượng</t>
  </si>
  <si>
    <t xml:space="preserve">Sản lượng thực hiện quy khô </t>
  </si>
  <si>
    <t>Đơn giá (kíp)</t>
  </si>
  <si>
    <t>Tổng tiền quyết toán (KIP)</t>
  </si>
  <si>
    <t>Tiền lương CN trực tiếp</t>
  </si>
  <si>
    <t>Sản lượng</t>
  </si>
  <si>
    <t>Kg</t>
  </si>
  <si>
    <t>Phụ cấp ngày công</t>
  </si>
  <si>
    <t>Tiền lương chăm sóc vườn cây</t>
  </si>
  <si>
    <t>Usd</t>
  </si>
  <si>
    <t>Tiền lương bảo vệ vườn cây</t>
  </si>
  <si>
    <t>CHI PHÍ KHÁC</t>
  </si>
  <si>
    <t>Phụ cấp Trưởng bản</t>
  </si>
  <si>
    <t>TỔNG CỘNG:</t>
  </si>
  <si>
    <t>T . Lốc</t>
  </si>
  <si>
    <t>Công việc khác</t>
  </si>
  <si>
    <t>N. Tun 1</t>
  </si>
  <si>
    <t>Chi phí tiếp khách</t>
  </si>
  <si>
    <r>
      <t>Nông trường 2</t>
    </r>
    <r>
      <rPr>
        <sz val="11"/>
        <rFont val="Times New Roman"/>
        <family val="1"/>
      </rPr>
      <t>, ngày 02 tháng 10  năm 2022</t>
    </r>
  </si>
  <si>
    <t>Chi phí nhiêu liệu phục vụ sản xuất</t>
  </si>
  <si>
    <t>Phụ cấp xe ViGO biển số nn 0125</t>
  </si>
  <si>
    <t>Nguyễn Ngọc Huấn</t>
  </si>
  <si>
    <t>Đội trưởng</t>
  </si>
  <si>
    <t>T. Phô Thong</t>
  </si>
  <si>
    <t>T. Sô Đa</t>
  </si>
  <si>
    <t>N. Tủn</t>
  </si>
  <si>
    <t>T. Lung</t>
  </si>
  <si>
    <t>N. Mom</t>
  </si>
  <si>
    <t>Đao Hương</t>
  </si>
  <si>
    <t>T. Bun Hinh</t>
  </si>
  <si>
    <t>N . Thích</t>
  </si>
  <si>
    <t>N. Cong Mi</t>
  </si>
  <si>
    <t>T . In Tong</t>
  </si>
  <si>
    <t>T. Nú</t>
  </si>
  <si>
    <t>T . Cổ</t>
  </si>
  <si>
    <t>T. Nọi</t>
  </si>
  <si>
    <t>Xợt</t>
  </si>
  <si>
    <t>T. Sa Văn</t>
  </si>
  <si>
    <t>Lăm Ngân</t>
  </si>
  <si>
    <t>Số tiền bằng chữ: Năm trăm ngàn kíp</t>
  </si>
  <si>
    <t>T. Son Xay</t>
  </si>
  <si>
    <t>N. Mon Khăm</t>
  </si>
  <si>
    <t>T. Hin</t>
  </si>
  <si>
    <t>T. Xôm Va Nít</t>
  </si>
  <si>
    <t>T. Lọi</t>
  </si>
  <si>
    <t>T. Ca Te</t>
  </si>
  <si>
    <t>T. Lâm Phon</t>
  </si>
  <si>
    <t>N. Đeng</t>
  </si>
  <si>
    <t>T. Pông</t>
  </si>
  <si>
    <t>N. Lẹ</t>
  </si>
  <si>
    <t>N. Lay</t>
  </si>
  <si>
    <t>Bôi thuốc kích thích</t>
  </si>
  <si>
    <t>Đội phó</t>
  </si>
  <si>
    <t>T. Thong Đon</t>
  </si>
  <si>
    <t>T. Viêng Sa Văn</t>
  </si>
  <si>
    <t>T. Tinh</t>
  </si>
  <si>
    <t>N. Chay</t>
  </si>
  <si>
    <t>T. Cạp</t>
  </si>
  <si>
    <t>N. Soi</t>
  </si>
  <si>
    <t>Kí nhận</t>
  </si>
  <si>
    <r>
      <t xml:space="preserve">Đơn Giá 
</t>
    </r>
    <r>
      <rPr>
        <sz val="13"/>
        <rFont val="Times New Roman"/>
        <family val="1"/>
      </rPr>
      <t>(25000 kíp)</t>
    </r>
  </si>
  <si>
    <t>Đoàn Văn Nghĩa</t>
  </si>
  <si>
    <t>N. Vạt</t>
  </si>
  <si>
    <t>N. Phôn 1</t>
  </si>
  <si>
    <t>T Căng</t>
  </si>
  <si>
    <t>T. In Păn</t>
  </si>
  <si>
    <t>N. Me Kha La</t>
  </si>
  <si>
    <t>T. Bin Ly.</t>
  </si>
  <si>
    <t>N. Phim Phon.</t>
  </si>
  <si>
    <t>T. Phu Ngân</t>
  </si>
  <si>
    <t>N. Ba Say</t>
  </si>
  <si>
    <t>T. May</t>
  </si>
  <si>
    <t>N. Keo</t>
  </si>
  <si>
    <t>N.Vông Ma Ni</t>
  </si>
  <si>
    <t>T. Khăm Mặn</t>
  </si>
  <si>
    <t>N. Bun Đi</t>
  </si>
  <si>
    <t>N. Phon</t>
  </si>
  <si>
    <t>N. Ốc</t>
  </si>
  <si>
    <t>T. Lem</t>
  </si>
  <si>
    <t>N. Bua Hom</t>
  </si>
  <si>
    <t>Tổng lương</t>
  </si>
  <si>
    <t>Ngày công đi cạo thường (x)</t>
  </si>
  <si>
    <t>Ngày CN thường (cn)</t>
  </si>
  <si>
    <t>N. Văn Ta</t>
  </si>
  <si>
    <t>T. Khăm...</t>
  </si>
  <si>
    <t>N. Pheng</t>
  </si>
  <si>
    <t>T. A lem</t>
  </si>
  <si>
    <t>N. Phim Pha</t>
  </si>
  <si>
    <t>T. Huôn</t>
  </si>
  <si>
    <t>Phụ cấp ngày chủ nhật</t>
  </si>
  <si>
    <t>Tiền đảng 2 tháng</t>
  </si>
  <si>
    <t>Tiền quỷ NT 3 tháng</t>
  </si>
  <si>
    <t>ứng lương</t>
  </si>
  <si>
    <t>Nguyễn Thị Huệ</t>
  </si>
  <si>
    <t>N. Pon</t>
  </si>
  <si>
    <t>T. Thon</t>
  </si>
  <si>
    <t>T. Ta</t>
  </si>
  <si>
    <t>T. Xơn</t>
  </si>
  <si>
    <t>Phát chồi đại trà</t>
  </si>
  <si>
    <t>T Xèng</t>
  </si>
  <si>
    <t>N. Lỷ</t>
  </si>
  <si>
    <t xml:space="preserve">Phụ cấp nhỏ a xít </t>
  </si>
  <si>
    <t>Tổng mủ tạp</t>
  </si>
  <si>
    <t>Đội 1,2 3</t>
  </si>
  <si>
    <t>-----oOo-----</t>
  </si>
  <si>
    <t>(1)</t>
  </si>
  <si>
    <t>(2)</t>
  </si>
  <si>
    <t>(4)</t>
  </si>
  <si>
    <t>(5)</t>
  </si>
  <si>
    <t>(6)</t>
  </si>
  <si>
    <t>Sản lượng giao kế hoạch tháng (tấn)</t>
  </si>
  <si>
    <t>Sản lượng thực hiện trong tháng (tấn)</t>
  </si>
  <si>
    <t>PHÒNG KT - NN</t>
  </si>
  <si>
    <t>Vườn cây kinh doanh Total (1)</t>
  </si>
  <si>
    <t>T. Thong</t>
  </si>
  <si>
    <t>-----o0o-----</t>
  </si>
  <si>
    <t>----- o0o-----</t>
  </si>
  <si>
    <t>Đặng Ngọc Tú</t>
  </si>
  <si>
    <t>Phan Văn Hưng</t>
  </si>
  <si>
    <t xml:space="preserve">Tỷ giá Bath qua Kip: </t>
  </si>
  <si>
    <t>N. Phu Văn</t>
  </si>
  <si>
    <t>Lương thực hiện trong tháng</t>
  </si>
  <si>
    <t>Lương kíp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</si>
  <si>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</si>
  <si>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</si>
  <si>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</si>
  <si>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</si>
  <si>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 xml:space="preserve">Lương cơ bản </t>
  </si>
  <si>
    <t>Lương tính theo tỷ lệ hoàn thành sản lượng</t>
  </si>
  <si>
    <t>Tỷ lệ hoàn thành sản lượng  (%)</t>
  </si>
  <si>
    <t>PC ngày công đi cạo</t>
  </si>
  <si>
    <t>Thưởng 2 tháng</t>
  </si>
  <si>
    <t>Nguyễn Quang Hà</t>
  </si>
  <si>
    <t>Trần Đăng Tám</t>
  </si>
  <si>
    <t>Nguyễn Văn Thái</t>
  </si>
  <si>
    <t>Nguyễn Quốc Triệu Phú</t>
  </si>
  <si>
    <t>T. Ê</t>
  </si>
  <si>
    <t>TẠP VỤ NGƯỜI LÀO</t>
  </si>
  <si>
    <t>(3)= (2)/(1)*100%</t>
  </si>
  <si>
    <t>1.1</t>
  </si>
  <si>
    <t>1.2</t>
  </si>
  <si>
    <t>1.3</t>
  </si>
  <si>
    <t>Nguyễn Thị Thùy Linh</t>
  </si>
  <si>
    <t>Nguyễn Văn Cương</t>
  </si>
  <si>
    <t>Lê Minh Trí</t>
  </si>
  <si>
    <t>Trần Thị Kim Ngân</t>
  </si>
  <si>
    <t>T. Vôn</t>
  </si>
  <si>
    <t>T . Bua Ngân</t>
  </si>
  <si>
    <t>N. Nong</t>
  </si>
  <si>
    <t>N. On Xi</t>
  </si>
  <si>
    <t>T. Lốp</t>
  </si>
  <si>
    <t>N. Lăm Phay</t>
  </si>
  <si>
    <t>T Dăn</t>
  </si>
  <si>
    <t>T. Xợt</t>
  </si>
  <si>
    <t>T. Đèng</t>
  </si>
  <si>
    <t>N. Đon</t>
  </si>
  <si>
    <t>N. Xi</t>
  </si>
  <si>
    <t>N. Túc</t>
  </si>
  <si>
    <t>T. Xi Nuôn</t>
  </si>
  <si>
    <t>T. Văn Nô</t>
  </si>
  <si>
    <t>Bun Thon</t>
  </si>
  <si>
    <t>N. Xeo Khăm</t>
  </si>
  <si>
    <t>T. Xan Nha</t>
  </si>
  <si>
    <t xml:space="preserve">T. Xeng </t>
  </si>
  <si>
    <t>T. Vạt</t>
  </si>
  <si>
    <t>T. Lay</t>
  </si>
  <si>
    <t>T. Chăn La .</t>
  </si>
  <si>
    <t>Hoàng Thị Lan</t>
  </si>
  <si>
    <t>Phu</t>
  </si>
  <si>
    <t>T Bun</t>
  </si>
  <si>
    <t>T. Xi Nun</t>
  </si>
  <si>
    <t>N. Xúc</t>
  </si>
  <si>
    <t>T. Lăm Phêng</t>
  </si>
  <si>
    <t>T Bun Xi</t>
  </si>
  <si>
    <t>TỔNG GIÁM ĐỐC                                                                      PHÒNG TC -KT                                                                                   PHÒNG TC - HC</t>
  </si>
  <si>
    <t>Lom</t>
  </si>
  <si>
    <t>Ghi Chú</t>
  </si>
  <si>
    <t>N. Khay Chăn</t>
  </si>
  <si>
    <t>T. Khách</t>
  </si>
  <si>
    <t>Tạp vụ Nông trường</t>
  </si>
  <si>
    <t xml:space="preserve"> Tài xế</t>
  </si>
  <si>
    <t xml:space="preserve">BẢNG CHẤM CÔNG BẢO VỆ NGƯỜI LÀO </t>
  </si>
  <si>
    <t xml:space="preserve">I </t>
  </si>
  <si>
    <t xml:space="preserve">BẢNG CHẤM CÔNG BẢO VỆ </t>
  </si>
  <si>
    <t>- BHXH, thuế TNCN,CĐ</t>
  </si>
  <si>
    <t>Nguyễn Minh Thành</t>
  </si>
  <si>
    <t>Mủ tạp (kg)</t>
  </si>
  <si>
    <t xml:space="preserve">Tổng 
lương 
</t>
  </si>
  <si>
    <t>Lương chăm sóc ( đơn giá 25.000 kíp/ công)</t>
  </si>
  <si>
    <t>Tiền lương còn lại</t>
  </si>
  <si>
    <t xml:space="preserve">Tổng Tiền
lương 
</t>
  </si>
  <si>
    <t>Nang On Xi</t>
  </si>
  <si>
    <t>Thảo Túc</t>
  </si>
  <si>
    <t xml:space="preserve">CNK </t>
  </si>
  <si>
    <t>CNK</t>
  </si>
  <si>
    <t>Tiền lương</t>
  </si>
  <si>
    <t>ĐVT : Kíp</t>
  </si>
  <si>
    <t xml:space="preserve">  Vườn cây kinh doanh </t>
  </si>
  <si>
    <t>SL A</t>
  </si>
  <si>
    <t>SLB</t>
  </si>
  <si>
    <t>SLC</t>
  </si>
  <si>
    <t>SLD</t>
  </si>
  <si>
    <t>ngày công thường</t>
  </si>
  <si>
    <t>chủ nhật</t>
  </si>
  <si>
    <t>Phụ cấp nhỏ a xít</t>
  </si>
  <si>
    <t>lương sp</t>
  </si>
  <si>
    <t>Vườn cây kinh doanh</t>
  </si>
  <si>
    <r>
      <t>Tổng tiền lương</t>
    </r>
    <r>
      <rPr>
        <sz val="13"/>
        <rFont val="Times New Roman"/>
        <family val="1"/>
      </rPr>
      <t xml:space="preserve">
</t>
    </r>
  </si>
  <si>
    <t>SỐ CÔNG NHÂN</t>
  </si>
  <si>
    <t xml:space="preserve">C </t>
  </si>
  <si>
    <t>HẠNG KỸ THUẬT</t>
  </si>
  <si>
    <t>Xếp hạng kỹ thuật</t>
  </si>
  <si>
    <t>N. Nhung  ( VP)</t>
  </si>
  <si>
    <t>SẢN LƯỢNG MỦ TẠP (KG)</t>
  </si>
  <si>
    <t>SẢN LƯỢNG MỦ QUY KHÔ (KG)</t>
  </si>
  <si>
    <t>Công nhân chính thức</t>
  </si>
  <si>
    <t>Công nhân thay thế</t>
  </si>
  <si>
    <t>C.</t>
  </si>
  <si>
    <t>Kí tên</t>
  </si>
  <si>
    <t>Đơn giá</t>
  </si>
  <si>
    <t>Hạng kỹ thuật</t>
  </si>
  <si>
    <t>Tỉ giá Bath</t>
  </si>
  <si>
    <t>PC ngày chủ nhật</t>
  </si>
  <si>
    <t>Bảo vệ (D1)</t>
  </si>
  <si>
    <t>Bảo vệ (D3)</t>
  </si>
  <si>
    <t>MSNV</t>
  </si>
  <si>
    <t>-----o0o----</t>
  </si>
  <si>
    <t>Phụ cấp 20.000 kíp / ngày / người</t>
  </si>
  <si>
    <t>T. Feng</t>
  </si>
  <si>
    <t xml:space="preserve">T. La </t>
  </si>
  <si>
    <t>TL. TC - KT</t>
  </si>
  <si>
    <t>TẠP VỤ</t>
  </si>
  <si>
    <t>Tổng tiền lương (kíp)</t>
  </si>
  <si>
    <t>Tổng tiền tiền lương thực nhận (kíp)</t>
  </si>
  <si>
    <t>Mủ dây (kg)</t>
  </si>
  <si>
    <t xml:space="preserve">
 Quy
khô ( kg)
</t>
  </si>
  <si>
    <t>DRC bình quân</t>
  </si>
  <si>
    <t xml:space="preserve">DRC thực tế </t>
  </si>
  <si>
    <t xml:space="preserve"> NÔNG TRƯỜNG 2</t>
  </si>
  <si>
    <t>Mủ Xirum</t>
  </si>
  <si>
    <t>mủ QK</t>
  </si>
  <si>
    <t>DRC mủ dây</t>
  </si>
  <si>
    <t>DRC mủ serum</t>
  </si>
  <si>
    <t>Mủ xirum (kg)</t>
  </si>
  <si>
    <t>(+) BẢO VỆ VƯỜN CÂY</t>
  </si>
  <si>
    <t>Ghi chú :</t>
  </si>
  <si>
    <t>x : Ngày công làm việc</t>
  </si>
  <si>
    <t xml:space="preserve"> PHÒNG KT - NN                                                                                                                                                        NÔNG TRƯỜNG 2</t>
  </si>
  <si>
    <r>
      <t>Ghi chú :</t>
    </r>
    <r>
      <rPr>
        <b/>
        <sz val="10"/>
        <rFont val="Times New Roman"/>
        <family val="1"/>
        <charset val="163"/>
      </rPr>
      <t xml:space="preserve">                        X</t>
    </r>
  </si>
  <si>
    <t>Đơn vị tính : Kíp</t>
  </si>
  <si>
    <t xml:space="preserve"> p :  Nghỉ phép</t>
  </si>
  <si>
    <t xml:space="preserve"> x : Ngày công làm việc</t>
  </si>
  <si>
    <t>cn : Ngày chủ nhật</t>
  </si>
  <si>
    <t xml:space="preserve">LƯƠNG THÁNG 07/2024   </t>
  </si>
  <si>
    <t>ຊັ້ນເຕັກນິກ</t>
  </si>
  <si>
    <t>ຜະລິດຕະພັນ</t>
  </si>
  <si>
    <t>ມື້ໄປກີດຍາງ</t>
  </si>
  <si>
    <t>ປະລິມານຢາງ</t>
  </si>
  <si>
    <t>ການຫັກລັບ</t>
  </si>
  <si>
    <t>ລ່ວງຫນ້າ</t>
  </si>
  <si>
    <t>ລົບທັງໝົດ</t>
  </si>
  <si>
    <t>ທີ່ຄົງເຫຼືອ</t>
  </si>
  <si>
    <t>Bùi Xuân Mai</t>
  </si>
  <si>
    <t>Tháng 07</t>
  </si>
  <si>
    <t>DRC ( đội 1)</t>
  </si>
  <si>
    <t>Phụ cấp ngày công bình thường</t>
  </si>
  <si>
    <t>T. Bờm</t>
  </si>
  <si>
    <t>Phụ cấp ngày công đi cạo thường</t>
  </si>
  <si>
    <t>Phụ cấp cạo 2 lát ngày chủ nhật</t>
  </si>
  <si>
    <t>(6)=(4)+(5)</t>
  </si>
  <si>
    <t>PC cạo 2 lát thường</t>
  </si>
  <si>
    <t>PC cạo 2 lát chủ nhật</t>
  </si>
  <si>
    <t>Mon (3)</t>
  </si>
  <si>
    <t>C</t>
  </si>
  <si>
    <t>cạo 2 lát ngày chủ nhật</t>
  </si>
  <si>
    <t>Đội Phó</t>
  </si>
  <si>
    <t>Phụ cấp tiền lương</t>
  </si>
  <si>
    <t>Tiền lương  đội phó người Lào</t>
  </si>
  <si>
    <t>TIỀN LƯƠNG  CB.CNV</t>
  </si>
  <si>
    <t>(+) TIỀN LƯƠNG  CB.CNV NGƯỜI LÀO</t>
  </si>
  <si>
    <t>Ghi chú:</t>
  </si>
  <si>
    <t>x: Ngày công cạo thường</t>
  </si>
  <si>
    <t>cn: Ngày công  chủ nhật thường</t>
  </si>
  <si>
    <t>Ngày công cạo gia tăng 2 miêng (gt)</t>
  </si>
  <si>
    <t>Ngày chủ nhật cạo gia tăng 2 miệng (ct)</t>
  </si>
  <si>
    <t>Ngày công đi cạo 2 lát (đ)</t>
  </si>
  <si>
    <t>đ: Ngày công cạo đi 2 lát</t>
  </si>
  <si>
    <t>đc: Ngày công chủ nhật cạo 2 lát</t>
  </si>
  <si>
    <t>gt: Ngày công cạo gia tăng 2 miệng</t>
  </si>
  <si>
    <t xml:space="preserve">ct: Ngày chủ nhật cạo gia tăng 2 miệng </t>
  </si>
  <si>
    <t>Ngày công chủ nhật cạo 2 lát (đc)</t>
  </si>
  <si>
    <t>TỶ LỆ % THEO HẠNG KỸ THUẬT</t>
  </si>
  <si>
    <t>GHI CHÚ</t>
  </si>
  <si>
    <t>Phụ cấp ngày CN thường</t>
  </si>
  <si>
    <t>Phụ cấp ngày công đi cạo 2 lát</t>
  </si>
  <si>
    <t>Phụ cấp ngày công chủ nhật cạo 2 lát</t>
  </si>
  <si>
    <t xml:space="preserve">Phụ cấp ngày công cạo gia tăng 2 miêng </t>
  </si>
  <si>
    <t>Phụ cấp ngày chủ nhật cạo gia tăng 2 miệng</t>
  </si>
  <si>
    <t>T. Khăm Pỏi</t>
  </si>
  <si>
    <t>Phụ cấp ngày công đi cạo 2 lát</t>
  </si>
  <si>
    <t>Phụ cấp ngày công cạo gia tăng 2 miệng</t>
  </si>
  <si>
    <t>CỘNG HOÀ DÂN CHỦ NHÂN DÂN LÀO</t>
  </si>
  <si>
    <t>Hoà bình - Độc lập - Dân chủ - Thống nhất - Thịnh vượng</t>
  </si>
  <si>
    <t>----oOo----</t>
  </si>
  <si>
    <t>HỌ VÀ TÊN</t>
  </si>
  <si>
    <t>CHỨC VỤ</t>
  </si>
  <si>
    <t>LƯƠNG (kip)</t>
  </si>
  <si>
    <t>THUẾ TNCN (kip)</t>
  </si>
  <si>
    <t>ທອງ</t>
  </si>
  <si>
    <t>đội 2</t>
  </si>
  <si>
    <t>đội 3</t>
  </si>
  <si>
    <t>01967</t>
  </si>
  <si>
    <t>trạm cân</t>
  </si>
  <si>
    <t>TỔNG</t>
  </si>
  <si>
    <t>PC ngày công cạo gia tăng 2 miệng</t>
  </si>
  <si>
    <t>PC chủ nhật cạo gia tăng 2 miệng</t>
  </si>
  <si>
    <t>PC ngày công đi cạo 2 lát</t>
  </si>
  <si>
    <t>ເຮັດວຽກວັນອາທິດ</t>
  </si>
  <si>
    <t xml:space="preserve">ມື້ກີດຍາງ ເພີ່ມຂື້ນ 2 ເທົ່າ </t>
  </si>
  <si>
    <t xml:space="preserve">ກີດຍາງວັນອາທິດ ເພີ່ມຂື້ນ 2 ເທົ່າ </t>
  </si>
  <si>
    <t>ອຸດໜຸນເງິນເດືອນ</t>
  </si>
  <si>
    <t>p : nghỉ phép</t>
  </si>
  <si>
    <t>Số CN</t>
  </si>
  <si>
    <t>Mức hổ trợ</t>
  </si>
  <si>
    <t>từ 2 &gt; 30</t>
  </si>
  <si>
    <t>từ 30 &gt; 50</t>
  </si>
  <si>
    <t>&gt;</t>
  </si>
  <si>
    <t>DRC</t>
  </si>
  <si>
    <t>T. Tan</t>
  </si>
  <si>
    <t>Đơn giá mủ seum</t>
  </si>
  <si>
    <t>N. Phết 2</t>
  </si>
  <si>
    <t>Xam xe y</t>
  </si>
  <si>
    <r>
      <rPr>
        <b/>
        <i/>
        <sz val="11"/>
        <color indexed="63"/>
        <rFont val="Times New Roman"/>
        <family val="1"/>
        <charset val="163"/>
      </rPr>
      <t>Số tiền bằng chữ:</t>
    </r>
    <r>
      <rPr>
        <b/>
        <sz val="11"/>
        <color indexed="63"/>
        <rFont val="Times New Roman"/>
        <family val="1"/>
        <charset val="163"/>
      </rPr>
      <t xml:space="preserve"> Năm triệu chín trăm nghìn kíp</t>
    </r>
  </si>
  <si>
    <t xml:space="preserve">Hổ trợ xăng xe </t>
  </si>
  <si>
    <t>Mủ sỉum</t>
  </si>
  <si>
    <t>Lể quốc khánh lào</t>
  </si>
  <si>
    <t xml:space="preserve">ວັນຊາດ </t>
  </si>
  <si>
    <t>Hà Văn Thủy</t>
  </si>
  <si>
    <t>T. Tý</t>
  </si>
  <si>
    <t>BẢNG TỔNG HỢP CÔNG THỰC HIỆN THÁNG 01 NĂM 2025</t>
  </si>
  <si>
    <t>Phụ cấp tiền lương (10.000 kíp/phần)</t>
  </si>
  <si>
    <t>Tổng mủ Xirum</t>
  </si>
  <si>
    <t>Mủ Xi Rum</t>
  </si>
  <si>
    <t>pt : Phép tết</t>
  </si>
  <si>
    <t>tt :  Trực tết</t>
  </si>
  <si>
    <t>Thành tiền (kip)</t>
  </si>
  <si>
    <t>Cạo gia tăng 2 miệng</t>
  </si>
  <si>
    <t>Phu cấp 10.000 kíp</t>
  </si>
  <si>
    <t>Phu cấp 20.000 kíp</t>
  </si>
  <si>
    <t>LƯƠNG THÁNG 01/2025</t>
  </si>
  <si>
    <t>ການຈັດປະເພດເຕັກນິກ</t>
  </si>
  <si>
    <t>ອຸດໜູນມື້ໄປກີດຍາງ</t>
  </si>
  <si>
    <t>ອຸດໜູນມື້ໄປເຮັດວຽກວັນອາທິດ</t>
  </si>
  <si>
    <t>ປະລິມານນ້ຳຢາງ</t>
  </si>
  <si>
    <t xml:space="preserve">ອຸດໜູນມື້ກີດຢາງ ເພີ່ມຂື້ນ 2 ເທົ່າ </t>
  </si>
  <si>
    <t>ບັນດາການຫັກລັບ</t>
  </si>
  <si>
    <t>ການເບີກເງີນລ່ວງຫນ້າ</t>
  </si>
  <si>
    <t>ລວມການລົບທັງໝົດ</t>
  </si>
  <si>
    <t>p</t>
  </si>
  <si>
    <t>Pb : Phép bệnh</t>
  </si>
  <si>
    <t>Thổi lá hàng 3m</t>
  </si>
  <si>
    <t>Bốc vật tư lên xuống xe</t>
  </si>
  <si>
    <t>Phụ cấp tiền lương (30.000 kíp/phần)</t>
  </si>
  <si>
    <t>Phụ cấp tiền lương (30.000/ngày)</t>
  </si>
  <si>
    <t>Thiết kế miệng cạo ngữa</t>
  </si>
  <si>
    <t>Rút máng</t>
  </si>
  <si>
    <t>Cột kiềng</t>
  </si>
  <si>
    <t>Xả miệng cạo ngữa</t>
  </si>
  <si>
    <t>Gom chén</t>
  </si>
  <si>
    <t>Phụ cấp tiền lương (500.000 kíp/phần)</t>
  </si>
  <si>
    <t>Quét lá caro vườn keo tài tượng</t>
  </si>
  <si>
    <t>Đào hố đổ rác thải</t>
  </si>
  <si>
    <t>Bốc vỏ thuốc lên xuống xe đi tiêu hủy</t>
  </si>
  <si>
    <t>Phu cấp 500.000 kíp</t>
  </si>
  <si>
    <t>Lăm Ma Thu</t>
  </si>
  <si>
    <t>N. Kay Son</t>
  </si>
  <si>
    <t>T. Đèng 1</t>
  </si>
  <si>
    <t>N. Ly Phon</t>
  </si>
  <si>
    <t>N. Bua Lay</t>
  </si>
  <si>
    <t>T. Không</t>
  </si>
  <si>
    <t>N. Nu Ni</t>
  </si>
  <si>
    <t>N. Thông La</t>
  </si>
  <si>
    <t>T. Khay Khăm</t>
  </si>
  <si>
    <t>T. Toi</t>
  </si>
  <si>
    <t>N. Lăm Phay (2)</t>
  </si>
  <si>
    <t>T. Ne</t>
  </si>
  <si>
    <t xml:space="preserve">T. Lun </t>
  </si>
  <si>
    <t>T. Miềng</t>
  </si>
  <si>
    <t>T. Na</t>
  </si>
  <si>
    <t xml:space="preserve">N. Bun </t>
  </si>
  <si>
    <t>N. Quen</t>
  </si>
  <si>
    <t>Lăm Thong</t>
  </si>
  <si>
    <t>T. Môn</t>
  </si>
  <si>
    <t>T. Phan</t>
  </si>
  <si>
    <t>N. Nọi</t>
  </si>
  <si>
    <t>N. Bù</t>
  </si>
  <si>
    <t>T. Thi</t>
  </si>
  <si>
    <t>On chay</t>
  </si>
  <si>
    <t>T. Bi Ly (2)</t>
  </si>
  <si>
    <t>ĐỘI SẢN XUẤT SỐ 04</t>
  </si>
  <si>
    <t>(Từ ngày 01 đến 31/05/2025)</t>
  </si>
  <si>
    <t>Trạm 1</t>
  </si>
  <si>
    <t>Trạm 2</t>
  </si>
  <si>
    <t>Mường phìn, ngày 02 tháng 06 năm 2025</t>
  </si>
  <si>
    <t>TỔNG GIÁM ĐỐC                PHÒNG KT - NN                  PHÒNG TC - HC                        P. PHÒNG PHỤ TRÁCH                             ĐỘI TRƯỞNG                            NGƯỜI LẬP</t>
  </si>
  <si>
    <t>TỔNG GIÁM ĐỐC                                                                                             PHÒNG KT - NN                                                                                                            P. PHÒNG PHỤ TRÁCH                                                                                                                 ĐỘI TRƯỞNG                                                                                                              NGƯỜI LẬP</t>
  </si>
  <si>
    <t>ĐỘI SẢN XUẤT SỐ 4</t>
  </si>
  <si>
    <t>TỔNG GIÁM ĐỐC                               PHÒNG TC - KT                              PHÒNG TC - HC                                  P.PHÒNG PHỤ TRÁCH                                 ĐỘI TRƯỞNG                                 NGƯỜI LẬP</t>
  </si>
  <si>
    <t xml:space="preserve"> Trạm 2</t>
  </si>
  <si>
    <t>DRC ( trạm 1)</t>
  </si>
  <si>
    <t>DRC ( trạm 2)</t>
  </si>
  <si>
    <t>BẢNG CHẤM CÔNG  NGƯỜI LAO ĐỘNG NHÂN VIÊN KỶ THUẬT,BẢO VỆ,TẠP VỤ NGƯỜI LÀO</t>
  </si>
  <si>
    <t>Tháng 06 năm 2025</t>
  </si>
  <si>
    <t>BẢNG CHẤM NHÂN VIÊN KỶ THUẬT NGƯỜI LÀO</t>
  </si>
  <si>
    <t>NV - KT (Lào)</t>
  </si>
  <si>
    <t>N. Tinh</t>
  </si>
  <si>
    <t xml:space="preserve">Thảo Mét </t>
  </si>
  <si>
    <t>Mường phìn, ngày 02 tháng 07 năm 2025</t>
  </si>
  <si>
    <t xml:space="preserve">           PHÒNG TC - HC                          P. PHÒNG PHỤ TRÁCH                            ĐỘI TRƯỞNG                           NGƯỜI LẬP</t>
  </si>
  <si>
    <t xml:space="preserve">Tiền lương kinh doanh </t>
  </si>
  <si>
    <t>BẢNG THANH TOÁN TIỀN LƯƠNG BẢO VỆ VƯỜN CÂY THÁNG 06 NĂM 2025</t>
  </si>
  <si>
    <t>CÔNG TY TNHH MTV QUASA - GERUCO LÀO</t>
  </si>
  <si>
    <t xml:space="preserve">Đơn Giá 
</t>
  </si>
  <si>
    <t>Phụ cấp tiền xăng</t>
  </si>
  <si>
    <r>
      <rPr>
        <b/>
        <i/>
        <sz val="15"/>
        <color indexed="63"/>
        <rFont val="Times New Roman"/>
        <family val="1"/>
      </rPr>
      <t>Mường phìn</t>
    </r>
    <r>
      <rPr>
        <sz val="15"/>
        <color indexed="63"/>
        <rFont val="Times New Roman"/>
        <family val="1"/>
      </rPr>
      <t>, ngày 02 tháng 7 năm 2025</t>
    </r>
  </si>
  <si>
    <t xml:space="preserve">        TỔNG GIÁM ĐỐC                  PHÒNG TC - KT                           PHÒNG TC - HC                        P. PHÒNG PHỤ TRÁCH                     ĐỘI TRƯỞNG                         NGƯỜI LẬP</t>
  </si>
  <si>
    <t>BẢNG THANH TOÁN TIỀN LƯƠNG CB.CNV NGƯỜI LÀO THÁNG 06 NĂM 2025</t>
  </si>
  <si>
    <t>BẢNG LƯƠNG CÔNG NHÂN TRỰC TIẾP THÁNG 06 NĂM 2025</t>
  </si>
  <si>
    <t>NV - KT</t>
  </si>
  <si>
    <t>NHÂN VIÊN KỶ THUẬT</t>
  </si>
  <si>
    <t>Mường phìn, ngày 02 tháng 07 năm 2025</t>
  </si>
  <si>
    <t>P.PHÒNG PHỤ TRÁCH</t>
  </si>
  <si>
    <t>ĐỘI TRƯỞNG                  NGƯỜI LẬP</t>
  </si>
  <si>
    <r>
      <rPr>
        <b/>
        <i/>
        <sz val="13"/>
        <color indexed="63"/>
        <rFont val="Times New Roman"/>
        <family val="1"/>
      </rPr>
      <t xml:space="preserve">                Mường phìn</t>
    </r>
    <r>
      <rPr>
        <sz val="13"/>
        <color indexed="63"/>
        <rFont val="Times New Roman"/>
        <family val="1"/>
      </rPr>
      <t>, ngày 02 tháng 7 năm 2025</t>
    </r>
  </si>
  <si>
    <r>
      <rPr>
        <b/>
        <i/>
        <sz val="18"/>
        <rFont val="Times New Roman"/>
        <family val="1"/>
      </rPr>
      <t>Mường phìn</t>
    </r>
    <r>
      <rPr>
        <i/>
        <sz val="18"/>
        <rFont val="Times New Roman"/>
        <family val="1"/>
      </rPr>
      <t>, ngày 02 tháng 7 năm 2025</t>
    </r>
  </si>
  <si>
    <t xml:space="preserve">     TỔNG GIÁM ĐỐC                        PHÒNG TC - KT                            PHÒNG TC - HC                               P.PHÒNG PHỤ TRÁCH                                  ĐỘI TRƯỞNG                                    NGƯỜI LẬP</t>
  </si>
  <si>
    <t>TỔNG GIÁM ĐỐC        PHÒNG TC - KT</t>
  </si>
  <si>
    <t xml:space="preserve">    PHÒNG TC - HC                    </t>
  </si>
  <si>
    <t>P.P PHỤ TRÁCH</t>
  </si>
  <si>
    <t>ĐỘI TRƯỞNG           NGƯỜI LẬP</t>
  </si>
  <si>
    <r>
      <t xml:space="preserve">Mường phìn, </t>
    </r>
    <r>
      <rPr>
        <sz val="13"/>
        <color indexed="63"/>
        <rFont val="Times New Roman"/>
        <family val="1"/>
      </rPr>
      <t>ngày 02 tháng 07 năm 2025</t>
    </r>
  </si>
  <si>
    <t xml:space="preserve"> P.PHÒNG PHỤ TRÁCH                                    ĐỘI TRƯỞNG                                                     NGƯỜI LẬP</t>
  </si>
  <si>
    <t xml:space="preserve">                                         TỔNG GIÁM ĐỐC                                               PHÒNG TC -KT                                                  PHÒNG TC - HC                              </t>
  </si>
  <si>
    <t>Huyện Phìn, ngày 02 tháng 07 năm 2025</t>
  </si>
  <si>
    <t xml:space="preserve"> P.PHÒNG PHỤ TRÁCH                            ĐỘI TRƯỞNG                                        NGƯỜI LẬP</t>
  </si>
  <si>
    <t xml:space="preserve">                   TỔNG GIÁM ĐỐC                                  PHÒNG TC -KT                                         PHÒNG TC - HC                  </t>
  </si>
  <si>
    <r>
      <rPr>
        <b/>
        <i/>
        <sz val="13"/>
        <color indexed="63"/>
        <rFont val="Times New Roman"/>
        <family val="1"/>
      </rPr>
      <t>Mường phìn</t>
    </r>
    <r>
      <rPr>
        <sz val="13"/>
        <color indexed="63"/>
        <rFont val="Times New Roman"/>
        <family val="1"/>
      </rPr>
      <t>, ngày 02 tháng 07 năm 2025</t>
    </r>
  </si>
  <si>
    <t xml:space="preserve"> BẢNG CHẤM CÔNG PHỤ CẤP XĂNG XE THÁNG 06 NĂM 2025</t>
  </si>
  <si>
    <t>Bảo vệ (T1)</t>
  </si>
  <si>
    <t>Bảo vệ (T3)</t>
  </si>
  <si>
    <t>Tháng 6 năm 2025</t>
  </si>
  <si>
    <t>TK - TH</t>
  </si>
  <si>
    <r>
      <rPr>
        <b/>
        <i/>
        <sz val="11"/>
        <rFont val="Times New Roman"/>
        <family val="1"/>
        <charset val="163"/>
      </rPr>
      <t>Mường phìn</t>
    </r>
    <r>
      <rPr>
        <sz val="11"/>
        <rFont val="Times New Roman"/>
        <family val="1"/>
        <charset val="163"/>
      </rPr>
      <t>, ngày 02 tháng 07 năm 2025</t>
    </r>
  </si>
  <si>
    <t>Hoàng Thị Thủy</t>
  </si>
  <si>
    <t>Cấp dưởng</t>
  </si>
  <si>
    <t xml:space="preserve">                   PHÒNG TC - HC                                 P. PHÒNG PHỤ TRÁCH                               ĐỘI TRƯỞNG                                        NGƯỜI LẬP</t>
  </si>
  <si>
    <t xml:space="preserve">        TỔNG GIÁM ĐỐC                               PHÒNG TC - HC                              P. PHÒNG PHỤ TRÁCH                           ĐỘI TRƯỞNG                              NGƯỜI LẬP</t>
  </si>
  <si>
    <t>Lát bốc</t>
  </si>
  <si>
    <t>HoTenViet</t>
  </si>
  <si>
    <t>HoTenLao</t>
  </si>
  <si>
    <t>Nam sinh</t>
  </si>
  <si>
    <t>Gioitinhviet</t>
  </si>
  <si>
    <t>Gioitinhlao</t>
  </si>
  <si>
    <t>NoiOViet</t>
  </si>
  <si>
    <t>NoiOLao</t>
  </si>
  <si>
    <t>Số HĐLĐ</t>
  </si>
  <si>
    <t>Nam</t>
  </si>
  <si>
    <t>Khăm xê y</t>
  </si>
  <si>
    <t>03456</t>
  </si>
  <si>
    <t>Xôm xa ạt</t>
  </si>
  <si>
    <t>04052</t>
  </si>
  <si>
    <t>Văng cúp</t>
  </si>
  <si>
    <t>02725</t>
  </si>
  <si>
    <t>Khăm xe y</t>
  </si>
  <si>
    <t>04053</t>
  </si>
  <si>
    <t>Nữ</t>
  </si>
  <si>
    <t>03459</t>
  </si>
  <si>
    <t>04054</t>
  </si>
  <si>
    <t>04055</t>
  </si>
  <si>
    <t>03462</t>
  </si>
  <si>
    <t>03463</t>
  </si>
  <si>
    <t>03464</t>
  </si>
  <si>
    <t>03465</t>
  </si>
  <si>
    <t>03466</t>
  </si>
  <si>
    <t>02727</t>
  </si>
  <si>
    <t>03467</t>
  </si>
  <si>
    <t>04056</t>
  </si>
  <si>
    <t>03469</t>
  </si>
  <si>
    <t>03470</t>
  </si>
  <si>
    <t>03471</t>
  </si>
  <si>
    <t>03472</t>
  </si>
  <si>
    <t>Na phu khăm</t>
  </si>
  <si>
    <t>03473</t>
  </si>
  <si>
    <t>03474</t>
  </si>
  <si>
    <t>Sôm xa at</t>
  </si>
  <si>
    <t>04057</t>
  </si>
  <si>
    <t>03476</t>
  </si>
  <si>
    <t>03477</t>
  </si>
  <si>
    <t>03478</t>
  </si>
  <si>
    <t>03479</t>
  </si>
  <si>
    <t>03480</t>
  </si>
  <si>
    <t>Xi bun hương</t>
  </si>
  <si>
    <t>03481</t>
  </si>
  <si>
    <t>03482</t>
  </si>
  <si>
    <t>03483</t>
  </si>
  <si>
    <t>03484</t>
  </si>
  <si>
    <t>03485</t>
  </si>
  <si>
    <t>02712</t>
  </si>
  <si>
    <t>02722</t>
  </si>
  <si>
    <t>02714</t>
  </si>
  <si>
    <t>02713</t>
  </si>
  <si>
    <t>04058</t>
  </si>
  <si>
    <t>03487</t>
  </si>
  <si>
    <t>03488</t>
  </si>
  <si>
    <t>03489</t>
  </si>
  <si>
    <t>04059</t>
  </si>
  <si>
    <t>03491</t>
  </si>
  <si>
    <t>04060</t>
  </si>
  <si>
    <t>03492</t>
  </si>
  <si>
    <t>03493</t>
  </si>
  <si>
    <t>03496</t>
  </si>
  <si>
    <t>04061</t>
  </si>
  <si>
    <t>03494</t>
  </si>
  <si>
    <t>03495</t>
  </si>
  <si>
    <t>04062</t>
  </si>
  <si>
    <t>03497</t>
  </si>
  <si>
    <t>03498</t>
  </si>
  <si>
    <t>02706</t>
  </si>
  <si>
    <t>04063</t>
  </si>
  <si>
    <t>04064</t>
  </si>
  <si>
    <t>03501</t>
  </si>
  <si>
    <t>03502</t>
  </si>
  <si>
    <t>04065</t>
  </si>
  <si>
    <t>03504</t>
  </si>
  <si>
    <t>04066</t>
  </si>
  <si>
    <t>03506</t>
  </si>
  <si>
    <t>04067</t>
  </si>
  <si>
    <t>03508</t>
  </si>
  <si>
    <t>03512</t>
  </si>
  <si>
    <t>04068</t>
  </si>
  <si>
    <t>04069</t>
  </si>
  <si>
    <t>03546</t>
  </si>
  <si>
    <t>03571</t>
  </si>
  <si>
    <t>04070</t>
  </si>
  <si>
    <t>03515</t>
  </si>
  <si>
    <t>03516</t>
  </si>
  <si>
    <t>Huội xai</t>
  </si>
  <si>
    <t>03544</t>
  </si>
  <si>
    <t>04071</t>
  </si>
  <si>
    <t>Huội Xai</t>
  </si>
  <si>
    <t>04072</t>
  </si>
  <si>
    <t>Nakphung</t>
  </si>
  <si>
    <t>03590</t>
  </si>
  <si>
    <t>03591</t>
  </si>
  <si>
    <t>03592</t>
  </si>
  <si>
    <t>03593</t>
  </si>
  <si>
    <t>03594</t>
  </si>
  <si>
    <t>04073</t>
  </si>
  <si>
    <t>Khăm Xê Y</t>
  </si>
  <si>
    <t>03596</t>
  </si>
  <si>
    <t>03597</t>
  </si>
  <si>
    <t>03598</t>
  </si>
  <si>
    <t>03599</t>
  </si>
  <si>
    <t>04074</t>
  </si>
  <si>
    <t>03601</t>
  </si>
  <si>
    <t>03602</t>
  </si>
  <si>
    <t>03604</t>
  </si>
  <si>
    <t>04075</t>
  </si>
  <si>
    <t>03509</t>
  </si>
  <si>
    <t>03607</t>
  </si>
  <si>
    <t>02729</t>
  </si>
  <si>
    <t>03608</t>
  </si>
  <si>
    <t>03609</t>
  </si>
  <si>
    <t>03610</t>
  </si>
  <si>
    <t>04076</t>
  </si>
  <si>
    <t>03612</t>
  </si>
  <si>
    <t>03613</t>
  </si>
  <si>
    <t>04077</t>
  </si>
  <si>
    <t>03615</t>
  </si>
  <si>
    <t>03616</t>
  </si>
  <si>
    <t>03617</t>
  </si>
  <si>
    <t>03618</t>
  </si>
  <si>
    <t>03619</t>
  </si>
  <si>
    <t>03620</t>
  </si>
  <si>
    <t>04078</t>
  </si>
  <si>
    <t>03622</t>
  </si>
  <si>
    <t>03623</t>
  </si>
  <si>
    <t>03532</t>
  </si>
  <si>
    <t>03625</t>
  </si>
  <si>
    <t>03587</t>
  </si>
  <si>
    <t>04079</t>
  </si>
  <si>
    <t>03628</t>
  </si>
  <si>
    <t>03629</t>
  </si>
  <si>
    <t>03630</t>
  </si>
  <si>
    <t>03631</t>
  </si>
  <si>
    <t>03632</t>
  </si>
  <si>
    <t>04080</t>
  </si>
  <si>
    <t>03634</t>
  </si>
  <si>
    <t>03635</t>
  </si>
  <si>
    <t>03636</t>
  </si>
  <si>
    <t>03637</t>
  </si>
  <si>
    <t>03638</t>
  </si>
  <si>
    <t>04081</t>
  </si>
  <si>
    <t>04082</t>
  </si>
  <si>
    <t>04083</t>
  </si>
  <si>
    <t>03642</t>
  </si>
  <si>
    <t>04084</t>
  </si>
  <si>
    <t>04085</t>
  </si>
  <si>
    <t>Số công nhân</t>
  </si>
  <si>
    <t>Sản lượng mủ (kg)</t>
  </si>
  <si>
    <t>Hạng</t>
  </si>
  <si>
    <t>Tỷ lệ %</t>
  </si>
  <si>
    <t xml:space="preserve">Mủ tạp </t>
  </si>
  <si>
    <t xml:space="preserve">Mủ quy khô </t>
  </si>
  <si>
    <t xml:space="preserve">Tỷ lệ % </t>
  </si>
  <si>
    <t xml:space="preserve"> CN chính thức</t>
  </si>
  <si>
    <t>CN thay thế</t>
  </si>
  <si>
    <t>Tổng Trạm 1</t>
  </si>
  <si>
    <t>Tổng Trạm 2</t>
  </si>
  <si>
    <t xml:space="preserve">Tổng Đội </t>
  </si>
  <si>
    <t>Huyện Phìn, ngày 01 tháng 07 năm 2025</t>
  </si>
  <si>
    <t xml:space="preserve">PHÒNG KT - NN </t>
  </si>
  <si>
    <t xml:space="preserve">P.PHÒNG PHỤ TRÁCH </t>
  </si>
  <si>
    <t>ĐỘI TRƯỞNG</t>
  </si>
  <si>
    <t>Hệ số QLKT (K)</t>
  </si>
  <si>
    <t>CÔNG TY TNHH MTV QUASA-GERUCO LÀO</t>
  </si>
  <si>
    <t>Trạm</t>
  </si>
  <si>
    <t>Lương theo bậc</t>
  </si>
  <si>
    <t>Lương tính theo tỷ lệ hoàn thành sản lượng và hạng kỹ thuật</t>
  </si>
  <si>
    <t>Bảo vệ (T1)</t>
  </si>
  <si>
    <t>Bảo vệ (T2)</t>
  </si>
  <si>
    <t>Bảo vệ (VP)</t>
  </si>
  <si>
    <t>hùng</t>
  </si>
  <si>
    <t>BẢNG PHÂN TOÁN TIỀN LƯƠNG THÁNG 06 NĂM 2025</t>
  </si>
  <si>
    <t>( Từ ngày 01/06/2025 đến ngày 30/06/2025)</t>
  </si>
  <si>
    <t>Mường Phìn, ngày 02 tháng 07 năm 2025</t>
  </si>
  <si>
    <t>BẢNG TỔNG HỢP CÔNG VIỆC KHÁC THÁNG 06 NĂM 2025</t>
  </si>
  <si>
    <t>BẢNG THANH TOÁN TIỀN CÔNG VIỆC KHÁC THÁNG 06 NĂM 2025</t>
  </si>
  <si>
    <t>Mường phìn, ngày 02 tháng 07 năm 2025</t>
  </si>
  <si>
    <r>
      <rPr>
        <b/>
        <i/>
        <sz val="11"/>
        <color indexed="63"/>
        <rFont val="Times New Roman"/>
        <family val="1"/>
        <charset val="163"/>
      </rPr>
      <t xml:space="preserve">                                                        Mường phìn</t>
    </r>
    <r>
      <rPr>
        <sz val="11"/>
        <color indexed="63"/>
        <rFont val="Times New Roman"/>
        <family val="1"/>
      </rPr>
      <t>, ngày 02 tháng 07 năm 2025</t>
    </r>
  </si>
  <si>
    <t>THÁNG 06 NĂM 2025</t>
  </si>
  <si>
    <t>BẢNG THANH TOÁN TIỀN HỔ TRỢ XE QUẢN LÝ THÁNG 06 NĂM 2025</t>
  </si>
  <si>
    <r>
      <rPr>
        <b/>
        <i/>
        <sz val="11"/>
        <color indexed="63"/>
        <rFont val="Times New Roman"/>
        <family val="1"/>
      </rPr>
      <t>Mường phìn</t>
    </r>
    <r>
      <rPr>
        <sz val="11"/>
        <color indexed="63"/>
        <rFont val="Times New Roman"/>
        <family val="1"/>
      </rPr>
      <t>, ngày 02 tháng 07 năm 2025</t>
    </r>
  </si>
  <si>
    <t>BẢNG THANH TOÁN TIỀN PHỤ CẤP XĂNG XE  THÁNG 06 NĂM 2025</t>
  </si>
  <si>
    <t>BẢNG TỔNG HỢP CHI PHÍ KHÁC THÁNG 06 NĂM 2025</t>
  </si>
  <si>
    <t>Mường phìn,ngày 02 tháng 07 năm 2025</t>
  </si>
  <si>
    <t>(Từ ngày 01/06 đến 30/06/2025)</t>
  </si>
  <si>
    <t>BẢNG THEO DÕI SẢN LƯỢNG MỦ TẠP THÁNG 06 NĂM 2025</t>
  </si>
  <si>
    <t xml:space="preserve"> BẢNG CHẤM CÔNG PHỤ CẤP CHO CÔNG NHÂN KHAI THÁC THÁNG 06 NĂM 2025</t>
  </si>
  <si>
    <t>BẢNG THEO DÕI SẢN LƯỢNG MỦ SERUM THÁNG 06 NĂM 2025</t>
  </si>
  <si>
    <t>BẢNG LƯƠNG KHAI THÁC TRẠM 1 THÁNG 06 NĂM 2025</t>
  </si>
  <si>
    <t>BẢNG LƯƠNG KHAI THÁC TRẠM 2 THÁNG 06 NĂM 2025</t>
  </si>
  <si>
    <t>BẢNG LƯƠNG KHAI THÁC THÁNG 06 NĂM 2025</t>
  </si>
  <si>
    <t>BẢNG TÍNH LƯƠNG  ĐỘI THỰC HIỆN TRONG THÁNG 06/2025</t>
  </si>
  <si>
    <t xml:space="preserve">      TỔNG GIÁM ĐỐC                PHÒNG TC - KT               PHÒNG TC - HC               P. PHÒNG PHỤ TRÁCH              ĐỘI TRƯỞNG               NGƯỜI LẬP</t>
  </si>
  <si>
    <t>NV-KT</t>
  </si>
  <si>
    <t>````````````````````````````````````````````````````````````````````````````````````````````````````````````````````````````````````````````````````````````````````</t>
  </si>
  <si>
    <t>Bôi thuốc loét sọc</t>
  </si>
  <si>
    <t>Phun cỏ đại trà</t>
  </si>
  <si>
    <t>T. Huân</t>
  </si>
  <si>
    <t>tt</t>
  </si>
  <si>
    <t>T. Lã</t>
  </si>
  <si>
    <t>N. Veo</t>
  </si>
  <si>
    <t>T. Pu</t>
  </si>
  <si>
    <t>N. Nang</t>
  </si>
  <si>
    <t>T. Tu</t>
  </si>
  <si>
    <t>Tram 2</t>
  </si>
  <si>
    <t>T. Tạch</t>
  </si>
  <si>
    <t>T. Ta.</t>
  </si>
  <si>
    <t>Bảo vệ vườn cây (2)</t>
  </si>
  <si>
    <t>Lương CB.CNV người lào (3)</t>
  </si>
  <si>
    <t>Grand Total (1)+(2)+(3)</t>
  </si>
  <si>
    <t>Số tiền bằng chữ: Năm trăm nghìn kíp</t>
  </si>
  <si>
    <t xml:space="preserve">Bằng chữ : Mười hai triệu sáu trăm nghìn kíp </t>
  </si>
  <si>
    <t xml:space="preserve">Số tiền bằng chữ: Một triệu hai trăm nghìn kíp </t>
  </si>
  <si>
    <t>```````````````````````````</t>
  </si>
  <si>
    <t xml:space="preserve">Số tiền bằng chữ:  Bảy triệu tám trăm nghìn kíp </t>
  </si>
  <si>
    <t xml:space="preserve">    TỔNG GIÁM ĐỐC       PHÒNG TC - KT          PHÒNG TC - HC       P. P PHỤ TRÁCH         ĐỘI TRƯỞNG         NGƯỜI LẬP</t>
  </si>
  <si>
    <t xml:space="preserve">Ngày công đi cạo thường </t>
  </si>
  <si>
    <t xml:space="preserve">Ngày CN thường </t>
  </si>
  <si>
    <t xml:space="preserve">BẢNG CHẤM CÔNG  </t>
  </si>
  <si>
    <t xml:space="preserve">                             TỔNG GIÁM ĐỐC                                               PHÒNG TC -KT                                                  PHÒNG TC - HC                              </t>
  </si>
  <si>
    <t xml:space="preserve">Số tiền bằng chữ: Mười lăm triệu hai trăm bốn mươi tám nghìn bảy trăm hai mươi tám kíp </t>
  </si>
  <si>
    <t xml:space="preserve">Bằng chữ : Bốn trăm lẻ bốn triệu không trăm bốn mươi ba nghìn tám trăm tám mươi tám kíp </t>
  </si>
  <si>
    <r>
      <rPr>
        <b/>
        <i/>
        <sz val="19"/>
        <rFont val="Times New Roman"/>
        <family val="1"/>
      </rPr>
      <t>Mường phìn</t>
    </r>
    <r>
      <rPr>
        <sz val="19"/>
        <rFont val="Times New Roman"/>
        <family val="1"/>
      </rPr>
      <t>, ngày 02 tháng 07 năm 2025</t>
    </r>
  </si>
  <si>
    <t xml:space="preserve">Bằng chữ : Ba trăm tám mươi bốn triệu bảy trăm bảy mươi lăm nghìn một trăm chín mươi kíp </t>
  </si>
  <si>
    <t xml:space="preserve">Số tiền bằng chữ : Bảy trăm tám mươi tám triệu tám trăm mười chín nghìn không trăm bảy mươi tám kíp </t>
  </si>
  <si>
    <t xml:space="preserve">Bằng chữ: Tám trăm mười một triệu tám trăm sáu mươi bảy nghìn tám trăm lẻ sáu kíp </t>
  </si>
  <si>
    <t xml:space="preserve">Số tiền bằng chữ : Tám trăm mười một triệu tám trăm sáu mươi bảy nghìn tám trăm lẻ sáu kíp </t>
  </si>
  <si>
    <t>Đoàn Văn nghĩa</t>
  </si>
  <si>
    <t>P.P phụ trách</t>
  </si>
  <si>
    <t>DANH SÁCH CB - CNV NỘP THUẾ TNCN THÁNG 06/2025</t>
  </si>
  <si>
    <t xml:space="preserve">Bằng chữ: Bảy trăm chín mươi bốn nghìn tám trăm bảy mươi ba kíp </t>
  </si>
  <si>
    <t xml:space="preserve">    PHÒNG TC - KT            PHÒNG TC - HC           P. PHÒNG PHỤ TRÁCH           ĐỘI TRƯỞNG             NGƯỜI LẬP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</si>
</sst>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0">
    <numFmt numFmtId="43" formatCode="_-* #,##0.00\ _₫_-;\-* #,##0.00\ _₫_-;_-* &quot;-&quot;??\ _₫_-;_-@_-"/>
    <numFmt numFmtId="187" formatCode="_-* #,##0.00_-;\-* #,##0.00_-;_-* &quot;-&quot;??_-;_-@_-"/>
    <numFmt numFmtId="188" formatCode="&quot;$&quot;#,##0_);[Red]\(&quot;$&quot;#,##0\)"/>
    <numFmt numFmtId="189" formatCode="_(&quot;$&quot;* #,##0_);_(&quot;$&quot;* \(#,##0\);_(&quot;$&quot;* &quot;-&quot;_);_(@_)"/>
    <numFmt numFmtId="190" formatCode="_(* #,##0_);_(* \(#,##0\);_(* &quot;-&quot;_);_(@_)"/>
    <numFmt numFmtId="191" formatCode="_(* #,##0.00_);_(* \(#,##0.00\);_(* &quot;-&quot;??_);_(@_)"/>
    <numFmt numFmtId="192" formatCode="_-* #,##0\ _?_-;\-* #,##0\ _?_-;_-* &quot;-&quot;\ _?_-;_-@_-"/>
    <numFmt numFmtId="193" formatCode="_(* #,##0.00_);_(* \(#,##0.00\);_(* &quot;-&quot;&quot;?&quot;&quot;?&quot;_);_(@_)"/>
    <numFmt numFmtId="194" formatCode="_-* #,##0.00\ &quot;₫&quot;_-;\-* #,##0.00\ &quot;₫&quot;_-;_-* &quot;-&quot;&quot;?&quot;&quot;?&quot;\ &quot;₫&quot;_-;_-@_-"/>
    <numFmt numFmtId="195" formatCode="_-* #,##0.00\ _₫_-;\-* #,##0.00\ _₫_-;_-* &quot;-&quot;&quot;?&quot;&quot;?&quot;\ _₫_-;_-@_-"/>
    <numFmt numFmtId="196" formatCode="_-* #,##0\ _₫_-;\-* #,##0\ _₫_-;_-* &quot;-&quot;&quot;?&quot;&quot;?&quot;\ _₫_-;_-@_-"/>
    <numFmt numFmtId="197" formatCode="_(* #,##0_);_(* \(#,##0\);_(* &quot;-&quot;&quot;?&quot;&quot;?&quot;_);_(@_)"/>
    <numFmt numFmtId="198" formatCode="_(* #,##0.0_);_(* \(#,##0.0\);_(* &quot;-&quot;&quot;?&quot;&quot;?&quot;_);_(@_)"/>
    <numFmt numFmtId="199" formatCode="0.0"/>
    <numFmt numFmtId="200" formatCode="_(* #,##0.000_);_(* \(#,##0.000\);_(* &quot;-&quot;&quot;?&quot;&quot;?&quot;_);_(@_)"/>
    <numFmt numFmtId="201" formatCode="_-* #,##0.0000\ _₫_-;\-* #,##0.0000\ _₫_-;_-* &quot;-&quot;&quot;?&quot;&quot;?&quot;\ _₫_-;_-@_-"/>
    <numFmt numFmtId="202" formatCode="0.0000"/>
    <numFmt numFmtId="203" formatCode="#,##0;[Red]#,##0"/>
    <numFmt numFmtId="204" formatCode="#,##0.0;[Red]#,##0.0"/>
    <numFmt numFmtId="205" formatCode="#,##0.00;[Red]#,##0.00"/>
    <numFmt numFmtId="206" formatCode="#,##0_ ;\-#,##0\ "/>
    <numFmt numFmtId="207" formatCode="#,##0.00_ ;\-#,##0.00\ "/>
    <numFmt numFmtId="208" formatCode="_-* #,##0.0\ _?_-;\-* #,##0.0\ _?_-;_-* &quot;-&quot;\ _?_-;_-@_-"/>
    <numFmt numFmtId="209" formatCode="_-* #,##0.00\ _?_-;\-* #,##0.00\ _?_-;_-* &quot;-&quot;\ _?_-;_-@_-"/>
    <numFmt numFmtId="210" formatCode="_(* #,##0.00_);_(* \(#,##0.00\);_(* &quot;-&quot;_);_(@_)"/>
    <numFmt numFmtId="211" formatCode="_(* #,##0.0000_);_(* \(#,##0.0000\);_(* &quot;-&quot;_);_(@_)"/>
    <numFmt numFmtId="212" formatCode="_(* #,##0_);_(* \(#,##0\);_(* &quot;-&quot;??_);_(@_)"/>
    <numFmt numFmtId="213" formatCode="_(* #,##0.0_);_(* \(#,##0.0\);_(* &quot;-&quot;_);_(@_)"/>
    <numFmt numFmtId="214" formatCode="#,##0.0"/>
    <numFmt numFmtId="215" formatCode="_-* #,##0\ _₫_-;\-* #,##0\ _₫_-;_-* &quot;-&quot;??\ _₫_-;_-@_-"/>
    <numFmt numFmtId="216" formatCode="_(* #,##0.0000_);_(* \(#,##0.0000\);_(* &quot;-&quot;??_);_(@_)"/>
    <numFmt numFmtId="217" formatCode="0.000"/>
    <numFmt numFmtId="218" formatCode="_(* #,##0.0_);_(* \(#,##0.0\);_(* &quot;-&quot;??_);_(@_)"/>
    <numFmt numFmtId="219" formatCode="_-* #,##0.0\ _₫_-;\-* #,##0.0\ _₫_-;_-* &quot;-&quot;&quot;?&quot;&quot;?&quot;\ _₫_-;_-@_-"/>
    <numFmt numFmtId="220" formatCode="#,##0\ _?"/>
    <numFmt numFmtId="221" formatCode="_-* #,##0.000\ _₫_-;\-* #,##0.000\ _₫_-;_-* &quot;-&quot;&quot;?&quot;&quot;?&quot;\ _₫_-;_-@_-"/>
    <numFmt numFmtId="222" formatCode="_(* #,##0.000000_);_(* \(#,##0.000000\);_(* &quot;-&quot;_);_(@_)"/>
    <numFmt numFmtId="223" formatCode="#,##0.00\ _?"/>
    <numFmt numFmtId="224" formatCode="#,##0.0\ _?"/>
    <numFmt numFmtId="225" formatCode="_(* #,##0.000000_);_(* \(#,##0.000000\);_(* &quot;-&quot;??_);_(@_)"/>
    <numFmt numFmtId="226" formatCode="_(* #,##0.0000000_);_(* \(#,##0.0000000\);_(* &quot;-&quot;??_);_(@_)"/>
    <numFmt numFmtId="227" formatCode="#,##0.000000000"/>
    <numFmt numFmtId="228" formatCode="_-* #,##0_-;\-* #,##0_-;_-* &quot;-&quot;??_-;_-@_-"/>
    <numFmt numFmtId="229" formatCode="0.00000000"/>
    <numFmt numFmtId="230" formatCode="#,##0.000"/>
    <numFmt numFmtId="231" formatCode="_(* #,##0.000_);_(* \(#,##0.000\);_(* &quot;-&quot;_);_(@_)"/>
    <numFmt numFmtId="232" formatCode="_(* #,##0.0000_);_(* \(#,##0.0000\);_(* &quot;-&quot;&quot;?&quot;&quot;?&quot;_);_(@_)"/>
    <numFmt numFmtId="233" formatCode="0;[Red]0"/>
    <numFmt numFmtId="234" formatCode="_-* #,##0.0\ _₫_-;\-* #,##0.0\ _₫_-;_-* &quot;-&quot;?\ _₫_-;_-@_-"/>
    <numFmt numFmtId="235" formatCode="#,##0.0_ ;\-#,##0.0\ "/>
  </numFmts>
  <fonts count="200">
    <font>
      <sz val="11"/>
      <color theme="1"/>
      <name val="Calibri"/>
      <family val="2"/>
      <charset val="163"/>
    </font>
    <font>
      <sz val="11"/>
      <color indexed="8"/>
      <name val="Calibri"/>
      <family val="2"/>
      <charset val="163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i/>
      <u/>
      <sz val="12"/>
      <name val="Times New Roman"/>
      <family val="1"/>
    </font>
    <font>
      <u/>
      <sz val="12"/>
      <name val="Times New Roman"/>
      <family val="1"/>
    </font>
    <font>
      <sz val="8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b/>
      <sz val="8"/>
      <name val="Times New Roman"/>
      <family val="1"/>
    </font>
    <font>
      <sz val="11"/>
      <color indexed="63"/>
      <name val="Calibri"/>
      <family val="2"/>
      <charset val="163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b/>
      <sz val="10"/>
      <color indexed="63"/>
      <name val="Times New Roman"/>
      <family val="1"/>
    </font>
    <font>
      <sz val="10"/>
      <color indexed="63"/>
      <name val="Times New Roman"/>
      <family val="1"/>
    </font>
    <font>
      <b/>
      <sz val="14"/>
      <color indexed="63"/>
      <name val="Times New Roman"/>
      <family val="1"/>
    </font>
    <font>
      <sz val="8"/>
      <name val="Calibri"/>
      <family val="2"/>
      <charset val="163"/>
    </font>
    <font>
      <b/>
      <sz val="13"/>
      <name val="Times New Roman"/>
      <family val="1"/>
    </font>
    <font>
      <u/>
      <sz val="13"/>
      <name val="Times New Roman"/>
      <family val="1"/>
    </font>
    <font>
      <b/>
      <u/>
      <sz val="10"/>
      <name val="Times New Roman"/>
      <family val="1"/>
    </font>
    <font>
      <b/>
      <u/>
      <sz val="13"/>
      <name val="Times New Roman"/>
      <family val="1"/>
    </font>
    <font>
      <sz val="10"/>
      <name val="VNI-Times"/>
    </font>
    <font>
      <sz val="11"/>
      <name val="Times New Roman"/>
      <family val="1"/>
    </font>
    <font>
      <b/>
      <sz val="9"/>
      <name val="Times New Roman"/>
      <family val="1"/>
    </font>
    <font>
      <b/>
      <sz val="12"/>
      <color indexed="63"/>
      <name val="Times New Roman"/>
      <family val="1"/>
    </font>
    <font>
      <i/>
      <sz val="13"/>
      <name val="Times New Roman"/>
      <family val="1"/>
    </font>
    <font>
      <sz val="10"/>
      <name val="VNI-Helve-Condense"/>
    </font>
    <font>
      <sz val="12"/>
      <name val="Times New Roman"/>
      <family val="1"/>
      <charset val="163"/>
    </font>
    <font>
      <sz val="12"/>
      <color indexed="30"/>
      <name val="Times New Roman"/>
      <family val="1"/>
    </font>
    <font>
      <sz val="14"/>
      <name val="Times New Roman"/>
      <family val="1"/>
    </font>
    <font>
      <sz val="10"/>
      <name val="Times New Roman"/>
      <family val="1"/>
      <charset val="163"/>
    </font>
    <font>
      <b/>
      <sz val="12"/>
      <name val="Times New Roman"/>
      <family val="1"/>
      <charset val="163"/>
    </font>
    <font>
      <b/>
      <u/>
      <sz val="10"/>
      <name val="Times New Roman"/>
      <family val="1"/>
      <charset val="163"/>
    </font>
    <font>
      <b/>
      <sz val="10"/>
      <name val="Times New Roman"/>
      <family val="1"/>
      <charset val="163"/>
    </font>
    <font>
      <sz val="11"/>
      <color indexed="63"/>
      <name val="Times New Roman"/>
      <family val="1"/>
      <charset val="163"/>
    </font>
    <font>
      <b/>
      <sz val="13"/>
      <name val="Times New Roman"/>
      <family val="1"/>
      <charset val="163"/>
    </font>
    <font>
      <sz val="10"/>
      <name val="Saysettha Lao"/>
      <family val="2"/>
    </font>
    <font>
      <b/>
      <sz val="11"/>
      <color indexed="63"/>
      <name val="Times New Roman"/>
      <family val="1"/>
      <charset val="163"/>
    </font>
    <font>
      <b/>
      <i/>
      <sz val="11"/>
      <name val="Times New Roman"/>
      <family val="1"/>
    </font>
    <font>
      <b/>
      <u/>
      <sz val="12"/>
      <name val="Times New Roman"/>
      <family val="1"/>
    </font>
    <font>
      <sz val="10"/>
      <name val="Calibri"/>
      <family val="2"/>
      <charset val="163"/>
    </font>
    <font>
      <b/>
      <i/>
      <sz val="11"/>
      <color indexed="63"/>
      <name val="Times New Roman"/>
      <family val="1"/>
      <charset val="163"/>
    </font>
    <font>
      <sz val="13"/>
      <name val="Times New Roman"/>
      <family val="1"/>
      <charset val="163"/>
    </font>
    <font>
      <b/>
      <sz val="14"/>
      <name val="Times New Roman"/>
      <family val="1"/>
      <charset val="163"/>
    </font>
    <font>
      <sz val="11"/>
      <name val="Times New Roman"/>
      <family val="1"/>
      <charset val="163"/>
    </font>
    <font>
      <b/>
      <sz val="11"/>
      <name val="Times New Roman"/>
      <family val="1"/>
      <charset val="163"/>
    </font>
    <font>
      <b/>
      <i/>
      <sz val="11"/>
      <name val="Times New Roman"/>
      <family val="1"/>
      <charset val="163"/>
    </font>
    <font>
      <b/>
      <u/>
      <sz val="12"/>
      <name val="Times New Roman"/>
      <family val="1"/>
      <charset val="163"/>
    </font>
    <font>
      <b/>
      <sz val="16"/>
      <name val="Times New Roman"/>
      <family val="1"/>
      <charset val="163"/>
    </font>
    <font>
      <sz val="10"/>
      <name val="Arial"/>
      <family val="2"/>
      <charset val="163"/>
    </font>
    <font>
      <sz val="12"/>
      <name val="Times New Roman"/>
      <family val="2"/>
    </font>
    <font>
      <b/>
      <sz val="12"/>
      <name val="Times New Roman"/>
      <family val="2"/>
    </font>
    <font>
      <sz val="15"/>
      <name val="Times New Roman"/>
      <family val="1"/>
    </font>
    <font>
      <b/>
      <i/>
      <sz val="11"/>
      <color indexed="63"/>
      <name val="Times New Roman"/>
      <family val="1"/>
    </font>
    <font>
      <sz val="13"/>
      <color indexed="63"/>
      <name val="Times New Roman"/>
      <family val="1"/>
    </font>
    <font>
      <sz val="11"/>
      <color indexed="8"/>
      <name val="Calibri"/>
      <family val="2"/>
      <charset val="163"/>
    </font>
    <font>
      <sz val="11"/>
      <color indexed="10"/>
      <name val="Times New Roman"/>
      <family val="1"/>
    </font>
    <font>
      <b/>
      <sz val="12"/>
      <color indexed="10"/>
      <name val="Times New Roman"/>
      <family val="1"/>
      <charset val="163"/>
    </font>
    <font>
      <b/>
      <sz val="12"/>
      <color indexed="8"/>
      <name val="Times New Roman"/>
      <family val="1"/>
      <charset val="163"/>
    </font>
    <font>
      <sz val="12"/>
      <color indexed="8"/>
      <name val="Times New Roman"/>
      <family val="1"/>
      <charset val="163"/>
    </font>
    <font>
      <sz val="12"/>
      <color indexed="10"/>
      <name val="Times New Roman"/>
      <family val="2"/>
    </font>
    <font>
      <b/>
      <sz val="12"/>
      <color indexed="8"/>
      <name val="Times New Roman"/>
      <family val="1"/>
    </font>
    <font>
      <sz val="12"/>
      <color indexed="10"/>
      <name val="Times New Roman"/>
      <family val="1"/>
    </font>
    <font>
      <sz val="12"/>
      <color indexed="8"/>
      <name val="Times New Roman"/>
      <family val="1"/>
    </font>
    <font>
      <b/>
      <sz val="12"/>
      <color indexed="10"/>
      <name val="Times New Roman"/>
      <family val="1"/>
    </font>
    <font>
      <sz val="11"/>
      <color indexed="8"/>
      <name val="Calibri"/>
      <family val="2"/>
      <charset val="163"/>
    </font>
    <font>
      <sz val="13"/>
      <color indexed="8"/>
      <name val="Times New Roman"/>
      <family val="1"/>
    </font>
    <font>
      <sz val="14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4"/>
      <color indexed="8"/>
      <name val="Times New Roman"/>
      <family val="1"/>
    </font>
    <font>
      <sz val="13"/>
      <color indexed="10"/>
      <name val="Times New Roman"/>
      <family val="1"/>
    </font>
    <font>
      <i/>
      <sz val="13"/>
      <color indexed="8"/>
      <name val="Times New Roman"/>
      <family val="1"/>
    </font>
    <font>
      <sz val="13"/>
      <name val="Times New Roman"/>
      <family val="1"/>
    </font>
    <font>
      <sz val="6"/>
      <name val="Times New Roman"/>
      <family val="1"/>
    </font>
    <font>
      <b/>
      <sz val="16"/>
      <name val="Times New Roman"/>
      <family val="1"/>
    </font>
    <font>
      <sz val="12"/>
      <name val="VNI-Times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sz val="10"/>
      <name val="Arial"/>
      <family val="2"/>
    </font>
    <font>
      <sz val="12"/>
      <color indexed="8"/>
      <name val="Calibri"/>
      <family val="2"/>
      <charset val="163"/>
    </font>
    <font>
      <sz val="14"/>
      <color indexed="8"/>
      <name val="Calibri"/>
      <family val="2"/>
      <charset val="163"/>
    </font>
    <font>
      <sz val="12"/>
      <color indexed="10"/>
      <name val="Times New Roman"/>
      <family val="1"/>
    </font>
    <font>
      <b/>
      <sz val="13"/>
      <color indexed="63"/>
      <name val="Times New Roman"/>
      <family val="1"/>
    </font>
    <font>
      <b/>
      <i/>
      <sz val="13"/>
      <color indexed="63"/>
      <name val="Times New Roman"/>
      <family val="1"/>
    </font>
    <font>
      <b/>
      <sz val="6"/>
      <name val="Times New Roman"/>
      <family val="1"/>
    </font>
    <font>
      <b/>
      <i/>
      <sz val="13"/>
      <name val="Times New Roman"/>
      <family val="1"/>
    </font>
    <font>
      <b/>
      <sz val="18"/>
      <name val="Times New Roman"/>
      <family val="1"/>
    </font>
    <font>
      <sz val="11"/>
      <color theme="1"/>
      <name val="Calibri"/>
      <family val="2"/>
      <charset val="163"/>
    </font>
    <font>
      <sz val="11"/>
      <color rgb="FF000000"/>
      <name val="Calibri"/>
      <family val="2"/>
    </font>
    <font>
      <sz val="11"/>
      <color theme="1"/>
      <name val="Arial"/>
      <family val="2"/>
      <charset val="163"/>
    </font>
    <font>
      <sz val="10"/>
      <color rgb="FFFF0000"/>
      <name val="Times New Roman"/>
      <family val="1"/>
    </font>
    <font>
      <sz val="10"/>
      <color rgb="FFFF0000"/>
      <name val="Times New Roman"/>
      <family val="1"/>
      <charset val="163"/>
    </font>
    <font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sz val="11"/>
      <color rgb="FFFF0000"/>
      <name val="Times New Roman"/>
      <family val="1"/>
    </font>
    <font>
      <b/>
      <sz val="13"/>
      <color indexed="10"/>
      <name val="Times New Roman"/>
      <family val="1"/>
    </font>
    <font>
      <b/>
      <sz val="18"/>
      <color indexed="8"/>
      <name val="Times New Roman"/>
      <family val="1"/>
    </font>
    <font>
      <b/>
      <sz val="13"/>
      <color rgb="FFFF0000"/>
      <name val="Times New Roman"/>
      <family val="1"/>
    </font>
    <font>
      <b/>
      <i/>
      <sz val="12"/>
      <color rgb="FFFF0000"/>
      <name val="Times New Roman"/>
      <family val="1"/>
    </font>
    <font>
      <b/>
      <sz val="18"/>
      <color rgb="FFFF0000"/>
      <name val="Times New Roman"/>
      <family val="1"/>
    </font>
    <font>
      <sz val="18"/>
      <name val="Times New Roman"/>
      <family val="1"/>
    </font>
    <font>
      <b/>
      <i/>
      <sz val="18"/>
      <name val="Times New Roman"/>
      <family val="1"/>
    </font>
    <font>
      <i/>
      <sz val="13"/>
      <color indexed="63"/>
      <name val="Times New Roman"/>
      <family val="1"/>
    </font>
    <font>
      <b/>
      <sz val="24"/>
      <name val="Times New Roman"/>
      <family val="1"/>
    </font>
    <font>
      <b/>
      <u/>
      <sz val="18"/>
      <name val="Times New Roman"/>
      <family val="1"/>
    </font>
    <font>
      <b/>
      <i/>
      <u/>
      <sz val="18"/>
      <name val="Times New Roman"/>
      <family val="1"/>
    </font>
    <font>
      <b/>
      <i/>
      <sz val="13"/>
      <color rgb="FFFF0000"/>
      <name val="Times New Roman"/>
      <family val="1"/>
    </font>
    <font>
      <b/>
      <sz val="20"/>
      <name val="Times New Roman"/>
      <family val="1"/>
    </font>
    <font>
      <b/>
      <sz val="20"/>
      <color rgb="FFFF0000"/>
      <name val="Times New Roman"/>
      <family val="1"/>
    </font>
    <font>
      <sz val="20"/>
      <name val="Times New Roman"/>
      <family val="1"/>
    </font>
    <font>
      <b/>
      <sz val="15"/>
      <color indexed="8"/>
      <name val="Times New Roman"/>
      <family val="1"/>
    </font>
    <font>
      <sz val="15"/>
      <color indexed="8"/>
      <name val="Times New Roman"/>
      <family val="1"/>
    </font>
    <font>
      <i/>
      <sz val="15"/>
      <color indexed="8"/>
      <name val="Times New Roman"/>
      <family val="1"/>
    </font>
    <font>
      <b/>
      <sz val="12"/>
      <color rgb="FFFF0000"/>
      <name val="Times New Roman"/>
      <family val="1"/>
      <charset val="163"/>
    </font>
    <font>
      <sz val="11"/>
      <color rgb="FFFF0000"/>
      <name val="Calibri"/>
      <family val="2"/>
      <charset val="163"/>
    </font>
    <font>
      <b/>
      <sz val="11"/>
      <name val="Times New Roman"/>
      <family val="2"/>
    </font>
    <font>
      <b/>
      <sz val="9"/>
      <name val="Times New Roman"/>
      <family val="1"/>
      <charset val="163"/>
    </font>
    <font>
      <i/>
      <sz val="18"/>
      <name val="Times New Roman"/>
      <family val="1"/>
    </font>
    <font>
      <b/>
      <sz val="13"/>
      <color indexed="63"/>
      <name val="Times New Roman"/>
      <family val="1"/>
      <charset val="163"/>
    </font>
    <font>
      <b/>
      <sz val="22"/>
      <name val="Times New Roman"/>
      <family val="1"/>
    </font>
    <font>
      <b/>
      <sz val="36"/>
      <name val="Times New Roman"/>
      <family val="1"/>
    </font>
    <font>
      <sz val="22"/>
      <name val="Times New Roman"/>
      <family val="1"/>
    </font>
    <font>
      <b/>
      <u/>
      <sz val="22"/>
      <name val="Times New Roman"/>
      <family val="1"/>
    </font>
    <font>
      <b/>
      <sz val="18"/>
      <name val="Times New Roman"/>
      <family val="1"/>
      <charset val="163"/>
    </font>
    <font>
      <b/>
      <i/>
      <sz val="18"/>
      <name val="Times New Roman"/>
      <family val="1"/>
      <charset val="163"/>
    </font>
    <font>
      <sz val="36"/>
      <name val="Times New Roman"/>
      <family val="1"/>
    </font>
    <font>
      <i/>
      <sz val="36"/>
      <name val="Times New Roman"/>
      <family val="1"/>
    </font>
    <font>
      <b/>
      <sz val="17"/>
      <name val="Times New Roman"/>
      <family val="1"/>
    </font>
    <font>
      <sz val="16"/>
      <color theme="1"/>
      <name val="Calibri"/>
      <family val="2"/>
      <charset val="163"/>
    </font>
    <font>
      <sz val="6"/>
      <color rgb="FFFF0000"/>
      <name val="Times New Roman"/>
      <family val="1"/>
    </font>
    <font>
      <sz val="11"/>
      <color theme="1"/>
      <name val="Times New Roman"/>
      <family val="1"/>
    </font>
    <font>
      <b/>
      <sz val="8"/>
      <color rgb="FFFF0000"/>
      <name val="Times New Roman"/>
      <family val="1"/>
    </font>
    <font>
      <b/>
      <u/>
      <sz val="10"/>
      <color rgb="FFFF0000"/>
      <name val="Times New Roman"/>
      <family val="1"/>
    </font>
    <font>
      <sz val="10"/>
      <color theme="1"/>
      <name val="Calibri"/>
      <family val="2"/>
      <charset val="163"/>
    </font>
    <font>
      <sz val="10"/>
      <color indexed="30"/>
      <name val="Times New Roman"/>
      <family val="1"/>
    </font>
    <font>
      <sz val="10"/>
      <color indexed="12"/>
      <name val="Times New Roman"/>
      <family val="1"/>
    </font>
    <font>
      <b/>
      <sz val="10"/>
      <name val="Saysettha Lao"/>
      <family val="2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  <charset val="163"/>
    </font>
    <font>
      <b/>
      <u/>
      <sz val="20"/>
      <name val="Times New Roman"/>
      <family val="1"/>
    </font>
    <font>
      <b/>
      <i/>
      <sz val="12"/>
      <name val="Times New Roman"/>
      <family val="1"/>
    </font>
    <font>
      <b/>
      <sz val="15"/>
      <color rgb="FFFF0000"/>
      <name val="Times New Roman"/>
      <family val="1"/>
    </font>
    <font>
      <sz val="11"/>
      <color theme="1"/>
      <name val="Calibri"/>
      <family val="2"/>
    </font>
    <font>
      <b/>
      <sz val="6"/>
      <color rgb="FFFF0000"/>
      <name val="Times New Roman"/>
      <family val="1"/>
    </font>
    <font>
      <b/>
      <sz val="20"/>
      <color theme="1"/>
      <name val="Times New Roman"/>
      <family val="1"/>
    </font>
    <font>
      <sz val="20"/>
      <color theme="1"/>
      <name val="Times New Roman"/>
      <family val="1"/>
    </font>
    <font>
      <sz val="14"/>
      <color indexed="10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b/>
      <sz val="48"/>
      <name val="Times New Roman"/>
      <family val="1"/>
    </font>
    <font>
      <b/>
      <u/>
      <sz val="36"/>
      <name val="Times New Roman"/>
      <family val="1"/>
    </font>
    <font>
      <b/>
      <sz val="36"/>
      <color rgb="FFFF0000"/>
      <name val="Times New Roman"/>
      <family val="1"/>
    </font>
    <font>
      <sz val="36"/>
      <color rgb="FFFF0000"/>
      <name val="Times New Roman"/>
      <family val="1"/>
    </font>
    <font>
      <b/>
      <sz val="13"/>
      <color theme="1"/>
      <name val="Times New Roman"/>
      <family val="1"/>
    </font>
    <font>
      <sz val="10"/>
      <color rgb="FFFF0000"/>
      <name val="Phetsarath OT"/>
    </font>
    <font>
      <b/>
      <sz val="10"/>
      <color rgb="FFFF0000"/>
      <name val="Phetsarath OT"/>
    </font>
    <font>
      <sz val="20"/>
      <name val="Calibri"/>
      <family val="2"/>
      <charset val="163"/>
    </font>
    <font>
      <sz val="16"/>
      <name val="Times New Roman"/>
      <family val="1"/>
    </font>
    <font>
      <sz val="11"/>
      <color theme="0"/>
      <name val="Tahoma"/>
      <family val="2"/>
      <charset val="163"/>
      <scheme val="minor"/>
    </font>
    <font>
      <b/>
      <sz val="22"/>
      <name val="Times New Roman"/>
      <family val="1"/>
      <charset val="163"/>
    </font>
    <font>
      <b/>
      <u/>
      <sz val="16"/>
      <name val="Times New Roman"/>
      <family val="1"/>
    </font>
    <font>
      <b/>
      <i/>
      <u/>
      <sz val="16"/>
      <name val="Times New Roman"/>
      <family val="1"/>
    </font>
    <font>
      <b/>
      <u/>
      <sz val="16"/>
      <color theme="0"/>
      <name val="Times New Roman"/>
      <family val="1"/>
    </font>
    <font>
      <b/>
      <sz val="15"/>
      <name val="Times New Roman"/>
      <family val="1"/>
    </font>
    <font>
      <sz val="15"/>
      <color indexed="63"/>
      <name val="Times New Roman"/>
      <family val="1"/>
    </font>
    <font>
      <u/>
      <sz val="15"/>
      <name val="Times New Roman"/>
      <family val="1"/>
    </font>
    <font>
      <b/>
      <i/>
      <sz val="15"/>
      <color rgb="FFFF0000"/>
      <name val="Times New Roman"/>
      <family val="1"/>
    </font>
    <font>
      <b/>
      <i/>
      <sz val="15"/>
      <color indexed="63"/>
      <name val="Times New Roman"/>
      <family val="1"/>
    </font>
    <font>
      <b/>
      <sz val="15"/>
      <name val="Times New Roman"/>
      <family val="1"/>
      <charset val="163"/>
    </font>
    <font>
      <sz val="13"/>
      <name val="Tahoma"/>
      <family val="1"/>
      <charset val="163"/>
      <scheme val="major"/>
    </font>
    <font>
      <b/>
      <sz val="11"/>
      <color theme="1"/>
      <name val="Times New Roman"/>
      <family val="1"/>
    </font>
    <font>
      <sz val="13"/>
      <color rgb="FFFF0000"/>
      <name val="Times New Roman"/>
      <family val="1"/>
    </font>
    <font>
      <b/>
      <sz val="15"/>
      <color theme="1"/>
      <name val="Times New Roman"/>
      <family val="1"/>
    </font>
    <font>
      <sz val="6"/>
      <color rgb="FF00B0F0"/>
      <name val="Times New Roman"/>
      <family val="1"/>
    </font>
    <font>
      <b/>
      <sz val="72"/>
      <name val="Times New Roman"/>
      <family val="1"/>
    </font>
    <font>
      <sz val="48"/>
      <name val="Times New Roman"/>
      <family val="1"/>
    </font>
    <font>
      <b/>
      <u/>
      <sz val="48"/>
      <name val="Times New Roman"/>
      <family val="1"/>
    </font>
    <font>
      <i/>
      <sz val="48"/>
      <name val="Times New Roman"/>
      <family val="1"/>
    </font>
    <font>
      <sz val="36"/>
      <color indexed="8"/>
      <name val="Times New Roman"/>
      <family val="1"/>
    </font>
    <font>
      <sz val="36"/>
      <color theme="1"/>
      <name val="Times New Roman"/>
      <family val="1"/>
    </font>
    <font>
      <sz val="30"/>
      <color theme="1"/>
      <name val="Times New Roman"/>
      <family val="1"/>
    </font>
    <font>
      <sz val="18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sz val="26"/>
      <name val="Times New Roman"/>
      <family val="1"/>
    </font>
    <font>
      <b/>
      <sz val="19"/>
      <name val="Times New Roman"/>
      <family val="1"/>
    </font>
    <font>
      <sz val="19"/>
      <name val="Times New Roman"/>
      <family val="1"/>
    </font>
    <font>
      <sz val="19"/>
      <color rgb="FFFF0000"/>
      <name val="Times New Roman"/>
      <family val="1"/>
    </font>
    <font>
      <b/>
      <sz val="19"/>
      <color rgb="FFFF0000"/>
      <name val="Times New Roman"/>
      <family val="1"/>
    </font>
    <font>
      <b/>
      <i/>
      <sz val="19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29">
    <xf numFmtId="0" fontId="0" fillId="0" borderId="0"/>
    <xf numFmtId="195" fontId="19" fillId="0" borderId="0" applyFont="0" applyFill="0" applyBorder="0" applyAlignment="0" applyProtection="0"/>
    <xf numFmtId="188" fontId="30" fillId="0" borderId="0" applyFont="0" applyFill="0" applyBorder="0" applyAlignment="0" applyProtection="0"/>
    <xf numFmtId="188" fontId="98" fillId="0" borderId="0" applyFont="0" applyFill="0" applyBorder="0" applyAlignment="0" applyProtection="0"/>
    <xf numFmtId="191" fontId="5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4" fontId="19" fillId="0" borderId="0" applyFont="0" applyFill="0" applyBorder="0" applyAlignment="0" applyProtection="0"/>
    <xf numFmtId="0" fontId="30" fillId="0" borderId="0"/>
    <xf numFmtId="0" fontId="30" fillId="0" borderId="0"/>
    <xf numFmtId="0" fontId="35" fillId="0" borderId="0"/>
    <xf numFmtId="0" fontId="35" fillId="0" borderId="0"/>
    <xf numFmtId="0" fontId="35" fillId="0" borderId="0"/>
    <xf numFmtId="0" fontId="97" fillId="0" borderId="0"/>
    <xf numFmtId="0" fontId="58" fillId="0" borderId="0"/>
    <xf numFmtId="0" fontId="97" fillId="0" borderId="0"/>
    <xf numFmtId="0" fontId="99" fillId="0" borderId="0"/>
    <xf numFmtId="0" fontId="98" fillId="0" borderId="0"/>
    <xf numFmtId="0" fontId="85" fillId="0" borderId="0"/>
    <xf numFmtId="0" fontId="30" fillId="0" borderId="0"/>
    <xf numFmtId="0" fontId="19" fillId="0" borderId="0"/>
    <xf numFmtId="9" fontId="19" fillId="0" borderId="0" applyFont="0" applyFill="0" applyBorder="0" applyAlignment="0" applyProtection="0"/>
    <xf numFmtId="9" fontId="88" fillId="0" borderId="0" applyFont="0" applyFill="0" applyBorder="0" applyAlignment="0" applyProtection="0"/>
    <xf numFmtId="0" fontId="97" fillId="0" borderId="0"/>
    <xf numFmtId="189" fontId="98" fillId="0" borderId="0" applyFont="0" applyFill="0" applyBorder="0" applyAlignment="0" applyProtection="0"/>
    <xf numFmtId="0" fontId="12" fillId="0" borderId="0"/>
    <xf numFmtId="187" fontId="12" fillId="0" borderId="0" applyFont="0" applyFill="0" applyBorder="0" applyAlignment="0" applyProtection="0"/>
    <xf numFmtId="0" fontId="153" fillId="0" borderId="0"/>
    <xf numFmtId="0" fontId="169" fillId="8" borderId="0" applyNumberFormat="0" applyBorder="0" applyAlignment="0" applyProtection="0"/>
  </cellStyleXfs>
  <cellXfs count="1658">
    <xf numFmtId="0" fontId="0" fillId="0" borderId="0" xfId="0"/>
    <xf numFmtId="0" fontId="20" fillId="0" borderId="0" xfId="0" applyFont="1"/>
    <xf numFmtId="0" fontId="9" fillId="0" borderId="0" xfId="0" applyFont="1"/>
    <xf numFmtId="0" fontId="10" fillId="0" borderId="0" xfId="0" applyFont="1"/>
    <xf numFmtId="0" fontId="12" fillId="0" borderId="0" xfId="0" applyFont="1"/>
    <xf numFmtId="198" fontId="12" fillId="0" borderId="0" xfId="1" applyNumberFormat="1" applyFont="1" applyFill="1"/>
    <xf numFmtId="198" fontId="7" fillId="2" borderId="0" xfId="1" applyNumberFormat="1" applyFont="1" applyFill="1"/>
    <xf numFmtId="198" fontId="12" fillId="2" borderId="0" xfId="1" applyNumberFormat="1" applyFont="1" applyFill="1"/>
    <xf numFmtId="198" fontId="16" fillId="2" borderId="0" xfId="1" applyNumberFormat="1" applyFont="1" applyFill="1" applyAlignment="1">
      <alignment horizontal="center"/>
    </xf>
    <xf numFmtId="198" fontId="16" fillId="2" borderId="0" xfId="1" applyNumberFormat="1" applyFont="1" applyFill="1" applyAlignment="1"/>
    <xf numFmtId="0" fontId="21" fillId="0" borderId="0" xfId="0" applyFont="1"/>
    <xf numFmtId="0" fontId="12" fillId="2" borderId="0" xfId="0" applyFont="1" applyFill="1" applyAlignment="1">
      <alignment horizontal="center"/>
    </xf>
    <xf numFmtId="0" fontId="7" fillId="0" borderId="0" xfId="0" applyFont="1"/>
    <xf numFmtId="198" fontId="10" fillId="2" borderId="0" xfId="1" applyNumberFormat="1" applyFont="1" applyFill="1" applyAlignment="1"/>
    <xf numFmtId="198" fontId="26" fillId="2" borderId="0" xfId="1" applyNumberFormat="1" applyFont="1" applyFill="1" applyAlignment="1"/>
    <xf numFmtId="198" fontId="27" fillId="2" borderId="0" xfId="1" applyNumberFormat="1" applyFont="1" applyFill="1" applyAlignment="1"/>
    <xf numFmtId="0" fontId="20" fillId="0" borderId="1" xfId="0" applyFont="1" applyBorder="1"/>
    <xf numFmtId="0" fontId="20" fillId="0" borderId="2" xfId="0" applyFont="1" applyBorder="1"/>
    <xf numFmtId="0" fontId="14" fillId="2" borderId="0" xfId="0" applyFont="1" applyFill="1"/>
    <xf numFmtId="0" fontId="20" fillId="3" borderId="0" xfId="0" applyFont="1" applyFill="1"/>
    <xf numFmtId="200" fontId="7" fillId="2" borderId="0" xfId="1" applyNumberFormat="1" applyFont="1" applyFill="1"/>
    <xf numFmtId="201" fontId="16" fillId="2" borderId="0" xfId="1" applyNumberFormat="1" applyFont="1" applyFill="1" applyAlignment="1">
      <alignment horizontal="center"/>
    </xf>
    <xf numFmtId="2" fontId="20" fillId="0" borderId="0" xfId="0" applyNumberFormat="1" applyFont="1"/>
    <xf numFmtId="4" fontId="12" fillId="0" borderId="0" xfId="0" applyNumberFormat="1" applyFont="1" applyAlignment="1">
      <alignment horizontal="center"/>
    </xf>
    <xf numFmtId="4" fontId="12" fillId="0" borderId="0" xfId="0" applyNumberFormat="1" applyFont="1" applyAlignment="1">
      <alignment horizontal="right"/>
    </xf>
    <xf numFmtId="195" fontId="12" fillId="0" borderId="0" xfId="1" applyFont="1" applyFill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17" fillId="2" borderId="0" xfId="0" applyFont="1" applyFill="1" applyAlignment="1">
      <alignment wrapText="1"/>
    </xf>
    <xf numFmtId="0" fontId="17" fillId="2" borderId="0" xfId="0" applyFont="1" applyFill="1"/>
    <xf numFmtId="0" fontId="9" fillId="0" borderId="1" xfId="0" applyFont="1" applyBorder="1"/>
    <xf numFmtId="0" fontId="17" fillId="2" borderId="0" xfId="0" applyFont="1" applyFill="1" applyAlignment="1">
      <alignment vertical="center" shrinkToFit="1"/>
    </xf>
    <xf numFmtId="193" fontId="2" fillId="2" borderId="4" xfId="1" applyNumberFormat="1" applyFont="1" applyFill="1" applyBorder="1" applyAlignment="1">
      <alignment horizontal="center" vertical="center" wrapText="1"/>
    </xf>
    <xf numFmtId="3" fontId="37" fillId="0" borderId="5" xfId="0" quotePrefix="1" applyNumberFormat="1" applyFont="1" applyBorder="1" applyAlignment="1">
      <alignment horizontal="center" vertical="center"/>
    </xf>
    <xf numFmtId="0" fontId="37" fillId="0" borderId="5" xfId="0" applyFont="1" applyBorder="1" applyAlignment="1">
      <alignment horizontal="left" vertical="center" wrapText="1" indent="1"/>
    </xf>
    <xf numFmtId="3" fontId="37" fillId="3" borderId="5" xfId="0" quotePrefix="1" applyNumberFormat="1" applyFont="1" applyFill="1" applyBorder="1" applyAlignment="1">
      <alignment horizontal="center" vertical="center"/>
    </xf>
    <xf numFmtId="0" fontId="37" fillId="3" borderId="5" xfId="0" applyFont="1" applyFill="1" applyBorder="1" applyAlignment="1">
      <alignment horizontal="left" vertical="center" wrapText="1" indent="1"/>
    </xf>
    <xf numFmtId="3" fontId="37" fillId="3" borderId="5" xfId="0" applyNumberFormat="1" applyFont="1" applyFill="1" applyBorder="1" applyAlignment="1">
      <alignment horizontal="left" vertical="center" indent="1"/>
    </xf>
    <xf numFmtId="193" fontId="22" fillId="0" borderId="4" xfId="0" applyNumberFormat="1" applyFont="1" applyBorder="1"/>
    <xf numFmtId="197" fontId="22" fillId="0" borderId="4" xfId="0" applyNumberFormat="1" applyFont="1" applyBorder="1"/>
    <xf numFmtId="0" fontId="41" fillId="0" borderId="0" xfId="0" applyFont="1" applyAlignment="1">
      <alignment horizontal="left"/>
    </xf>
    <xf numFmtId="0" fontId="3" fillId="0" borderId="0" xfId="0" applyFont="1"/>
    <xf numFmtId="0" fontId="39" fillId="0" borderId="0" xfId="0" applyFont="1"/>
    <xf numFmtId="4" fontId="9" fillId="0" borderId="0" xfId="0" applyNumberFormat="1" applyFont="1"/>
    <xf numFmtId="0" fontId="53" fillId="0" borderId="0" xfId="0" applyFont="1"/>
    <xf numFmtId="0" fontId="40" fillId="0" borderId="0" xfId="0" applyFont="1"/>
    <xf numFmtId="196" fontId="9" fillId="0" borderId="0" xfId="1" applyNumberFormat="1" applyFont="1" applyFill="1"/>
    <xf numFmtId="3" fontId="9" fillId="0" borderId="0" xfId="0" applyNumberFormat="1" applyFont="1"/>
    <xf numFmtId="197" fontId="9" fillId="0" borderId="0" xfId="0" applyNumberFormat="1" applyFont="1"/>
    <xf numFmtId="190" fontId="9" fillId="0" borderId="0" xfId="0" applyNumberFormat="1" applyFont="1"/>
    <xf numFmtId="0" fontId="41" fillId="0" borderId="0" xfId="0" applyFont="1"/>
    <xf numFmtId="0" fontId="42" fillId="0" borderId="0" xfId="0" applyFont="1"/>
    <xf numFmtId="0" fontId="51" fillId="0" borderId="0" xfId="0" applyFont="1"/>
    <xf numFmtId="0" fontId="36" fillId="0" borderId="0" xfId="0" applyFont="1"/>
    <xf numFmtId="196" fontId="53" fillId="0" borderId="0" xfId="1" applyNumberFormat="1" applyFont="1" applyFill="1"/>
    <xf numFmtId="0" fontId="39" fillId="0" borderId="0" xfId="0" applyFont="1" applyAlignment="1">
      <alignment vertical="center" shrinkToFit="1"/>
    </xf>
    <xf numFmtId="4" fontId="9" fillId="0" borderId="0" xfId="0" applyNumberFormat="1" applyFont="1" applyAlignment="1">
      <alignment horizontal="right"/>
    </xf>
    <xf numFmtId="4" fontId="10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207" fontId="9" fillId="0" borderId="0" xfId="0" applyNumberFormat="1" applyFont="1"/>
    <xf numFmtId="198" fontId="7" fillId="0" borderId="0" xfId="1" applyNumberFormat="1" applyFont="1" applyFill="1"/>
    <xf numFmtId="200" fontId="7" fillId="0" borderId="0" xfId="1" applyNumberFormat="1" applyFont="1" applyFill="1"/>
    <xf numFmtId="201" fontId="16" fillId="0" borderId="0" xfId="1" applyNumberFormat="1" applyFont="1" applyFill="1" applyAlignment="1">
      <alignment horizontal="right"/>
    </xf>
    <xf numFmtId="4" fontId="16" fillId="0" borderId="0" xfId="1" applyNumberFormat="1" applyFont="1" applyFill="1" applyAlignment="1">
      <alignment horizontal="right"/>
    </xf>
    <xf numFmtId="198" fontId="16" fillId="0" borderId="0" xfId="1" applyNumberFormat="1" applyFont="1" applyFill="1" applyAlignment="1">
      <alignment horizontal="center"/>
    </xf>
    <xf numFmtId="207" fontId="16" fillId="0" borderId="0" xfId="1" applyNumberFormat="1" applyFont="1" applyFill="1" applyAlignment="1">
      <alignment horizontal="center"/>
    </xf>
    <xf numFmtId="198" fontId="11" fillId="0" borderId="4" xfId="1" applyNumberFormat="1" applyFont="1" applyFill="1" applyBorder="1" applyAlignment="1">
      <alignment horizontal="right" vertical="center" wrapText="1"/>
    </xf>
    <xf numFmtId="4" fontId="11" fillId="0" borderId="4" xfId="1" applyNumberFormat="1" applyFont="1" applyFill="1" applyBorder="1" applyAlignment="1">
      <alignment horizontal="center" vertical="center" wrapText="1"/>
    </xf>
    <xf numFmtId="2" fontId="54" fillId="0" borderId="0" xfId="0" applyNumberFormat="1" applyFont="1"/>
    <xf numFmtId="193" fontId="9" fillId="0" borderId="0" xfId="0" applyNumberFormat="1" applyFont="1"/>
    <xf numFmtId="0" fontId="12" fillId="0" borderId="12" xfId="0" applyFont="1" applyBorder="1" applyAlignment="1">
      <alignment horizontal="left" vertical="center" wrapText="1" indent="1"/>
    </xf>
    <xf numFmtId="1" fontId="12" fillId="0" borderId="5" xfId="0" applyNumberFormat="1" applyFont="1" applyBorder="1" applyAlignment="1">
      <alignment horizontal="left" vertical="center" indent="1"/>
    </xf>
    <xf numFmtId="3" fontId="12" fillId="0" borderId="5" xfId="0" applyNumberFormat="1" applyFont="1" applyBorder="1" applyAlignment="1">
      <alignment horizontal="left" vertical="center" indent="1"/>
    </xf>
    <xf numFmtId="0" fontId="12" fillId="0" borderId="0" xfId="0" applyFont="1" applyAlignment="1">
      <alignment horizontal="left" vertical="center" wrapText="1" indent="1"/>
    </xf>
    <xf numFmtId="0" fontId="12" fillId="0" borderId="5" xfId="0" applyFont="1" applyBorder="1" applyAlignment="1">
      <alignment horizontal="left" vertical="center" wrapText="1" indent="1"/>
    </xf>
    <xf numFmtId="1" fontId="12" fillId="0" borderId="5" xfId="0" quotePrefix="1" applyNumberFormat="1" applyFont="1" applyBorder="1" applyAlignment="1">
      <alignment horizontal="left" vertical="center" indent="1"/>
    </xf>
    <xf numFmtId="3" fontId="12" fillId="0" borderId="13" xfId="0" applyNumberFormat="1" applyFont="1" applyBorder="1" applyAlignment="1">
      <alignment horizontal="left" vertical="center" indent="1"/>
    </xf>
    <xf numFmtId="1" fontId="12" fillId="0" borderId="13" xfId="0" applyNumberFormat="1" applyFont="1" applyBorder="1" applyAlignment="1">
      <alignment horizontal="left" vertical="center" indent="1"/>
    </xf>
    <xf numFmtId="0" fontId="12" fillId="0" borderId="13" xfId="0" applyFont="1" applyBorder="1" applyAlignment="1">
      <alignment horizontal="left" vertical="center" wrapText="1" indent="1"/>
    </xf>
    <xf numFmtId="0" fontId="47" fillId="0" borderId="0" xfId="0" applyFont="1"/>
    <xf numFmtId="4" fontId="3" fillId="0" borderId="0" xfId="0" applyNumberFormat="1" applyFont="1" applyAlignment="1">
      <alignment horizontal="right"/>
    </xf>
    <xf numFmtId="0" fontId="14" fillId="0" borderId="0" xfId="0" applyFont="1"/>
    <xf numFmtId="196" fontId="64" fillId="0" borderId="0" xfId="1" applyNumberFormat="1" applyFont="1" applyFill="1"/>
    <xf numFmtId="0" fontId="9" fillId="0" borderId="0" xfId="0" applyFont="1" applyAlignment="1">
      <alignment horizontal="left"/>
    </xf>
    <xf numFmtId="212" fontId="9" fillId="0" borderId="0" xfId="0" applyNumberFormat="1" applyFont="1"/>
    <xf numFmtId="191" fontId="9" fillId="0" borderId="0" xfId="0" applyNumberFormat="1" applyFont="1"/>
    <xf numFmtId="43" fontId="9" fillId="0" borderId="0" xfId="0" applyNumberFormat="1" applyFont="1"/>
    <xf numFmtId="199" fontId="9" fillId="0" borderId="0" xfId="0" applyNumberFormat="1" applyFont="1"/>
    <xf numFmtId="0" fontId="39" fillId="0" borderId="4" xfId="0" applyFont="1" applyBorder="1" applyAlignment="1">
      <alignment vertical="center" wrapText="1"/>
    </xf>
    <xf numFmtId="191" fontId="9" fillId="0" borderId="6" xfId="0" applyNumberFormat="1" applyFont="1" applyBorder="1"/>
    <xf numFmtId="0" fontId="39" fillId="0" borderId="4" xfId="0" applyFont="1" applyBorder="1" applyAlignment="1">
      <alignment horizontal="left" vertical="center" wrapText="1"/>
    </xf>
    <xf numFmtId="218" fontId="12" fillId="0" borderId="5" xfId="0" quotePrefix="1" applyNumberFormat="1" applyFont="1" applyBorder="1" applyAlignment="1">
      <alignment horizontal="left" vertical="center" indent="1"/>
    </xf>
    <xf numFmtId="212" fontId="12" fillId="0" borderId="5" xfId="0" applyNumberFormat="1" applyFont="1" applyBorder="1" applyAlignment="1">
      <alignment horizontal="left" vertical="center" wrapText="1" indent="1"/>
    </xf>
    <xf numFmtId="212" fontId="12" fillId="0" borderId="5" xfId="0" quotePrefix="1" applyNumberFormat="1" applyFont="1" applyBorder="1" applyAlignment="1">
      <alignment horizontal="left" vertical="center" indent="1"/>
    </xf>
    <xf numFmtId="212" fontId="12" fillId="0" borderId="12" xfId="0" applyNumberFormat="1" applyFont="1" applyBorder="1" applyAlignment="1">
      <alignment horizontal="left" vertical="center" wrapText="1" indent="1"/>
    </xf>
    <xf numFmtId="212" fontId="12" fillId="0" borderId="5" xfId="0" applyNumberFormat="1" applyFont="1" applyBorder="1" applyAlignment="1">
      <alignment horizontal="left" vertical="center" indent="1"/>
    </xf>
    <xf numFmtId="0" fontId="39" fillId="0" borderId="4" xfId="0" applyFont="1" applyBorder="1" applyAlignment="1">
      <alignment horizontal="center" vertical="center" shrinkToFit="1"/>
    </xf>
    <xf numFmtId="212" fontId="9" fillId="0" borderId="6" xfId="0" applyNumberFormat="1" applyFont="1" applyBorder="1"/>
    <xf numFmtId="0" fontId="9" fillId="0" borderId="2" xfId="0" applyFont="1" applyBorder="1"/>
    <xf numFmtId="191" fontId="54" fillId="0" borderId="0" xfId="0" applyNumberFormat="1" applyFont="1"/>
    <xf numFmtId="43" fontId="12" fillId="0" borderId="5" xfId="0" applyNumberFormat="1" applyFont="1" applyBorder="1" applyAlignment="1">
      <alignment horizontal="left" vertical="center" wrapText="1" indent="1"/>
    </xf>
    <xf numFmtId="212" fontId="65" fillId="0" borderId="0" xfId="0" applyNumberFormat="1" applyFont="1"/>
    <xf numFmtId="0" fontId="7" fillId="0" borderId="5" xfId="0" applyFont="1" applyBorder="1" applyAlignment="1">
      <alignment horizontal="center" vertical="center" shrinkToFit="1"/>
    </xf>
    <xf numFmtId="4" fontId="7" fillId="0" borderId="5" xfId="0" applyNumberFormat="1" applyFont="1" applyBorder="1" applyAlignment="1">
      <alignment horizontal="center" vertical="center" shrinkToFit="1"/>
    </xf>
    <xf numFmtId="190" fontId="39" fillId="0" borderId="5" xfId="1" applyNumberFormat="1" applyFont="1" applyFill="1" applyBorder="1" applyAlignment="1">
      <alignment horizontal="center" vertical="center"/>
    </xf>
    <xf numFmtId="199" fontId="11" fillId="0" borderId="5" xfId="0" applyNumberFormat="1" applyFont="1" applyBorder="1" applyAlignment="1">
      <alignment horizontal="center" vertical="center" shrinkToFit="1"/>
    </xf>
    <xf numFmtId="0" fontId="12" fillId="0" borderId="4" xfId="0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 vertical="center" shrinkToFit="1"/>
    </xf>
    <xf numFmtId="3" fontId="3" fillId="0" borderId="0" xfId="0" applyNumberFormat="1" applyFont="1" applyAlignment="1">
      <alignment vertical="center" wrapText="1"/>
    </xf>
    <xf numFmtId="3" fontId="3" fillId="0" borderId="0" xfId="0" applyNumberFormat="1" applyFont="1" applyAlignment="1">
      <alignment vertical="center"/>
    </xf>
    <xf numFmtId="4" fontId="9" fillId="0" borderId="0" xfId="0" applyNumberFormat="1" applyFont="1" applyAlignment="1">
      <alignment vertical="center"/>
    </xf>
    <xf numFmtId="3" fontId="9" fillId="0" borderId="0" xfId="0" applyNumberFormat="1" applyFont="1" applyAlignment="1">
      <alignment vertical="center" wrapText="1"/>
    </xf>
    <xf numFmtId="3" fontId="9" fillId="0" borderId="0" xfId="0" applyNumberFormat="1" applyFont="1" applyAlignment="1">
      <alignment vertical="center"/>
    </xf>
    <xf numFmtId="0" fontId="46" fillId="0" borderId="0" xfId="0" applyFont="1"/>
    <xf numFmtId="0" fontId="7" fillId="0" borderId="4" xfId="0" applyFont="1" applyBorder="1" applyAlignment="1">
      <alignment vertical="center" wrapText="1"/>
    </xf>
    <xf numFmtId="190" fontId="7" fillId="0" borderId="0" xfId="1" applyNumberFormat="1" applyFont="1" applyFill="1" applyBorder="1" applyAlignment="1">
      <alignment horizontal="center" vertical="center" shrinkToFit="1"/>
    </xf>
    <xf numFmtId="2" fontId="3" fillId="0" borderId="0" xfId="0" applyNumberFormat="1" applyFont="1"/>
    <xf numFmtId="196" fontId="89" fillId="0" borderId="0" xfId="1" applyNumberFormat="1" applyFont="1" applyFill="1"/>
    <xf numFmtId="198" fontId="26" fillId="0" borderId="0" xfId="1" applyNumberFormat="1" applyFont="1" applyFill="1" applyAlignment="1"/>
    <xf numFmtId="0" fontId="63" fillId="0" borderId="0" xfId="0" applyFont="1"/>
    <xf numFmtId="0" fontId="7" fillId="0" borderId="0" xfId="0" applyFont="1" applyAlignment="1">
      <alignment horizontal="left"/>
    </xf>
    <xf numFmtId="0" fontId="8" fillId="0" borderId="0" xfId="0" applyFont="1"/>
    <xf numFmtId="196" fontId="7" fillId="0" borderId="0" xfId="1" applyNumberFormat="1" applyFont="1" applyFill="1"/>
    <xf numFmtId="0" fontId="7" fillId="0" borderId="4" xfId="0" applyFont="1" applyBorder="1"/>
    <xf numFmtId="196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97" fontId="3" fillId="0" borderId="0" xfId="0" applyNumberFormat="1" applyFont="1" applyAlignment="1">
      <alignment vertical="center"/>
    </xf>
    <xf numFmtId="38" fontId="3" fillId="0" borderId="0" xfId="0" applyNumberFormat="1" applyFont="1" applyAlignment="1">
      <alignment vertical="center"/>
    </xf>
    <xf numFmtId="196" fontId="10" fillId="0" borderId="0" xfId="1" applyNumberFormat="1" applyFont="1" applyFill="1" applyBorder="1"/>
    <xf numFmtId="196" fontId="12" fillId="0" borderId="0" xfId="1" applyNumberFormat="1" applyFont="1" applyFill="1"/>
    <xf numFmtId="3" fontId="3" fillId="0" borderId="0" xfId="0" applyNumberFormat="1" applyFont="1"/>
    <xf numFmtId="0" fontId="10" fillId="0" borderId="0" xfId="0" applyFont="1" applyAlignment="1">
      <alignment horizontal="left"/>
    </xf>
    <xf numFmtId="196" fontId="10" fillId="0" borderId="0" xfId="1" applyNumberFormat="1" applyFont="1" applyFill="1" applyAlignment="1">
      <alignment horizontal="center"/>
    </xf>
    <xf numFmtId="192" fontId="0" fillId="0" borderId="5" xfId="0" applyNumberFormat="1" applyBorder="1"/>
    <xf numFmtId="220" fontId="0" fillId="0" borderId="5" xfId="0" applyNumberFormat="1" applyBorder="1"/>
    <xf numFmtId="209" fontId="0" fillId="0" borderId="5" xfId="0" applyNumberFormat="1" applyBorder="1"/>
    <xf numFmtId="0" fontId="0" fillId="0" borderId="5" xfId="0" applyBorder="1"/>
    <xf numFmtId="208" fontId="0" fillId="0" borderId="5" xfId="0" applyNumberFormat="1" applyBorder="1"/>
    <xf numFmtId="209" fontId="36" fillId="0" borderId="4" xfId="7" applyNumberFormat="1" applyFont="1" applyFill="1" applyBorder="1" applyAlignment="1">
      <alignment horizontal="center"/>
    </xf>
    <xf numFmtId="196" fontId="53" fillId="0" borderId="5" xfId="1" applyNumberFormat="1" applyFont="1" applyFill="1" applyBorder="1"/>
    <xf numFmtId="190" fontId="0" fillId="0" borderId="5" xfId="0" applyNumberFormat="1" applyBorder="1" applyAlignment="1">
      <alignment horizontal="left"/>
    </xf>
    <xf numFmtId="196" fontId="64" fillId="0" borderId="5" xfId="1" applyNumberFormat="1" applyFont="1" applyFill="1" applyBorder="1"/>
    <xf numFmtId="0" fontId="79" fillId="0" borderId="0" xfId="0" applyFont="1" applyAlignment="1">
      <alignment horizontal="center" vertical="center"/>
    </xf>
    <xf numFmtId="0" fontId="75" fillId="0" borderId="0" xfId="0" applyFont="1"/>
    <xf numFmtId="0" fontId="78" fillId="0" borderId="0" xfId="0" applyFont="1"/>
    <xf numFmtId="213" fontId="0" fillId="0" borderId="5" xfId="0" applyNumberFormat="1" applyBorder="1"/>
    <xf numFmtId="0" fontId="15" fillId="0" borderId="4" xfId="0" applyFont="1" applyBorder="1"/>
    <xf numFmtId="207" fontId="18" fillId="0" borderId="6" xfId="0" applyNumberFormat="1" applyFont="1" applyBorder="1"/>
    <xf numFmtId="0" fontId="83" fillId="0" borderId="0" xfId="0" applyFont="1"/>
    <xf numFmtId="0" fontId="83" fillId="0" borderId="0" xfId="0" applyFont="1" applyAlignment="1">
      <alignment horizontal="center"/>
    </xf>
    <xf numFmtId="3" fontId="83" fillId="0" borderId="0" xfId="0" applyNumberFormat="1" applyFont="1"/>
    <xf numFmtId="197" fontId="83" fillId="0" borderId="0" xfId="0" applyNumberFormat="1" applyFont="1"/>
    <xf numFmtId="198" fontId="83" fillId="0" borderId="0" xfId="1" applyNumberFormat="1" applyFont="1" applyFill="1"/>
    <xf numFmtId="0" fontId="82" fillId="0" borderId="0" xfId="0" applyFont="1"/>
    <xf numFmtId="197" fontId="82" fillId="0" borderId="0" xfId="19" applyNumberFormat="1" applyFont="1" applyAlignment="1">
      <alignment horizontal="center"/>
    </xf>
    <xf numFmtId="197" fontId="82" fillId="0" borderId="0" xfId="0" applyNumberFormat="1" applyFont="1"/>
    <xf numFmtId="198" fontId="82" fillId="0" borderId="0" xfId="1" applyNumberFormat="1" applyFont="1" applyFill="1"/>
    <xf numFmtId="4" fontId="32" fillId="0" borderId="4" xfId="0" applyNumberFormat="1" applyFont="1" applyBorder="1"/>
    <xf numFmtId="193" fontId="32" fillId="0" borderId="4" xfId="0" applyNumberFormat="1" applyFont="1" applyBorder="1"/>
    <xf numFmtId="0" fontId="72" fillId="0" borderId="0" xfId="0" applyFont="1" applyAlignment="1">
      <alignment vertical="center"/>
    </xf>
    <xf numFmtId="196" fontId="82" fillId="0" borderId="0" xfId="1" applyNumberFormat="1" applyFont="1" applyFill="1"/>
    <xf numFmtId="0" fontId="20" fillId="0" borderId="3" xfId="0" applyFont="1" applyBorder="1"/>
    <xf numFmtId="0" fontId="38" fillId="0" borderId="0" xfId="0" applyFont="1"/>
    <xf numFmtId="3" fontId="12" fillId="0" borderId="0" xfId="0" applyNumberFormat="1" applyFont="1"/>
    <xf numFmtId="0" fontId="7" fillId="0" borderId="1" xfId="0" applyFont="1" applyBorder="1" applyAlignment="1">
      <alignment horizontal="center" vertical="center" shrinkToFit="1"/>
    </xf>
    <xf numFmtId="4" fontId="7" fillId="0" borderId="1" xfId="0" applyNumberFormat="1" applyFont="1" applyBorder="1" applyAlignment="1">
      <alignment horizontal="center" vertical="center" shrinkToFit="1"/>
    </xf>
    <xf numFmtId="191" fontId="7" fillId="0" borderId="1" xfId="1" applyNumberFormat="1" applyFont="1" applyFill="1" applyBorder="1" applyAlignment="1">
      <alignment horizontal="center" vertical="center" shrinkToFit="1"/>
    </xf>
    <xf numFmtId="197" fontId="7" fillId="0" borderId="5" xfId="1" applyNumberFormat="1" applyFont="1" applyFill="1" applyBorder="1" applyAlignment="1">
      <alignment horizontal="right" vertical="center" shrinkToFit="1"/>
    </xf>
    <xf numFmtId="191" fontId="7" fillId="0" borderId="5" xfId="1" applyNumberFormat="1" applyFont="1" applyFill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9" xfId="0" applyFont="1" applyBorder="1"/>
    <xf numFmtId="4" fontId="7" fillId="0" borderId="9" xfId="0" applyNumberFormat="1" applyFont="1" applyBorder="1" applyAlignment="1">
      <alignment horizontal="center" vertical="center" shrinkToFit="1"/>
    </xf>
    <xf numFmtId="2" fontId="7" fillId="0" borderId="9" xfId="1" applyNumberFormat="1" applyFont="1" applyFill="1" applyBorder="1" applyAlignment="1">
      <alignment horizontal="right" vertical="center" wrapText="1"/>
    </xf>
    <xf numFmtId="207" fontId="7" fillId="0" borderId="9" xfId="1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4" fontId="7" fillId="0" borderId="1" xfId="1" applyNumberFormat="1" applyFont="1" applyFill="1" applyBorder="1" applyAlignment="1">
      <alignment horizontal="right" vertical="center" shrinkToFit="1"/>
    </xf>
    <xf numFmtId="2" fontId="7" fillId="0" borderId="18" xfId="0" applyNumberFormat="1" applyFont="1" applyBorder="1" applyAlignment="1">
      <alignment horizontal="center" vertical="center" shrinkToFit="1"/>
    </xf>
    <xf numFmtId="192" fontId="7" fillId="0" borderId="18" xfId="1" applyNumberFormat="1" applyFont="1" applyFill="1" applyBorder="1" applyAlignment="1">
      <alignment vertical="center" shrinkToFit="1"/>
    </xf>
    <xf numFmtId="192" fontId="36" fillId="0" borderId="4" xfId="7" applyNumberFormat="1" applyFont="1" applyFill="1" applyBorder="1" applyAlignment="1">
      <alignment horizontal="center"/>
    </xf>
    <xf numFmtId="4" fontId="10" fillId="0" borderId="4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2" fillId="0" borderId="4" xfId="18" applyFont="1" applyBorder="1" applyAlignment="1">
      <alignment horizontal="center" vertical="center"/>
    </xf>
    <xf numFmtId="212" fontId="12" fillId="0" borderId="0" xfId="1" applyNumberFormat="1" applyFont="1" applyFill="1"/>
    <xf numFmtId="0" fontId="90" fillId="0" borderId="0" xfId="16" applyFont="1"/>
    <xf numFmtId="191" fontId="38" fillId="0" borderId="0" xfId="1" applyNumberFormat="1" applyFont="1" applyFill="1"/>
    <xf numFmtId="225" fontId="38" fillId="0" borderId="0" xfId="1" applyNumberFormat="1" applyFont="1" applyFill="1"/>
    <xf numFmtId="226" fontId="38" fillId="0" borderId="0" xfId="0" applyNumberFormat="1" applyFont="1"/>
    <xf numFmtId="0" fontId="17" fillId="0" borderId="0" xfId="0" applyFont="1"/>
    <xf numFmtId="191" fontId="17" fillId="0" borderId="0" xfId="0" applyNumberFormat="1" applyFont="1"/>
    <xf numFmtId="2" fontId="7" fillId="0" borderId="11" xfId="0" applyNumberFormat="1" applyFont="1" applyBorder="1" applyAlignment="1">
      <alignment horizontal="center" vertical="center" shrinkToFit="1"/>
    </xf>
    <xf numFmtId="4" fontId="7" fillId="0" borderId="11" xfId="0" applyNumberFormat="1" applyFont="1" applyBorder="1" applyAlignment="1">
      <alignment horizontal="center" vertical="center" shrinkToFit="1"/>
    </xf>
    <xf numFmtId="0" fontId="7" fillId="0" borderId="11" xfId="0" applyFont="1" applyBorder="1"/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shrinkToFit="1"/>
    </xf>
    <xf numFmtId="212" fontId="38" fillId="0" borderId="0" xfId="0" applyNumberFormat="1" applyFont="1"/>
    <xf numFmtId="0" fontId="87" fillId="0" borderId="0" xfId="16" applyFont="1"/>
    <xf numFmtId="0" fontId="20" fillId="0" borderId="0" xfId="16" applyFont="1"/>
    <xf numFmtId="0" fontId="21" fillId="0" borderId="0" xfId="16" applyFont="1"/>
    <xf numFmtId="0" fontId="36" fillId="0" borderId="4" xfId="18" applyFont="1" applyBorder="1" applyAlignment="1">
      <alignment horizontal="left" vertical="center"/>
    </xf>
    <xf numFmtId="3" fontId="17" fillId="0" borderId="0" xfId="0" applyNumberFormat="1" applyFont="1"/>
    <xf numFmtId="196" fontId="9" fillId="0" borderId="0" xfId="0" applyNumberFormat="1" applyFont="1"/>
    <xf numFmtId="0" fontId="39" fillId="0" borderId="4" xfId="0" applyFont="1" applyBorder="1" applyAlignment="1">
      <alignment horizontal="center" vertical="center" wrapText="1"/>
    </xf>
    <xf numFmtId="197" fontId="39" fillId="0" borderId="4" xfId="1" applyNumberFormat="1" applyFont="1" applyFill="1" applyBorder="1" applyAlignment="1">
      <alignment vertical="center" wrapText="1"/>
    </xf>
    <xf numFmtId="197" fontId="42" fillId="0" borderId="4" xfId="1" applyNumberFormat="1" applyFont="1" applyFill="1" applyBorder="1" applyAlignment="1">
      <alignment vertical="center" wrapText="1"/>
    </xf>
    <xf numFmtId="4" fontId="12" fillId="0" borderId="4" xfId="1" applyNumberFormat="1" applyFont="1" applyFill="1" applyBorder="1" applyAlignment="1">
      <alignment horizontal="center" vertical="center"/>
    </xf>
    <xf numFmtId="4" fontId="10" fillId="0" borderId="4" xfId="1" applyNumberFormat="1" applyFont="1" applyFill="1" applyBorder="1" applyAlignment="1">
      <alignment horizontal="center" vertical="center"/>
    </xf>
    <xf numFmtId="4" fontId="12" fillId="0" borderId="4" xfId="0" applyNumberFormat="1" applyFont="1" applyBorder="1" applyAlignment="1">
      <alignment horizontal="center"/>
    </xf>
    <xf numFmtId="0" fontId="87" fillId="0" borderId="0" xfId="16" applyFont="1" applyAlignment="1">
      <alignment horizontal="center"/>
    </xf>
    <xf numFmtId="0" fontId="20" fillId="0" borderId="0" xfId="16" applyFont="1" applyAlignment="1">
      <alignment horizontal="center"/>
    </xf>
    <xf numFmtId="196" fontId="12" fillId="0" borderId="0" xfId="1" applyNumberFormat="1" applyFont="1" applyFill="1" applyAlignment="1">
      <alignment horizontal="center"/>
    </xf>
    <xf numFmtId="196" fontId="10" fillId="0" borderId="4" xfId="1" applyNumberFormat="1" applyFont="1" applyFill="1" applyBorder="1" applyAlignment="1">
      <alignment horizontal="center" vertical="center" wrapText="1"/>
    </xf>
    <xf numFmtId="196" fontId="12" fillId="0" borderId="4" xfId="1" applyNumberFormat="1" applyFont="1" applyFill="1" applyBorder="1" applyAlignment="1">
      <alignment horizontal="right"/>
    </xf>
    <xf numFmtId="196" fontId="10" fillId="0" borderId="4" xfId="1" applyNumberFormat="1" applyFont="1" applyFill="1" applyBorder="1" applyAlignment="1">
      <alignment horizontal="right"/>
    </xf>
    <xf numFmtId="196" fontId="87" fillId="0" borderId="0" xfId="1" applyNumberFormat="1" applyFont="1" applyFill="1"/>
    <xf numFmtId="196" fontId="20" fillId="0" borderId="0" xfId="1" applyNumberFormat="1" applyFont="1" applyFill="1"/>
    <xf numFmtId="196" fontId="21" fillId="0" borderId="0" xfId="1" applyNumberFormat="1" applyFont="1" applyFill="1" applyAlignment="1"/>
    <xf numFmtId="195" fontId="10" fillId="0" borderId="4" xfId="1" applyFont="1" applyFill="1" applyBorder="1" applyAlignment="1">
      <alignment horizontal="center" vertical="center" wrapText="1"/>
    </xf>
    <xf numFmtId="195" fontId="10" fillId="0" borderId="4" xfId="1" applyFont="1" applyFill="1" applyBorder="1" applyAlignment="1">
      <alignment horizontal="right"/>
    </xf>
    <xf numFmtId="195" fontId="12" fillId="0" borderId="4" xfId="1" applyFont="1" applyFill="1" applyBorder="1" applyAlignment="1">
      <alignment horizontal="right"/>
    </xf>
    <xf numFmtId="195" fontId="12" fillId="0" borderId="0" xfId="1" applyFont="1" applyFill="1"/>
    <xf numFmtId="195" fontId="87" fillId="0" borderId="0" xfId="1" applyFont="1" applyFill="1"/>
    <xf numFmtId="195" fontId="20" fillId="0" borderId="0" xfId="1" applyFont="1" applyFill="1"/>
    <xf numFmtId="195" fontId="21" fillId="0" borderId="0" xfId="1" applyFont="1" applyFill="1" applyAlignment="1"/>
    <xf numFmtId="0" fontId="101" fillId="0" borderId="4" xfId="0" applyFont="1" applyBorder="1" applyAlignment="1">
      <alignment horizontal="left" vertical="center" wrapText="1"/>
    </xf>
    <xf numFmtId="212" fontId="54" fillId="0" borderId="6" xfId="0" applyNumberFormat="1" applyFont="1" applyBorder="1"/>
    <xf numFmtId="212" fontId="3" fillId="0" borderId="0" xfId="0" applyNumberFormat="1" applyFont="1"/>
    <xf numFmtId="0" fontId="11" fillId="0" borderId="7" xfId="0" applyFont="1" applyBorder="1" applyAlignment="1">
      <alignment horizontal="center" vertical="center"/>
    </xf>
    <xf numFmtId="1" fontId="11" fillId="0" borderId="7" xfId="0" applyNumberFormat="1" applyFont="1" applyBorder="1" applyAlignment="1">
      <alignment horizontal="center" vertical="center"/>
    </xf>
    <xf numFmtId="2" fontId="7" fillId="0" borderId="7" xfId="1" applyNumberFormat="1" applyFont="1" applyFill="1" applyBorder="1" applyAlignment="1">
      <alignment horizontal="right" vertical="center" wrapText="1"/>
    </xf>
    <xf numFmtId="209" fontId="7" fillId="0" borderId="7" xfId="1" applyNumberFormat="1" applyFont="1" applyFill="1" applyBorder="1" applyAlignment="1">
      <alignment horizontal="right" vertical="center" wrapText="1"/>
    </xf>
    <xf numFmtId="199" fontId="7" fillId="0" borderId="5" xfId="1" applyNumberFormat="1" applyFont="1" applyFill="1" applyBorder="1" applyAlignment="1">
      <alignment horizontal="center" vertical="center" shrinkToFit="1"/>
    </xf>
    <xf numFmtId="192" fontId="7" fillId="0" borderId="5" xfId="1" applyNumberFormat="1" applyFont="1" applyFill="1" applyBorder="1" applyAlignment="1">
      <alignment vertical="center" shrinkToFit="1"/>
    </xf>
    <xf numFmtId="209" fontId="7" fillId="0" borderId="5" xfId="1" applyNumberFormat="1" applyFont="1" applyFill="1" applyBorder="1" applyAlignment="1">
      <alignment horizontal="right" vertical="center" wrapText="1"/>
    </xf>
    <xf numFmtId="4" fontId="9" fillId="0" borderId="0" xfId="0" applyNumberFormat="1" applyFont="1" applyAlignment="1">
      <alignment vertical="center" wrapText="1"/>
    </xf>
    <xf numFmtId="0" fontId="26" fillId="0" borderId="0" xfId="0" applyFont="1"/>
    <xf numFmtId="4" fontId="10" fillId="0" borderId="4" xfId="0" applyNumberFormat="1" applyFont="1" applyBorder="1" applyAlignment="1">
      <alignment horizontal="center" vertical="center"/>
    </xf>
    <xf numFmtId="3" fontId="32" fillId="0" borderId="4" xfId="19" applyNumberFormat="1" applyFont="1" applyBorder="1" applyAlignment="1">
      <alignment horizontal="center" vertical="center"/>
    </xf>
    <xf numFmtId="2" fontId="11" fillId="0" borderId="7" xfId="0" applyNumberFormat="1" applyFont="1" applyBorder="1" applyAlignment="1">
      <alignment horizontal="center" vertical="center"/>
    </xf>
    <xf numFmtId="1" fontId="11" fillId="0" borderId="20" xfId="0" applyNumberFormat="1" applyFont="1" applyBorder="1" applyAlignment="1">
      <alignment horizontal="center" vertical="center"/>
    </xf>
    <xf numFmtId="0" fontId="82" fillId="0" borderId="4" xfId="0" applyFont="1" applyBorder="1" applyAlignment="1">
      <alignment horizontal="center" vertical="center"/>
    </xf>
    <xf numFmtId="196" fontId="82" fillId="0" borderId="4" xfId="1" applyNumberFormat="1" applyFont="1" applyFill="1" applyBorder="1" applyAlignment="1">
      <alignment horizontal="center"/>
    </xf>
    <xf numFmtId="196" fontId="82" fillId="0" borderId="4" xfId="1" applyNumberFormat="1" applyFont="1" applyFill="1" applyBorder="1" applyAlignment="1">
      <alignment horizontal="center" vertical="center" wrapText="1"/>
    </xf>
    <xf numFmtId="0" fontId="92" fillId="0" borderId="0" xfId="0" applyFont="1"/>
    <xf numFmtId="0" fontId="94" fillId="0" borderId="0" xfId="0" applyFont="1" applyAlignment="1">
      <alignment horizontal="center"/>
    </xf>
    <xf numFmtId="0" fontId="94" fillId="0" borderId="0" xfId="0" applyFont="1"/>
    <xf numFmtId="0" fontId="42" fillId="0" borderId="0" xfId="0" applyFont="1" applyAlignment="1">
      <alignment horizontal="left"/>
    </xf>
    <xf numFmtId="0" fontId="7" fillId="0" borderId="4" xfId="0" applyFont="1" applyBorder="1" applyAlignment="1">
      <alignment horizontal="left" vertical="center"/>
    </xf>
    <xf numFmtId="196" fontId="12" fillId="0" borderId="4" xfId="1" applyNumberFormat="1" applyFont="1" applyFill="1" applyBorder="1" applyAlignment="1">
      <alignment horizontal="center" vertical="center" wrapText="1"/>
    </xf>
    <xf numFmtId="214" fontId="32" fillId="0" borderId="4" xfId="0" applyNumberFormat="1" applyFont="1" applyBorder="1"/>
    <xf numFmtId="4" fontId="7" fillId="0" borderId="18" xfId="0" applyNumberFormat="1" applyFont="1" applyBorder="1" applyAlignment="1">
      <alignment horizontal="center" vertical="center" shrinkToFit="1"/>
    </xf>
    <xf numFmtId="191" fontId="0" fillId="0" borderId="5" xfId="0" applyNumberFormat="1" applyBorder="1"/>
    <xf numFmtId="3" fontId="26" fillId="0" borderId="4" xfId="0" applyNumberFormat="1" applyFont="1" applyBorder="1" applyAlignment="1">
      <alignment horizontal="center" vertical="center"/>
    </xf>
    <xf numFmtId="190" fontId="82" fillId="0" borderId="4" xfId="1" applyNumberFormat="1" applyFont="1" applyFill="1" applyBorder="1" applyAlignment="1">
      <alignment horizontal="right" vertical="center"/>
    </xf>
    <xf numFmtId="0" fontId="26" fillId="0" borderId="4" xfId="0" applyFont="1" applyBorder="1" applyAlignment="1">
      <alignment vertical="center"/>
    </xf>
    <xf numFmtId="0" fontId="12" fillId="0" borderId="4" xfId="0" applyFont="1" applyBorder="1" applyAlignment="1">
      <alignment horizontal="left" vertical="center"/>
    </xf>
    <xf numFmtId="0" fontId="5" fillId="0" borderId="0" xfId="0" applyFont="1"/>
    <xf numFmtId="191" fontId="72" fillId="0" borderId="0" xfId="1" applyNumberFormat="1" applyFont="1" applyFill="1" applyBorder="1" applyAlignment="1">
      <alignment horizontal="center"/>
    </xf>
    <xf numFmtId="0" fontId="72" fillId="0" borderId="0" xfId="0" applyFont="1" applyAlignment="1">
      <alignment horizontal="center"/>
    </xf>
    <xf numFmtId="0" fontId="6" fillId="0" borderId="0" xfId="0" applyFont="1"/>
    <xf numFmtId="191" fontId="78" fillId="0" borderId="0" xfId="1" applyNumberFormat="1" applyFont="1" applyFill="1" applyBorder="1" applyAlignment="1">
      <alignment horizontal="center"/>
    </xf>
    <xf numFmtId="196" fontId="5" fillId="0" borderId="0" xfId="1" applyNumberFormat="1" applyFont="1" applyFill="1" applyBorder="1"/>
    <xf numFmtId="191" fontId="5" fillId="0" borderId="0" xfId="1" applyNumberFormat="1" applyFont="1" applyFill="1" applyBorder="1"/>
    <xf numFmtId="0" fontId="76" fillId="0" borderId="0" xfId="0" applyFont="1"/>
    <xf numFmtId="196" fontId="76" fillId="0" borderId="0" xfId="1" applyNumberFormat="1" applyFont="1" applyFill="1" applyBorder="1"/>
    <xf numFmtId="196" fontId="5" fillId="0" borderId="0" xfId="1" applyNumberFormat="1" applyFont="1" applyFill="1"/>
    <xf numFmtId="0" fontId="79" fillId="0" borderId="0" xfId="0" applyFont="1" applyAlignment="1">
      <alignment horizontal="center" vertical="center" wrapText="1"/>
    </xf>
    <xf numFmtId="9" fontId="72" fillId="0" borderId="0" xfId="21" applyFont="1" applyFill="1" applyBorder="1" applyAlignment="1">
      <alignment horizontal="center"/>
    </xf>
    <xf numFmtId="196" fontId="70" fillId="0" borderId="0" xfId="0" applyNumberFormat="1" applyFont="1" applyAlignment="1">
      <alignment horizontal="center" vertical="center"/>
    </xf>
    <xf numFmtId="0" fontId="70" fillId="0" borderId="0" xfId="0" applyFont="1" applyAlignment="1">
      <alignment vertical="center"/>
    </xf>
    <xf numFmtId="196" fontId="72" fillId="0" borderId="0" xfId="0" applyNumberFormat="1" applyFont="1" applyAlignment="1">
      <alignment vertical="center"/>
    </xf>
    <xf numFmtId="0" fontId="70" fillId="0" borderId="0" xfId="0" applyFont="1" applyAlignment="1">
      <alignment horizontal="center" vertical="center" wrapText="1"/>
    </xf>
    <xf numFmtId="9" fontId="75" fillId="0" borderId="0" xfId="21" applyFont="1" applyFill="1" applyBorder="1"/>
    <xf numFmtId="191" fontId="5" fillId="0" borderId="0" xfId="1" applyNumberFormat="1" applyFont="1" applyFill="1"/>
    <xf numFmtId="0" fontId="70" fillId="0" borderId="0" xfId="0" applyFont="1"/>
    <xf numFmtId="0" fontId="77" fillId="0" borderId="0" xfId="0" applyFont="1" applyAlignment="1">
      <alignment vertical="center"/>
    </xf>
    <xf numFmtId="196" fontId="75" fillId="0" borderId="0" xfId="1" applyNumberFormat="1" applyFont="1" applyFill="1" applyBorder="1"/>
    <xf numFmtId="196" fontId="70" fillId="0" borderId="0" xfId="1" applyNumberFormat="1" applyFont="1" applyFill="1" applyBorder="1" applyAlignment="1">
      <alignment vertical="center"/>
    </xf>
    <xf numFmtId="4" fontId="72" fillId="0" borderId="0" xfId="0" applyNumberFormat="1" applyFont="1" applyAlignment="1">
      <alignment vertical="center"/>
    </xf>
    <xf numFmtId="191" fontId="75" fillId="0" borderId="0" xfId="1" applyNumberFormat="1" applyFont="1" applyFill="1" applyBorder="1"/>
    <xf numFmtId="0" fontId="80" fillId="0" borderId="0" xfId="0" applyFont="1"/>
    <xf numFmtId="3" fontId="75" fillId="0" borderId="0" xfId="0" applyNumberFormat="1" applyFont="1"/>
    <xf numFmtId="191" fontId="78" fillId="0" borderId="0" xfId="1" applyNumberFormat="1" applyFont="1" applyFill="1" applyBorder="1"/>
    <xf numFmtId="0" fontId="105" fillId="0" borderId="0" xfId="0" applyFont="1"/>
    <xf numFmtId="217" fontId="75" fillId="0" borderId="0" xfId="0" applyNumberFormat="1" applyFont="1"/>
    <xf numFmtId="3" fontId="80" fillId="0" borderId="0" xfId="0" applyNumberFormat="1" applyFont="1"/>
    <xf numFmtId="217" fontId="78" fillId="0" borderId="0" xfId="0" applyNumberFormat="1" applyFont="1"/>
    <xf numFmtId="215" fontId="75" fillId="0" borderId="0" xfId="0" applyNumberFormat="1" applyFont="1"/>
    <xf numFmtId="0" fontId="79" fillId="0" borderId="0" xfId="0" applyFont="1"/>
    <xf numFmtId="0" fontId="82" fillId="0" borderId="4" xfId="0" applyFont="1" applyBorder="1" applyAlignment="1">
      <alignment vertical="center"/>
    </xf>
    <xf numFmtId="0" fontId="14" fillId="2" borderId="0" xfId="0" applyFont="1" applyFill="1" applyAlignment="1">
      <alignment horizontal="center"/>
    </xf>
    <xf numFmtId="0" fontId="56" fillId="0" borderId="0" xfId="0" applyFont="1" applyAlignment="1">
      <alignment horizontal="center"/>
    </xf>
    <xf numFmtId="197" fontId="29" fillId="0" borderId="0" xfId="1" applyNumberFormat="1" applyFont="1" applyFill="1" applyBorder="1" applyAlignment="1">
      <alignment vertical="center"/>
    </xf>
    <xf numFmtId="4" fontId="3" fillId="0" borderId="0" xfId="0" applyNumberFormat="1" applyFont="1" applyAlignment="1">
      <alignment vertical="center"/>
    </xf>
    <xf numFmtId="4" fontId="26" fillId="0" borderId="4" xfId="0" applyNumberFormat="1" applyFont="1" applyBorder="1" applyAlignment="1">
      <alignment horizontal="center" vertical="center"/>
    </xf>
    <xf numFmtId="3" fontId="26" fillId="0" borderId="4" xfId="0" applyNumberFormat="1" applyFont="1" applyBorder="1" applyAlignment="1">
      <alignment horizontal="right" vertical="center"/>
    </xf>
    <xf numFmtId="0" fontId="29" fillId="0" borderId="0" xfId="0" applyFont="1" applyAlignment="1">
      <alignment horizontal="center" vertical="center"/>
    </xf>
    <xf numFmtId="0" fontId="29" fillId="0" borderId="0" xfId="0" applyFont="1"/>
    <xf numFmtId="4" fontId="12" fillId="0" borderId="4" xfId="0" applyNumberFormat="1" applyFont="1" applyBorder="1" applyAlignment="1">
      <alignment horizontal="center" vertical="center"/>
    </xf>
    <xf numFmtId="3" fontId="10" fillId="0" borderId="4" xfId="0" applyNumberFormat="1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left" vertical="center" shrinkToFit="1"/>
    </xf>
    <xf numFmtId="0" fontId="9" fillId="0" borderId="4" xfId="0" applyFont="1" applyBorder="1" applyAlignment="1">
      <alignment horizontal="left" vertical="center" shrinkToFit="1"/>
    </xf>
    <xf numFmtId="0" fontId="9" fillId="2" borderId="4" xfId="0" applyFont="1" applyFill="1" applyBorder="1" applyAlignment="1">
      <alignment horizontal="center" vertical="center" shrinkToFit="1"/>
    </xf>
    <xf numFmtId="196" fontId="9" fillId="2" borderId="4" xfId="1" applyNumberFormat="1" applyFont="1" applyFill="1" applyBorder="1" applyAlignment="1">
      <alignment vertical="center" shrinkToFit="1"/>
    </xf>
    <xf numFmtId="196" fontId="9" fillId="2" borderId="4" xfId="0" applyNumberFormat="1" applyFont="1" applyFill="1" applyBorder="1" applyAlignment="1">
      <alignment horizontal="right" vertical="center" shrinkToFit="1"/>
    </xf>
    <xf numFmtId="196" fontId="9" fillId="2" borderId="4" xfId="0" applyNumberFormat="1" applyFont="1" applyFill="1" applyBorder="1" applyAlignment="1">
      <alignment vertical="center" shrinkToFit="1"/>
    </xf>
    <xf numFmtId="0" fontId="7" fillId="2" borderId="4" xfId="0" applyFont="1" applyFill="1" applyBorder="1"/>
    <xf numFmtId="0" fontId="20" fillId="0" borderId="4" xfId="0" applyFont="1" applyBorder="1" applyAlignment="1">
      <alignment vertical="center" shrinkToFit="1"/>
    </xf>
    <xf numFmtId="0" fontId="31" fillId="2" borderId="4" xfId="0" applyFont="1" applyFill="1" applyBorder="1" applyAlignment="1">
      <alignment horizontal="center" vertical="center" shrinkToFit="1"/>
    </xf>
    <xf numFmtId="196" fontId="31" fillId="2" borderId="4" xfId="1" applyNumberFormat="1" applyFont="1" applyFill="1" applyBorder="1" applyAlignment="1">
      <alignment vertical="center" shrinkToFit="1"/>
    </xf>
    <xf numFmtId="196" fontId="31" fillId="2" borderId="4" xfId="0" applyNumberFormat="1" applyFont="1" applyFill="1" applyBorder="1" applyAlignment="1">
      <alignment vertical="center" shrinkToFit="1"/>
    </xf>
    <xf numFmtId="1" fontId="82" fillId="0" borderId="4" xfId="0" applyNumberFormat="1" applyFont="1" applyBorder="1" applyAlignment="1">
      <alignment horizontal="center" vertical="center" wrapText="1"/>
    </xf>
    <xf numFmtId="187" fontId="5" fillId="0" borderId="0" xfId="0" applyNumberFormat="1" applyFont="1"/>
    <xf numFmtId="191" fontId="72" fillId="0" borderId="0" xfId="1" applyNumberFormat="1" applyFont="1" applyFill="1" applyBorder="1"/>
    <xf numFmtId="187" fontId="72" fillId="0" borderId="0" xfId="0" applyNumberFormat="1" applyFont="1"/>
    <xf numFmtId="228" fontId="72" fillId="0" borderId="0" xfId="0" applyNumberFormat="1" applyFont="1"/>
    <xf numFmtId="228" fontId="5" fillId="0" borderId="0" xfId="0" applyNumberFormat="1" applyFont="1"/>
    <xf numFmtId="4" fontId="110" fillId="0" borderId="0" xfId="1" applyNumberFormat="1" applyFont="1" applyFill="1"/>
    <xf numFmtId="190" fontId="110" fillId="0" borderId="0" xfId="1" applyNumberFormat="1" applyFont="1" applyFill="1" applyAlignment="1">
      <alignment horizontal="center"/>
    </xf>
    <xf numFmtId="190" fontId="110" fillId="0" borderId="0" xfId="1" applyNumberFormat="1" applyFont="1" applyFill="1"/>
    <xf numFmtId="3" fontId="110" fillId="0" borderId="0" xfId="1" applyNumberFormat="1" applyFont="1" applyFill="1" applyAlignment="1"/>
    <xf numFmtId="196" fontId="12" fillId="0" borderId="0" xfId="0" applyNumberFormat="1" applyFont="1"/>
    <xf numFmtId="1" fontId="12" fillId="0" borderId="0" xfId="0" applyNumberFormat="1" applyFont="1"/>
    <xf numFmtId="196" fontId="10" fillId="0" borderId="0" xfId="1" applyNumberFormat="1" applyFont="1" applyFill="1"/>
    <xf numFmtId="209" fontId="40" fillId="0" borderId="4" xfId="0" applyNumberFormat="1" applyFont="1" applyBorder="1"/>
    <xf numFmtId="3" fontId="82" fillId="0" borderId="4" xfId="0" applyNumberFormat="1" applyFont="1" applyBorder="1" applyAlignment="1">
      <alignment horizontal="right" vertical="center"/>
    </xf>
    <xf numFmtId="0" fontId="92" fillId="0" borderId="16" xfId="0" applyFont="1" applyBorder="1" applyAlignment="1">
      <alignment horizontal="center" vertical="center"/>
    </xf>
    <xf numFmtId="0" fontId="92" fillId="0" borderId="0" xfId="0" applyFont="1" applyAlignment="1">
      <alignment horizontal="center"/>
    </xf>
    <xf numFmtId="0" fontId="82" fillId="2" borderId="0" xfId="0" applyFont="1" applyFill="1" applyAlignment="1">
      <alignment horizontal="center"/>
    </xf>
    <xf numFmtId="198" fontId="82" fillId="2" borderId="0" xfId="1" applyNumberFormat="1" applyFont="1" applyFill="1"/>
    <xf numFmtId="0" fontId="27" fillId="0" borderId="0" xfId="0" applyFont="1"/>
    <xf numFmtId="0" fontId="27" fillId="2" borderId="0" xfId="0" applyFont="1" applyFill="1"/>
    <xf numFmtId="0" fontId="27" fillId="2" borderId="0" xfId="0" applyFont="1" applyFill="1" applyAlignment="1">
      <alignment horizontal="center"/>
    </xf>
    <xf numFmtId="200" fontId="82" fillId="2" borderId="0" xfId="1" applyNumberFormat="1" applyFont="1" applyFill="1"/>
    <xf numFmtId="201" fontId="27" fillId="2" borderId="0" xfId="1" applyNumberFormat="1" applyFont="1" applyFill="1" applyAlignment="1">
      <alignment horizontal="center"/>
    </xf>
    <xf numFmtId="198" fontId="27" fillId="2" borderId="0" xfId="1" applyNumberFormat="1" applyFont="1" applyFill="1" applyAlignment="1">
      <alignment horizontal="center"/>
    </xf>
    <xf numFmtId="2" fontId="63" fillId="0" borderId="0" xfId="0" applyNumberFormat="1" applyFont="1"/>
    <xf numFmtId="0" fontId="26" fillId="2" borderId="0" xfId="0" applyFont="1" applyFill="1" applyAlignment="1">
      <alignment wrapText="1"/>
    </xf>
    <xf numFmtId="0" fontId="26" fillId="2" borderId="0" xfId="0" applyFont="1" applyFill="1"/>
    <xf numFmtId="0" fontId="82" fillId="0" borderId="0" xfId="0" applyFont="1" applyAlignment="1">
      <alignment vertical="center"/>
    </xf>
    <xf numFmtId="4" fontId="82" fillId="0" borderId="0" xfId="0" applyNumberFormat="1" applyFont="1" applyAlignment="1">
      <alignment horizontal="center"/>
    </xf>
    <xf numFmtId="4" fontId="82" fillId="0" borderId="0" xfId="0" applyNumberFormat="1" applyFont="1" applyAlignment="1">
      <alignment horizontal="right"/>
    </xf>
    <xf numFmtId="195" fontId="82" fillId="0" borderId="0" xfId="1" applyFont="1" applyFill="1" applyAlignment="1">
      <alignment horizontal="center"/>
    </xf>
    <xf numFmtId="4" fontId="26" fillId="0" borderId="0" xfId="0" applyNumberFormat="1" applyFont="1" applyAlignment="1">
      <alignment vertical="center"/>
    </xf>
    <xf numFmtId="3" fontId="26" fillId="0" borderId="0" xfId="0" applyNumberFormat="1" applyFont="1" applyAlignment="1">
      <alignment vertical="center" wrapText="1"/>
    </xf>
    <xf numFmtId="3" fontId="26" fillId="0" borderId="0" xfId="0" applyNumberFormat="1" applyFont="1" applyAlignment="1">
      <alignment vertical="center"/>
    </xf>
    <xf numFmtId="4" fontId="82" fillId="0" borderId="0" xfId="0" applyNumberFormat="1" applyFont="1" applyAlignment="1">
      <alignment vertical="center"/>
    </xf>
    <xf numFmtId="3" fontId="82" fillId="0" borderId="0" xfId="0" applyNumberFormat="1" applyFont="1" applyAlignment="1">
      <alignment vertical="center" wrapText="1"/>
    </xf>
    <xf numFmtId="3" fontId="82" fillId="0" borderId="0" xfId="0" applyNumberFormat="1" applyFont="1" applyAlignment="1">
      <alignment vertical="center"/>
    </xf>
    <xf numFmtId="0" fontId="12" fillId="0" borderId="0" xfId="0" applyFont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190" fontId="114" fillId="0" borderId="0" xfId="1" applyNumberFormat="1" applyFont="1" applyFill="1" applyAlignment="1">
      <alignment horizontal="center"/>
    </xf>
    <xf numFmtId="190" fontId="114" fillId="0" borderId="0" xfId="1" applyNumberFormat="1" applyFont="1" applyFill="1" applyAlignment="1"/>
    <xf numFmtId="4" fontId="110" fillId="0" borderId="0" xfId="1" applyNumberFormat="1" applyFont="1" applyFill="1" applyBorder="1" applyAlignment="1"/>
    <xf numFmtId="190" fontId="110" fillId="0" borderId="0" xfId="1" applyNumberFormat="1" applyFont="1" applyFill="1" applyBorder="1" applyAlignment="1">
      <alignment horizontal="center"/>
    </xf>
    <xf numFmtId="190" fontId="110" fillId="0" borderId="0" xfId="1" applyNumberFormat="1" applyFont="1" applyFill="1" applyBorder="1" applyAlignment="1"/>
    <xf numFmtId="190" fontId="110" fillId="0" borderId="0" xfId="1" applyNumberFormat="1" applyFont="1" applyFill="1" applyBorder="1"/>
    <xf numFmtId="210" fontId="110" fillId="0" borderId="0" xfId="1" applyNumberFormat="1" applyFont="1" applyFill="1"/>
    <xf numFmtId="4" fontId="110" fillId="0" borderId="0" xfId="1" applyNumberFormat="1" applyFont="1" applyFill="1" applyAlignment="1"/>
    <xf numFmtId="0" fontId="82" fillId="0" borderId="4" xfId="0" quotePrefix="1" applyFont="1" applyBorder="1" applyAlignment="1">
      <alignment horizontal="center" vertical="center"/>
    </xf>
    <xf numFmtId="0" fontId="40" fillId="0" borderId="4" xfId="0" applyFont="1" applyBorder="1"/>
    <xf numFmtId="0" fontId="36" fillId="0" borderId="4" xfId="0" applyFont="1" applyBorder="1"/>
    <xf numFmtId="0" fontId="0" fillId="0" borderId="7" xfId="0" applyBorder="1"/>
    <xf numFmtId="192" fontId="36" fillId="0" borderId="4" xfId="0" applyNumberFormat="1" applyFont="1" applyBorder="1"/>
    <xf numFmtId="192" fontId="36" fillId="0" borderId="4" xfId="7" applyNumberFormat="1" applyFont="1" applyFill="1" applyBorder="1"/>
    <xf numFmtId="191" fontId="0" fillId="0" borderId="4" xfId="0" applyNumberFormat="1" applyBorder="1"/>
    <xf numFmtId="208" fontId="36" fillId="0" borderId="4" xfId="7" applyNumberFormat="1" applyFont="1" applyFill="1" applyBorder="1" applyAlignment="1">
      <alignment horizontal="center"/>
    </xf>
    <xf numFmtId="0" fontId="0" fillId="0" borderId="4" xfId="0" applyBorder="1"/>
    <xf numFmtId="223" fontId="73" fillId="0" borderId="8" xfId="0" applyNumberFormat="1" applyFont="1" applyBorder="1"/>
    <xf numFmtId="224" fontId="73" fillId="0" borderId="8" xfId="0" applyNumberFormat="1" applyFont="1" applyBorder="1"/>
    <xf numFmtId="220" fontId="73" fillId="0" borderId="8" xfId="0" applyNumberFormat="1" applyFont="1" applyBorder="1"/>
    <xf numFmtId="220" fontId="0" fillId="0" borderId="0" xfId="0" applyNumberFormat="1"/>
    <xf numFmtId="192" fontId="0" fillId="0" borderId="0" xfId="0" applyNumberFormat="1"/>
    <xf numFmtId="0" fontId="59" fillId="0" borderId="4" xfId="0" applyFont="1" applyBorder="1" applyAlignment="1">
      <alignment horizontal="center"/>
    </xf>
    <xf numFmtId="0" fontId="59" fillId="0" borderId="4" xfId="0" applyFont="1" applyBorder="1"/>
    <xf numFmtId="196" fontId="0" fillId="0" borderId="0" xfId="0" applyNumberFormat="1"/>
    <xf numFmtId="0" fontId="60" fillId="0" borderId="4" xfId="0" applyFont="1" applyBorder="1"/>
    <xf numFmtId="0" fontId="67" fillId="0" borderId="4" xfId="0" applyFont="1" applyBorder="1"/>
    <xf numFmtId="210" fontId="0" fillId="0" borderId="4" xfId="0" applyNumberFormat="1" applyBorder="1"/>
    <xf numFmtId="199" fontId="0" fillId="0" borderId="4" xfId="0" applyNumberFormat="1" applyBorder="1"/>
    <xf numFmtId="228" fontId="0" fillId="0" borderId="0" xfId="0" applyNumberFormat="1"/>
    <xf numFmtId="2" fontId="0" fillId="0" borderId="4" xfId="0" applyNumberFormat="1" applyBorder="1"/>
    <xf numFmtId="195" fontId="64" fillId="0" borderId="0" xfId="1" applyFont="1" applyFill="1"/>
    <xf numFmtId="0" fontId="68" fillId="0" borderId="4" xfId="0" applyFont="1" applyBorder="1"/>
    <xf numFmtId="213" fontId="69" fillId="0" borderId="4" xfId="0" applyNumberFormat="1" applyFont="1" applyBorder="1"/>
    <xf numFmtId="210" fontId="70" fillId="0" borderId="4" xfId="0" applyNumberFormat="1" applyFont="1" applyBorder="1"/>
    <xf numFmtId="187" fontId="0" fillId="0" borderId="0" xfId="0" applyNumberFormat="1"/>
    <xf numFmtId="0" fontId="67" fillId="0" borderId="0" xfId="0" applyFont="1" applyAlignment="1">
      <alignment horizontal="center"/>
    </xf>
    <xf numFmtId="0" fontId="89" fillId="0" borderId="5" xfId="0" applyFont="1" applyBorder="1"/>
    <xf numFmtId="0" fontId="89" fillId="0" borderId="0" xfId="0" applyFont="1"/>
    <xf numFmtId="0" fontId="67" fillId="0" borderId="19" xfId="0" applyFont="1" applyBorder="1"/>
    <xf numFmtId="0" fontId="0" fillId="0" borderId="24" xfId="0" applyBorder="1"/>
    <xf numFmtId="209" fontId="0" fillId="0" borderId="21" xfId="0" applyNumberFormat="1" applyBorder="1"/>
    <xf numFmtId="0" fontId="0" fillId="0" borderId="27" xfId="0" applyBorder="1"/>
    <xf numFmtId="191" fontId="0" fillId="0" borderId="0" xfId="0" applyNumberFormat="1"/>
    <xf numFmtId="210" fontId="7" fillId="0" borderId="0" xfId="1" applyNumberFormat="1" applyFont="1" applyFill="1" applyBorder="1" applyAlignment="1">
      <alignment horizontal="center" vertical="center" shrinkToFit="1"/>
    </xf>
    <xf numFmtId="0" fontId="121" fillId="0" borderId="0" xfId="0" applyFont="1"/>
    <xf numFmtId="196" fontId="121" fillId="0" borderId="0" xfId="1" applyNumberFormat="1" applyFont="1" applyFill="1" applyBorder="1"/>
    <xf numFmtId="0" fontId="120" fillId="0" borderId="4" xfId="0" applyFont="1" applyBorder="1" applyAlignment="1">
      <alignment horizontal="center" vertical="center"/>
    </xf>
    <xf numFmtId="0" fontId="120" fillId="0" borderId="4" xfId="0" applyFont="1" applyBorder="1" applyAlignment="1">
      <alignment horizontal="center" vertical="center" wrapText="1"/>
    </xf>
    <xf numFmtId="37" fontId="120" fillId="0" borderId="4" xfId="1" applyNumberFormat="1" applyFont="1" applyFill="1" applyBorder="1" applyAlignment="1">
      <alignment horizontal="center" vertical="center" wrapText="1"/>
    </xf>
    <xf numFmtId="196" fontId="120" fillId="0" borderId="4" xfId="1" applyNumberFormat="1" applyFont="1" applyFill="1" applyBorder="1" applyAlignment="1">
      <alignment horizontal="center" vertical="center" wrapText="1"/>
    </xf>
    <xf numFmtId="196" fontId="120" fillId="0" borderId="4" xfId="1" applyNumberFormat="1" applyFont="1" applyFill="1" applyBorder="1" applyAlignment="1">
      <alignment horizontal="center" vertical="center"/>
    </xf>
    <xf numFmtId="0" fontId="120" fillId="0" borderId="4" xfId="0" quotePrefix="1" applyFont="1" applyBorder="1" applyAlignment="1">
      <alignment horizontal="center" vertical="center" wrapText="1"/>
    </xf>
    <xf numFmtId="196" fontId="121" fillId="0" borderId="4" xfId="1" applyNumberFormat="1" applyFont="1" applyFill="1" applyBorder="1" applyAlignment="1">
      <alignment vertical="center" wrapText="1"/>
    </xf>
    <xf numFmtId="196" fontId="120" fillId="0" borderId="4" xfId="1" applyNumberFormat="1" applyFont="1" applyFill="1" applyBorder="1" applyAlignment="1">
      <alignment vertical="center" wrapText="1"/>
    </xf>
    <xf numFmtId="196" fontId="121" fillId="0" borderId="4" xfId="1" applyNumberFormat="1" applyFont="1" applyFill="1" applyBorder="1" applyAlignment="1">
      <alignment vertical="center"/>
    </xf>
    <xf numFmtId="0" fontId="82" fillId="0" borderId="16" xfId="0" applyFont="1" applyBorder="1" applyAlignment="1">
      <alignment horizontal="center" vertical="center"/>
    </xf>
    <xf numFmtId="3" fontId="26" fillId="0" borderId="16" xfId="0" applyNumberFormat="1" applyFont="1" applyBorder="1" applyAlignment="1">
      <alignment horizontal="center" vertical="center"/>
    </xf>
    <xf numFmtId="229" fontId="48" fillId="0" borderId="0" xfId="0" applyNumberFormat="1" applyFont="1" applyAlignment="1">
      <alignment horizontal="center"/>
    </xf>
    <xf numFmtId="206" fontId="14" fillId="0" borderId="0" xfId="0" applyNumberFormat="1" applyFont="1" applyAlignment="1">
      <alignment horizontal="center"/>
    </xf>
    <xf numFmtId="4" fontId="20" fillId="0" borderId="0" xfId="0" applyNumberFormat="1" applyFont="1"/>
    <xf numFmtId="3" fontId="82" fillId="0" borderId="4" xfId="0" applyNumberFormat="1" applyFont="1" applyBorder="1" applyAlignment="1">
      <alignment horizontal="center" vertical="center"/>
    </xf>
    <xf numFmtId="4" fontId="26" fillId="0" borderId="16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190" fontId="7" fillId="0" borderId="4" xfId="0" applyNumberFormat="1" applyFont="1" applyBorder="1" applyAlignment="1">
      <alignment horizontal="left" vertical="center"/>
    </xf>
    <xf numFmtId="3" fontId="7" fillId="0" borderId="4" xfId="0" applyNumberFormat="1" applyFont="1" applyBorder="1" applyAlignment="1">
      <alignment vertical="center" wrapText="1"/>
    </xf>
    <xf numFmtId="0" fontId="7" fillId="0" borderId="4" xfId="0" applyFont="1" applyBorder="1" applyAlignment="1">
      <alignment shrinkToFit="1"/>
    </xf>
    <xf numFmtId="197" fontId="22" fillId="0" borderId="4" xfId="0" applyNumberFormat="1" applyFont="1" applyBorder="1" applyAlignment="1">
      <alignment vertical="center"/>
    </xf>
    <xf numFmtId="212" fontId="38" fillId="0" borderId="0" xfId="1" applyNumberFormat="1" applyFont="1" applyFill="1"/>
    <xf numFmtId="0" fontId="39" fillId="0" borderId="4" xfId="0" applyFont="1" applyBorder="1" applyAlignment="1">
      <alignment horizontal="center" vertical="center"/>
    </xf>
    <xf numFmtId="206" fontId="49" fillId="0" borderId="4" xfId="0" applyNumberFormat="1" applyFont="1" applyBorder="1"/>
    <xf numFmtId="4" fontId="26" fillId="0" borderId="4" xfId="0" applyNumberFormat="1" applyFont="1" applyBorder="1" applyAlignment="1">
      <alignment horizontal="center" vertical="center" wrapText="1"/>
    </xf>
    <xf numFmtId="0" fontId="82" fillId="0" borderId="16" xfId="18" applyFont="1" applyBorder="1" applyAlignment="1">
      <alignment vertical="center" wrapText="1"/>
    </xf>
    <xf numFmtId="0" fontId="82" fillId="0" borderId="4" xfId="18" applyFont="1" applyBorder="1" applyAlignment="1">
      <alignment vertical="center"/>
    </xf>
    <xf numFmtId="197" fontId="53" fillId="0" borderId="0" xfId="0" applyNumberFormat="1" applyFont="1"/>
    <xf numFmtId="201" fontId="78" fillId="0" borderId="0" xfId="0" applyNumberFormat="1" applyFont="1"/>
    <xf numFmtId="0" fontId="12" fillId="0" borderId="4" xfId="0" quotePrefix="1" applyFont="1" applyBorder="1"/>
    <xf numFmtId="209" fontId="36" fillId="0" borderId="4" xfId="7" applyNumberFormat="1" applyFont="1" applyFill="1" applyBorder="1" applyAlignment="1">
      <alignment horizontal="right"/>
    </xf>
    <xf numFmtId="210" fontId="69" fillId="0" borderId="4" xfId="0" applyNumberFormat="1" applyFont="1" applyBorder="1"/>
    <xf numFmtId="209" fontId="0" fillId="0" borderId="7" xfId="0" applyNumberFormat="1" applyBorder="1"/>
    <xf numFmtId="209" fontId="0" fillId="0" borderId="0" xfId="0" applyNumberFormat="1"/>
    <xf numFmtId="209" fontId="124" fillId="0" borderId="0" xfId="0" applyNumberFormat="1" applyFont="1"/>
    <xf numFmtId="223" fontId="0" fillId="0" borderId="5" xfId="0" applyNumberFormat="1" applyBorder="1"/>
    <xf numFmtId="223" fontId="36" fillId="0" borderId="4" xfId="7" applyNumberFormat="1" applyFont="1" applyFill="1" applyBorder="1" applyAlignment="1">
      <alignment horizontal="center"/>
    </xf>
    <xf numFmtId="223" fontId="64" fillId="0" borderId="0" xfId="1" applyNumberFormat="1" applyFont="1" applyFill="1"/>
    <xf numFmtId="223" fontId="1" fillId="0" borderId="0" xfId="1" applyNumberFormat="1" applyFont="1" applyFill="1"/>
    <xf numFmtId="223" fontId="0" fillId="0" borderId="0" xfId="0" applyNumberFormat="1"/>
    <xf numFmtId="191" fontId="124" fillId="0" borderId="0" xfId="0" applyNumberFormat="1" applyFont="1"/>
    <xf numFmtId="209" fontId="125" fillId="0" borderId="4" xfId="0" applyNumberFormat="1" applyFont="1" applyBorder="1"/>
    <xf numFmtId="0" fontId="82" fillId="0" borderId="4" xfId="0" applyFont="1" applyBorder="1" applyAlignment="1">
      <alignment horizontal="left" vertical="center"/>
    </xf>
    <xf numFmtId="206" fontId="103" fillId="0" borderId="4" xfId="1" applyNumberFormat="1" applyFont="1" applyFill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 shrinkToFit="1"/>
    </xf>
    <xf numFmtId="197" fontId="42" fillId="0" borderId="4" xfId="0" applyNumberFormat="1" applyFont="1" applyBorder="1" applyAlignment="1">
      <alignment vertical="center" wrapText="1"/>
    </xf>
    <xf numFmtId="3" fontId="82" fillId="0" borderId="0" xfId="0" applyNumberFormat="1" applyFont="1"/>
    <xf numFmtId="0" fontId="10" fillId="0" borderId="0" xfId="0" applyFont="1" applyAlignment="1">
      <alignment horizontal="center"/>
    </xf>
    <xf numFmtId="1" fontId="83" fillId="0" borderId="0" xfId="1" applyNumberFormat="1" applyFont="1" applyFill="1"/>
    <xf numFmtId="1" fontId="9" fillId="0" borderId="0" xfId="1" applyNumberFormat="1" applyFont="1" applyFill="1" applyAlignment="1">
      <alignment vertical="center"/>
    </xf>
    <xf numFmtId="1" fontId="3" fillId="0" borderId="0" xfId="1" applyNumberFormat="1" applyFont="1" applyFill="1" applyAlignment="1">
      <alignment vertical="center"/>
    </xf>
    <xf numFmtId="1" fontId="3" fillId="0" borderId="0" xfId="1" applyNumberFormat="1" applyFont="1" applyFill="1" applyAlignment="1">
      <alignment horizontal="center" vertical="center"/>
    </xf>
    <xf numFmtId="1" fontId="3" fillId="0" borderId="0" xfId="1" applyNumberFormat="1" applyFont="1" applyFill="1" applyBorder="1" applyAlignment="1">
      <alignment horizontal="center" vertical="center"/>
    </xf>
    <xf numFmtId="1" fontId="9" fillId="0" borderId="0" xfId="1" applyNumberFormat="1" applyFont="1" applyFill="1" applyBorder="1" applyAlignment="1">
      <alignment horizontal="center" vertical="center"/>
    </xf>
    <xf numFmtId="1" fontId="9" fillId="0" borderId="0" xfId="1" applyNumberFormat="1" applyFont="1" applyFill="1" applyAlignment="1">
      <alignment horizontal="center" vertical="center"/>
    </xf>
    <xf numFmtId="1" fontId="82" fillId="0" borderId="0" xfId="1" applyNumberFormat="1" applyFont="1" applyFill="1" applyAlignment="1">
      <alignment vertical="center"/>
    </xf>
    <xf numFmtId="1" fontId="82" fillId="0" borderId="0" xfId="1" applyNumberFormat="1" applyFont="1" applyFill="1" applyBorder="1" applyAlignment="1">
      <alignment horizontal="center" vertical="center"/>
    </xf>
    <xf numFmtId="1" fontId="127" fillId="0" borderId="0" xfId="1" applyNumberFormat="1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196" fontId="26" fillId="0" borderId="16" xfId="1" applyNumberFormat="1" applyFont="1" applyFill="1" applyBorder="1" applyAlignment="1">
      <alignment horizontal="center" vertical="center" wrapText="1"/>
    </xf>
    <xf numFmtId="4" fontId="44" fillId="0" borderId="0" xfId="0" applyNumberFormat="1" applyFont="1" applyAlignment="1">
      <alignment vertical="center"/>
    </xf>
    <xf numFmtId="3" fontId="44" fillId="0" borderId="0" xfId="0" applyNumberFormat="1" applyFont="1" applyAlignment="1">
      <alignment vertical="center" wrapText="1"/>
    </xf>
    <xf numFmtId="3" fontId="44" fillId="0" borderId="0" xfId="0" applyNumberFormat="1" applyFont="1" applyAlignment="1">
      <alignment vertical="center"/>
    </xf>
    <xf numFmtId="0" fontId="128" fillId="0" borderId="0" xfId="0" applyFont="1"/>
    <xf numFmtId="1" fontId="110" fillId="0" borderId="0" xfId="1" applyNumberFormat="1" applyFont="1" applyFill="1" applyAlignment="1">
      <alignment vertical="center"/>
    </xf>
    <xf numFmtId="1" fontId="110" fillId="0" borderId="0" xfId="1" applyNumberFormat="1" applyFont="1" applyFill="1" applyBorder="1" applyAlignment="1">
      <alignment horizontal="center" vertical="center"/>
    </xf>
    <xf numFmtId="1" fontId="131" fillId="0" borderId="0" xfId="1" applyNumberFormat="1" applyFont="1" applyFill="1" applyAlignment="1">
      <alignment vertical="center"/>
    </xf>
    <xf numFmtId="1" fontId="132" fillId="0" borderId="0" xfId="1" applyNumberFormat="1" applyFont="1" applyFill="1" applyBorder="1" applyAlignment="1">
      <alignment horizontal="center" vertical="center"/>
    </xf>
    <xf numFmtId="1" fontId="132" fillId="0" borderId="0" xfId="1" applyNumberFormat="1" applyFont="1" applyFill="1" applyBorder="1" applyAlignment="1">
      <alignment vertical="center"/>
    </xf>
    <xf numFmtId="1" fontId="129" fillId="0" borderId="0" xfId="1" applyNumberFormat="1" applyFont="1" applyFill="1" applyAlignment="1">
      <alignment vertical="center"/>
    </xf>
    <xf numFmtId="1" fontId="134" fillId="0" borderId="0" xfId="1" applyNumberFormat="1" applyFont="1" applyFill="1" applyBorder="1" applyAlignment="1">
      <alignment horizontal="center" vertical="center"/>
    </xf>
    <xf numFmtId="1" fontId="133" fillId="0" borderId="0" xfId="1" applyNumberFormat="1" applyFont="1" applyFill="1" applyAlignment="1">
      <alignment vertical="center"/>
    </xf>
    <xf numFmtId="1" fontId="54" fillId="0" borderId="0" xfId="1" applyNumberFormat="1" applyFont="1" applyFill="1" applyAlignment="1">
      <alignment vertical="center"/>
    </xf>
    <xf numFmtId="10" fontId="120" fillId="0" borderId="4" xfId="21" applyNumberFormat="1" applyFont="1" applyFill="1" applyBorder="1" applyAlignment="1">
      <alignment vertical="center" wrapText="1"/>
    </xf>
    <xf numFmtId="1" fontId="135" fillId="0" borderId="0" xfId="1" applyNumberFormat="1" applyFont="1" applyFill="1" applyBorder="1" applyAlignment="1">
      <alignment horizontal="center" vertical="center"/>
    </xf>
    <xf numFmtId="1" fontId="130" fillId="0" borderId="0" xfId="1" applyNumberFormat="1" applyFont="1" applyFill="1" applyAlignment="1">
      <alignment vertical="center"/>
    </xf>
    <xf numFmtId="1" fontId="135" fillId="0" borderId="0" xfId="1" applyNumberFormat="1" applyFont="1" applyFill="1" applyAlignment="1">
      <alignment vertical="center"/>
    </xf>
    <xf numFmtId="0" fontId="26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196" fontId="82" fillId="0" borderId="4" xfId="0" applyNumberFormat="1" applyFont="1" applyBorder="1" applyAlignment="1">
      <alignment horizontal="center" vertical="center"/>
    </xf>
    <xf numFmtId="190" fontId="82" fillId="0" borderId="4" xfId="0" applyNumberFormat="1" applyFont="1" applyBorder="1" applyAlignment="1">
      <alignment vertical="center" wrapText="1"/>
    </xf>
    <xf numFmtId="0" fontId="139" fillId="0" borderId="0" xfId="0" applyFont="1"/>
    <xf numFmtId="0" fontId="28" fillId="0" borderId="0" xfId="0" applyFont="1" applyAlignment="1">
      <alignment horizontal="center" vertical="center"/>
    </xf>
    <xf numFmtId="190" fontId="102" fillId="0" borderId="11" xfId="0" quotePrefix="1" applyNumberFormat="1" applyFont="1" applyBorder="1" applyAlignment="1">
      <alignment horizontal="center" vertical="center"/>
    </xf>
    <xf numFmtId="2" fontId="100" fillId="0" borderId="18" xfId="0" applyNumberFormat="1" applyFont="1" applyBorder="1" applyAlignment="1">
      <alignment horizontal="center" vertical="center" shrinkToFit="1"/>
    </xf>
    <xf numFmtId="2" fontId="103" fillId="0" borderId="7" xfId="0" applyNumberFormat="1" applyFont="1" applyBorder="1" applyAlignment="1">
      <alignment horizontal="center" vertical="center"/>
    </xf>
    <xf numFmtId="1" fontId="103" fillId="0" borderId="7" xfId="0" applyNumberFormat="1" applyFont="1" applyBorder="1" applyAlignment="1">
      <alignment horizontal="center" vertical="center"/>
    </xf>
    <xf numFmtId="2" fontId="100" fillId="0" borderId="11" xfId="0" applyNumberFormat="1" applyFont="1" applyBorder="1" applyAlignment="1">
      <alignment horizontal="center" vertical="center" shrinkToFit="1"/>
    </xf>
    <xf numFmtId="4" fontId="100" fillId="0" borderId="11" xfId="0" applyNumberFormat="1" applyFont="1" applyBorder="1" applyAlignment="1">
      <alignment horizontal="center" vertical="center" shrinkToFit="1"/>
    </xf>
    <xf numFmtId="2" fontId="100" fillId="0" borderId="9" xfId="1" applyNumberFormat="1" applyFont="1" applyFill="1" applyBorder="1" applyAlignment="1">
      <alignment horizontal="right" vertical="center" wrapText="1"/>
    </xf>
    <xf numFmtId="4" fontId="100" fillId="0" borderId="1" xfId="1" applyNumberFormat="1" applyFont="1" applyFill="1" applyBorder="1" applyAlignment="1">
      <alignment horizontal="right" vertical="center" shrinkToFit="1"/>
    </xf>
    <xf numFmtId="191" fontId="100" fillId="0" borderId="1" xfId="1" applyNumberFormat="1" applyFont="1" applyFill="1" applyBorder="1" applyAlignment="1">
      <alignment horizontal="center" vertical="center" shrinkToFit="1"/>
    </xf>
    <xf numFmtId="192" fontId="100" fillId="0" borderId="18" xfId="1" applyNumberFormat="1" applyFont="1" applyFill="1" applyBorder="1" applyAlignment="1">
      <alignment vertical="center" shrinkToFit="1"/>
    </xf>
    <xf numFmtId="0" fontId="100" fillId="0" borderId="11" xfId="0" applyFont="1" applyBorder="1"/>
    <xf numFmtId="191" fontId="104" fillId="0" borderId="6" xfId="0" applyNumberFormat="1" applyFont="1" applyBorder="1"/>
    <xf numFmtId="0" fontId="104" fillId="0" borderId="0" xfId="0" applyFont="1"/>
    <xf numFmtId="0" fontId="100" fillId="0" borderId="11" xfId="0" applyFont="1" applyBorder="1" applyAlignment="1">
      <alignment horizontal="center" vertical="center" shrinkToFit="1"/>
    </xf>
    <xf numFmtId="2" fontId="103" fillId="0" borderId="10" xfId="0" applyNumberFormat="1" applyFont="1" applyBorder="1" applyAlignment="1">
      <alignment horizontal="center" vertical="center"/>
    </xf>
    <xf numFmtId="1" fontId="103" fillId="0" borderId="10" xfId="0" applyNumberFormat="1" applyFont="1" applyBorder="1" applyAlignment="1">
      <alignment horizontal="center" vertical="center"/>
    </xf>
    <xf numFmtId="0" fontId="100" fillId="0" borderId="20" xfId="0" applyFont="1" applyBorder="1" applyAlignment="1">
      <alignment horizontal="left"/>
    </xf>
    <xf numFmtId="191" fontId="100" fillId="0" borderId="5" xfId="1" applyNumberFormat="1" applyFont="1" applyFill="1" applyBorder="1" applyAlignment="1">
      <alignment horizontal="center" vertical="center" shrinkToFit="1"/>
    </xf>
    <xf numFmtId="190" fontId="100" fillId="0" borderId="20" xfId="1" applyNumberFormat="1" applyFont="1" applyFill="1" applyBorder="1" applyAlignment="1">
      <alignment horizontal="center" vertical="center" wrapText="1"/>
    </xf>
    <xf numFmtId="199" fontId="103" fillId="0" borderId="11" xfId="0" applyNumberFormat="1" applyFont="1" applyBorder="1" applyAlignment="1">
      <alignment horizontal="center" vertical="center" shrinkToFit="1"/>
    </xf>
    <xf numFmtId="0" fontId="102" fillId="0" borderId="5" xfId="0" applyFont="1" applyBorder="1" applyAlignment="1">
      <alignment horizontal="left" vertical="center" wrapText="1" indent="1"/>
    </xf>
    <xf numFmtId="3" fontId="102" fillId="0" borderId="5" xfId="0" applyNumberFormat="1" applyFont="1" applyBorder="1" applyAlignment="1">
      <alignment horizontal="left" vertical="center" indent="1"/>
    </xf>
    <xf numFmtId="191" fontId="100" fillId="0" borderId="11" xfId="1" applyNumberFormat="1" applyFont="1" applyFill="1" applyBorder="1" applyAlignment="1">
      <alignment horizontal="center" vertical="center" shrinkToFit="1"/>
    </xf>
    <xf numFmtId="190" fontId="100" fillId="0" borderId="10" xfId="1" applyNumberFormat="1" applyFont="1" applyFill="1" applyBorder="1" applyAlignment="1">
      <alignment vertical="center" shrinkToFit="1"/>
    </xf>
    <xf numFmtId="192" fontId="100" fillId="0" borderId="10" xfId="1" applyNumberFormat="1" applyFont="1" applyFill="1" applyBorder="1" applyAlignment="1">
      <alignment vertical="center" shrinkToFit="1"/>
    </xf>
    <xf numFmtId="192" fontId="100" fillId="0" borderId="11" xfId="1" applyNumberFormat="1" applyFont="1" applyFill="1" applyBorder="1" applyAlignment="1">
      <alignment vertical="center" shrinkToFit="1"/>
    </xf>
    <xf numFmtId="0" fontId="100" fillId="0" borderId="5" xfId="0" applyFont="1" applyBorder="1" applyAlignment="1">
      <alignment horizontal="center" vertical="center" shrinkToFit="1"/>
    </xf>
    <xf numFmtId="0" fontId="103" fillId="0" borderId="7" xfId="0" applyFont="1" applyBorder="1" applyAlignment="1">
      <alignment horizontal="center" vertical="center"/>
    </xf>
    <xf numFmtId="1" fontId="103" fillId="0" borderId="20" xfId="0" applyNumberFormat="1" applyFont="1" applyBorder="1" applyAlignment="1">
      <alignment horizontal="center" vertical="center"/>
    </xf>
    <xf numFmtId="4" fontId="100" fillId="0" borderId="5" xfId="0" applyNumberFormat="1" applyFont="1" applyBorder="1" applyAlignment="1">
      <alignment horizontal="center" vertical="center" shrinkToFit="1"/>
    </xf>
    <xf numFmtId="192" fontId="100" fillId="0" borderId="5" xfId="1" applyNumberFormat="1" applyFont="1" applyFill="1" applyBorder="1" applyAlignment="1">
      <alignment vertical="center" shrinkToFit="1"/>
    </xf>
    <xf numFmtId="209" fontId="100" fillId="0" borderId="5" xfId="1" applyNumberFormat="1" applyFont="1" applyFill="1" applyBorder="1" applyAlignment="1">
      <alignment horizontal="right" vertical="center" wrapText="1"/>
    </xf>
    <xf numFmtId="1" fontId="102" fillId="0" borderId="5" xfId="0" applyNumberFormat="1" applyFont="1" applyBorder="1" applyAlignment="1">
      <alignment horizontal="left" vertical="center" indent="1"/>
    </xf>
    <xf numFmtId="1" fontId="103" fillId="0" borderId="11" xfId="0" applyNumberFormat="1" applyFont="1" applyBorder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shrinkToFit="1"/>
    </xf>
    <xf numFmtId="190" fontId="82" fillId="0" borderId="4" xfId="1" applyNumberFormat="1" applyFont="1" applyFill="1" applyBorder="1" applyAlignment="1">
      <alignment horizontal="right" vertical="center" wrapText="1"/>
    </xf>
    <xf numFmtId="196" fontId="44" fillId="0" borderId="4" xfId="1" applyNumberFormat="1" applyFont="1" applyFill="1" applyBorder="1" applyAlignment="1">
      <alignment horizontal="right" vertical="center"/>
    </xf>
    <xf numFmtId="196" fontId="82" fillId="0" borderId="4" xfId="1" applyNumberFormat="1" applyFont="1" applyFill="1" applyBorder="1" applyAlignment="1">
      <alignment horizontal="right" vertical="center" wrapText="1"/>
    </xf>
    <xf numFmtId="196" fontId="82" fillId="0" borderId="4" xfId="1" applyNumberFormat="1" applyFont="1" applyFill="1" applyBorder="1" applyAlignment="1">
      <alignment horizontal="right" vertical="center"/>
    </xf>
    <xf numFmtId="196" fontId="26" fillId="0" borderId="16" xfId="1" applyNumberFormat="1" applyFont="1" applyFill="1" applyBorder="1" applyAlignment="1">
      <alignment horizontal="right" vertical="center" wrapText="1"/>
    </xf>
    <xf numFmtId="196" fontId="82" fillId="0" borderId="4" xfId="0" applyNumberFormat="1" applyFont="1" applyBorder="1" applyAlignment="1">
      <alignment horizontal="right" vertical="center"/>
    </xf>
    <xf numFmtId="3" fontId="75" fillId="0" borderId="4" xfId="5" applyNumberFormat="1" applyFont="1" applyFill="1" applyBorder="1" applyAlignment="1">
      <alignment horizontal="right" vertical="center"/>
    </xf>
    <xf numFmtId="190" fontId="103" fillId="0" borderId="4" xfId="19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1" fontId="96" fillId="0" borderId="3" xfId="1" applyNumberFormat="1" applyFont="1" applyFill="1" applyBorder="1" applyAlignment="1">
      <alignment vertical="center"/>
    </xf>
    <xf numFmtId="195" fontId="110" fillId="0" borderId="3" xfId="1" applyFont="1" applyFill="1" applyBorder="1" applyAlignment="1">
      <alignment horizontal="center" vertical="center" wrapText="1"/>
    </xf>
    <xf numFmtId="1" fontId="34" fillId="0" borderId="0" xfId="1" applyNumberFormat="1" applyFont="1" applyFill="1" applyBorder="1" applyAlignment="1">
      <alignment horizontal="center" vertical="center"/>
    </xf>
    <xf numFmtId="195" fontId="61" fillId="0" borderId="4" xfId="1" applyFont="1" applyFill="1" applyBorder="1" applyAlignment="1">
      <alignment vertical="center" wrapText="1"/>
    </xf>
    <xf numFmtId="217" fontId="20" fillId="0" borderId="0" xfId="0" applyNumberFormat="1" applyFont="1"/>
    <xf numFmtId="3" fontId="82" fillId="0" borderId="16" xfId="0" applyNumberFormat="1" applyFont="1" applyBorder="1" applyAlignment="1">
      <alignment horizontal="center" vertical="center"/>
    </xf>
    <xf numFmtId="195" fontId="0" fillId="0" borderId="0" xfId="1" applyFont="1" applyFill="1"/>
    <xf numFmtId="195" fontId="0" fillId="0" borderId="0" xfId="1" applyFont="1" applyFill="1" applyAlignment="1"/>
    <xf numFmtId="190" fontId="7" fillId="0" borderId="0" xfId="0" applyNumberFormat="1" applyFont="1"/>
    <xf numFmtId="0" fontId="7" fillId="0" borderId="4" xfId="0" applyFont="1" applyBorder="1" applyAlignment="1">
      <alignment horizontal="center" vertical="center" shrinkToFit="1"/>
    </xf>
    <xf numFmtId="203" fontId="7" fillId="0" borderId="0" xfId="0" applyNumberFormat="1" applyFont="1"/>
    <xf numFmtId="196" fontId="7" fillId="0" borderId="0" xfId="0" applyNumberFormat="1" applyFont="1"/>
    <xf numFmtId="196" fontId="127" fillId="0" borderId="0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198" fontId="2" fillId="2" borderId="4" xfId="1" applyNumberFormat="1" applyFont="1" applyFill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78" fillId="0" borderId="0" xfId="0" applyFont="1" applyAlignment="1">
      <alignment horizontal="center"/>
    </xf>
    <xf numFmtId="0" fontId="79" fillId="0" borderId="0" xfId="0" applyFont="1" applyAlignment="1">
      <alignment horizontal="center"/>
    </xf>
    <xf numFmtId="0" fontId="76" fillId="0" borderId="0" xfId="0" applyFont="1" applyAlignment="1">
      <alignment horizontal="center"/>
    </xf>
    <xf numFmtId="0" fontId="82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33" fillId="0" borderId="0" xfId="0" applyFont="1" applyAlignment="1">
      <alignment horizontal="center"/>
    </xf>
    <xf numFmtId="198" fontId="29" fillId="0" borderId="0" xfId="1" applyNumberFormat="1" applyFont="1" applyFill="1" applyAlignment="1">
      <alignment horizontal="center"/>
    </xf>
    <xf numFmtId="1" fontId="11" fillId="0" borderId="10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" fontId="7" fillId="0" borderId="7" xfId="0" applyNumberFormat="1" applyFont="1" applyBorder="1" applyAlignment="1">
      <alignment horizontal="center" vertical="center"/>
    </xf>
    <xf numFmtId="190" fontId="150" fillId="0" borderId="0" xfId="1" applyNumberFormat="1" applyFont="1" applyFill="1" applyAlignment="1">
      <alignment horizontal="center"/>
    </xf>
    <xf numFmtId="190" fontId="150" fillId="0" borderId="0" xfId="1" applyNumberFormat="1" applyFont="1" applyFill="1" applyAlignment="1"/>
    <xf numFmtId="209" fontId="66" fillId="0" borderId="4" xfId="7" applyNumberFormat="1" applyFont="1" applyFill="1" applyBorder="1" applyAlignment="1">
      <alignment horizontal="center"/>
    </xf>
    <xf numFmtId="4" fontId="100" fillId="0" borderId="11" xfId="1" applyNumberFormat="1" applyFont="1" applyFill="1" applyBorder="1" applyAlignment="1">
      <alignment horizontal="right" vertical="center" shrinkToFit="1"/>
    </xf>
    <xf numFmtId="232" fontId="16" fillId="0" borderId="0" xfId="1" applyNumberFormat="1" applyFont="1" applyFill="1" applyAlignment="1">
      <alignment horizontal="center"/>
    </xf>
    <xf numFmtId="1" fontId="9" fillId="5" borderId="0" xfId="1" applyNumberFormat="1" applyFont="1" applyFill="1" applyAlignment="1">
      <alignment vertical="center"/>
    </xf>
    <xf numFmtId="0" fontId="148" fillId="0" borderId="0" xfId="0" applyFont="1"/>
    <xf numFmtId="0" fontId="18" fillId="0" borderId="10" xfId="0" applyFont="1" applyBorder="1" applyAlignment="1">
      <alignment vertical="top" wrapText="1"/>
    </xf>
    <xf numFmtId="0" fontId="18" fillId="0" borderId="16" xfId="0" applyFont="1" applyBorder="1" applyAlignment="1">
      <alignment vertical="top" wrapText="1"/>
    </xf>
    <xf numFmtId="190" fontId="100" fillId="0" borderId="7" xfId="1" applyNumberFormat="1" applyFont="1" applyFill="1" applyBorder="1" applyAlignment="1">
      <alignment vertical="center" shrinkToFit="1"/>
    </xf>
    <xf numFmtId="1" fontId="100" fillId="0" borderId="7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top" wrapText="1"/>
    </xf>
    <xf numFmtId="0" fontId="82" fillId="4" borderId="0" xfId="0" applyFont="1" applyFill="1"/>
    <xf numFmtId="0" fontId="26" fillId="4" borderId="0" xfId="0" applyFont="1" applyFill="1"/>
    <xf numFmtId="0" fontId="26" fillId="4" borderId="0" xfId="0" applyFont="1" applyFill="1" applyAlignment="1">
      <alignment horizontal="center"/>
    </xf>
    <xf numFmtId="43" fontId="26" fillId="4" borderId="0" xfId="0" applyNumberFormat="1" applyFont="1" applyFill="1"/>
    <xf numFmtId="0" fontId="26" fillId="4" borderId="4" xfId="0" applyFont="1" applyFill="1" applyBorder="1" applyAlignment="1">
      <alignment horizontal="center" vertical="center"/>
    </xf>
    <xf numFmtId="0" fontId="26" fillId="4" borderId="4" xfId="0" applyFont="1" applyFill="1" applyBorder="1" applyAlignment="1">
      <alignment horizontal="center" vertical="center" wrapText="1"/>
    </xf>
    <xf numFmtId="0" fontId="26" fillId="4" borderId="4" xfId="0" applyFont="1" applyFill="1" applyBorder="1" applyAlignment="1">
      <alignment vertical="center"/>
    </xf>
    <xf numFmtId="0" fontId="26" fillId="4" borderId="0" xfId="0" applyFont="1" applyFill="1" applyAlignment="1">
      <alignment horizontal="center" vertical="center" wrapText="1"/>
    </xf>
    <xf numFmtId="0" fontId="82" fillId="4" borderId="4" xfId="0" applyFont="1" applyFill="1" applyBorder="1" applyAlignment="1">
      <alignment horizontal="center" vertical="center" wrapText="1"/>
    </xf>
    <xf numFmtId="3" fontId="82" fillId="4" borderId="4" xfId="0" applyNumberFormat="1" applyFont="1" applyFill="1" applyBorder="1" applyAlignment="1">
      <alignment horizontal="center" vertical="center"/>
    </xf>
    <xf numFmtId="0" fontId="82" fillId="4" borderId="4" xfId="0" applyFont="1" applyFill="1" applyBorder="1" applyAlignment="1">
      <alignment horizontal="left" vertical="center"/>
    </xf>
    <xf numFmtId="215" fontId="82" fillId="4" borderId="4" xfId="5" applyNumberFormat="1" applyFont="1" applyFill="1" applyBorder="1" applyAlignment="1">
      <alignment horizontal="center" vertical="center"/>
    </xf>
    <xf numFmtId="233" fontId="82" fillId="4" borderId="4" xfId="0" applyNumberFormat="1" applyFont="1" applyFill="1" applyBorder="1" applyAlignment="1">
      <alignment horizontal="center" vertical="center"/>
    </xf>
    <xf numFmtId="217" fontId="82" fillId="4" borderId="0" xfId="0" applyNumberFormat="1" applyFont="1" applyFill="1" applyAlignment="1">
      <alignment horizontal="left" vertical="center"/>
    </xf>
    <xf numFmtId="3" fontId="82" fillId="4" borderId="0" xfId="0" applyNumberFormat="1" applyFont="1" applyFill="1" applyAlignment="1">
      <alignment horizontal="center" vertical="center"/>
    </xf>
    <xf numFmtId="0" fontId="75" fillId="4" borderId="0" xfId="0" applyFont="1" applyFill="1" applyAlignment="1">
      <alignment horizontal="center" vertical="center"/>
    </xf>
    <xf numFmtId="0" fontId="82" fillId="4" borderId="0" xfId="0" applyFont="1" applyFill="1" applyAlignment="1">
      <alignment horizontal="center" vertical="center"/>
    </xf>
    <xf numFmtId="215" fontId="26" fillId="4" borderId="4" xfId="5" applyNumberFormat="1" applyFont="1" applyFill="1" applyBorder="1" applyAlignment="1">
      <alignment horizontal="center" vertical="center"/>
    </xf>
    <xf numFmtId="2" fontId="26" fillId="4" borderId="0" xfId="0" applyNumberFormat="1" applyFont="1" applyFill="1" applyAlignment="1">
      <alignment horizontal="center" vertical="center"/>
    </xf>
    <xf numFmtId="203" fontId="26" fillId="4" borderId="0" xfId="0" applyNumberFormat="1" applyFont="1" applyFill="1" applyAlignment="1">
      <alignment horizontal="center" vertical="center"/>
    </xf>
    <xf numFmtId="3" fontId="26" fillId="4" borderId="0" xfId="0" applyNumberFormat="1" applyFont="1" applyFill="1" applyAlignment="1">
      <alignment horizontal="center" vertical="center"/>
    </xf>
    <xf numFmtId="0" fontId="82" fillId="4" borderId="0" xfId="0" applyFont="1" applyFill="1" applyAlignment="1">
      <alignment horizontal="center"/>
    </xf>
    <xf numFmtId="203" fontId="26" fillId="4" borderId="0" xfId="0" applyNumberFormat="1" applyFont="1" applyFill="1"/>
    <xf numFmtId="4" fontId="26" fillId="4" borderId="0" xfId="0" applyNumberFormat="1" applyFont="1" applyFill="1"/>
    <xf numFmtId="0" fontId="82" fillId="4" borderId="0" xfId="0" applyFont="1" applyFill="1" applyAlignment="1">
      <alignment shrinkToFit="1"/>
    </xf>
    <xf numFmtId="212" fontId="34" fillId="4" borderId="0" xfId="0" applyNumberFormat="1" applyFont="1" applyFill="1" applyAlignment="1">
      <alignment horizontal="center"/>
    </xf>
    <xf numFmtId="212" fontId="82" fillId="4" borderId="0" xfId="0" applyNumberFormat="1" applyFont="1" applyFill="1"/>
    <xf numFmtId="2" fontId="82" fillId="4" borderId="0" xfId="0" applyNumberFormat="1" applyFont="1" applyFill="1"/>
    <xf numFmtId="203" fontId="100" fillId="0" borderId="0" xfId="0" applyNumberFormat="1" applyFont="1"/>
    <xf numFmtId="196" fontId="100" fillId="0" borderId="0" xfId="1" applyNumberFormat="1" applyFont="1" applyFill="1" applyAlignment="1"/>
    <xf numFmtId="203" fontId="100" fillId="0" borderId="11" xfId="0" applyNumberFormat="1" applyFont="1" applyBorder="1" applyAlignment="1">
      <alignment vertical="center"/>
    </xf>
    <xf numFmtId="203" fontId="100" fillId="0" borderId="9" xfId="0" applyNumberFormat="1" applyFont="1" applyBorder="1" applyAlignment="1">
      <alignment vertical="center" wrapText="1"/>
    </xf>
    <xf numFmtId="203" fontId="100" fillId="0" borderId="1" xfId="0" applyNumberFormat="1" applyFont="1" applyBorder="1" applyAlignment="1">
      <alignment vertical="center" wrapText="1"/>
    </xf>
    <xf numFmtId="203" fontId="103" fillId="0" borderId="1" xfId="0" applyNumberFormat="1" applyFont="1" applyBorder="1" applyAlignment="1">
      <alignment vertical="center"/>
    </xf>
    <xf numFmtId="203" fontId="100" fillId="0" borderId="1" xfId="0" applyNumberFormat="1" applyFont="1" applyBorder="1" applyAlignment="1">
      <alignment horizontal="left" vertical="center"/>
    </xf>
    <xf numFmtId="203" fontId="100" fillId="0" borderId="1" xfId="0" applyNumberFormat="1" applyFont="1" applyBorder="1" applyAlignment="1">
      <alignment vertical="center"/>
    </xf>
    <xf numFmtId="0" fontId="11" fillId="0" borderId="2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198" fontId="11" fillId="0" borderId="4" xfId="1" applyNumberFormat="1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4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9" fillId="0" borderId="4" xfId="0" applyFont="1" applyBorder="1"/>
    <xf numFmtId="0" fontId="7" fillId="0" borderId="4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196" fontId="20" fillId="0" borderId="4" xfId="1" applyNumberFormat="1" applyFont="1" applyBorder="1" applyAlignment="1">
      <alignment horizontal="center"/>
    </xf>
    <xf numFmtId="0" fontId="21" fillId="0" borderId="4" xfId="0" applyFont="1" applyBorder="1" applyAlignment="1">
      <alignment horizontal="center" vertical="center"/>
    </xf>
    <xf numFmtId="196" fontId="104" fillId="2" borderId="4" xfId="0" applyNumberFormat="1" applyFont="1" applyFill="1" applyBorder="1" applyAlignment="1">
      <alignment horizontal="right" vertical="center" shrinkToFit="1"/>
    </xf>
    <xf numFmtId="196" fontId="152" fillId="0" borderId="4" xfId="0" applyNumberFormat="1" applyFont="1" applyBorder="1" applyAlignment="1">
      <alignment horizontal="center" vertical="center" wrapText="1"/>
    </xf>
    <xf numFmtId="0" fontId="110" fillId="4" borderId="0" xfId="27" applyFont="1" applyFill="1"/>
    <xf numFmtId="10" fontId="110" fillId="4" borderId="0" xfId="21" applyNumberFormat="1" applyFont="1" applyFill="1"/>
    <xf numFmtId="190" fontId="100" fillId="0" borderId="11" xfId="1" applyNumberFormat="1" applyFont="1" applyFill="1" applyBorder="1" applyAlignment="1">
      <alignment vertical="center" shrinkToFit="1"/>
    </xf>
    <xf numFmtId="1" fontId="7" fillId="0" borderId="7" xfId="1" applyNumberFormat="1" applyFont="1" applyFill="1" applyBorder="1" applyAlignment="1">
      <alignment horizontal="right" vertical="center" wrapText="1"/>
    </xf>
    <xf numFmtId="214" fontId="32" fillId="5" borderId="4" xfId="0" applyNumberFormat="1" applyFont="1" applyFill="1" applyBorder="1"/>
    <xf numFmtId="195" fontId="152" fillId="0" borderId="4" xfId="0" applyNumberFormat="1" applyFont="1" applyBorder="1" applyAlignment="1">
      <alignment horizontal="center" vertical="center" wrapText="1"/>
    </xf>
    <xf numFmtId="221" fontId="152" fillId="0" borderId="4" xfId="0" applyNumberFormat="1" applyFont="1" applyBorder="1" applyAlignment="1">
      <alignment horizontal="center" vertical="center" wrapText="1"/>
    </xf>
    <xf numFmtId="195" fontId="120" fillId="0" borderId="4" xfId="0" quotePrefix="1" applyNumberFormat="1" applyFont="1" applyBorder="1" applyAlignment="1">
      <alignment horizontal="center" vertical="center" wrapText="1"/>
    </xf>
    <xf numFmtId="197" fontId="11" fillId="0" borderId="4" xfId="19" applyNumberFormat="1" applyFont="1" applyBorder="1" applyAlignment="1">
      <alignment horizontal="center" vertical="center"/>
    </xf>
    <xf numFmtId="3" fontId="94" fillId="0" borderId="0" xfId="0" applyNumberFormat="1" applyFont="1" applyAlignment="1">
      <alignment vertical="center"/>
    </xf>
    <xf numFmtId="0" fontId="94" fillId="0" borderId="0" xfId="0" applyFont="1" applyAlignment="1">
      <alignment vertical="center"/>
    </xf>
    <xf numFmtId="0" fontId="154" fillId="0" borderId="0" xfId="0" applyFont="1" applyAlignment="1">
      <alignment vertical="center"/>
    </xf>
    <xf numFmtId="0" fontId="83" fillId="0" borderId="0" xfId="0" applyFont="1" applyAlignment="1">
      <alignment vertical="center"/>
    </xf>
    <xf numFmtId="197" fontId="18" fillId="0" borderId="4" xfId="19" applyNumberFormat="1" applyFont="1" applyBorder="1" applyAlignment="1">
      <alignment horizontal="center" vertical="center"/>
    </xf>
    <xf numFmtId="10" fontId="152" fillId="0" borderId="4" xfId="21" applyNumberFormat="1" applyFont="1" applyFill="1" applyBorder="1" applyAlignment="1">
      <alignment vertical="center" wrapText="1"/>
    </xf>
    <xf numFmtId="4" fontId="82" fillId="0" borderId="4" xfId="0" applyNumberFormat="1" applyFont="1" applyBorder="1" applyAlignment="1">
      <alignment horizontal="center" vertical="center"/>
    </xf>
    <xf numFmtId="0" fontId="108" fillId="0" borderId="0" xfId="0" applyFont="1" applyAlignment="1">
      <alignment horizontal="center" vertical="center"/>
    </xf>
    <xf numFmtId="0" fontId="108" fillId="0" borderId="15" xfId="0" applyFont="1" applyBorder="1" applyAlignment="1">
      <alignment horizontal="center" vertical="center"/>
    </xf>
    <xf numFmtId="203" fontId="103" fillId="0" borderId="17" xfId="0" applyNumberFormat="1" applyFont="1" applyBorder="1" applyAlignment="1">
      <alignment vertical="center"/>
    </xf>
    <xf numFmtId="190" fontId="11" fillId="0" borderId="0" xfId="0" applyNumberFormat="1" applyFont="1"/>
    <xf numFmtId="212" fontId="0" fillId="0" borderId="0" xfId="0" applyNumberFormat="1"/>
    <xf numFmtId="1" fontId="11" fillId="5" borderId="4" xfId="0" applyNumberFormat="1" applyFont="1" applyFill="1" applyBorder="1" applyAlignment="1">
      <alignment horizontal="center" vertical="center"/>
    </xf>
    <xf numFmtId="199" fontId="11" fillId="5" borderId="10" xfId="0" applyNumberFormat="1" applyFont="1" applyFill="1" applyBorder="1" applyAlignment="1">
      <alignment horizontal="center" vertical="center" shrinkToFit="1"/>
    </xf>
    <xf numFmtId="1" fontId="100" fillId="0" borderId="7" xfId="1" applyNumberFormat="1" applyFont="1" applyFill="1" applyBorder="1" applyAlignment="1">
      <alignment horizontal="right" vertical="center" wrapText="1"/>
    </xf>
    <xf numFmtId="199" fontId="100" fillId="0" borderId="5" xfId="1" applyNumberFormat="1" applyFont="1" applyFill="1" applyBorder="1" applyAlignment="1">
      <alignment horizontal="center" vertical="center" shrinkToFit="1"/>
    </xf>
    <xf numFmtId="190" fontId="100" fillId="0" borderId="5" xfId="1" applyNumberFormat="1" applyFont="1" applyFill="1" applyBorder="1" applyAlignment="1">
      <alignment horizontal="center" vertical="center"/>
    </xf>
    <xf numFmtId="0" fontId="100" fillId="0" borderId="11" xfId="0" applyFont="1" applyBorder="1" applyAlignment="1">
      <alignment horizontal="left" vertical="center" shrinkToFit="1"/>
    </xf>
    <xf numFmtId="199" fontId="100" fillId="0" borderId="11" xfId="1" applyNumberFormat="1" applyFont="1" applyFill="1" applyBorder="1" applyAlignment="1">
      <alignment horizontal="center" vertical="center" shrinkToFit="1"/>
    </xf>
    <xf numFmtId="0" fontId="103" fillId="0" borderId="11" xfId="0" applyFont="1" applyBorder="1" applyAlignment="1">
      <alignment horizontal="center" vertical="center"/>
    </xf>
    <xf numFmtId="197" fontId="100" fillId="0" borderId="5" xfId="1" applyNumberFormat="1" applyFont="1" applyFill="1" applyBorder="1" applyAlignment="1">
      <alignment horizontal="right" vertical="center" shrinkToFit="1"/>
    </xf>
    <xf numFmtId="207" fontId="100" fillId="0" borderId="9" xfId="1" applyNumberFormat="1" applyFont="1" applyFill="1" applyBorder="1" applyAlignment="1">
      <alignment horizontal="right" vertical="center" wrapText="1"/>
    </xf>
    <xf numFmtId="3" fontId="18" fillId="0" borderId="4" xfId="10" applyNumberFormat="1" applyFont="1" applyBorder="1" applyAlignment="1">
      <alignment horizontal="center" vertical="center"/>
    </xf>
    <xf numFmtId="3" fontId="7" fillId="0" borderId="4" xfId="0" applyNumberFormat="1" applyFont="1" applyBorder="1" applyAlignment="1">
      <alignment horizontal="left" vertical="center"/>
    </xf>
    <xf numFmtId="3" fontId="100" fillId="0" borderId="4" xfId="0" applyNumberFormat="1" applyFont="1" applyBorder="1" applyAlignment="1">
      <alignment horizontal="left" vertical="center"/>
    </xf>
    <xf numFmtId="0" fontId="151" fillId="0" borderId="0" xfId="20" applyFont="1"/>
    <xf numFmtId="3" fontId="26" fillId="0" borderId="16" xfId="0" applyNumberFormat="1" applyFont="1" applyBorder="1" applyAlignment="1">
      <alignment horizontal="right" vertical="center"/>
    </xf>
    <xf numFmtId="190" fontId="12" fillId="0" borderId="0" xfId="0" applyNumberFormat="1" applyFont="1"/>
    <xf numFmtId="210" fontId="12" fillId="0" borderId="0" xfId="1" applyNumberFormat="1" applyFont="1" applyFill="1"/>
    <xf numFmtId="4" fontId="12" fillId="0" borderId="0" xfId="1" applyNumberFormat="1" applyFont="1" applyFill="1"/>
    <xf numFmtId="190" fontId="12" fillId="0" borderId="0" xfId="1" applyNumberFormat="1" applyFont="1" applyFill="1"/>
    <xf numFmtId="196" fontId="96" fillId="0" borderId="4" xfId="1" applyNumberFormat="1" applyFont="1" applyFill="1" applyBorder="1" applyAlignment="1">
      <alignment horizontal="center" vertical="center"/>
    </xf>
    <xf numFmtId="190" fontId="10" fillId="0" borderId="0" xfId="0" applyNumberFormat="1" applyFont="1"/>
    <xf numFmtId="4" fontId="9" fillId="0" borderId="0" xfId="1" applyNumberFormat="1" applyFont="1" applyFill="1" applyBorder="1" applyAlignment="1"/>
    <xf numFmtId="190" fontId="9" fillId="0" borderId="0" xfId="1" applyNumberFormat="1" applyFont="1" applyFill="1" applyBorder="1" applyAlignment="1">
      <alignment horizontal="center"/>
    </xf>
    <xf numFmtId="190" fontId="9" fillId="0" borderId="0" xfId="1" applyNumberFormat="1" applyFont="1" applyFill="1" applyBorder="1" applyAlignment="1"/>
    <xf numFmtId="190" fontId="9" fillId="0" borderId="0" xfId="1" applyNumberFormat="1" applyFont="1" applyFill="1" applyBorder="1"/>
    <xf numFmtId="190" fontId="26" fillId="0" borderId="4" xfId="1" applyNumberFormat="1" applyFont="1" applyFill="1" applyBorder="1" applyAlignment="1">
      <alignment vertical="center" wrapText="1"/>
    </xf>
    <xf numFmtId="191" fontId="26" fillId="0" borderId="4" xfId="5" applyNumberFormat="1" applyFont="1" applyFill="1" applyBorder="1" applyAlignment="1">
      <alignment horizontal="center" vertical="center" wrapText="1"/>
    </xf>
    <xf numFmtId="3" fontId="26" fillId="0" borderId="4" xfId="5" applyNumberFormat="1" applyFont="1" applyFill="1" applyBorder="1" applyAlignment="1">
      <alignment horizontal="center" vertical="top" wrapText="1"/>
    </xf>
    <xf numFmtId="190" fontId="26" fillId="0" borderId="4" xfId="1" applyNumberFormat="1" applyFont="1" applyFill="1" applyBorder="1" applyAlignment="1">
      <alignment horizontal="right" vertical="center"/>
    </xf>
    <xf numFmtId="191" fontId="82" fillId="0" borderId="4" xfId="5" applyNumberFormat="1" applyFont="1" applyFill="1" applyBorder="1" applyAlignment="1">
      <alignment vertical="center"/>
    </xf>
    <xf numFmtId="190" fontId="82" fillId="0" borderId="4" xfId="1" applyNumberFormat="1" applyFont="1" applyFill="1" applyBorder="1" applyAlignment="1">
      <alignment horizontal="center" vertical="center" shrinkToFit="1"/>
    </xf>
    <xf numFmtId="196" fontId="82" fillId="0" borderId="4" xfId="1" applyNumberFormat="1" applyFont="1" applyFill="1" applyBorder="1" applyAlignment="1">
      <alignment vertical="center" shrinkToFit="1"/>
    </xf>
    <xf numFmtId="190" fontId="82" fillId="0" borderId="4" xfId="1" applyNumberFormat="1" applyFont="1" applyFill="1" applyBorder="1" applyAlignment="1">
      <alignment horizontal="right" vertical="center" shrinkToFit="1"/>
    </xf>
    <xf numFmtId="190" fontId="82" fillId="0" borderId="4" xfId="0" applyNumberFormat="1" applyFont="1" applyBorder="1" applyAlignment="1">
      <alignment horizontal="left" vertical="center"/>
    </xf>
    <xf numFmtId="190" fontId="82" fillId="0" borderId="4" xfId="0" applyNumberFormat="1" applyFont="1" applyBorder="1" applyAlignment="1">
      <alignment horizontal="right" vertical="center"/>
    </xf>
    <xf numFmtId="190" fontId="7" fillId="0" borderId="0" xfId="0" applyNumberFormat="1" applyFont="1" applyAlignment="1">
      <alignment vertical="center"/>
    </xf>
    <xf numFmtId="190" fontId="82" fillId="0" borderId="4" xfId="1" applyNumberFormat="1" applyFont="1" applyFill="1" applyBorder="1" applyAlignment="1">
      <alignment horizontal="left" vertical="center"/>
    </xf>
    <xf numFmtId="210" fontId="26" fillId="0" borderId="4" xfId="1" applyNumberFormat="1" applyFont="1" applyFill="1" applyBorder="1" applyAlignment="1">
      <alignment horizontal="right" vertical="center"/>
    </xf>
    <xf numFmtId="190" fontId="82" fillId="0" borderId="4" xfId="0" applyNumberFormat="1" applyFont="1" applyBorder="1" applyAlignment="1">
      <alignment vertical="center"/>
    </xf>
    <xf numFmtId="210" fontId="11" fillId="0" borderId="0" xfId="1" applyNumberFormat="1" applyFont="1" applyFill="1" applyBorder="1" applyAlignment="1">
      <alignment horizontal="right"/>
    </xf>
    <xf numFmtId="190" fontId="11" fillId="0" borderId="0" xfId="1" applyNumberFormat="1" applyFont="1" applyFill="1" applyBorder="1" applyAlignment="1">
      <alignment horizontal="right"/>
    </xf>
    <xf numFmtId="4" fontId="11" fillId="0" borderId="0" xfId="1" applyNumberFormat="1" applyFont="1" applyFill="1" applyBorder="1" applyAlignment="1">
      <alignment horizontal="right"/>
    </xf>
    <xf numFmtId="190" fontId="11" fillId="0" borderId="0" xfId="1" applyNumberFormat="1" applyFont="1" applyFill="1" applyBorder="1" applyAlignment="1">
      <alignment horizontal="center"/>
    </xf>
    <xf numFmtId="213" fontId="12" fillId="0" borderId="0" xfId="1" applyNumberFormat="1" applyFont="1" applyFill="1" applyAlignment="1"/>
    <xf numFmtId="210" fontId="12" fillId="0" borderId="0" xfId="1" applyNumberFormat="1" applyFont="1" applyFill="1" applyAlignment="1"/>
    <xf numFmtId="190" fontId="26" fillId="0" borderId="0" xfId="0" applyNumberFormat="1" applyFont="1"/>
    <xf numFmtId="210" fontId="26" fillId="0" borderId="0" xfId="0" applyNumberFormat="1" applyFont="1"/>
    <xf numFmtId="3" fontId="9" fillId="0" borderId="0" xfId="1" applyNumberFormat="1" applyFont="1" applyFill="1" applyAlignment="1"/>
    <xf numFmtId="3" fontId="12" fillId="0" borderId="0" xfId="1" applyNumberFormat="1" applyFont="1" applyFill="1" applyAlignment="1"/>
    <xf numFmtId="230" fontId="32" fillId="0" borderId="4" xfId="0" applyNumberFormat="1" applyFont="1" applyBorder="1"/>
    <xf numFmtId="203" fontId="11" fillId="0" borderId="11" xfId="0" applyNumberFormat="1" applyFont="1" applyBorder="1" applyAlignment="1">
      <alignment horizontal="center" vertical="center"/>
    </xf>
    <xf numFmtId="0" fontId="100" fillId="0" borderId="0" xfId="0" applyFont="1" applyAlignment="1">
      <alignment vertical="center"/>
    </xf>
    <xf numFmtId="204" fontId="11" fillId="0" borderId="9" xfId="0" applyNumberFormat="1" applyFont="1" applyBorder="1" applyAlignment="1">
      <alignment horizontal="center" vertical="center"/>
    </xf>
    <xf numFmtId="203" fontId="11" fillId="0" borderId="11" xfId="0" applyNumberFormat="1" applyFont="1" applyBorder="1" applyAlignment="1">
      <alignment vertical="center"/>
    </xf>
    <xf numFmtId="203" fontId="7" fillId="0" borderId="4" xfId="0" applyNumberFormat="1" applyFont="1" applyBorder="1" applyAlignment="1">
      <alignment horizontal="left" vertical="center" wrapText="1"/>
    </xf>
    <xf numFmtId="204" fontId="11" fillId="0" borderId="4" xfId="0" applyNumberFormat="1" applyFont="1" applyBorder="1" applyAlignment="1">
      <alignment horizontal="center" vertical="center"/>
    </xf>
    <xf numFmtId="203" fontId="11" fillId="0" borderId="4" xfId="0" applyNumberFormat="1" applyFont="1" applyBorder="1" applyAlignment="1">
      <alignment horizontal="right" vertical="center"/>
    </xf>
    <xf numFmtId="205" fontId="7" fillId="0" borderId="4" xfId="1" applyNumberFormat="1" applyFont="1" applyFill="1" applyBorder="1" applyAlignment="1">
      <alignment horizontal="center" vertical="center"/>
    </xf>
    <xf numFmtId="196" fontId="7" fillId="0" borderId="4" xfId="1" applyNumberFormat="1" applyFont="1" applyFill="1" applyBorder="1" applyAlignment="1">
      <alignment horizontal="right" vertical="center"/>
    </xf>
    <xf numFmtId="196" fontId="7" fillId="0" borderId="4" xfId="1" applyNumberFormat="1" applyFont="1" applyFill="1" applyBorder="1" applyAlignment="1">
      <alignment horizontal="right" vertical="center" shrinkToFit="1"/>
    </xf>
    <xf numFmtId="203" fontId="11" fillId="0" borderId="4" xfId="0" applyNumberFormat="1" applyFont="1" applyBorder="1" applyAlignment="1">
      <alignment horizontal="left" vertical="center"/>
    </xf>
    <xf numFmtId="203" fontId="7" fillId="0" borderId="4" xfId="0" applyNumberFormat="1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203" fontId="7" fillId="0" borderId="4" xfId="0" applyNumberFormat="1" applyFont="1" applyBorder="1" applyAlignment="1">
      <alignment horizontal="left" vertical="center"/>
    </xf>
    <xf numFmtId="203" fontId="7" fillId="0" borderId="0" xfId="0" applyNumberFormat="1" applyFont="1" applyAlignment="1">
      <alignment vertical="center"/>
    </xf>
    <xf numFmtId="203" fontId="103" fillId="0" borderId="4" xfId="0" applyNumberFormat="1" applyFont="1" applyBorder="1" applyAlignment="1">
      <alignment horizontal="left" vertical="center"/>
    </xf>
    <xf numFmtId="203" fontId="142" fillId="0" borderId="4" xfId="0" applyNumberFormat="1" applyFont="1" applyBorder="1" applyAlignment="1">
      <alignment horizontal="right" vertical="center"/>
    </xf>
    <xf numFmtId="203" fontId="28" fillId="0" borderId="11" xfId="0" applyNumberFormat="1" applyFont="1" applyBorder="1" applyAlignment="1">
      <alignment horizontal="right" vertical="center"/>
    </xf>
    <xf numFmtId="203" fontId="100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203" fontId="7" fillId="0" borderId="4" xfId="0" applyNumberFormat="1" applyFont="1" applyBorder="1" applyAlignment="1">
      <alignment vertical="center"/>
    </xf>
    <xf numFmtId="203" fontId="11" fillId="0" borderId="0" xfId="0" applyNumberFormat="1" applyFont="1" applyAlignment="1">
      <alignment vertical="center"/>
    </xf>
    <xf numFmtId="203" fontId="144" fillId="0" borderId="0" xfId="0" applyNumberFormat="1" applyFont="1" applyAlignment="1">
      <alignment horizontal="center" vertical="center"/>
    </xf>
    <xf numFmtId="0" fontId="145" fillId="0" borderId="0" xfId="0" applyFont="1" applyAlignment="1">
      <alignment vertical="center"/>
    </xf>
    <xf numFmtId="203" fontId="7" fillId="0" borderId="0" xfId="0" applyNumberFormat="1" applyFont="1" applyAlignment="1">
      <alignment horizontal="center" vertical="center"/>
    </xf>
    <xf numFmtId="203" fontId="28" fillId="0" borderId="0" xfId="0" applyNumberFormat="1" applyFont="1" applyAlignment="1">
      <alignment horizontal="right" vertical="center"/>
    </xf>
    <xf numFmtId="203" fontId="23" fillId="0" borderId="0" xfId="0" applyNumberFormat="1" applyFont="1" applyAlignment="1">
      <alignment horizontal="center" vertical="center"/>
    </xf>
    <xf numFmtId="203" fontId="28" fillId="0" borderId="0" xfId="0" applyNumberFormat="1" applyFont="1" applyAlignment="1">
      <alignment horizontal="center" vertical="center"/>
    </xf>
    <xf numFmtId="203" fontId="7" fillId="0" borderId="0" xfId="0" applyNumberFormat="1" applyFont="1" applyAlignment="1">
      <alignment horizontal="left" vertical="center"/>
    </xf>
    <xf numFmtId="203" fontId="45" fillId="0" borderId="0" xfId="0" applyNumberFormat="1" applyFont="1" applyAlignment="1">
      <alignment horizontal="center" vertical="center"/>
    </xf>
    <xf numFmtId="203" fontId="11" fillId="0" borderId="0" xfId="1" applyNumberFormat="1" applyFont="1" applyFill="1" applyBorder="1" applyAlignment="1">
      <alignment horizontal="center" vertical="center"/>
    </xf>
    <xf numFmtId="204" fontId="11" fillId="0" borderId="0" xfId="0" applyNumberFormat="1" applyFont="1" applyAlignment="1">
      <alignment horizontal="center" vertical="center"/>
    </xf>
    <xf numFmtId="203" fontId="146" fillId="0" borderId="0" xfId="0" applyNumberFormat="1" applyFont="1" applyAlignment="1">
      <alignment horizontal="center" vertical="center"/>
    </xf>
    <xf numFmtId="203" fontId="7" fillId="0" borderId="0" xfId="0" applyNumberFormat="1" applyFont="1" applyAlignment="1">
      <alignment vertical="center" wrapText="1"/>
    </xf>
    <xf numFmtId="205" fontId="11" fillId="0" borderId="0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96" fontId="100" fillId="0" borderId="0" xfId="1" applyNumberFormat="1" applyFont="1" applyFill="1" applyAlignment="1">
      <alignment vertical="center"/>
    </xf>
    <xf numFmtId="196" fontId="7" fillId="0" borderId="0" xfId="1" applyNumberFormat="1" applyFont="1" applyFill="1" applyAlignment="1">
      <alignment vertical="center"/>
    </xf>
    <xf numFmtId="203" fontId="11" fillId="0" borderId="0" xfId="0" applyNumberFormat="1" applyFont="1" applyAlignment="1">
      <alignment horizontal="left" vertical="center"/>
    </xf>
    <xf numFmtId="203" fontId="23" fillId="0" borderId="0" xfId="0" applyNumberFormat="1" applyFont="1" applyAlignment="1">
      <alignment horizontal="right" vertical="center"/>
    </xf>
    <xf numFmtId="203" fontId="28" fillId="0" borderId="25" xfId="0" applyNumberFormat="1" applyFont="1" applyBorder="1" applyAlignment="1">
      <alignment horizontal="right" vertical="center"/>
    </xf>
    <xf numFmtId="204" fontId="11" fillId="0" borderId="24" xfId="0" applyNumberFormat="1" applyFont="1" applyBorder="1" applyAlignment="1">
      <alignment horizontal="center" vertical="center"/>
    </xf>
    <xf numFmtId="203" fontId="146" fillId="0" borderId="19" xfId="0" applyNumberFormat="1" applyFont="1" applyBorder="1" applyAlignment="1">
      <alignment horizontal="center" vertical="center"/>
    </xf>
    <xf numFmtId="203" fontId="103" fillId="0" borderId="0" xfId="0" applyNumberFormat="1" applyFont="1" applyAlignment="1">
      <alignment horizontal="left" vertical="center"/>
    </xf>
    <xf numFmtId="203" fontId="103" fillId="0" borderId="0" xfId="0" applyNumberFormat="1" applyFont="1" applyAlignment="1">
      <alignment vertical="center"/>
    </xf>
    <xf numFmtId="203" fontId="142" fillId="0" borderId="0" xfId="0" applyNumberFormat="1" applyFont="1" applyAlignment="1">
      <alignment horizontal="right" vertical="center"/>
    </xf>
    <xf numFmtId="203" fontId="142" fillId="0" borderId="25" xfId="0" applyNumberFormat="1" applyFont="1" applyBorder="1" applyAlignment="1">
      <alignment horizontal="right" vertical="center"/>
    </xf>
    <xf numFmtId="196" fontId="7" fillId="0" borderId="0" xfId="0" applyNumberFormat="1" applyFont="1" applyAlignment="1">
      <alignment vertical="center"/>
    </xf>
    <xf numFmtId="0" fontId="6" fillId="0" borderId="4" xfId="0" applyFont="1" applyBorder="1" applyAlignment="1">
      <alignment vertical="center"/>
    </xf>
    <xf numFmtId="203" fontId="11" fillId="0" borderId="4" xfId="0" applyNumberFormat="1" applyFont="1" applyBorder="1" applyAlignment="1">
      <alignment vertical="center"/>
    </xf>
    <xf numFmtId="203" fontId="11" fillId="0" borderId="22" xfId="0" applyNumberFormat="1" applyFont="1" applyBorder="1" applyAlignment="1">
      <alignment horizontal="left" vertical="center"/>
    </xf>
    <xf numFmtId="203" fontId="23" fillId="0" borderId="22" xfId="0" applyNumberFormat="1" applyFont="1" applyBorder="1" applyAlignment="1">
      <alignment horizontal="right" vertical="center"/>
    </xf>
    <xf numFmtId="203" fontId="28" fillId="0" borderId="22" xfId="0" applyNumberFormat="1" applyFont="1" applyBorder="1" applyAlignment="1">
      <alignment horizontal="right" vertical="center"/>
    </xf>
    <xf numFmtId="0" fontId="6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vertical="center"/>
    </xf>
    <xf numFmtId="0" fontId="100" fillId="0" borderId="15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203" fontId="28" fillId="0" borderId="4" xfId="0" applyNumberFormat="1" applyFont="1" applyBorder="1" applyAlignment="1">
      <alignment horizontal="right" vertical="center"/>
    </xf>
    <xf numFmtId="203" fontId="7" fillId="0" borderId="4" xfId="0" applyNumberFormat="1" applyFont="1" applyBorder="1" applyAlignment="1">
      <alignment horizontal="center" vertical="center"/>
    </xf>
    <xf numFmtId="196" fontId="100" fillId="0" borderId="0" xfId="0" applyNumberFormat="1" applyFont="1" applyAlignment="1">
      <alignment vertical="center"/>
    </xf>
    <xf numFmtId="0" fontId="7" fillId="0" borderId="4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1" fontId="7" fillId="0" borderId="0" xfId="0" applyNumberFormat="1" applyFont="1" applyAlignment="1">
      <alignment vertical="center"/>
    </xf>
    <xf numFmtId="43" fontId="7" fillId="0" borderId="0" xfId="0" applyNumberFormat="1" applyFont="1" applyAlignment="1">
      <alignment vertical="center"/>
    </xf>
    <xf numFmtId="203" fontId="146" fillId="0" borderId="4" xfId="0" applyNumberFormat="1" applyFont="1" applyBorder="1" applyAlignment="1">
      <alignment horizontal="center" vertical="center"/>
    </xf>
    <xf numFmtId="203" fontId="23" fillId="0" borderId="4" xfId="0" applyNumberFormat="1" applyFont="1" applyBorder="1" applyAlignment="1">
      <alignment horizontal="center" vertical="center"/>
    </xf>
    <xf numFmtId="203" fontId="28" fillId="0" borderId="4" xfId="0" applyNumberFormat="1" applyFont="1" applyBorder="1" applyAlignment="1">
      <alignment horizontal="center" vertical="center"/>
    </xf>
    <xf numFmtId="203" fontId="7" fillId="0" borderId="14" xfId="0" applyNumberFormat="1" applyFont="1" applyBorder="1" applyAlignment="1">
      <alignment horizontal="left" vertical="center" wrapText="1"/>
    </xf>
    <xf numFmtId="203" fontId="7" fillId="0" borderId="22" xfId="0" applyNumberFormat="1" applyFont="1" applyBorder="1" applyAlignment="1">
      <alignment horizontal="left" vertical="center" wrapText="1"/>
    </xf>
    <xf numFmtId="203" fontId="11" fillId="0" borderId="19" xfId="0" applyNumberFormat="1" applyFont="1" applyBorder="1" applyAlignment="1">
      <alignment horizontal="right" vertical="center"/>
    </xf>
    <xf numFmtId="203" fontId="11" fillId="0" borderId="14" xfId="0" applyNumberFormat="1" applyFont="1" applyBorder="1" applyAlignment="1">
      <alignment vertical="center"/>
    </xf>
    <xf numFmtId="203" fontId="23" fillId="0" borderId="22" xfId="0" applyNumberFormat="1" applyFont="1" applyBorder="1" applyAlignment="1">
      <alignment horizontal="center" vertical="center"/>
    </xf>
    <xf numFmtId="203" fontId="28" fillId="0" borderId="22" xfId="0" applyNumberFormat="1" applyFont="1" applyBorder="1" applyAlignment="1">
      <alignment horizontal="center" vertical="center"/>
    </xf>
    <xf numFmtId="203" fontId="28" fillId="0" borderId="19" xfId="0" applyNumberFormat="1" applyFont="1" applyBorder="1" applyAlignment="1">
      <alignment horizontal="right" vertical="center"/>
    </xf>
    <xf numFmtId="203" fontId="11" fillId="0" borderId="22" xfId="0" applyNumberFormat="1" applyFont="1" applyBorder="1" applyAlignment="1">
      <alignment vertical="center"/>
    </xf>
    <xf numFmtId="203" fontId="7" fillId="0" borderId="14" xfId="0" applyNumberFormat="1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203" fontId="11" fillId="0" borderId="19" xfId="0" applyNumberFormat="1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11" fillId="0" borderId="19" xfId="0" applyFont="1" applyBorder="1" applyAlignment="1">
      <alignment vertical="center"/>
    </xf>
    <xf numFmtId="196" fontId="63" fillId="0" borderId="0" xfId="1" applyNumberFormat="1" applyFont="1"/>
    <xf numFmtId="1" fontId="136" fillId="0" borderId="0" xfId="1" applyNumberFormat="1" applyFont="1" applyFill="1" applyBorder="1" applyAlignment="1">
      <alignment horizontal="center" vertical="center"/>
    </xf>
    <xf numFmtId="1" fontId="82" fillId="0" borderId="0" xfId="1" applyNumberFormat="1" applyFont="1" applyFill="1" applyAlignment="1">
      <alignment horizontal="center" vertical="center"/>
    </xf>
    <xf numFmtId="0" fontId="158" fillId="0" borderId="4" xfId="20" applyFont="1" applyBorder="1" applyAlignment="1">
      <alignment horizontal="center" vertical="center"/>
    </xf>
    <xf numFmtId="1" fontId="117" fillId="0" borderId="14" xfId="1" applyNumberFormat="1" applyFont="1" applyFill="1" applyBorder="1" applyAlignment="1">
      <alignment vertical="center"/>
    </xf>
    <xf numFmtId="1" fontId="117" fillId="0" borderId="22" xfId="1" applyNumberFormat="1" applyFont="1" applyFill="1" applyBorder="1" applyAlignment="1">
      <alignment vertical="center"/>
    </xf>
    <xf numFmtId="197" fontId="141" fillId="0" borderId="4" xfId="0" applyNumberFormat="1" applyFont="1" applyBorder="1" applyAlignment="1">
      <alignment vertical="center"/>
    </xf>
    <xf numFmtId="197" fontId="11" fillId="0" borderId="4" xfId="1" applyNumberFormat="1" applyFont="1" applyFill="1" applyBorder="1" applyAlignment="1">
      <alignment vertical="center" wrapText="1"/>
    </xf>
    <xf numFmtId="0" fontId="9" fillId="5" borderId="0" xfId="0" applyFont="1" applyFill="1"/>
    <xf numFmtId="0" fontId="7" fillId="0" borderId="4" xfId="0" applyFont="1" applyBorder="1" applyAlignment="1">
      <alignment horizontal="center" vertical="center"/>
    </xf>
    <xf numFmtId="0" fontId="82" fillId="0" borderId="0" xfId="0" applyFont="1" applyAlignment="1">
      <alignment horizontal="left"/>
    </xf>
    <xf numFmtId="1" fontId="161" fillId="0" borderId="0" xfId="1" applyNumberFormat="1" applyFont="1" applyFill="1" applyBorder="1" applyAlignment="1">
      <alignment horizontal="center" vertical="center"/>
    </xf>
    <xf numFmtId="1" fontId="161" fillId="0" borderId="0" xfId="1" applyNumberFormat="1" applyFont="1" applyFill="1" applyBorder="1" applyAlignment="1">
      <alignment vertical="center"/>
    </xf>
    <xf numFmtId="1" fontId="130" fillId="0" borderId="4" xfId="1" applyNumberFormat="1" applyFont="1" applyFill="1" applyBorder="1" applyAlignment="1">
      <alignment horizontal="center" vertical="center"/>
    </xf>
    <xf numFmtId="1" fontId="162" fillId="0" borderId="4" xfId="1" applyNumberFormat="1" applyFont="1" applyFill="1" applyBorder="1" applyAlignment="1">
      <alignment vertical="center"/>
    </xf>
    <xf numFmtId="1" fontId="162" fillId="0" borderId="4" xfId="1" applyNumberFormat="1" applyFont="1" applyFill="1" applyBorder="1" applyAlignment="1">
      <alignment horizontal="right" vertical="center"/>
    </xf>
    <xf numFmtId="1" fontId="162" fillId="0" borderId="4" xfId="1" applyNumberFormat="1" applyFont="1" applyFill="1" applyBorder="1" applyAlignment="1">
      <alignment horizontal="center" vertical="center"/>
    </xf>
    <xf numFmtId="1" fontId="163" fillId="0" borderId="4" xfId="1" applyNumberFormat="1" applyFont="1" applyFill="1" applyBorder="1" applyAlignment="1">
      <alignment horizontal="center" vertical="center"/>
    </xf>
    <xf numFmtId="1" fontId="135" fillId="0" borderId="4" xfId="1" applyNumberFormat="1" applyFont="1" applyFill="1" applyBorder="1" applyAlignment="1">
      <alignment horizontal="center" vertical="center"/>
    </xf>
    <xf numFmtId="1" fontId="163" fillId="0" borderId="4" xfId="1" applyNumberFormat="1" applyFont="1" applyFill="1" applyBorder="1" applyAlignment="1">
      <alignment horizontal="right" vertical="center"/>
    </xf>
    <xf numFmtId="1" fontId="135" fillId="0" borderId="4" xfId="1" applyNumberFormat="1" applyFont="1" applyFill="1" applyBorder="1" applyAlignment="1">
      <alignment horizontal="right" vertical="center" wrapText="1"/>
    </xf>
    <xf numFmtId="2" fontId="135" fillId="0" borderId="4" xfId="1" applyNumberFormat="1" applyFont="1" applyFill="1" applyBorder="1" applyAlignment="1">
      <alignment horizontal="right" vertical="center" wrapText="1"/>
    </xf>
    <xf numFmtId="212" fontId="135" fillId="0" borderId="4" xfId="1" applyNumberFormat="1" applyFont="1" applyFill="1" applyBorder="1" applyAlignment="1">
      <alignment horizontal="right" vertical="center" wrapText="1"/>
    </xf>
    <xf numFmtId="1" fontId="130" fillId="0" borderId="4" xfId="1" applyNumberFormat="1" applyFont="1" applyFill="1" applyBorder="1" applyAlignment="1">
      <alignment horizontal="center" vertical="center" wrapText="1"/>
    </xf>
    <xf numFmtId="1" fontId="135" fillId="0" borderId="4" xfId="1" applyNumberFormat="1" applyFont="1" applyFill="1" applyBorder="1" applyAlignment="1">
      <alignment horizontal="right" vertical="center"/>
    </xf>
    <xf numFmtId="1" fontId="135" fillId="0" borderId="4" xfId="1" applyNumberFormat="1" applyFont="1" applyFill="1" applyBorder="1" applyAlignment="1">
      <alignment vertical="center"/>
    </xf>
    <xf numFmtId="195" fontId="130" fillId="0" borderId="4" xfId="1" applyFont="1" applyFill="1" applyBorder="1" applyAlignment="1">
      <alignment horizontal="center" vertical="center"/>
    </xf>
    <xf numFmtId="195" fontId="130" fillId="0" borderId="4" xfId="1" applyFont="1" applyFill="1" applyBorder="1" applyAlignment="1">
      <alignment horizontal="right" vertical="center"/>
    </xf>
    <xf numFmtId="196" fontId="130" fillId="0" borderId="4" xfId="1" applyNumberFormat="1" applyFont="1" applyFill="1" applyBorder="1" applyAlignment="1">
      <alignment vertical="center"/>
    </xf>
    <xf numFmtId="196" fontId="130" fillId="0" borderId="4" xfId="1" applyNumberFormat="1" applyFont="1" applyFill="1" applyBorder="1" applyAlignment="1">
      <alignment horizontal="center" vertical="center"/>
    </xf>
    <xf numFmtId="1" fontId="130" fillId="0" borderId="4" xfId="1" applyNumberFormat="1" applyFont="1" applyFill="1" applyBorder="1" applyAlignment="1">
      <alignment vertical="center"/>
    </xf>
    <xf numFmtId="196" fontId="102" fillId="0" borderId="4" xfId="1" applyNumberFormat="1" applyFont="1" applyFill="1" applyBorder="1" applyAlignment="1">
      <alignment horizontal="right"/>
    </xf>
    <xf numFmtId="0" fontId="11" fillId="5" borderId="4" xfId="0" applyFont="1" applyFill="1" applyBorder="1" applyAlignment="1">
      <alignment horizontal="center" vertical="center"/>
    </xf>
    <xf numFmtId="212" fontId="54" fillId="5" borderId="1" xfId="0" applyNumberFormat="1" applyFont="1" applyFill="1" applyBorder="1"/>
    <xf numFmtId="212" fontId="3" fillId="5" borderId="0" xfId="0" applyNumberFormat="1" applyFont="1" applyFill="1"/>
    <xf numFmtId="212" fontId="9" fillId="5" borderId="0" xfId="0" applyNumberFormat="1" applyFont="1" applyFill="1"/>
    <xf numFmtId="0" fontId="9" fillId="5" borderId="1" xfId="0" applyFont="1" applyFill="1" applyBorder="1"/>
    <xf numFmtId="0" fontId="7" fillId="5" borderId="10" xfId="0" applyFont="1" applyFill="1" applyBorder="1" applyAlignment="1">
      <alignment horizontal="center" vertical="center" shrinkToFit="1"/>
    </xf>
    <xf numFmtId="190" fontId="39" fillId="5" borderId="5" xfId="1" applyNumberFormat="1" applyFont="1" applyFill="1" applyBorder="1" applyAlignment="1">
      <alignment horizontal="center" vertical="center"/>
    </xf>
    <xf numFmtId="191" fontId="9" fillId="5" borderId="6" xfId="0" applyNumberFormat="1" applyFont="1" applyFill="1" applyBorder="1"/>
    <xf numFmtId="212" fontId="9" fillId="5" borderId="6" xfId="0" applyNumberFormat="1" applyFont="1" applyFill="1" applyBorder="1"/>
    <xf numFmtId="0" fontId="12" fillId="5" borderId="5" xfId="0" applyFont="1" applyFill="1" applyBorder="1" applyAlignment="1">
      <alignment horizontal="left" vertical="center" wrapText="1" indent="1"/>
    </xf>
    <xf numFmtId="1" fontId="12" fillId="5" borderId="5" xfId="0" applyNumberFormat="1" applyFont="1" applyFill="1" applyBorder="1" applyAlignment="1">
      <alignment horizontal="left" vertical="center" indent="1"/>
    </xf>
    <xf numFmtId="3" fontId="12" fillId="5" borderId="5" xfId="0" applyNumberFormat="1" applyFont="1" applyFill="1" applyBorder="1" applyAlignment="1">
      <alignment horizontal="left" vertical="center" indent="1"/>
    </xf>
    <xf numFmtId="190" fontId="26" fillId="0" borderId="0" xfId="0" applyNumberFormat="1" applyFont="1" applyAlignment="1">
      <alignment horizontal="center"/>
    </xf>
    <xf numFmtId="190" fontId="96" fillId="0" borderId="0" xfId="1" applyNumberFormat="1" applyFont="1" applyFill="1" applyAlignment="1"/>
    <xf numFmtId="196" fontId="26" fillId="0" borderId="4" xfId="1" applyNumberFormat="1" applyFont="1" applyFill="1" applyBorder="1" applyAlignment="1">
      <alignment horizontal="center" vertical="center" wrapText="1"/>
    </xf>
    <xf numFmtId="190" fontId="26" fillId="0" borderId="4" xfId="1" applyNumberFormat="1" applyFont="1" applyFill="1" applyBorder="1" applyAlignment="1">
      <alignment horizontal="right" vertical="center" shrinkToFit="1"/>
    </xf>
    <xf numFmtId="190" fontId="82" fillId="0" borderId="4" xfId="0" quotePrefix="1" applyNumberFormat="1" applyFont="1" applyBorder="1" applyAlignment="1">
      <alignment horizontal="left" vertical="center"/>
    </xf>
    <xf numFmtId="0" fontId="82" fillId="0" borderId="4" xfId="0" applyFont="1" applyBorder="1" applyAlignment="1">
      <alignment vertical="center" wrapText="1"/>
    </xf>
    <xf numFmtId="0" fontId="82" fillId="0" borderId="4" xfId="0" quotePrefix="1" applyFont="1" applyBorder="1" applyAlignment="1">
      <alignment horizontal="left" vertical="center"/>
    </xf>
    <xf numFmtId="197" fontId="82" fillId="0" borderId="4" xfId="1" applyNumberFormat="1" applyFont="1" applyFill="1" applyBorder="1" applyAlignment="1">
      <alignment vertical="center" shrinkToFit="1"/>
    </xf>
    <xf numFmtId="190" fontId="82" fillId="0" borderId="4" xfId="1" applyNumberFormat="1" applyFont="1" applyFill="1" applyBorder="1" applyAlignment="1">
      <alignment vertical="center" shrinkToFit="1"/>
    </xf>
    <xf numFmtId="205" fontId="82" fillId="0" borderId="4" xfId="6" applyNumberFormat="1" applyFont="1" applyFill="1" applyBorder="1" applyAlignment="1">
      <alignment horizontal="left" vertical="center" wrapText="1"/>
    </xf>
    <xf numFmtId="0" fontId="26" fillId="0" borderId="4" xfId="0" applyFont="1" applyBorder="1" applyAlignment="1">
      <alignment horizontal="right"/>
    </xf>
    <xf numFmtId="190" fontId="107" fillId="0" borderId="4" xfId="1" applyNumberFormat="1" applyFont="1" applyFill="1" applyBorder="1" applyAlignment="1">
      <alignment horizontal="right" vertical="center" shrinkToFit="1"/>
    </xf>
    <xf numFmtId="196" fontId="26" fillId="0" borderId="4" xfId="0" applyNumberFormat="1" applyFont="1" applyBorder="1" applyAlignment="1">
      <alignment horizontal="right" vertical="center"/>
    </xf>
    <xf numFmtId="0" fontId="26" fillId="0" borderId="0" xfId="0" applyFont="1" applyAlignment="1">
      <alignment horizontal="left"/>
    </xf>
    <xf numFmtId="0" fontId="26" fillId="0" borderId="0" xfId="0" applyFont="1" applyAlignment="1">
      <alignment horizontal="right"/>
    </xf>
    <xf numFmtId="197" fontId="26" fillId="0" borderId="0" xfId="0" applyNumberFormat="1" applyFont="1" applyAlignment="1">
      <alignment horizontal="left"/>
    </xf>
    <xf numFmtId="197" fontId="26" fillId="0" borderId="0" xfId="0" applyNumberFormat="1" applyFont="1"/>
    <xf numFmtId="0" fontId="82" fillId="0" borderId="0" xfId="0" applyFont="1" applyAlignment="1">
      <alignment horizontal="right"/>
    </xf>
    <xf numFmtId="212" fontId="82" fillId="0" borderId="0" xfId="0" applyNumberFormat="1" applyFont="1"/>
    <xf numFmtId="190" fontId="82" fillId="0" borderId="0" xfId="0" applyNumberFormat="1" applyFont="1"/>
    <xf numFmtId="191" fontId="82" fillId="0" borderId="0" xfId="0" applyNumberFormat="1" applyFont="1"/>
    <xf numFmtId="196" fontId="82" fillId="0" borderId="0" xfId="1" applyNumberFormat="1" applyFont="1" applyFill="1" applyAlignment="1">
      <alignment horizontal="center"/>
    </xf>
    <xf numFmtId="196" fontId="82" fillId="0" borderId="0" xfId="1" applyNumberFormat="1" applyFont="1" applyFill="1" applyAlignment="1"/>
    <xf numFmtId="203" fontId="11" fillId="0" borderId="22" xfId="0" applyNumberFormat="1" applyFont="1" applyBorder="1" applyAlignment="1">
      <alignment horizontal="center" vertical="center"/>
    </xf>
    <xf numFmtId="203" fontId="11" fillId="0" borderId="19" xfId="0" applyNumberFormat="1" applyFont="1" applyBorder="1" applyAlignment="1">
      <alignment horizontal="center" vertical="center"/>
    </xf>
    <xf numFmtId="203" fontId="11" fillId="0" borderId="0" xfId="0" applyNumberFormat="1" applyFont="1" applyAlignment="1">
      <alignment horizontal="center" vertical="center"/>
    </xf>
    <xf numFmtId="203" fontId="11" fillId="0" borderId="4" xfId="0" applyNumberFormat="1" applyFont="1" applyBorder="1" applyAlignment="1">
      <alignment horizontal="center" vertical="center"/>
    </xf>
    <xf numFmtId="203" fontId="17" fillId="0" borderId="19" xfId="0" applyNumberFormat="1" applyFont="1" applyBorder="1" applyAlignment="1">
      <alignment vertical="center"/>
    </xf>
    <xf numFmtId="203" fontId="165" fillId="0" borderId="11" xfId="0" applyNumberFormat="1" applyFont="1" applyBorder="1" applyAlignment="1">
      <alignment vertical="center"/>
    </xf>
    <xf numFmtId="203" fontId="165" fillId="0" borderId="9" xfId="0" applyNumberFormat="1" applyFont="1" applyBorder="1" applyAlignment="1">
      <alignment vertical="center" wrapText="1"/>
    </xf>
    <xf numFmtId="203" fontId="165" fillId="0" borderId="1" xfId="0" applyNumberFormat="1" applyFont="1" applyBorder="1" applyAlignment="1">
      <alignment vertical="center" wrapText="1"/>
    </xf>
    <xf numFmtId="203" fontId="166" fillId="0" borderId="1" xfId="0" applyNumberFormat="1" applyFont="1" applyBorder="1" applyAlignment="1">
      <alignment vertical="center"/>
    </xf>
    <xf numFmtId="203" fontId="165" fillId="0" borderId="1" xfId="0" applyNumberFormat="1" applyFont="1" applyBorder="1" applyAlignment="1">
      <alignment horizontal="left" vertical="center"/>
    </xf>
    <xf numFmtId="203" fontId="165" fillId="0" borderId="1" xfId="0" applyNumberFormat="1" applyFont="1" applyBorder="1" applyAlignment="1">
      <alignment vertical="center"/>
    </xf>
    <xf numFmtId="203" fontId="166" fillId="0" borderId="17" xfId="0" applyNumberFormat="1" applyFont="1" applyBorder="1" applyAlignment="1">
      <alignment vertical="center"/>
    </xf>
    <xf numFmtId="0" fontId="157" fillId="0" borderId="6" xfId="0" applyFont="1" applyBorder="1" applyAlignment="1">
      <alignment vertical="center"/>
    </xf>
    <xf numFmtId="0" fontId="67" fillId="0" borderId="4" xfId="0" applyFont="1" applyBorder="1" applyAlignment="1">
      <alignment horizontal="center"/>
    </xf>
    <xf numFmtId="0" fontId="40" fillId="0" borderId="4" xfId="0" applyFont="1" applyBorder="1" applyAlignment="1">
      <alignment horizontal="center"/>
    </xf>
    <xf numFmtId="0" fontId="67" fillId="0" borderId="10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210" fontId="36" fillId="0" borderId="4" xfId="7" applyNumberFormat="1" applyFont="1" applyFill="1" applyBorder="1" applyAlignment="1">
      <alignment horizontal="center"/>
    </xf>
    <xf numFmtId="209" fontId="40" fillId="5" borderId="4" xfId="7" applyNumberFormat="1" applyFont="1" applyFill="1" applyBorder="1" applyAlignment="1">
      <alignment horizontal="center"/>
    </xf>
    <xf numFmtId="210" fontId="70" fillId="5" borderId="4" xfId="0" applyNumberFormat="1" applyFont="1" applyFill="1" applyBorder="1"/>
    <xf numFmtId="209" fontId="66" fillId="5" borderId="4" xfId="7" applyNumberFormat="1" applyFont="1" applyFill="1" applyBorder="1" applyAlignment="1">
      <alignment horizontal="center"/>
    </xf>
    <xf numFmtId="209" fontId="60" fillId="5" borderId="4" xfId="7" applyNumberFormat="1" applyFont="1" applyFill="1" applyBorder="1" applyAlignment="1">
      <alignment horizontal="center"/>
    </xf>
    <xf numFmtId="210" fontId="147" fillId="5" borderId="4" xfId="0" applyNumberFormat="1" applyFont="1" applyFill="1" applyBorder="1"/>
    <xf numFmtId="1" fontId="11" fillId="0" borderId="11" xfId="0" applyNumberFormat="1" applyFont="1" applyBorder="1" applyAlignment="1">
      <alignment horizontal="center" vertical="center"/>
    </xf>
    <xf numFmtId="0" fontId="12" fillId="4" borderId="4" xfId="20" applyFont="1" applyFill="1" applyBorder="1" applyAlignment="1">
      <alignment horizontal="center" vertical="center"/>
    </xf>
    <xf numFmtId="2" fontId="162" fillId="0" borderId="4" xfId="1" applyNumberFormat="1" applyFont="1" applyFill="1" applyBorder="1" applyAlignment="1">
      <alignment horizontal="right" vertical="center"/>
    </xf>
    <xf numFmtId="0" fontId="82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191" fontId="82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96" fontId="26" fillId="0" borderId="0" xfId="1" applyNumberFormat="1" applyFont="1" applyFill="1" applyAlignment="1">
      <alignment horizontal="center"/>
    </xf>
    <xf numFmtId="0" fontId="17" fillId="0" borderId="0" xfId="0" applyFont="1" applyAlignment="1">
      <alignment horizontal="center"/>
    </xf>
    <xf numFmtId="196" fontId="9" fillId="0" borderId="0" xfId="1" applyNumberFormat="1" applyFont="1" applyFill="1" applyAlignment="1">
      <alignment horizontal="center"/>
    </xf>
    <xf numFmtId="212" fontId="9" fillId="0" borderId="0" xfId="0" applyNumberFormat="1" applyFont="1" applyAlignment="1">
      <alignment horizontal="center"/>
    </xf>
    <xf numFmtId="9" fontId="96" fillId="0" borderId="4" xfId="21" applyFont="1" applyFill="1" applyBorder="1" applyAlignment="1">
      <alignment horizontal="center"/>
    </xf>
    <xf numFmtId="4" fontId="11" fillId="0" borderId="4" xfId="21" applyNumberFormat="1" applyFont="1" applyFill="1" applyBorder="1" applyAlignment="1">
      <alignment horizontal="center"/>
    </xf>
    <xf numFmtId="0" fontId="39" fillId="4" borderId="4" xfId="0" applyFont="1" applyFill="1" applyBorder="1" applyAlignment="1">
      <alignment horizontal="center" vertical="center" wrapText="1"/>
    </xf>
    <xf numFmtId="0" fontId="39" fillId="4" borderId="4" xfId="0" applyFont="1" applyFill="1" applyBorder="1" applyAlignment="1">
      <alignment horizontal="left" vertical="center" wrapText="1"/>
    </xf>
    <xf numFmtId="197" fontId="39" fillId="4" borderId="4" xfId="1" applyNumberFormat="1" applyFont="1" applyFill="1" applyBorder="1" applyAlignment="1">
      <alignment vertical="center" wrapText="1"/>
    </xf>
    <xf numFmtId="0" fontId="39" fillId="4" borderId="4" xfId="0" applyFont="1" applyFill="1" applyBorder="1" applyAlignment="1">
      <alignment vertical="center" wrapText="1"/>
    </xf>
    <xf numFmtId="0" fontId="83" fillId="4" borderId="0" xfId="0" applyFont="1" applyFill="1"/>
    <xf numFmtId="0" fontId="83" fillId="4" borderId="0" xfId="0" applyFont="1" applyFill="1" applyAlignment="1">
      <alignment horizontal="center"/>
    </xf>
    <xf numFmtId="197" fontId="26" fillId="4" borderId="0" xfId="1" applyNumberFormat="1" applyFont="1" applyFill="1" applyBorder="1" applyAlignment="1">
      <alignment horizontal="center" vertical="center"/>
    </xf>
    <xf numFmtId="197" fontId="29" fillId="4" borderId="0" xfId="1" applyNumberFormat="1" applyFont="1" applyFill="1" applyBorder="1" applyAlignment="1">
      <alignment vertical="center"/>
    </xf>
    <xf numFmtId="0" fontId="26" fillId="4" borderId="0" xfId="0" applyFont="1" applyFill="1" applyAlignment="1">
      <alignment horizontal="center" vertical="center"/>
    </xf>
    <xf numFmtId="0" fontId="26" fillId="4" borderId="3" xfId="0" applyFont="1" applyFill="1" applyBorder="1" applyAlignment="1">
      <alignment horizontal="center"/>
    </xf>
    <xf numFmtId="0" fontId="82" fillId="4" borderId="4" xfId="0" applyFont="1" applyFill="1" applyBorder="1" applyAlignment="1">
      <alignment horizontal="center" vertical="center" shrinkToFit="1"/>
    </xf>
    <xf numFmtId="0" fontId="26" fillId="4" borderId="4" xfId="0" applyFont="1" applyFill="1" applyBorder="1" applyAlignment="1">
      <alignment horizontal="center" vertical="center" shrinkToFit="1"/>
    </xf>
    <xf numFmtId="190" fontId="11" fillId="4" borderId="4" xfId="19" applyNumberFormat="1" applyFont="1" applyFill="1" applyBorder="1" applyAlignment="1">
      <alignment horizontal="center" vertical="center"/>
    </xf>
    <xf numFmtId="198" fontId="82" fillId="4" borderId="0" xfId="1" applyNumberFormat="1" applyFont="1" applyFill="1"/>
    <xf numFmtId="197" fontId="82" fillId="4" borderId="0" xfId="0" applyNumberFormat="1" applyFont="1" applyFill="1"/>
    <xf numFmtId="198" fontId="83" fillId="4" borderId="0" xfId="1" applyNumberFormat="1" applyFont="1" applyFill="1"/>
    <xf numFmtId="197" fontId="83" fillId="4" borderId="0" xfId="0" applyNumberFormat="1" applyFont="1" applyFill="1"/>
    <xf numFmtId="0" fontId="94" fillId="4" borderId="0" xfId="0" applyFont="1" applyFill="1" applyAlignment="1">
      <alignment horizontal="center"/>
    </xf>
    <xf numFmtId="0" fontId="94" fillId="4" borderId="0" xfId="0" applyFont="1" applyFill="1"/>
    <xf numFmtId="3" fontId="110" fillId="0" borderId="0" xfId="1" applyNumberFormat="1" applyFont="1" applyFill="1" applyAlignment="1">
      <alignment horizontal="center"/>
    </xf>
    <xf numFmtId="190" fontId="26" fillId="0" borderId="0" xfId="1" applyNumberFormat="1" applyFont="1" applyFill="1" applyAlignment="1">
      <alignment horizontal="center"/>
    </xf>
    <xf numFmtId="4" fontId="12" fillId="0" borderId="0" xfId="1" applyNumberFormat="1" applyFont="1" applyFill="1" applyAlignment="1">
      <alignment horizontal="center"/>
    </xf>
    <xf numFmtId="3" fontId="12" fillId="0" borderId="0" xfId="1" applyNumberFormat="1" applyFont="1" applyFill="1" applyAlignment="1">
      <alignment horizontal="center"/>
    </xf>
    <xf numFmtId="190" fontId="12" fillId="0" borderId="0" xfId="1" applyNumberFormat="1" applyFont="1" applyFill="1" applyAlignment="1">
      <alignment horizontal="center"/>
    </xf>
    <xf numFmtId="196" fontId="10" fillId="0" borderId="4" xfId="1" applyNumberFormat="1" applyFont="1" applyFill="1" applyBorder="1" applyAlignment="1">
      <alignment horizontal="right" vertical="center"/>
    </xf>
    <xf numFmtId="196" fontId="12" fillId="0" borderId="0" xfId="1" applyNumberFormat="1" applyFont="1" applyFill="1" applyAlignment="1">
      <alignment horizontal="right"/>
    </xf>
    <xf numFmtId="0" fontId="40" fillId="0" borderId="4" xfId="18" applyFont="1" applyBorder="1" applyAlignment="1">
      <alignment horizontal="center" vertical="center"/>
    </xf>
    <xf numFmtId="0" fontId="40" fillId="0" borderId="4" xfId="18" applyFont="1" applyBorder="1" applyAlignment="1">
      <alignment horizontal="left" vertical="center"/>
    </xf>
    <xf numFmtId="4" fontId="12" fillId="0" borderId="4" xfId="1" applyNumberFormat="1" applyFont="1" applyFill="1" applyBorder="1" applyAlignment="1">
      <alignment horizontal="center"/>
    </xf>
    <xf numFmtId="212" fontId="11" fillId="0" borderId="0" xfId="1" applyNumberFormat="1" applyFont="1" applyFill="1" applyBorder="1" applyAlignment="1">
      <alignment horizontal="right" vertical="center" shrinkToFit="1"/>
    </xf>
    <xf numFmtId="191" fontId="12" fillId="0" borderId="0" xfId="1" applyNumberFormat="1" applyFont="1" applyFill="1"/>
    <xf numFmtId="0" fontId="36" fillId="0" borderId="4" xfId="18" applyFont="1" applyBorder="1" applyAlignment="1">
      <alignment horizontal="center" vertical="center"/>
    </xf>
    <xf numFmtId="3" fontId="12" fillId="0" borderId="4" xfId="1" applyNumberFormat="1" applyFont="1" applyFill="1" applyBorder="1" applyAlignment="1">
      <alignment horizontal="center"/>
    </xf>
    <xf numFmtId="212" fontId="12" fillId="0" borderId="0" xfId="0" applyNumberFormat="1" applyFont="1"/>
    <xf numFmtId="0" fontId="12" fillId="0" borderId="4" xfId="18" applyFont="1" applyBorder="1" applyAlignment="1">
      <alignment horizontal="left" vertical="center"/>
    </xf>
    <xf numFmtId="3" fontId="12" fillId="0" borderId="4" xfId="0" applyNumberFormat="1" applyFont="1" applyBorder="1" applyAlignment="1">
      <alignment horizontal="center"/>
    </xf>
    <xf numFmtId="214" fontId="12" fillId="0" borderId="0" xfId="0" applyNumberFormat="1" applyFont="1"/>
    <xf numFmtId="216" fontId="12" fillId="0" borderId="0" xfId="1" applyNumberFormat="1" applyFont="1" applyFill="1"/>
    <xf numFmtId="214" fontId="12" fillId="0" borderId="4" xfId="0" applyNumberFormat="1" applyFont="1" applyBorder="1" applyAlignment="1">
      <alignment horizontal="center"/>
    </xf>
    <xf numFmtId="196" fontId="12" fillId="0" borderId="4" xfId="1" applyNumberFormat="1" applyFont="1" applyFill="1" applyBorder="1" applyAlignment="1"/>
    <xf numFmtId="219" fontId="12" fillId="0" borderId="4" xfId="1" applyNumberFormat="1" applyFont="1" applyFill="1" applyBorder="1" applyAlignment="1">
      <alignment horizontal="right"/>
    </xf>
    <xf numFmtId="195" fontId="12" fillId="0" borderId="4" xfId="1" applyFont="1" applyFill="1" applyBorder="1" applyAlignment="1"/>
    <xf numFmtId="4" fontId="12" fillId="0" borderId="0" xfId="0" applyNumberFormat="1" applyFont="1"/>
    <xf numFmtId="3" fontId="10" fillId="0" borderId="0" xfId="0" applyNumberFormat="1" applyFont="1"/>
    <xf numFmtId="0" fontId="10" fillId="0" borderId="4" xfId="18" applyFont="1" applyBorder="1" applyAlignment="1">
      <alignment horizontal="center" vertical="center"/>
    </xf>
    <xf numFmtId="0" fontId="10" fillId="0" borderId="4" xfId="18" applyFont="1" applyBorder="1" applyAlignment="1">
      <alignment horizontal="left" vertical="center"/>
    </xf>
    <xf numFmtId="196" fontId="147" fillId="0" borderId="4" xfId="1" applyNumberFormat="1" applyFont="1" applyFill="1" applyBorder="1" applyAlignment="1">
      <alignment horizontal="right"/>
    </xf>
    <xf numFmtId="3" fontId="10" fillId="0" borderId="0" xfId="0" applyNumberFormat="1" applyFont="1" applyAlignment="1">
      <alignment horizontal="center"/>
    </xf>
    <xf numFmtId="191" fontId="12" fillId="0" borderId="0" xfId="1" applyNumberFormat="1" applyFont="1" applyFill="1" applyAlignment="1">
      <alignment horizontal="right"/>
    </xf>
    <xf numFmtId="0" fontId="90" fillId="0" borderId="0" xfId="16" applyFont="1" applyAlignment="1">
      <alignment horizontal="center"/>
    </xf>
    <xf numFmtId="196" fontId="38" fillId="0" borderId="0" xfId="1" applyNumberFormat="1" applyFont="1" applyFill="1" applyAlignment="1">
      <alignment horizontal="center"/>
    </xf>
    <xf numFmtId="196" fontId="38" fillId="0" borderId="0" xfId="1" applyNumberFormat="1" applyFont="1" applyFill="1" applyAlignment="1">
      <alignment horizontal="right"/>
    </xf>
    <xf numFmtId="196" fontId="38" fillId="0" borderId="0" xfId="1" applyNumberFormat="1" applyFont="1" applyFill="1"/>
    <xf numFmtId="227" fontId="38" fillId="0" borderId="0" xfId="0" applyNumberFormat="1" applyFont="1"/>
    <xf numFmtId="195" fontId="10" fillId="6" borderId="4" xfId="1" applyFont="1" applyFill="1" applyBorder="1" applyAlignment="1">
      <alignment horizontal="right"/>
    </xf>
    <xf numFmtId="197" fontId="42" fillId="0" borderId="4" xfId="0" applyNumberFormat="1" applyFont="1" applyBorder="1" applyAlignment="1">
      <alignment horizontal="center" vertical="center" wrapText="1"/>
    </xf>
    <xf numFmtId="197" fontId="42" fillId="0" borderId="4" xfId="0" applyNumberFormat="1" applyFont="1" applyBorder="1"/>
    <xf numFmtId="0" fontId="7" fillId="0" borderId="0" xfId="0" applyFont="1" applyAlignment="1">
      <alignment vertical="center" wrapText="1"/>
    </xf>
    <xf numFmtId="0" fontId="82" fillId="0" borderId="26" xfId="18" applyFont="1" applyBorder="1" applyAlignment="1">
      <alignment vertical="center" wrapText="1"/>
    </xf>
    <xf numFmtId="0" fontId="82" fillId="0" borderId="16" xfId="18" applyFont="1" applyBorder="1" applyAlignment="1">
      <alignment vertical="center"/>
    </xf>
    <xf numFmtId="234" fontId="12" fillId="0" borderId="0" xfId="1" applyNumberFormat="1" applyFont="1" applyFill="1" applyAlignment="1"/>
    <xf numFmtId="197" fontId="26" fillId="0" borderId="0" xfId="1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 shrinkToFit="1"/>
    </xf>
    <xf numFmtId="1" fontId="119" fillId="0" borderId="4" xfId="1" applyNumberFormat="1" applyFont="1" applyFill="1" applyBorder="1" applyAlignment="1">
      <alignment horizontal="center" vertical="center"/>
    </xf>
    <xf numFmtId="1" fontId="117" fillId="0" borderId="4" xfId="1" applyNumberFormat="1" applyFont="1" applyFill="1" applyBorder="1" applyAlignment="1">
      <alignment horizontal="center" vertical="center"/>
    </xf>
    <xf numFmtId="1" fontId="119" fillId="0" borderId="19" xfId="1" applyNumberFormat="1" applyFont="1" applyFill="1" applyBorder="1" applyAlignment="1">
      <alignment horizontal="center" vertical="center"/>
    </xf>
    <xf numFmtId="1" fontId="117" fillId="0" borderId="14" xfId="1" applyNumberFormat="1" applyFont="1" applyFill="1" applyBorder="1" applyAlignment="1">
      <alignment horizontal="center" vertical="center"/>
    </xf>
    <xf numFmtId="0" fontId="42" fillId="0" borderId="4" xfId="0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/>
    </xf>
    <xf numFmtId="190" fontId="117" fillId="0" borderId="0" xfId="1" applyNumberFormat="1" applyFont="1" applyFill="1" applyAlignment="1">
      <alignment horizontal="center"/>
    </xf>
    <xf numFmtId="190" fontId="96" fillId="0" borderId="0" xfId="1" applyNumberFormat="1" applyFont="1" applyFill="1" applyAlignment="1">
      <alignment horizontal="center"/>
    </xf>
    <xf numFmtId="198" fontId="26" fillId="0" borderId="0" xfId="1" applyNumberFormat="1" applyFont="1" applyFill="1" applyAlignment="1">
      <alignment horizontal="center"/>
    </xf>
    <xf numFmtId="0" fontId="57" fillId="0" borderId="0" xfId="0" applyFont="1" applyAlignment="1">
      <alignment horizontal="center"/>
    </xf>
    <xf numFmtId="198" fontId="44" fillId="0" borderId="0" xfId="1" applyNumberFormat="1" applyFont="1" applyFill="1" applyAlignment="1">
      <alignment horizontal="center"/>
    </xf>
    <xf numFmtId="0" fontId="44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42" fillId="0" borderId="4" xfId="0" applyFont="1" applyBorder="1" applyAlignment="1">
      <alignment horizontal="center" vertical="center"/>
    </xf>
    <xf numFmtId="0" fontId="39" fillId="0" borderId="0" xfId="0" applyFont="1" applyAlignment="1">
      <alignment horizontal="left"/>
    </xf>
    <xf numFmtId="0" fontId="53" fillId="0" borderId="0" xfId="0" applyFont="1" applyAlignment="1">
      <alignment horizontal="center" vertical="center" shrinkToFit="1"/>
    </xf>
    <xf numFmtId="0" fontId="40" fillId="0" borderId="0" xfId="0" applyFont="1" applyAlignment="1">
      <alignment horizontal="center"/>
    </xf>
    <xf numFmtId="0" fontId="164" fillId="0" borderId="4" xfId="0" applyFont="1" applyBorder="1" applyAlignment="1">
      <alignment horizontal="center"/>
    </xf>
    <xf numFmtId="196" fontId="169" fillId="8" borderId="0" xfId="28" applyNumberFormat="1" applyAlignment="1">
      <alignment vertical="center"/>
    </xf>
    <xf numFmtId="190" fontId="171" fillId="0" borderId="0" xfId="1" applyNumberFormat="1" applyFont="1" applyFill="1" applyAlignment="1">
      <alignment horizontal="center"/>
    </xf>
    <xf numFmtId="190" fontId="171" fillId="0" borderId="0" xfId="1" applyNumberFormat="1" applyFont="1" applyFill="1" applyAlignment="1"/>
    <xf numFmtId="231" fontId="173" fillId="0" borderId="0" xfId="1" applyNumberFormat="1" applyFont="1" applyFill="1" applyAlignment="1"/>
    <xf numFmtId="0" fontId="149" fillId="0" borderId="0" xfId="0" applyFont="1"/>
    <xf numFmtId="196" fontId="61" fillId="0" borderId="4" xfId="0" applyNumberFormat="1" applyFont="1" applyBorder="1" applyAlignment="1">
      <alignment horizontal="right" vertical="center"/>
    </xf>
    <xf numFmtId="3" fontId="121" fillId="0" borderId="4" xfId="5" applyNumberFormat="1" applyFont="1" applyFill="1" applyBorder="1" applyAlignment="1">
      <alignment horizontal="right" vertical="center"/>
    </xf>
    <xf numFmtId="3" fontId="174" fillId="0" borderId="4" xfId="0" applyNumberFormat="1" applyFont="1" applyBorder="1" applyAlignment="1">
      <alignment horizontal="right" vertical="center"/>
    </xf>
    <xf numFmtId="198" fontId="10" fillId="0" borderId="0" xfId="1" applyNumberFormat="1" applyFont="1" applyFill="1" applyAlignment="1"/>
    <xf numFmtId="198" fontId="27" fillId="0" borderId="0" xfId="1" applyNumberFormat="1" applyFont="1" applyFill="1" applyAlignment="1"/>
    <xf numFmtId="198" fontId="16" fillId="0" borderId="0" xfId="1" applyNumberFormat="1" applyFont="1" applyFill="1" applyAlignment="1"/>
    <xf numFmtId="0" fontId="175" fillId="0" borderId="0" xfId="0" applyFont="1"/>
    <xf numFmtId="0" fontId="176" fillId="0" borderId="0" xfId="0" applyFont="1"/>
    <xf numFmtId="201" fontId="16" fillId="0" borderId="0" xfId="1" applyNumberFormat="1" applyFont="1" applyFill="1" applyAlignment="1">
      <alignment horizontal="center"/>
    </xf>
    <xf numFmtId="0" fontId="61" fillId="0" borderId="0" xfId="0" applyFont="1" applyAlignment="1">
      <alignment horizontal="center"/>
    </xf>
    <xf numFmtId="0" fontId="61" fillId="0" borderId="0" xfId="0" applyFont="1"/>
    <xf numFmtId="0" fontId="174" fillId="0" borderId="0" xfId="0" applyFont="1" applyAlignment="1">
      <alignment horizontal="center"/>
    </xf>
    <xf numFmtId="0" fontId="176" fillId="0" borderId="0" xfId="0" applyFont="1" applyAlignment="1">
      <alignment horizontal="center"/>
    </xf>
    <xf numFmtId="0" fontId="17" fillId="0" borderId="0" xfId="0" applyFont="1" applyAlignment="1">
      <alignment wrapText="1"/>
    </xf>
    <xf numFmtId="0" fontId="61" fillId="0" borderId="4" xfId="0" applyFont="1" applyBorder="1" applyAlignment="1">
      <alignment horizontal="center" vertical="center"/>
    </xf>
    <xf numFmtId="0" fontId="61" fillId="0" borderId="4" xfId="0" applyFont="1" applyBorder="1" applyAlignment="1">
      <alignment horizontal="left" vertical="center"/>
    </xf>
    <xf numFmtId="0" fontId="61" fillId="0" borderId="16" xfId="0" applyFont="1" applyBorder="1" applyAlignment="1">
      <alignment horizontal="left" vertical="center"/>
    </xf>
    <xf numFmtId="0" fontId="61" fillId="0" borderId="16" xfId="0" applyFont="1" applyBorder="1" applyAlignment="1">
      <alignment horizontal="center" vertical="center"/>
    </xf>
    <xf numFmtId="196" fontId="61" fillId="0" borderId="4" xfId="1" applyNumberFormat="1" applyFont="1" applyFill="1" applyBorder="1" applyAlignment="1">
      <alignment horizontal="right" vertical="center" wrapText="1"/>
    </xf>
    <xf numFmtId="196" fontId="61" fillId="0" borderId="4" xfId="0" applyNumberFormat="1" applyFont="1" applyBorder="1" applyAlignment="1">
      <alignment horizontal="center" vertical="center" wrapText="1"/>
    </xf>
    <xf numFmtId="0" fontId="174" fillId="0" borderId="4" xfId="0" applyFont="1" applyBorder="1" applyAlignment="1">
      <alignment horizontal="center" vertical="center"/>
    </xf>
    <xf numFmtId="3" fontId="174" fillId="0" borderId="4" xfId="0" applyNumberFormat="1" applyFont="1" applyBorder="1" applyAlignment="1">
      <alignment horizontal="center" vertical="center"/>
    </xf>
    <xf numFmtId="3" fontId="152" fillId="0" borderId="4" xfId="0" applyNumberFormat="1" applyFont="1" applyBorder="1" applyAlignment="1">
      <alignment horizontal="right" vertical="center"/>
    </xf>
    <xf numFmtId="0" fontId="63" fillId="0" borderId="0" xfId="0" applyFont="1" applyAlignment="1">
      <alignment horizontal="center"/>
    </xf>
    <xf numFmtId="0" fontId="44" fillId="0" borderId="0" xfId="0" applyFont="1" applyAlignment="1">
      <alignment vertical="center"/>
    </xf>
    <xf numFmtId="190" fontId="26" fillId="0" borderId="0" xfId="0" applyNumberFormat="1" applyFont="1" applyAlignment="1">
      <alignment vertical="center"/>
    </xf>
    <xf numFmtId="4" fontId="26" fillId="0" borderId="0" xfId="0" applyNumberFormat="1" applyFont="1"/>
    <xf numFmtId="190" fontId="20" fillId="0" borderId="0" xfId="0" applyNumberFormat="1" applyFont="1"/>
    <xf numFmtId="0" fontId="44" fillId="0" borderId="14" xfId="0" applyFont="1" applyBorder="1" applyAlignment="1">
      <alignment vertical="center"/>
    </xf>
    <xf numFmtId="0" fontId="26" fillId="0" borderId="14" xfId="0" applyFont="1" applyBorder="1" applyAlignment="1">
      <alignment vertical="center"/>
    </xf>
    <xf numFmtId="3" fontId="26" fillId="0" borderId="4" xfId="0" applyNumberFormat="1" applyFont="1" applyBorder="1" applyAlignment="1">
      <alignment horizontal="right" vertical="center" wrapText="1"/>
    </xf>
    <xf numFmtId="0" fontId="26" fillId="4" borderId="0" xfId="0" applyFont="1" applyFill="1" applyAlignment="1">
      <alignment vertical="center"/>
    </xf>
    <xf numFmtId="0" fontId="63" fillId="0" borderId="15" xfId="0" applyFont="1" applyBorder="1"/>
    <xf numFmtId="0" fontId="4" fillId="0" borderId="0" xfId="0" applyFont="1"/>
    <xf numFmtId="196" fontId="4" fillId="0" borderId="0" xfId="1" applyNumberFormat="1" applyFont="1" applyFill="1" applyBorder="1"/>
    <xf numFmtId="0" fontId="82" fillId="0" borderId="4" xfId="0" applyFont="1" applyBorder="1"/>
    <xf numFmtId="0" fontId="26" fillId="0" borderId="4" xfId="0" applyFont="1" applyBorder="1" applyAlignment="1">
      <alignment horizontal="center"/>
    </xf>
    <xf numFmtId="0" fontId="26" fillId="0" borderId="4" xfId="0" applyFont="1" applyBorder="1" applyAlignment="1">
      <alignment horizontal="center" wrapText="1"/>
    </xf>
    <xf numFmtId="0" fontId="26" fillId="0" borderId="19" xfId="0" applyFont="1" applyBorder="1" applyAlignment="1">
      <alignment horizontal="center"/>
    </xf>
    <xf numFmtId="0" fontId="180" fillId="0" borderId="0" xfId="0" applyFont="1"/>
    <xf numFmtId="0" fontId="82" fillId="5" borderId="4" xfId="0" applyFont="1" applyFill="1" applyBorder="1"/>
    <xf numFmtId="0" fontId="26" fillId="5" borderId="4" xfId="0" applyFont="1" applyFill="1" applyBorder="1" applyAlignment="1">
      <alignment horizontal="center"/>
    </xf>
    <xf numFmtId="0" fontId="26" fillId="5" borderId="4" xfId="0" applyFont="1" applyFill="1" applyBorder="1" applyAlignment="1">
      <alignment horizontal="center" vertical="center"/>
    </xf>
    <xf numFmtId="0" fontId="164" fillId="5" borderId="4" xfId="0" applyFont="1" applyFill="1" applyBorder="1" applyAlignment="1">
      <alignment horizontal="center"/>
    </xf>
    <xf numFmtId="0" fontId="26" fillId="5" borderId="4" xfId="0" applyFont="1" applyFill="1" applyBorder="1" applyAlignment="1">
      <alignment horizontal="center" wrapText="1"/>
    </xf>
    <xf numFmtId="0" fontId="26" fillId="5" borderId="0" xfId="0" applyFont="1" applyFill="1" applyAlignment="1">
      <alignment horizontal="center"/>
    </xf>
    <xf numFmtId="0" fontId="180" fillId="5" borderId="0" xfId="0" applyFont="1" applyFill="1"/>
    <xf numFmtId="0" fontId="140" fillId="0" borderId="4" xfId="0" applyFont="1" applyBorder="1"/>
    <xf numFmtId="0" fontId="140" fillId="0" borderId="4" xfId="16" applyFont="1" applyBorder="1" applyAlignment="1">
      <alignment horizontal="left"/>
    </xf>
    <xf numFmtId="0" fontId="140" fillId="0" borderId="4" xfId="16" quotePrefix="1" applyFont="1" applyBorder="1" applyAlignment="1">
      <alignment horizontal="center" vertical="center"/>
    </xf>
    <xf numFmtId="0" fontId="140" fillId="0" borderId="4" xfId="16" applyFont="1" applyBorder="1" applyAlignment="1">
      <alignment horizontal="center"/>
    </xf>
    <xf numFmtId="0" fontId="140" fillId="0" borderId="4" xfId="0" quotePrefix="1" applyFont="1" applyBorder="1"/>
    <xf numFmtId="0" fontId="140" fillId="0" borderId="4" xfId="16" applyFont="1" applyBorder="1" applyAlignment="1">
      <alignment horizontal="center" vertical="center"/>
    </xf>
    <xf numFmtId="0" fontId="140" fillId="0" borderId="4" xfId="0" applyFont="1" applyBorder="1" applyAlignment="1">
      <alignment horizontal="center" vertical="center"/>
    </xf>
    <xf numFmtId="0" fontId="140" fillId="0" borderId="4" xfId="0" applyFont="1" applyBorder="1" applyAlignment="1">
      <alignment horizontal="left"/>
    </xf>
    <xf numFmtId="0" fontId="104" fillId="0" borderId="4" xfId="0" applyFont="1" applyBorder="1" applyAlignment="1">
      <alignment horizontal="left"/>
    </xf>
    <xf numFmtId="0" fontId="140" fillId="0" borderId="4" xfId="0" quotePrefix="1" applyFont="1" applyBorder="1" applyAlignment="1">
      <alignment horizontal="center"/>
    </xf>
    <xf numFmtId="0" fontId="104" fillId="0" borderId="4" xfId="0" applyFont="1" applyBorder="1" applyAlignment="1">
      <alignment horizontal="center"/>
    </xf>
    <xf numFmtId="3" fontId="102" fillId="0" borderId="4" xfId="0" quotePrefix="1" applyNumberFormat="1" applyFont="1" applyBorder="1" applyAlignment="1">
      <alignment horizontal="center"/>
    </xf>
    <xf numFmtId="0" fontId="140" fillId="0" borderId="4" xfId="0" applyFont="1" applyBorder="1" applyAlignment="1">
      <alignment horizontal="center"/>
    </xf>
    <xf numFmtId="3" fontId="12" fillId="0" borderId="4" xfId="0" quotePrefix="1" applyNumberFormat="1" applyFont="1" applyBorder="1" applyAlignment="1">
      <alignment horizontal="center"/>
    </xf>
    <xf numFmtId="0" fontId="140" fillId="4" borderId="4" xfId="0" applyFont="1" applyFill="1" applyBorder="1" applyAlignment="1">
      <alignment horizontal="center"/>
    </xf>
    <xf numFmtId="0" fontId="140" fillId="4" borderId="4" xfId="16" applyFont="1" applyFill="1" applyBorder="1" applyAlignment="1">
      <alignment horizontal="center"/>
    </xf>
    <xf numFmtId="0" fontId="140" fillId="5" borderId="4" xfId="0" applyFont="1" applyFill="1" applyBorder="1" applyAlignment="1">
      <alignment horizontal="center"/>
    </xf>
    <xf numFmtId="0" fontId="140" fillId="5" borderId="4" xfId="0" applyFont="1" applyFill="1" applyBorder="1"/>
    <xf numFmtId="0" fontId="140" fillId="5" borderId="4" xfId="0" applyFont="1" applyFill="1" applyBorder="1" applyAlignment="1">
      <alignment horizontal="left"/>
    </xf>
    <xf numFmtId="3" fontId="12" fillId="5" borderId="4" xfId="0" quotePrefix="1" applyNumberFormat="1" applyFont="1" applyFill="1" applyBorder="1" applyAlignment="1">
      <alignment horizontal="center"/>
    </xf>
    <xf numFmtId="0" fontId="0" fillId="5" borderId="0" xfId="0" applyFill="1"/>
    <xf numFmtId="3" fontId="182" fillId="0" borderId="4" xfId="0" quotePrefix="1" applyNumberFormat="1" applyFont="1" applyBorder="1" applyAlignment="1">
      <alignment horizontal="center"/>
    </xf>
    <xf numFmtId="0" fontId="58" fillId="0" borderId="0" xfId="14" applyAlignment="1">
      <alignment vertical="center"/>
    </xf>
    <xf numFmtId="0" fontId="0" fillId="0" borderId="0" xfId="0" applyAlignment="1">
      <alignment horizontal="center" vertical="center"/>
    </xf>
    <xf numFmtId="0" fontId="182" fillId="0" borderId="0" xfId="0" applyFont="1" applyAlignment="1">
      <alignment vertical="center"/>
    </xf>
    <xf numFmtId="0" fontId="182" fillId="0" borderId="0" xfId="0" applyFont="1"/>
    <xf numFmtId="197" fontId="11" fillId="0" borderId="4" xfId="1" applyNumberFormat="1" applyFont="1" applyFill="1" applyBorder="1" applyAlignment="1">
      <alignment horizontal="center" vertical="center" shrinkToFit="1"/>
    </xf>
    <xf numFmtId="1" fontId="117" fillId="0" borderId="0" xfId="1" applyNumberFormat="1" applyFont="1" applyFill="1" applyBorder="1" applyAlignment="1">
      <alignment vertical="center"/>
    </xf>
    <xf numFmtId="0" fontId="170" fillId="0" borderId="0" xfId="0" applyFont="1" applyAlignment="1">
      <alignment vertical="center"/>
    </xf>
    <xf numFmtId="0" fontId="130" fillId="4" borderId="0" xfId="19" applyFont="1" applyFill="1" applyAlignment="1">
      <alignment horizontal="center" vertical="center"/>
    </xf>
    <xf numFmtId="214" fontId="130" fillId="4" borderId="0" xfId="26" applyNumberFormat="1" applyFont="1" applyFill="1" applyBorder="1" applyAlignment="1">
      <alignment vertical="center" wrapText="1"/>
    </xf>
    <xf numFmtId="0" fontId="130" fillId="4" borderId="0" xfId="19" applyFont="1" applyFill="1" applyAlignment="1">
      <alignment horizontal="center"/>
    </xf>
    <xf numFmtId="214" fontId="130" fillId="4" borderId="0" xfId="26" applyNumberFormat="1" applyFont="1" applyFill="1" applyBorder="1" applyAlignment="1">
      <alignment wrapText="1"/>
    </xf>
    <xf numFmtId="0" fontId="135" fillId="4" borderId="0" xfId="0" applyFont="1" applyFill="1"/>
    <xf numFmtId="0" fontId="135" fillId="4" borderId="0" xfId="19" applyFont="1" applyFill="1" applyAlignment="1">
      <alignment horizontal="center"/>
    </xf>
    <xf numFmtId="214" fontId="135" fillId="4" borderId="0" xfId="26" applyNumberFormat="1" applyFont="1" applyFill="1" applyBorder="1" applyAlignment="1">
      <alignment wrapText="1"/>
    </xf>
    <xf numFmtId="0" fontId="162" fillId="4" borderId="0" xfId="19" applyFont="1" applyFill="1" applyAlignment="1">
      <alignment horizontal="center" vertical="center"/>
    </xf>
    <xf numFmtId="214" fontId="162" fillId="4" borderId="0" xfId="26" applyNumberFormat="1" applyFont="1" applyFill="1" applyBorder="1" applyAlignment="1">
      <alignment vertical="center" wrapText="1"/>
    </xf>
    <xf numFmtId="0" fontId="163" fillId="4" borderId="0" xfId="19" applyFont="1" applyFill="1" applyAlignment="1">
      <alignment horizontal="center"/>
    </xf>
    <xf numFmtId="214" fontId="163" fillId="4" borderId="0" xfId="26" applyNumberFormat="1" applyFont="1" applyFill="1" applyBorder="1" applyAlignment="1">
      <alignment wrapText="1"/>
    </xf>
    <xf numFmtId="3" fontId="130" fillId="4" borderId="0" xfId="26" applyNumberFormat="1" applyFont="1" applyFill="1" applyBorder="1" applyAlignment="1">
      <alignment horizontal="right" wrapText="1"/>
    </xf>
    <xf numFmtId="214" fontId="130" fillId="4" borderId="0" xfId="26" applyNumberFormat="1" applyFont="1" applyFill="1" applyBorder="1" applyAlignment="1">
      <alignment horizontal="right" wrapText="1"/>
    </xf>
    <xf numFmtId="0" fontId="135" fillId="4" borderId="0" xfId="19" applyFont="1" applyFill="1"/>
    <xf numFmtId="0" fontId="135" fillId="0" borderId="0" xfId="19" applyFont="1"/>
    <xf numFmtId="0" fontId="135" fillId="4" borderId="0" xfId="19" applyFont="1" applyFill="1" applyAlignment="1">
      <alignment horizontal="left"/>
    </xf>
    <xf numFmtId="3" fontId="135" fillId="4" borderId="0" xfId="19" applyNumberFormat="1" applyFont="1" applyFill="1" applyAlignment="1">
      <alignment horizontal="center"/>
    </xf>
    <xf numFmtId="0" fontId="136" fillId="4" borderId="0" xfId="19" applyFont="1" applyFill="1"/>
    <xf numFmtId="0" fontId="130" fillId="4" borderId="0" xfId="0" applyFont="1" applyFill="1"/>
    <xf numFmtId="0" fontId="130" fillId="4" borderId="0" xfId="19" applyFont="1" applyFill="1"/>
    <xf numFmtId="0" fontId="183" fillId="4" borderId="4" xfId="0" applyFont="1" applyFill="1" applyBorder="1" applyAlignment="1">
      <alignment horizontal="center" vertical="center" wrapText="1"/>
    </xf>
    <xf numFmtId="221" fontId="61" fillId="0" borderId="4" xfId="1" applyNumberFormat="1" applyFont="1" applyFill="1" applyBorder="1" applyAlignment="1">
      <alignment vertical="center" wrapText="1"/>
    </xf>
    <xf numFmtId="10" fontId="121" fillId="0" borderId="4" xfId="21" applyNumberFormat="1" applyFont="1" applyFill="1" applyBorder="1" applyAlignment="1">
      <alignment vertical="center" wrapText="1"/>
    </xf>
    <xf numFmtId="0" fontId="34" fillId="0" borderId="0" xfId="0" applyFont="1" applyAlignment="1">
      <alignment horizontal="center" vertical="center"/>
    </xf>
    <xf numFmtId="0" fontId="135" fillId="4" borderId="4" xfId="19" applyFont="1" applyFill="1" applyBorder="1" applyAlignment="1">
      <alignment horizontal="center" vertical="center"/>
    </xf>
    <xf numFmtId="190" fontId="26" fillId="0" borderId="4" xfId="1" applyNumberFormat="1" applyFont="1" applyFill="1" applyBorder="1" applyAlignment="1">
      <alignment horizontal="center" vertical="center" wrapText="1"/>
    </xf>
    <xf numFmtId="3" fontId="184" fillId="9" borderId="0" xfId="0" applyNumberFormat="1" applyFont="1" applyFill="1"/>
    <xf numFmtId="1" fontId="186" fillId="0" borderId="0" xfId="1" applyNumberFormat="1" applyFont="1" applyFill="1" applyAlignment="1">
      <alignment vertical="center"/>
    </xf>
    <xf numFmtId="1" fontId="187" fillId="0" borderId="0" xfId="1" applyNumberFormat="1" applyFont="1" applyFill="1" applyBorder="1" applyAlignment="1">
      <alignment horizontal="center" vertical="center"/>
    </xf>
    <xf numFmtId="1" fontId="187" fillId="0" borderId="0" xfId="1" applyNumberFormat="1" applyFont="1" applyFill="1" applyBorder="1" applyAlignment="1">
      <alignment vertical="center"/>
    </xf>
    <xf numFmtId="1" fontId="160" fillId="0" borderId="0" xfId="1" applyNumberFormat="1" applyFont="1" applyFill="1" applyAlignment="1">
      <alignment vertical="center"/>
    </xf>
    <xf numFmtId="212" fontId="189" fillId="4" borderId="4" xfId="1" applyNumberFormat="1" applyFont="1" applyFill="1" applyBorder="1" applyAlignment="1" applyProtection="1">
      <alignment horizontal="center" vertical="center"/>
    </xf>
    <xf numFmtId="212" fontId="189" fillId="0" borderId="4" xfId="1" applyNumberFormat="1" applyFont="1" applyFill="1" applyBorder="1" applyAlignment="1" applyProtection="1">
      <alignment horizontal="center" vertical="center"/>
    </xf>
    <xf numFmtId="196" fontId="135" fillId="0" borderId="4" xfId="1" applyNumberFormat="1" applyFont="1" applyFill="1" applyBorder="1" applyAlignment="1">
      <alignment horizontal="center" vertical="center" wrapText="1"/>
    </xf>
    <xf numFmtId="1" fontId="190" fillId="0" borderId="4" xfId="0" applyNumberFormat="1" applyFont="1" applyBorder="1" applyAlignment="1">
      <alignment horizontal="center" vertical="center"/>
    </xf>
    <xf numFmtId="0" fontId="135" fillId="4" borderId="4" xfId="0" applyFont="1" applyFill="1" applyBorder="1" applyAlignment="1">
      <alignment horizontal="center" vertical="center"/>
    </xf>
    <xf numFmtId="0" fontId="190" fillId="0" borderId="4" xfId="0" applyFont="1" applyBorder="1" applyAlignment="1">
      <alignment horizontal="center" vertical="center"/>
    </xf>
    <xf numFmtId="1" fontId="163" fillId="0" borderId="4" xfId="1" applyNumberFormat="1" applyFont="1" applyFill="1" applyBorder="1" applyAlignment="1">
      <alignment vertical="center"/>
    </xf>
    <xf numFmtId="0" fontId="135" fillId="0" borderId="4" xfId="0" applyFont="1" applyBorder="1" applyAlignment="1">
      <alignment horizontal="center" vertical="center"/>
    </xf>
    <xf numFmtId="3" fontId="135" fillId="4" borderId="4" xfId="4" applyNumberFormat="1" applyFont="1" applyFill="1" applyBorder="1" applyAlignment="1">
      <alignment horizontal="center" vertical="center"/>
    </xf>
    <xf numFmtId="3" fontId="135" fillId="4" borderId="4" xfId="19" applyNumberFormat="1" applyFont="1" applyFill="1" applyBorder="1" applyAlignment="1">
      <alignment horizontal="center" vertical="center"/>
    </xf>
    <xf numFmtId="0" fontId="190" fillId="4" borderId="4" xfId="0" applyFont="1" applyFill="1" applyBorder="1" applyAlignment="1">
      <alignment horizontal="center"/>
    </xf>
    <xf numFmtId="0" fontId="190" fillId="4" borderId="4" xfId="0" applyFont="1" applyFill="1" applyBorder="1" applyAlignment="1">
      <alignment horizontal="right"/>
    </xf>
    <xf numFmtId="0" fontId="190" fillId="0" borderId="4" xfId="0" applyFont="1" applyBorder="1" applyAlignment="1">
      <alignment horizontal="right"/>
    </xf>
    <xf numFmtId="3" fontId="130" fillId="0" borderId="4" xfId="1" applyNumberFormat="1" applyFont="1" applyFill="1" applyBorder="1" applyAlignment="1">
      <alignment horizontal="center" vertical="center"/>
    </xf>
    <xf numFmtId="203" fontId="130" fillId="0" borderId="4" xfId="1" applyNumberFormat="1" applyFont="1" applyFill="1" applyBorder="1" applyAlignment="1">
      <alignment horizontal="center" vertical="center" wrapText="1"/>
    </xf>
    <xf numFmtId="206" fontId="130" fillId="0" borderId="4" xfId="1" applyNumberFormat="1" applyFont="1" applyFill="1" applyBorder="1" applyAlignment="1">
      <alignment horizontal="left" vertical="center"/>
    </xf>
    <xf numFmtId="210" fontId="168" fillId="0" borderId="0" xfId="1" applyNumberFormat="1" applyFont="1" applyFill="1" applyBorder="1" applyAlignment="1">
      <alignment horizontal="center" vertical="center" wrapText="1"/>
    </xf>
    <xf numFmtId="210" fontId="26" fillId="0" borderId="4" xfId="1" applyNumberFormat="1" applyFont="1" applyFill="1" applyBorder="1" applyAlignment="1">
      <alignment vertical="center" wrapText="1"/>
    </xf>
    <xf numFmtId="190" fontId="26" fillId="0" borderId="4" xfId="1" applyNumberFormat="1" applyFont="1" applyFill="1" applyBorder="1" applyAlignment="1">
      <alignment horizontal="center" vertical="top" wrapText="1"/>
    </xf>
    <xf numFmtId="206" fontId="103" fillId="7" borderId="4" xfId="1" applyNumberFormat="1" applyFont="1" applyFill="1" applyBorder="1" applyAlignment="1">
      <alignment horizontal="center" vertical="center" wrapText="1"/>
    </xf>
    <xf numFmtId="213" fontId="7" fillId="0" borderId="0" xfId="1" applyNumberFormat="1" applyFont="1" applyFill="1" applyBorder="1" applyAlignment="1">
      <alignment horizontal="center" vertical="center" shrinkToFit="1"/>
    </xf>
    <xf numFmtId="235" fontId="9" fillId="0" borderId="0" xfId="0" applyNumberFormat="1" applyFont="1"/>
    <xf numFmtId="0" fontId="12" fillId="10" borderId="4" xfId="19" applyFont="1" applyFill="1" applyBorder="1" applyAlignment="1">
      <alignment horizontal="center" vertical="center"/>
    </xf>
    <xf numFmtId="199" fontId="191" fillId="4" borderId="4" xfId="0" applyNumberFormat="1" applyFont="1" applyFill="1" applyBorder="1" applyAlignment="1">
      <alignment horizontal="center"/>
    </xf>
    <xf numFmtId="2" fontId="190" fillId="4" borderId="4" xfId="0" applyNumberFormat="1" applyFont="1" applyFill="1" applyBorder="1" applyAlignment="1">
      <alignment horizontal="center"/>
    </xf>
    <xf numFmtId="2" fontId="190" fillId="4" borderId="4" xfId="0" applyNumberFormat="1" applyFont="1" applyFill="1" applyBorder="1" applyAlignment="1">
      <alignment horizontal="center" vertical="center"/>
    </xf>
    <xf numFmtId="0" fontId="104" fillId="10" borderId="4" xfId="10" applyFont="1" applyFill="1" applyBorder="1"/>
    <xf numFmtId="0" fontId="104" fillId="10" borderId="4" xfId="12" applyFont="1" applyFill="1" applyBorder="1"/>
    <xf numFmtId="0" fontId="159" fillId="0" borderId="4" xfId="0" applyFont="1" applyBorder="1" applyAlignment="1">
      <alignment horizontal="center" vertical="center"/>
    </xf>
    <xf numFmtId="206" fontId="162" fillId="0" borderId="4" xfId="1" applyNumberFormat="1" applyFont="1" applyFill="1" applyBorder="1" applyAlignment="1">
      <alignment horizontal="center" vertical="center"/>
    </xf>
    <xf numFmtId="206" fontId="163" fillId="0" borderId="4" xfId="1" applyNumberFormat="1" applyFont="1" applyFill="1" applyBorder="1" applyAlignment="1">
      <alignment horizontal="center" vertical="center"/>
    </xf>
    <xf numFmtId="1" fontId="104" fillId="0" borderId="0" xfId="1" applyNumberFormat="1" applyFont="1" applyFill="1" applyAlignment="1">
      <alignment vertical="center"/>
    </xf>
    <xf numFmtId="206" fontId="162" fillId="0" borderId="4" xfId="1" applyNumberFormat="1" applyFont="1" applyFill="1" applyBorder="1" applyAlignment="1">
      <alignment horizontal="left" vertical="center"/>
    </xf>
    <xf numFmtId="190" fontId="26" fillId="0" borderId="0" xfId="0" applyNumberFormat="1" applyFont="1" applyAlignment="1">
      <alignment horizontal="center" vertical="center"/>
    </xf>
    <xf numFmtId="0" fontId="100" fillId="0" borderId="4" xfId="0" applyFont="1" applyBorder="1"/>
    <xf numFmtId="0" fontId="100" fillId="0" borderId="4" xfId="0" applyFont="1" applyBorder="1" applyAlignment="1">
      <alignment shrinkToFit="1"/>
    </xf>
    <xf numFmtId="0" fontId="104" fillId="0" borderId="4" xfId="13" applyFont="1" applyBorder="1" applyAlignment="1">
      <alignment vertical="center"/>
    </xf>
    <xf numFmtId="190" fontId="110" fillId="0" borderId="0" xfId="0" applyNumberFormat="1" applyFont="1"/>
    <xf numFmtId="190" fontId="117" fillId="0" borderId="0" xfId="0" applyNumberFormat="1" applyFont="1" applyAlignment="1">
      <alignment horizontal="center"/>
    </xf>
    <xf numFmtId="190" fontId="113" fillId="0" borderId="0" xfId="0" applyNumberFormat="1" applyFont="1" applyAlignment="1">
      <alignment horizontal="center"/>
    </xf>
    <xf numFmtId="0" fontId="96" fillId="0" borderId="4" xfId="0" applyFont="1" applyBorder="1"/>
    <xf numFmtId="3" fontId="96" fillId="0" borderId="4" xfId="0" applyNumberFormat="1" applyFont="1" applyBorder="1"/>
    <xf numFmtId="190" fontId="96" fillId="0" borderId="0" xfId="0" applyNumberFormat="1" applyFont="1"/>
    <xf numFmtId="190" fontId="96" fillId="0" borderId="0" xfId="0" applyNumberFormat="1" applyFont="1" applyAlignment="1">
      <alignment horizontal="center"/>
    </xf>
    <xf numFmtId="190" fontId="96" fillId="0" borderId="0" xfId="0" applyNumberFormat="1" applyFont="1" applyAlignment="1">
      <alignment vertical="center"/>
    </xf>
    <xf numFmtId="213" fontId="110" fillId="0" borderId="0" xfId="0" applyNumberFormat="1" applyFont="1"/>
    <xf numFmtId="3" fontId="110" fillId="0" borderId="0" xfId="0" applyNumberFormat="1" applyFont="1"/>
    <xf numFmtId="4" fontId="96" fillId="0" borderId="0" xfId="0" applyNumberFormat="1" applyFont="1" applyAlignment="1">
      <alignment horizontal="center"/>
    </xf>
    <xf numFmtId="3" fontId="96" fillId="0" borderId="4" xfId="0" applyNumberFormat="1" applyFont="1" applyBorder="1" applyAlignment="1">
      <alignment horizontal="center"/>
    </xf>
    <xf numFmtId="190" fontId="110" fillId="0" borderId="0" xfId="0" applyNumberFormat="1" applyFont="1" applyAlignment="1">
      <alignment vertical="center"/>
    </xf>
    <xf numFmtId="190" fontId="110" fillId="0" borderId="0" xfId="0" applyNumberFormat="1" applyFont="1" applyAlignment="1">
      <alignment horizontal="right"/>
    </xf>
    <xf numFmtId="190" fontId="110" fillId="0" borderId="0" xfId="0" applyNumberFormat="1" applyFont="1" applyAlignment="1">
      <alignment horizontal="left"/>
    </xf>
    <xf numFmtId="202" fontId="110" fillId="0" borderId="0" xfId="0" applyNumberFormat="1" applyFont="1"/>
    <xf numFmtId="190" fontId="96" fillId="0" borderId="0" xfId="0" applyNumberFormat="1" applyFont="1" applyAlignment="1">
      <alignment horizontal="center" vertical="center"/>
    </xf>
    <xf numFmtId="190" fontId="109" fillId="0" borderId="0" xfId="0" applyNumberFormat="1" applyFont="1" applyAlignment="1">
      <alignment horizontal="center" vertical="center"/>
    </xf>
    <xf numFmtId="231" fontId="110" fillId="0" borderId="0" xfId="0" applyNumberFormat="1" applyFont="1"/>
    <xf numFmtId="190" fontId="119" fillId="0" borderId="0" xfId="0" applyNumberFormat="1" applyFont="1" applyAlignment="1">
      <alignment vertical="center"/>
    </xf>
    <xf numFmtId="210" fontId="96" fillId="0" borderId="0" xfId="0" applyNumberFormat="1" applyFont="1"/>
    <xf numFmtId="4" fontId="96" fillId="0" borderId="0" xfId="0" applyNumberFormat="1" applyFont="1"/>
    <xf numFmtId="210" fontId="96" fillId="0" borderId="0" xfId="0" applyNumberFormat="1" applyFont="1" applyAlignment="1">
      <alignment horizontal="center"/>
    </xf>
    <xf numFmtId="222" fontId="96" fillId="0" borderId="0" xfId="0" applyNumberFormat="1" applyFont="1" applyAlignment="1">
      <alignment horizontal="center"/>
    </xf>
    <xf numFmtId="210" fontId="110" fillId="0" borderId="0" xfId="0" applyNumberFormat="1" applyFont="1"/>
    <xf numFmtId="213" fontId="110" fillId="0" borderId="0" xfId="0" applyNumberFormat="1" applyFont="1" applyAlignment="1">
      <alignment horizontal="center"/>
    </xf>
    <xf numFmtId="211" fontId="110" fillId="0" borderId="0" xfId="0" applyNumberFormat="1" applyFont="1"/>
    <xf numFmtId="190" fontId="110" fillId="0" borderId="0" xfId="0" applyNumberFormat="1" applyFont="1" applyAlignment="1">
      <alignment horizontal="center"/>
    </xf>
    <xf numFmtId="212" fontId="110" fillId="0" borderId="0" xfId="0" applyNumberFormat="1" applyFont="1"/>
    <xf numFmtId="190" fontId="110" fillId="0" borderId="0" xfId="0" applyNumberFormat="1" applyFont="1" applyAlignment="1">
      <alignment shrinkToFit="1"/>
    </xf>
    <xf numFmtId="213" fontId="115" fillId="0" borderId="0" xfId="0" applyNumberFormat="1" applyFont="1"/>
    <xf numFmtId="207" fontId="103" fillId="0" borderId="4" xfId="1" applyNumberFormat="1" applyFont="1" applyFill="1" applyBorder="1" applyAlignment="1">
      <alignment horizontal="center" vertical="center" wrapText="1"/>
    </xf>
    <xf numFmtId="190" fontId="26" fillId="5" borderId="4" xfId="1" applyNumberFormat="1" applyFont="1" applyFill="1" applyBorder="1" applyAlignment="1">
      <alignment horizontal="right" vertical="center"/>
    </xf>
    <xf numFmtId="190" fontId="12" fillId="0" borderId="0" xfId="0" applyNumberFormat="1" applyFont="1" applyAlignment="1">
      <alignment vertical="center"/>
    </xf>
    <xf numFmtId="190" fontId="12" fillId="0" borderId="0" xfId="0" applyNumberFormat="1" applyFont="1" applyAlignment="1">
      <alignment horizontal="center"/>
    </xf>
    <xf numFmtId="190" fontId="12" fillId="0" borderId="0" xfId="0" applyNumberFormat="1" applyFont="1" applyAlignment="1">
      <alignment shrinkToFit="1"/>
    </xf>
    <xf numFmtId="0" fontId="11" fillId="0" borderId="4" xfId="0" applyFont="1" applyBorder="1" applyAlignment="1">
      <alignment horizontal="left"/>
    </xf>
    <xf numFmtId="213" fontId="11" fillId="0" borderId="0" xfId="0" applyNumberFormat="1" applyFont="1"/>
    <xf numFmtId="190" fontId="84" fillId="0" borderId="0" xfId="0" applyNumberFormat="1" applyFont="1" applyAlignment="1">
      <alignment horizontal="center"/>
    </xf>
    <xf numFmtId="3" fontId="11" fillId="0" borderId="4" xfId="0" applyNumberFormat="1" applyFont="1" applyBorder="1" applyAlignment="1">
      <alignment horizontal="left"/>
    </xf>
    <xf numFmtId="190" fontId="168" fillId="0" borderId="0" xfId="0" applyNumberFormat="1" applyFont="1"/>
    <xf numFmtId="0" fontId="11" fillId="0" borderId="4" xfId="0" applyFont="1" applyBorder="1"/>
    <xf numFmtId="213" fontId="172" fillId="0" borderId="0" xfId="0" applyNumberFormat="1" applyFont="1"/>
    <xf numFmtId="3" fontId="11" fillId="0" borderId="4" xfId="0" applyNumberFormat="1" applyFont="1" applyBorder="1" applyAlignment="1">
      <alignment horizontal="center"/>
    </xf>
    <xf numFmtId="190" fontId="3" fillId="0" borderId="0" xfId="0" applyNumberFormat="1" applyFont="1" applyAlignment="1">
      <alignment vertical="center"/>
    </xf>
    <xf numFmtId="190" fontId="3" fillId="0" borderId="0" xfId="0" applyNumberFormat="1" applyFont="1" applyAlignment="1">
      <alignment horizontal="center"/>
    </xf>
    <xf numFmtId="3" fontId="7" fillId="0" borderId="0" xfId="0" applyNumberFormat="1" applyFont="1"/>
    <xf numFmtId="190" fontId="9" fillId="0" borderId="0" xfId="0" applyNumberFormat="1" applyFont="1" applyAlignment="1">
      <alignment vertical="center"/>
    </xf>
    <xf numFmtId="190" fontId="9" fillId="0" borderId="0" xfId="0" applyNumberFormat="1" applyFont="1" applyAlignment="1">
      <alignment horizontal="center"/>
    </xf>
    <xf numFmtId="210" fontId="82" fillId="0" borderId="0" xfId="0" applyNumberFormat="1" applyFont="1" applyAlignment="1">
      <alignment horizontal="left"/>
    </xf>
    <xf numFmtId="202" fontId="7" fillId="0" borderId="0" xfId="0" applyNumberFormat="1" applyFont="1"/>
    <xf numFmtId="210" fontId="168" fillId="0" borderId="0" xfId="0" applyNumberFormat="1" applyFont="1" applyAlignment="1">
      <alignment vertical="center"/>
    </xf>
    <xf numFmtId="190" fontId="26" fillId="0" borderId="4" xfId="0" applyNumberFormat="1" applyFont="1" applyBorder="1" applyAlignment="1">
      <alignment horizontal="center" vertical="center" wrapText="1"/>
    </xf>
    <xf numFmtId="190" fontId="11" fillId="0" borderId="0" xfId="0" applyNumberFormat="1" applyFont="1" applyAlignment="1">
      <alignment horizontal="center"/>
    </xf>
    <xf numFmtId="190" fontId="10" fillId="0" borderId="0" xfId="0" applyNumberFormat="1" applyFont="1" applyAlignment="1">
      <alignment horizontal="center"/>
    </xf>
    <xf numFmtId="4" fontId="26" fillId="0" borderId="4" xfId="1" applyNumberFormat="1" applyFont="1" applyFill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top" wrapText="1"/>
    </xf>
    <xf numFmtId="190" fontId="11" fillId="0" borderId="0" xfId="0" applyNumberFormat="1" applyFont="1" applyAlignment="1">
      <alignment horizontal="center" vertical="center"/>
    </xf>
    <xf numFmtId="190" fontId="10" fillId="0" borderId="0" xfId="0" applyNumberFormat="1" applyFont="1" applyAlignment="1">
      <alignment horizontal="center" vertical="center"/>
    </xf>
    <xf numFmtId="190" fontId="26" fillId="0" borderId="4" xfId="0" applyNumberFormat="1" applyFont="1" applyBorder="1" applyAlignment="1">
      <alignment horizontal="center"/>
    </xf>
    <xf numFmtId="190" fontId="12" fillId="0" borderId="4" xfId="0" applyNumberFormat="1" applyFont="1" applyBorder="1" applyAlignment="1">
      <alignment horizontal="center" vertical="center"/>
    </xf>
    <xf numFmtId="190" fontId="82" fillId="0" borderId="4" xfId="0" applyNumberFormat="1" applyFont="1" applyBorder="1" applyAlignment="1">
      <alignment horizontal="center" vertical="center" shrinkToFit="1"/>
    </xf>
    <xf numFmtId="190" fontId="82" fillId="0" borderId="4" xfId="0" applyNumberFormat="1" applyFont="1" applyBorder="1" applyAlignment="1">
      <alignment vertical="center" shrinkToFit="1"/>
    </xf>
    <xf numFmtId="210" fontId="82" fillId="0" borderId="4" xfId="0" applyNumberFormat="1" applyFont="1" applyBorder="1" applyAlignment="1">
      <alignment horizontal="right" vertical="center" wrapText="1"/>
    </xf>
    <xf numFmtId="210" fontId="82" fillId="0" borderId="4" xfId="0" applyNumberFormat="1" applyFont="1" applyBorder="1" applyAlignment="1">
      <alignment vertical="center" shrinkToFit="1"/>
    </xf>
    <xf numFmtId="190" fontId="82" fillId="0" borderId="0" xfId="0" applyNumberFormat="1" applyFont="1" applyAlignment="1">
      <alignment horizontal="left" vertical="center"/>
    </xf>
    <xf numFmtId="190" fontId="82" fillId="0" borderId="4" xfId="0" applyNumberFormat="1" applyFont="1" applyBorder="1" applyAlignment="1">
      <alignment horizontal="left" vertical="center" shrinkToFit="1"/>
    </xf>
    <xf numFmtId="190" fontId="15" fillId="0" borderId="0" xfId="0" applyNumberFormat="1" applyFont="1" applyAlignment="1">
      <alignment vertical="center"/>
    </xf>
    <xf numFmtId="190" fontId="12" fillId="0" borderId="4" xfId="0" applyNumberFormat="1" applyFont="1" applyBorder="1" applyAlignment="1">
      <alignment vertical="center"/>
    </xf>
    <xf numFmtId="190" fontId="12" fillId="0" borderId="4" xfId="0" applyNumberFormat="1" applyFont="1" applyBorder="1" applyAlignment="1">
      <alignment horizontal="left" vertical="center" shrinkToFit="1"/>
    </xf>
    <xf numFmtId="210" fontId="82" fillId="0" borderId="4" xfId="0" applyNumberFormat="1" applyFont="1" applyBorder="1" applyAlignment="1">
      <alignment horizontal="left" vertical="center" wrapText="1"/>
    </xf>
    <xf numFmtId="190" fontId="82" fillId="0" borderId="0" xfId="0" applyNumberFormat="1" applyFont="1" applyAlignment="1">
      <alignment vertical="center"/>
    </xf>
    <xf numFmtId="190" fontId="15" fillId="0" borderId="0" xfId="0" applyNumberFormat="1" applyFont="1"/>
    <xf numFmtId="190" fontId="11" fillId="0" borderId="0" xfId="0" applyNumberFormat="1" applyFont="1" applyAlignment="1">
      <alignment vertical="center" shrinkToFit="1"/>
    </xf>
    <xf numFmtId="190" fontId="11" fillId="0" borderId="0" xfId="0" applyNumberFormat="1" applyFont="1" applyAlignment="1">
      <alignment horizontal="center" shrinkToFit="1"/>
    </xf>
    <xf numFmtId="190" fontId="127" fillId="0" borderId="0" xfId="0" applyNumberFormat="1" applyFont="1" applyAlignment="1">
      <alignment horizontal="center"/>
    </xf>
    <xf numFmtId="190" fontId="119" fillId="0" borderId="0" xfId="0" applyNumberFormat="1" applyFont="1"/>
    <xf numFmtId="210" fontId="12" fillId="0" borderId="0" xfId="0" applyNumberFormat="1" applyFont="1"/>
    <xf numFmtId="190" fontId="10" fillId="0" borderId="0" xfId="0" applyNumberFormat="1" applyFont="1" applyAlignment="1">
      <alignment vertical="center"/>
    </xf>
    <xf numFmtId="4" fontId="10" fillId="0" borderId="0" xfId="0" applyNumberFormat="1" applyFont="1"/>
    <xf numFmtId="210" fontId="10" fillId="0" borderId="0" xfId="0" applyNumberFormat="1" applyFont="1"/>
    <xf numFmtId="210" fontId="3" fillId="0" borderId="0" xfId="0" applyNumberFormat="1" applyFont="1" applyAlignment="1">
      <alignment horizontal="center"/>
    </xf>
    <xf numFmtId="210" fontId="10" fillId="0" borderId="0" xfId="0" applyNumberFormat="1" applyFont="1" applyAlignment="1">
      <alignment horizontal="center"/>
    </xf>
    <xf numFmtId="190" fontId="18" fillId="0" borderId="0" xfId="0" applyNumberFormat="1" applyFont="1" applyAlignment="1">
      <alignment horizontal="center" vertical="center"/>
    </xf>
    <xf numFmtId="190" fontId="82" fillId="0" borderId="0" xfId="0" applyNumberFormat="1" applyFont="1" applyAlignment="1">
      <alignment horizontal="center" vertical="center"/>
    </xf>
    <xf numFmtId="222" fontId="10" fillId="0" borderId="0" xfId="0" applyNumberFormat="1" applyFont="1" applyAlignment="1">
      <alignment horizontal="center"/>
    </xf>
    <xf numFmtId="210" fontId="8" fillId="0" borderId="0" xfId="0" applyNumberFormat="1" applyFont="1"/>
    <xf numFmtId="212" fontId="8" fillId="0" borderId="0" xfId="0" applyNumberFormat="1" applyFont="1"/>
    <xf numFmtId="213" fontId="12" fillId="0" borderId="0" xfId="0" applyNumberFormat="1" applyFont="1"/>
    <xf numFmtId="213" fontId="12" fillId="0" borderId="0" xfId="0" applyNumberFormat="1" applyFont="1" applyAlignment="1">
      <alignment horizontal="center"/>
    </xf>
    <xf numFmtId="190" fontId="12" fillId="0" borderId="0" xfId="0" applyNumberFormat="1" applyFont="1" applyAlignment="1">
      <alignment horizontal="left"/>
    </xf>
    <xf numFmtId="190" fontId="12" fillId="0" borderId="0" xfId="0" applyNumberFormat="1" applyFont="1" applyAlignment="1">
      <alignment horizontal="right"/>
    </xf>
    <xf numFmtId="216" fontId="168" fillId="0" borderId="0" xfId="0" applyNumberFormat="1" applyFont="1" applyAlignment="1">
      <alignment horizontal="center" vertical="center"/>
    </xf>
    <xf numFmtId="0" fontId="107" fillId="0" borderId="4" xfId="0" applyFont="1" applyBorder="1" applyAlignment="1">
      <alignment vertical="center"/>
    </xf>
    <xf numFmtId="196" fontId="193" fillId="0" borderId="0" xfId="0" applyNumberFormat="1" applyFont="1" applyAlignment="1">
      <alignment vertical="center"/>
    </xf>
    <xf numFmtId="197" fontId="193" fillId="0" borderId="0" xfId="0" applyNumberFormat="1" applyFont="1" applyAlignment="1">
      <alignment vertical="center"/>
    </xf>
    <xf numFmtId="0" fontId="193" fillId="0" borderId="0" xfId="0" applyFont="1" applyAlignment="1">
      <alignment vertical="center"/>
    </xf>
    <xf numFmtId="0" fontId="9" fillId="0" borderId="4" xfId="0" applyFont="1" applyBorder="1"/>
    <xf numFmtId="0" fontId="9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20" fillId="0" borderId="4" xfId="0" applyFont="1" applyBorder="1" applyAlignment="1">
      <alignment vertical="center"/>
    </xf>
    <xf numFmtId="210" fontId="11" fillId="0" borderId="0" xfId="0" applyNumberFormat="1" applyFont="1"/>
    <xf numFmtId="190" fontId="7" fillId="0" borderId="4" xfId="19" applyNumberFormat="1" applyFont="1" applyBorder="1" applyAlignment="1">
      <alignment horizontal="center" vertical="center"/>
    </xf>
    <xf numFmtId="190" fontId="15" fillId="0" borderId="4" xfId="19" applyNumberFormat="1" applyFont="1" applyBorder="1" applyAlignment="1">
      <alignment horizontal="center" vertical="center"/>
    </xf>
    <xf numFmtId="197" fontId="7" fillId="0" borderId="4" xfId="0" applyNumberFormat="1" applyFont="1" applyBorder="1" applyAlignment="1">
      <alignment vertical="center"/>
    </xf>
    <xf numFmtId="210" fontId="110" fillId="0" borderId="0" xfId="0" applyNumberFormat="1" applyFont="1" applyAlignment="1">
      <alignment horizontal="left"/>
    </xf>
    <xf numFmtId="190" fontId="15" fillId="0" borderId="0" xfId="0" applyNumberFormat="1" applyFont="1" applyAlignment="1">
      <alignment horizontal="center"/>
    </xf>
    <xf numFmtId="3" fontId="107" fillId="0" borderId="4" xfId="0" applyNumberFormat="1" applyFont="1" applyBorder="1" applyAlignment="1">
      <alignment horizontal="right" vertical="center" wrapText="1"/>
    </xf>
    <xf numFmtId="190" fontId="11" fillId="4" borderId="4" xfId="19" applyNumberFormat="1" applyFont="1" applyFill="1" applyBorder="1" applyAlignment="1">
      <alignment vertical="center"/>
    </xf>
    <xf numFmtId="0" fontId="63" fillId="0" borderId="0" xfId="0" applyFont="1" applyAlignment="1">
      <alignment horizontal="right"/>
    </xf>
    <xf numFmtId="0" fontId="42" fillId="5" borderId="4" xfId="0" applyFont="1" applyFill="1" applyBorder="1" applyAlignment="1">
      <alignment horizontal="center"/>
    </xf>
    <xf numFmtId="0" fontId="101" fillId="0" borderId="4" xfId="0" applyFon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190" fontId="195" fillId="0" borderId="0" xfId="0" applyNumberFormat="1" applyFont="1" applyAlignment="1">
      <alignment vertical="center"/>
    </xf>
    <xf numFmtId="190" fontId="196" fillId="0" borderId="0" xfId="0" applyNumberFormat="1" applyFont="1"/>
    <xf numFmtId="213" fontId="196" fillId="0" borderId="0" xfId="0" applyNumberFormat="1" applyFont="1"/>
    <xf numFmtId="3" fontId="196" fillId="0" borderId="0" xfId="0" applyNumberFormat="1" applyFont="1"/>
    <xf numFmtId="4" fontId="195" fillId="0" borderId="0" xfId="0" applyNumberFormat="1" applyFont="1" applyAlignment="1">
      <alignment horizontal="center"/>
    </xf>
    <xf numFmtId="190" fontId="195" fillId="0" borderId="0" xfId="0" applyNumberFormat="1" applyFont="1" applyAlignment="1">
      <alignment horizontal="center"/>
    </xf>
    <xf numFmtId="190" fontId="196" fillId="0" borderId="0" xfId="0" applyNumberFormat="1" applyFont="1" applyAlignment="1">
      <alignment vertical="center"/>
    </xf>
    <xf numFmtId="210" fontId="196" fillId="0" borderId="0" xfId="0" applyNumberFormat="1" applyFont="1" applyAlignment="1">
      <alignment horizontal="left"/>
    </xf>
    <xf numFmtId="202" fontId="196" fillId="0" borderId="0" xfId="0" applyNumberFormat="1" applyFont="1"/>
    <xf numFmtId="4" fontId="196" fillId="0" borderId="0" xfId="1" applyNumberFormat="1" applyFont="1" applyFill="1" applyBorder="1" applyAlignment="1"/>
    <xf numFmtId="190" fontId="196" fillId="0" borderId="0" xfId="1" applyNumberFormat="1" applyFont="1" applyFill="1" applyBorder="1" applyAlignment="1">
      <alignment horizontal="center"/>
    </xf>
    <xf numFmtId="190" fontId="196" fillId="0" borderId="0" xfId="1" applyNumberFormat="1" applyFont="1" applyFill="1" applyBorder="1" applyAlignment="1"/>
    <xf numFmtId="190" fontId="196" fillId="0" borderId="0" xfId="1" applyNumberFormat="1" applyFont="1" applyFill="1" applyBorder="1"/>
    <xf numFmtId="201" fontId="196" fillId="0" borderId="3" xfId="1" applyNumberFormat="1" applyFont="1" applyFill="1" applyBorder="1" applyAlignment="1">
      <alignment horizontal="center" vertical="center" wrapText="1"/>
    </xf>
    <xf numFmtId="190" fontId="195" fillId="0" borderId="4" xfId="0" applyNumberFormat="1" applyFont="1" applyBorder="1" applyAlignment="1">
      <alignment horizontal="center" vertical="center" wrapText="1"/>
    </xf>
    <xf numFmtId="190" fontId="195" fillId="0" borderId="4" xfId="1" applyNumberFormat="1" applyFont="1" applyFill="1" applyBorder="1" applyAlignment="1">
      <alignment horizontal="center" vertical="center" wrapText="1"/>
    </xf>
    <xf numFmtId="190" fontId="195" fillId="0" borderId="4" xfId="0" applyNumberFormat="1" applyFont="1" applyBorder="1" applyAlignment="1">
      <alignment horizontal="center" vertical="center"/>
    </xf>
    <xf numFmtId="210" fontId="195" fillId="0" borderId="4" xfId="1" applyNumberFormat="1" applyFont="1" applyFill="1" applyBorder="1" applyAlignment="1">
      <alignment horizontal="center" vertical="center" wrapText="1"/>
    </xf>
    <xf numFmtId="191" fontId="195" fillId="0" borderId="4" xfId="5" applyNumberFormat="1" applyFont="1" applyFill="1" applyBorder="1" applyAlignment="1">
      <alignment horizontal="center" vertical="center" wrapText="1"/>
    </xf>
    <xf numFmtId="4" fontId="195" fillId="0" borderId="4" xfId="1" applyNumberFormat="1" applyFont="1" applyFill="1" applyBorder="1" applyAlignment="1">
      <alignment horizontal="center" vertical="center" wrapText="1"/>
    </xf>
    <xf numFmtId="190" fontId="195" fillId="0" borderId="10" xfId="1" applyNumberFormat="1" applyFont="1" applyFill="1" applyBorder="1" applyAlignment="1">
      <alignment horizontal="center" vertical="top" wrapText="1"/>
    </xf>
    <xf numFmtId="0" fontId="195" fillId="0" borderId="10" xfId="0" applyFont="1" applyBorder="1" applyAlignment="1">
      <alignment horizontal="center" vertical="top" wrapText="1"/>
    </xf>
    <xf numFmtId="3" fontId="195" fillId="0" borderId="4" xfId="5" applyNumberFormat="1" applyFont="1" applyFill="1" applyBorder="1" applyAlignment="1">
      <alignment horizontal="center" vertical="top" wrapText="1"/>
    </xf>
    <xf numFmtId="190" fontId="196" fillId="0" borderId="4" xfId="0" applyNumberFormat="1" applyFont="1" applyBorder="1" applyAlignment="1">
      <alignment horizontal="center" vertical="center" shrinkToFit="1"/>
    </xf>
    <xf numFmtId="190" fontId="196" fillId="0" borderId="4" xfId="0" applyNumberFormat="1" applyFont="1" applyBorder="1" applyAlignment="1">
      <alignment vertical="center" shrinkToFit="1"/>
    </xf>
    <xf numFmtId="210" fontId="196" fillId="0" borderId="4" xfId="0" applyNumberFormat="1" applyFont="1" applyBorder="1" applyAlignment="1">
      <alignment vertical="center" shrinkToFit="1"/>
    </xf>
    <xf numFmtId="210" fontId="196" fillId="0" borderId="4" xfId="5" applyNumberFormat="1" applyFont="1" applyFill="1" applyBorder="1" applyAlignment="1">
      <alignment vertical="center"/>
    </xf>
    <xf numFmtId="196" fontId="196" fillId="0" borderId="4" xfId="1" applyNumberFormat="1" applyFont="1" applyFill="1" applyBorder="1" applyAlignment="1">
      <alignment vertical="center" shrinkToFit="1"/>
    </xf>
    <xf numFmtId="190" fontId="196" fillId="0" borderId="4" xfId="1" applyNumberFormat="1" applyFont="1" applyFill="1" applyBorder="1" applyAlignment="1">
      <alignment horizontal="right" vertical="center" shrinkToFit="1"/>
    </xf>
    <xf numFmtId="190" fontId="196" fillId="0" borderId="19" xfId="0" applyNumberFormat="1" applyFont="1" applyBorder="1" applyAlignment="1">
      <alignment vertical="center" shrinkToFit="1"/>
    </xf>
    <xf numFmtId="1" fontId="196" fillId="0" borderId="4" xfId="1" applyNumberFormat="1" applyFont="1" applyFill="1" applyBorder="1" applyAlignment="1">
      <alignment horizontal="left" vertical="center"/>
    </xf>
    <xf numFmtId="190" fontId="197" fillId="0" borderId="4" xfId="0" applyNumberFormat="1" applyFont="1" applyBorder="1" applyAlignment="1">
      <alignment horizontal="center" vertical="center" shrinkToFit="1"/>
    </xf>
    <xf numFmtId="190" fontId="197" fillId="0" borderId="22" xfId="0" applyNumberFormat="1" applyFont="1" applyBorder="1" applyAlignment="1">
      <alignment horizontal="center" vertical="center" shrinkToFit="1"/>
    </xf>
    <xf numFmtId="190" fontId="197" fillId="0" borderId="4" xfId="0" applyNumberFormat="1" applyFont="1" applyBorder="1" applyAlignment="1">
      <alignment vertical="center" shrinkToFit="1"/>
    </xf>
    <xf numFmtId="190" fontId="197" fillId="0" borderId="19" xfId="0" applyNumberFormat="1" applyFont="1" applyBorder="1" applyAlignment="1">
      <alignment vertical="center" shrinkToFit="1"/>
    </xf>
    <xf numFmtId="210" fontId="197" fillId="0" borderId="4" xfId="0" applyNumberFormat="1" applyFont="1" applyBorder="1" applyAlignment="1">
      <alignment vertical="center" shrinkToFit="1"/>
    </xf>
    <xf numFmtId="210" fontId="197" fillId="0" borderId="4" xfId="5" applyNumberFormat="1" applyFont="1" applyFill="1" applyBorder="1" applyAlignment="1">
      <alignment vertical="center"/>
    </xf>
    <xf numFmtId="196" fontId="197" fillId="0" borderId="4" xfId="1" applyNumberFormat="1" applyFont="1" applyFill="1" applyBorder="1" applyAlignment="1">
      <alignment vertical="center" shrinkToFit="1"/>
    </xf>
    <xf numFmtId="190" fontId="197" fillId="0" borderId="4" xfId="1" applyNumberFormat="1" applyFont="1" applyFill="1" applyBorder="1" applyAlignment="1">
      <alignment horizontal="right" vertical="center" shrinkToFit="1"/>
    </xf>
    <xf numFmtId="205" fontId="195" fillId="0" borderId="4" xfId="1" applyNumberFormat="1" applyFont="1" applyFill="1" applyBorder="1" applyAlignment="1">
      <alignment horizontal="right" vertical="center" wrapText="1"/>
    </xf>
    <xf numFmtId="203" fontId="195" fillId="0" borderId="4" xfId="1" applyNumberFormat="1" applyFont="1" applyFill="1" applyBorder="1" applyAlignment="1">
      <alignment horizontal="right" vertical="center" wrapText="1"/>
    </xf>
    <xf numFmtId="203" fontId="195" fillId="5" borderId="4" xfId="1" applyNumberFormat="1" applyFont="1" applyFill="1" applyBorder="1" applyAlignment="1">
      <alignment horizontal="right" vertical="center" wrapText="1"/>
    </xf>
    <xf numFmtId="190" fontId="195" fillId="0" borderId="0" xfId="0" applyNumberFormat="1" applyFont="1" applyAlignment="1">
      <alignment horizontal="center" vertical="center" shrinkToFit="1"/>
    </xf>
    <xf numFmtId="190" fontId="196" fillId="0" borderId="4" xfId="0" applyNumberFormat="1" applyFont="1" applyBorder="1" applyAlignment="1">
      <alignment horizontal="left" vertical="center" shrinkToFit="1"/>
    </xf>
    <xf numFmtId="210" fontId="196" fillId="0" borderId="4" xfId="0" applyNumberFormat="1" applyFont="1" applyBorder="1" applyAlignment="1">
      <alignment horizontal="left" vertical="center" shrinkToFit="1"/>
    </xf>
    <xf numFmtId="190" fontId="196" fillId="0" borderId="4" xfId="5" applyNumberFormat="1" applyFont="1" applyFill="1" applyBorder="1" applyAlignment="1">
      <alignment vertical="center"/>
    </xf>
    <xf numFmtId="190" fontId="196" fillId="0" borderId="19" xfId="0" applyNumberFormat="1" applyFont="1" applyBorder="1" applyAlignment="1">
      <alignment horizontal="left" vertical="center" shrinkToFit="1"/>
    </xf>
    <xf numFmtId="190" fontId="196" fillId="0" borderId="22" xfId="0" applyNumberFormat="1" applyFont="1" applyBorder="1" applyAlignment="1">
      <alignment horizontal="left" vertical="center" shrinkToFit="1"/>
    </xf>
    <xf numFmtId="210" fontId="195" fillId="0" borderId="4" xfId="1" applyNumberFormat="1" applyFont="1" applyFill="1" applyBorder="1" applyAlignment="1">
      <alignment horizontal="right" vertical="center" wrapText="1"/>
    </xf>
    <xf numFmtId="190" fontId="195" fillId="0" borderId="4" xfId="1" applyNumberFormat="1" applyFont="1" applyFill="1" applyBorder="1" applyAlignment="1">
      <alignment horizontal="right" vertical="center" wrapText="1"/>
    </xf>
    <xf numFmtId="190" fontId="195" fillId="5" borderId="4" xfId="1" applyNumberFormat="1" applyFont="1" applyFill="1" applyBorder="1" applyAlignment="1">
      <alignment horizontal="right" vertical="center" wrapText="1"/>
    </xf>
    <xf numFmtId="190" fontId="198" fillId="0" borderId="0" xfId="0" applyNumberFormat="1" applyFont="1" applyAlignment="1">
      <alignment horizontal="center" vertical="center" shrinkToFit="1"/>
    </xf>
    <xf numFmtId="190" fontId="196" fillId="0" borderId="0" xfId="0" applyNumberFormat="1" applyFont="1" applyAlignment="1">
      <alignment horizontal="center"/>
    </xf>
    <xf numFmtId="190" fontId="196" fillId="0" borderId="0" xfId="0" applyNumberFormat="1" applyFont="1" applyAlignment="1">
      <alignment shrinkToFit="1"/>
    </xf>
    <xf numFmtId="213" fontId="196" fillId="0" borderId="0" xfId="1" applyNumberFormat="1" applyFont="1" applyFill="1" applyAlignment="1"/>
    <xf numFmtId="210" fontId="196" fillId="0" borderId="0" xfId="1" applyNumberFormat="1" applyFont="1" applyFill="1" applyAlignment="1"/>
    <xf numFmtId="4" fontId="196" fillId="0" borderId="0" xfId="1" applyNumberFormat="1" applyFont="1" applyFill="1"/>
    <xf numFmtId="190" fontId="196" fillId="0" borderId="0" xfId="1" applyNumberFormat="1" applyFont="1" applyFill="1" applyAlignment="1">
      <alignment horizontal="center"/>
    </xf>
    <xf numFmtId="190" fontId="196" fillId="0" borderId="0" xfId="1" applyNumberFormat="1" applyFont="1" applyFill="1"/>
    <xf numFmtId="210" fontId="196" fillId="0" borderId="0" xfId="0" applyNumberFormat="1" applyFont="1"/>
    <xf numFmtId="195" fontId="121" fillId="0" borderId="4" xfId="1" applyFont="1" applyFill="1" applyBorder="1" applyAlignment="1">
      <alignment vertical="center" wrapText="1"/>
    </xf>
    <xf numFmtId="10" fontId="61" fillId="0" borderId="4" xfId="21" applyNumberFormat="1" applyFont="1" applyFill="1" applyBorder="1" applyAlignment="1">
      <alignment vertical="center" wrapText="1"/>
    </xf>
    <xf numFmtId="0" fontId="121" fillId="0" borderId="4" xfId="0" applyFont="1" applyBorder="1" applyAlignment="1">
      <alignment horizontal="center" vertical="center"/>
    </xf>
    <xf numFmtId="0" fontId="121" fillId="0" borderId="4" xfId="0" applyFont="1" applyBorder="1" applyAlignment="1">
      <alignment vertical="center"/>
    </xf>
    <xf numFmtId="195" fontId="61" fillId="0" borderId="4" xfId="0" applyNumberFormat="1" applyFont="1" applyBorder="1" applyAlignment="1">
      <alignment horizontal="center" vertical="center" wrapText="1"/>
    </xf>
    <xf numFmtId="0" fontId="61" fillId="0" borderId="4" xfId="0" applyFont="1" applyBorder="1" applyAlignment="1">
      <alignment horizontal="right" vertical="center"/>
    </xf>
    <xf numFmtId="195" fontId="61" fillId="0" borderId="4" xfId="1" applyFont="1" applyFill="1" applyBorder="1" applyAlignment="1">
      <alignment horizontal="right" vertical="center"/>
    </xf>
    <xf numFmtId="0" fontId="61" fillId="0" borderId="4" xfId="0" applyFont="1" applyBorder="1" applyAlignment="1">
      <alignment vertical="center" wrapText="1"/>
    </xf>
    <xf numFmtId="195" fontId="121" fillId="0" borderId="4" xfId="1" applyFont="1" applyFill="1" applyBorder="1" applyAlignment="1">
      <alignment vertical="center"/>
    </xf>
    <xf numFmtId="196" fontId="121" fillId="0" borderId="4" xfId="1" applyNumberFormat="1" applyFont="1" applyFill="1" applyBorder="1" applyAlignment="1">
      <alignment horizontal="right" vertical="center" wrapText="1"/>
    </xf>
    <xf numFmtId="215" fontId="61" fillId="0" borderId="4" xfId="1" applyNumberFormat="1" applyFont="1" applyFill="1" applyBorder="1" applyAlignment="1">
      <alignment vertical="center"/>
    </xf>
    <xf numFmtId="0" fontId="11" fillId="0" borderId="4" xfId="0" applyFont="1" applyBorder="1" applyAlignment="1">
      <alignment horizontal="center" vertical="center" shrinkToFit="1"/>
    </xf>
    <xf numFmtId="0" fontId="18" fillId="0" borderId="4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center" wrapText="1"/>
    </xf>
    <xf numFmtId="0" fontId="82" fillId="0" borderId="0" xfId="0" applyFont="1" applyAlignment="1">
      <alignment horizontal="left"/>
    </xf>
    <xf numFmtId="0" fontId="34" fillId="0" borderId="0" xfId="0" applyFont="1" applyAlignment="1">
      <alignment horizontal="center" vertical="center"/>
    </xf>
    <xf numFmtId="0" fontId="13" fillId="0" borderId="0" xfId="20" applyFont="1" applyAlignment="1">
      <alignment horizontal="left"/>
    </xf>
    <xf numFmtId="0" fontId="44" fillId="0" borderId="0" xfId="0" applyFont="1" applyAlignment="1">
      <alignment horizontal="center"/>
    </xf>
    <xf numFmtId="2" fontId="126" fillId="0" borderId="4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4" fillId="0" borderId="0" xfId="19" applyFont="1" applyAlignment="1">
      <alignment horizontal="center" vertical="center"/>
    </xf>
    <xf numFmtId="197" fontId="26" fillId="0" borderId="0" xfId="1" applyNumberFormat="1" applyFont="1" applyFill="1" applyBorder="1" applyAlignment="1">
      <alignment horizontal="center" vertical="center"/>
    </xf>
    <xf numFmtId="197" fontId="26" fillId="0" borderId="0" xfId="1" quotePrefix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30" fillId="4" borderId="0" xfId="19" applyFont="1" applyFill="1" applyAlignment="1">
      <alignment horizontal="center"/>
    </xf>
    <xf numFmtId="0" fontId="130" fillId="4" borderId="0" xfId="0" applyFont="1" applyFill="1" applyAlignment="1">
      <alignment horizontal="center"/>
    </xf>
    <xf numFmtId="0" fontId="162" fillId="4" borderId="4" xfId="19" applyFont="1" applyFill="1" applyBorder="1" applyAlignment="1">
      <alignment horizontal="center" vertical="center"/>
    </xf>
    <xf numFmtId="3" fontId="162" fillId="4" borderId="4" xfId="26" applyNumberFormat="1" applyFont="1" applyFill="1" applyBorder="1" applyAlignment="1">
      <alignment horizontal="center" vertical="center" wrapText="1"/>
    </xf>
    <xf numFmtId="3" fontId="162" fillId="4" borderId="14" xfId="26" applyNumberFormat="1" applyFont="1" applyFill="1" applyBorder="1" applyAlignment="1">
      <alignment horizontal="center" vertical="center" wrapText="1"/>
    </xf>
    <xf numFmtId="3" fontId="162" fillId="4" borderId="22" xfId="26" applyNumberFormat="1" applyFont="1" applyFill="1" applyBorder="1" applyAlignment="1">
      <alignment horizontal="center" vertical="center" wrapText="1"/>
    </xf>
    <xf numFmtId="3" fontId="162" fillId="4" borderId="19" xfId="26" applyNumberFormat="1" applyFont="1" applyFill="1" applyBorder="1" applyAlignment="1">
      <alignment horizontal="center" vertical="center" wrapText="1"/>
    </xf>
    <xf numFmtId="215" fontId="162" fillId="4" borderId="4" xfId="1" applyNumberFormat="1" applyFont="1" applyFill="1" applyBorder="1" applyAlignment="1">
      <alignment horizontal="center" vertical="center" wrapText="1"/>
    </xf>
    <xf numFmtId="214" fontId="162" fillId="4" borderId="14" xfId="26" applyNumberFormat="1" applyFont="1" applyFill="1" applyBorder="1" applyAlignment="1">
      <alignment horizontal="center" vertical="center" wrapText="1"/>
    </xf>
    <xf numFmtId="214" fontId="162" fillId="4" borderId="22" xfId="26" applyNumberFormat="1" applyFont="1" applyFill="1" applyBorder="1" applyAlignment="1">
      <alignment horizontal="center" vertical="center" wrapText="1"/>
    </xf>
    <xf numFmtId="214" fontId="162" fillId="4" borderId="19" xfId="26" applyNumberFormat="1" applyFont="1" applyFill="1" applyBorder="1" applyAlignment="1">
      <alignment horizontal="center" vertical="center" wrapText="1"/>
    </xf>
    <xf numFmtId="0" fontId="136" fillId="4" borderId="0" xfId="19" applyFont="1" applyFill="1" applyAlignment="1">
      <alignment horizontal="center" vertical="center"/>
    </xf>
    <xf numFmtId="0" fontId="135" fillId="4" borderId="4" xfId="19" applyFont="1" applyFill="1" applyBorder="1" applyAlignment="1">
      <alignment horizontal="center" vertical="center"/>
    </xf>
    <xf numFmtId="3" fontId="135" fillId="4" borderId="4" xfId="26" applyNumberFormat="1" applyFont="1" applyFill="1" applyBorder="1" applyAlignment="1">
      <alignment horizontal="center" vertical="center" wrapText="1"/>
    </xf>
    <xf numFmtId="195" fontId="135" fillId="4" borderId="4" xfId="1" applyFont="1" applyFill="1" applyBorder="1" applyAlignment="1">
      <alignment horizontal="center" vertical="center" wrapText="1"/>
    </xf>
    <xf numFmtId="196" fontId="135" fillId="4" borderId="4" xfId="1" applyNumberFormat="1" applyFont="1" applyFill="1" applyBorder="1" applyAlignment="1">
      <alignment horizontal="center" vertical="center" wrapText="1"/>
    </xf>
    <xf numFmtId="214" fontId="135" fillId="4" borderId="4" xfId="26" applyNumberFormat="1" applyFont="1" applyFill="1" applyBorder="1" applyAlignment="1">
      <alignment horizontal="center" vertical="center" wrapText="1"/>
    </xf>
    <xf numFmtId="0" fontId="130" fillId="4" borderId="4" xfId="19" applyFont="1" applyFill="1" applyBorder="1" applyAlignment="1">
      <alignment horizontal="center" vertical="center"/>
    </xf>
    <xf numFmtId="215" fontId="135" fillId="4" borderId="4" xfId="1" applyNumberFormat="1" applyFont="1" applyFill="1" applyBorder="1" applyAlignment="1">
      <alignment horizontal="center" vertical="center" wrapText="1"/>
    </xf>
    <xf numFmtId="3" fontId="130" fillId="4" borderId="4" xfId="26" applyNumberFormat="1" applyFont="1" applyFill="1" applyBorder="1" applyAlignment="1">
      <alignment horizontal="center" vertical="center" wrapText="1"/>
    </xf>
    <xf numFmtId="196" fontId="130" fillId="4" borderId="4" xfId="1" applyNumberFormat="1" applyFont="1" applyFill="1" applyBorder="1" applyAlignment="1">
      <alignment horizontal="center" vertical="center" wrapText="1"/>
    </xf>
    <xf numFmtId="214" fontId="130" fillId="4" borderId="4" xfId="26" applyNumberFormat="1" applyFont="1" applyFill="1" applyBorder="1" applyAlignment="1">
      <alignment horizontal="center" vertical="center" wrapText="1"/>
    </xf>
    <xf numFmtId="195" fontId="162" fillId="4" borderId="14" xfId="1" applyFont="1" applyFill="1" applyBorder="1" applyAlignment="1">
      <alignment horizontal="center" vertical="center" wrapText="1"/>
    </xf>
    <xf numFmtId="195" fontId="162" fillId="4" borderId="22" xfId="1" applyFont="1" applyFill="1" applyBorder="1" applyAlignment="1">
      <alignment horizontal="center" vertical="center" wrapText="1"/>
    </xf>
    <xf numFmtId="195" fontId="162" fillId="4" borderId="19" xfId="1" applyFont="1" applyFill="1" applyBorder="1" applyAlignment="1">
      <alignment horizontal="center" vertical="center" wrapText="1"/>
    </xf>
    <xf numFmtId="195" fontId="130" fillId="4" borderId="4" xfId="1" applyFont="1" applyFill="1" applyBorder="1" applyAlignment="1">
      <alignment horizontal="center" vertical="center" wrapText="1"/>
    </xf>
    <xf numFmtId="215" fontId="130" fillId="4" borderId="4" xfId="1" applyNumberFormat="1" applyFont="1" applyFill="1" applyBorder="1" applyAlignment="1">
      <alignment horizontal="center" vertical="center" wrapText="1"/>
    </xf>
    <xf numFmtId="0" fontId="130" fillId="4" borderId="14" xfId="19" applyFont="1" applyFill="1" applyBorder="1" applyAlignment="1">
      <alignment horizontal="center" vertical="center"/>
    </xf>
    <xf numFmtId="0" fontId="130" fillId="4" borderId="19" xfId="19" applyFont="1" applyFill="1" applyBorder="1" applyAlignment="1">
      <alignment horizontal="center" vertical="center"/>
    </xf>
    <xf numFmtId="3" fontId="130" fillId="4" borderId="14" xfId="26" applyNumberFormat="1" applyFont="1" applyFill="1" applyBorder="1" applyAlignment="1">
      <alignment horizontal="center" vertical="center" wrapText="1"/>
    </xf>
    <xf numFmtId="3" fontId="130" fillId="4" borderId="22" xfId="26" applyNumberFormat="1" applyFont="1" applyFill="1" applyBorder="1" applyAlignment="1">
      <alignment horizontal="center" vertical="center" wrapText="1"/>
    </xf>
    <xf numFmtId="3" fontId="130" fillId="4" borderId="19" xfId="26" applyNumberFormat="1" applyFont="1" applyFill="1" applyBorder="1" applyAlignment="1">
      <alignment horizontal="center" vertical="center" wrapText="1"/>
    </xf>
    <xf numFmtId="214" fontId="130" fillId="4" borderId="14" xfId="26" applyNumberFormat="1" applyFont="1" applyFill="1" applyBorder="1" applyAlignment="1">
      <alignment horizontal="center" vertical="center" wrapText="1"/>
    </xf>
    <xf numFmtId="214" fontId="130" fillId="4" borderId="22" xfId="26" applyNumberFormat="1" applyFont="1" applyFill="1" applyBorder="1" applyAlignment="1">
      <alignment horizontal="center" vertical="center" wrapText="1"/>
    </xf>
    <xf numFmtId="214" fontId="130" fillId="4" borderId="19" xfId="26" applyNumberFormat="1" applyFont="1" applyFill="1" applyBorder="1" applyAlignment="1">
      <alignment horizontal="center" vertical="center" wrapText="1"/>
    </xf>
    <xf numFmtId="1" fontId="117" fillId="0" borderId="14" xfId="1" applyNumberFormat="1" applyFont="1" applyFill="1" applyBorder="1" applyAlignment="1">
      <alignment horizontal="center" vertical="center"/>
    </xf>
    <xf numFmtId="1" fontId="117" fillId="0" borderId="22" xfId="1" applyNumberFormat="1" applyFont="1" applyFill="1" applyBorder="1" applyAlignment="1">
      <alignment horizontal="center" vertical="center"/>
    </xf>
    <xf numFmtId="1" fontId="117" fillId="0" borderId="19" xfId="1" applyNumberFormat="1" applyFont="1" applyFill="1" applyBorder="1" applyAlignment="1">
      <alignment horizontal="center" vertical="center"/>
    </xf>
    <xf numFmtId="196" fontId="119" fillId="0" borderId="4" xfId="1" applyNumberFormat="1" applyFont="1" applyFill="1" applyBorder="1" applyAlignment="1">
      <alignment horizontal="center" vertical="center"/>
    </xf>
    <xf numFmtId="1" fontId="96" fillId="0" borderId="4" xfId="1" applyNumberFormat="1" applyFont="1" applyFill="1" applyBorder="1" applyAlignment="1">
      <alignment horizontal="center" vertical="center" wrapText="1"/>
    </xf>
    <xf numFmtId="0" fontId="156" fillId="0" borderId="14" xfId="0" applyFont="1" applyBorder="1" applyAlignment="1">
      <alignment horizontal="center"/>
    </xf>
    <xf numFmtId="0" fontId="156" fillId="0" borderId="22" xfId="0" applyFont="1" applyBorder="1" applyAlignment="1">
      <alignment horizontal="center"/>
    </xf>
    <xf numFmtId="0" fontId="156" fillId="0" borderId="19" xfId="0" applyFont="1" applyBorder="1" applyAlignment="1">
      <alignment horizontal="center"/>
    </xf>
    <xf numFmtId="191" fontId="155" fillId="0" borderId="14" xfId="1" applyNumberFormat="1" applyFont="1" applyFill="1" applyBorder="1" applyAlignment="1">
      <alignment horizontal="center"/>
    </xf>
    <xf numFmtId="191" fontId="155" fillId="0" borderId="22" xfId="1" applyNumberFormat="1" applyFont="1" applyFill="1" applyBorder="1" applyAlignment="1">
      <alignment horizontal="center"/>
    </xf>
    <xf numFmtId="191" fontId="155" fillId="0" borderId="19" xfId="1" applyNumberFormat="1" applyFont="1" applyFill="1" applyBorder="1" applyAlignment="1">
      <alignment horizontal="center"/>
    </xf>
    <xf numFmtId="1" fontId="160" fillId="0" borderId="0" xfId="1" quotePrefix="1" applyNumberFormat="1" applyFont="1" applyFill="1" applyBorder="1" applyAlignment="1">
      <alignment horizontal="center" vertical="center"/>
    </xf>
    <xf numFmtId="1" fontId="160" fillId="0" borderId="0" xfId="1" applyNumberFormat="1" applyFont="1" applyFill="1" applyBorder="1" applyAlignment="1">
      <alignment horizontal="center" vertical="center"/>
    </xf>
    <xf numFmtId="1" fontId="185" fillId="0" borderId="0" xfId="1" applyNumberFormat="1" applyFont="1" applyFill="1" applyBorder="1" applyAlignment="1">
      <alignment horizontal="center" vertical="center"/>
    </xf>
    <xf numFmtId="0" fontId="188" fillId="4" borderId="0" xfId="19" applyFont="1" applyFill="1" applyAlignment="1">
      <alignment horizontal="center" vertical="center"/>
    </xf>
    <xf numFmtId="1" fontId="130" fillId="0" borderId="4" xfId="1" applyNumberFormat="1" applyFont="1" applyFill="1" applyBorder="1" applyAlignment="1">
      <alignment horizontal="center" vertical="center"/>
    </xf>
    <xf numFmtId="1" fontId="96" fillId="0" borderId="3" xfId="1" applyNumberFormat="1" applyFont="1" applyFill="1" applyBorder="1" applyAlignment="1">
      <alignment horizontal="left" vertical="center"/>
    </xf>
    <xf numFmtId="1" fontId="130" fillId="0" borderId="4" xfId="1" applyNumberFormat="1" applyFont="1" applyFill="1" applyBorder="1" applyAlignment="1">
      <alignment horizontal="center" vertical="center" wrapText="1"/>
    </xf>
    <xf numFmtId="0" fontId="155" fillId="0" borderId="14" xfId="0" applyFont="1" applyBorder="1" applyAlignment="1">
      <alignment horizontal="center" vertical="center"/>
    </xf>
    <xf numFmtId="0" fontId="155" fillId="0" borderId="22" xfId="0" applyFont="1" applyBorder="1" applyAlignment="1">
      <alignment horizontal="center" vertical="center"/>
    </xf>
    <xf numFmtId="0" fontId="155" fillId="0" borderId="19" xfId="0" applyFont="1" applyBorder="1" applyAlignment="1">
      <alignment horizontal="center" vertical="center"/>
    </xf>
    <xf numFmtId="191" fontId="155" fillId="0" borderId="4" xfId="0" applyNumberFormat="1" applyFont="1" applyBorder="1" applyAlignment="1">
      <alignment horizontal="center"/>
    </xf>
    <xf numFmtId="0" fontId="155" fillId="0" borderId="4" xfId="0" applyFont="1" applyBorder="1" applyAlignment="1">
      <alignment horizontal="center"/>
    </xf>
    <xf numFmtId="1" fontId="119" fillId="0" borderId="4" xfId="1" applyNumberFormat="1" applyFont="1" applyFill="1" applyBorder="1" applyAlignment="1">
      <alignment horizontal="center" vertical="center"/>
    </xf>
    <xf numFmtId="196" fontId="119" fillId="0" borderId="14" xfId="1" applyNumberFormat="1" applyFont="1" applyFill="1" applyBorder="1" applyAlignment="1">
      <alignment vertical="center"/>
    </xf>
    <xf numFmtId="196" fontId="119" fillId="0" borderId="22" xfId="1" applyNumberFormat="1" applyFont="1" applyFill="1" applyBorder="1" applyAlignment="1">
      <alignment vertical="center"/>
    </xf>
    <xf numFmtId="196" fontId="119" fillId="0" borderId="19" xfId="1" applyNumberFormat="1" applyFont="1" applyFill="1" applyBorder="1" applyAlignment="1">
      <alignment vertical="center"/>
    </xf>
    <xf numFmtId="1" fontId="119" fillId="0" borderId="14" xfId="1" applyNumberFormat="1" applyFont="1" applyFill="1" applyBorder="1" applyAlignment="1">
      <alignment horizontal="center" vertical="center"/>
    </xf>
    <xf numFmtId="1" fontId="119" fillId="0" borderId="22" xfId="1" applyNumberFormat="1" applyFont="1" applyFill="1" applyBorder="1" applyAlignment="1">
      <alignment horizontal="center" vertical="center"/>
    </xf>
    <xf numFmtId="1" fontId="119" fillId="0" borderId="19" xfId="1" applyNumberFormat="1" applyFont="1" applyFill="1" applyBorder="1" applyAlignment="1">
      <alignment horizontal="center" vertical="center"/>
    </xf>
    <xf numFmtId="196" fontId="117" fillId="0" borderId="14" xfId="1" applyNumberFormat="1" applyFont="1" applyFill="1" applyBorder="1" applyAlignment="1">
      <alignment horizontal="center" vertical="center" wrapText="1"/>
    </xf>
    <xf numFmtId="196" fontId="117" fillId="0" borderId="22" xfId="1" applyNumberFormat="1" applyFont="1" applyFill="1" applyBorder="1" applyAlignment="1">
      <alignment horizontal="center" vertical="center" wrapText="1"/>
    </xf>
    <xf numFmtId="196" fontId="117" fillId="0" borderId="19" xfId="1" applyNumberFormat="1" applyFont="1" applyFill="1" applyBorder="1" applyAlignment="1">
      <alignment horizontal="center" vertical="center" wrapText="1"/>
    </xf>
    <xf numFmtId="196" fontId="117" fillId="0" borderId="14" xfId="1" applyNumberFormat="1" applyFont="1" applyFill="1" applyBorder="1" applyAlignment="1">
      <alignment horizontal="center" vertical="center"/>
    </xf>
    <xf numFmtId="196" fontId="117" fillId="0" borderId="22" xfId="1" applyNumberFormat="1" applyFont="1" applyFill="1" applyBorder="1" applyAlignment="1">
      <alignment horizontal="center" vertical="center"/>
    </xf>
    <xf numFmtId="196" fontId="117" fillId="0" borderId="19" xfId="1" applyNumberFormat="1" applyFont="1" applyFill="1" applyBorder="1" applyAlignment="1">
      <alignment horizontal="center" vertical="center"/>
    </xf>
    <xf numFmtId="1" fontId="136" fillId="0" borderId="0" xfId="1" applyNumberFormat="1" applyFont="1" applyFill="1" applyBorder="1" applyAlignment="1">
      <alignment horizontal="center" vertical="center"/>
    </xf>
    <xf numFmtId="1" fontId="117" fillId="0" borderId="4" xfId="1" applyNumberFormat="1" applyFont="1" applyFill="1" applyBorder="1" applyAlignment="1">
      <alignment horizontal="center" vertical="center"/>
    </xf>
    <xf numFmtId="3" fontId="130" fillId="0" borderId="4" xfId="1" applyNumberFormat="1" applyFont="1" applyFill="1" applyBorder="1" applyAlignment="1">
      <alignment horizontal="center" vertical="center"/>
    </xf>
    <xf numFmtId="1" fontId="162" fillId="0" borderId="4" xfId="1" applyNumberFormat="1" applyFont="1" applyFill="1" applyBorder="1" applyAlignment="1">
      <alignment horizontal="center" vertical="center"/>
    </xf>
    <xf numFmtId="191" fontId="156" fillId="0" borderId="4" xfId="1" applyNumberFormat="1" applyFont="1" applyFill="1" applyBorder="1" applyAlignment="1">
      <alignment horizontal="center"/>
    </xf>
    <xf numFmtId="1" fontId="82" fillId="0" borderId="0" xfId="1" applyNumberFormat="1" applyFont="1" applyFill="1" applyAlignment="1">
      <alignment horizontal="center" vertical="center"/>
    </xf>
    <xf numFmtId="1" fontId="9" fillId="0" borderId="0" xfId="1" applyNumberFormat="1" applyFont="1" applyFill="1" applyAlignment="1">
      <alignment horizontal="left" vertical="center"/>
    </xf>
    <xf numFmtId="1" fontId="9" fillId="0" borderId="0" xfId="1" applyNumberFormat="1" applyFont="1" applyFill="1" applyBorder="1" applyAlignment="1">
      <alignment horizontal="left" vertical="center"/>
    </xf>
    <xf numFmtId="212" fontId="118" fillId="0" borderId="4" xfId="1" applyNumberFormat="1" applyFont="1" applyFill="1" applyBorder="1" applyAlignment="1">
      <alignment horizontal="center"/>
    </xf>
    <xf numFmtId="0" fontId="155" fillId="0" borderId="14" xfId="0" applyFont="1" applyBorder="1" applyAlignment="1">
      <alignment horizontal="center"/>
    </xf>
    <xf numFmtId="0" fontId="155" fillId="0" borderId="22" xfId="0" applyFont="1" applyBorder="1" applyAlignment="1">
      <alignment horizontal="center"/>
    </xf>
    <xf numFmtId="0" fontId="155" fillId="0" borderId="19" xfId="0" applyFont="1" applyBorder="1" applyAlignment="1">
      <alignment horizontal="center"/>
    </xf>
    <xf numFmtId="1" fontId="135" fillId="0" borderId="4" xfId="1" applyNumberFormat="1" applyFont="1" applyFill="1" applyBorder="1" applyAlignment="1">
      <alignment horizontal="center" vertical="center"/>
    </xf>
    <xf numFmtId="1" fontId="135" fillId="0" borderId="0" xfId="1" applyNumberFormat="1" applyFont="1" applyFill="1" applyAlignment="1">
      <alignment horizontal="center" vertical="center"/>
    </xf>
    <xf numFmtId="195" fontId="127" fillId="0" borderId="0" xfId="1" applyFont="1" applyFill="1" applyBorder="1" applyAlignment="1">
      <alignment horizontal="center" vertical="center"/>
    </xf>
    <xf numFmtId="1" fontId="130" fillId="0" borderId="0" xfId="1" applyNumberFormat="1" applyFont="1" applyFill="1" applyBorder="1" applyAlignment="1">
      <alignment horizontal="center" vertical="center"/>
    </xf>
    <xf numFmtId="1" fontId="130" fillId="0" borderId="0" xfId="1" quotePrefix="1" applyNumberFormat="1" applyFont="1" applyFill="1" applyBorder="1" applyAlignment="1">
      <alignment horizontal="center" vertical="center"/>
    </xf>
    <xf numFmtId="0" fontId="170" fillId="0" borderId="0" xfId="0" applyFont="1" applyAlignment="1">
      <alignment horizontal="center" vertical="center"/>
    </xf>
    <xf numFmtId="4" fontId="9" fillId="0" borderId="0" xfId="0" applyNumberFormat="1" applyFont="1" applyAlignment="1">
      <alignment horizontal="center"/>
    </xf>
    <xf numFmtId="195" fontId="10" fillId="0" borderId="0" xfId="1" applyFont="1" applyFill="1" applyAlignment="1">
      <alignment horizontal="center"/>
    </xf>
    <xf numFmtId="0" fontId="11" fillId="0" borderId="14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198" fontId="11" fillId="0" borderId="4" xfId="1" applyNumberFormat="1" applyFont="1" applyFill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 wrapText="1"/>
    </xf>
    <xf numFmtId="198" fontId="10" fillId="0" borderId="0" xfId="1" applyNumberFormat="1" applyFont="1" applyFill="1" applyAlignment="1">
      <alignment horizontal="center"/>
    </xf>
    <xf numFmtId="0" fontId="10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98" fontId="28" fillId="0" borderId="0" xfId="1" applyNumberFormat="1" applyFont="1" applyFill="1" applyAlignment="1">
      <alignment horizontal="center"/>
    </xf>
    <xf numFmtId="0" fontId="17" fillId="0" borderId="3" xfId="0" applyFont="1" applyBorder="1" applyAlignment="1">
      <alignment horizontal="center"/>
    </xf>
    <xf numFmtId="0" fontId="49" fillId="0" borderId="4" xfId="0" applyFont="1" applyBorder="1" applyAlignment="1">
      <alignment wrapText="1"/>
    </xf>
    <xf numFmtId="207" fontId="11" fillId="0" borderId="4" xfId="1" applyNumberFormat="1" applyFont="1" applyFill="1" applyBorder="1" applyAlignment="1">
      <alignment horizontal="center" vertical="center" wrapText="1"/>
    </xf>
    <xf numFmtId="207" fontId="49" fillId="0" borderId="4" xfId="0" applyNumberFormat="1" applyFont="1" applyBorder="1"/>
    <xf numFmtId="0" fontId="3" fillId="0" borderId="0" xfId="0" applyFont="1" applyAlignment="1">
      <alignment horizontal="center"/>
    </xf>
    <xf numFmtId="0" fontId="11" fillId="0" borderId="4" xfId="1" applyNumberFormat="1" applyFont="1" applyFill="1" applyBorder="1" applyAlignment="1">
      <alignment horizontal="center" vertical="center" wrapText="1"/>
    </xf>
    <xf numFmtId="0" fontId="49" fillId="0" borderId="4" xfId="0" applyFont="1" applyBorder="1"/>
    <xf numFmtId="0" fontId="32" fillId="0" borderId="4" xfId="0" applyFont="1" applyBorder="1" applyAlignment="1">
      <alignment horizontal="center"/>
    </xf>
    <xf numFmtId="0" fontId="11" fillId="5" borderId="10" xfId="0" applyFont="1" applyFill="1" applyBorder="1" applyAlignment="1">
      <alignment horizontal="center" vertical="center" shrinkToFit="1"/>
    </xf>
    <xf numFmtId="0" fontId="11" fillId="5" borderId="4" xfId="0" applyFont="1" applyFill="1" applyBorder="1" applyAlignment="1">
      <alignment horizontal="center" vertical="center"/>
    </xf>
    <xf numFmtId="190" fontId="195" fillId="0" borderId="4" xfId="1" applyNumberFormat="1" applyFont="1" applyFill="1" applyBorder="1" applyAlignment="1">
      <alignment horizontal="center" vertical="center" wrapText="1"/>
    </xf>
    <xf numFmtId="190" fontId="117" fillId="0" borderId="0" xfId="1" applyNumberFormat="1" applyFont="1" applyFill="1" applyAlignment="1">
      <alignment horizontal="center"/>
    </xf>
    <xf numFmtId="190" fontId="119" fillId="0" borderId="0" xfId="0" applyNumberFormat="1" applyFont="1" applyAlignment="1">
      <alignment horizontal="center"/>
    </xf>
    <xf numFmtId="190" fontId="194" fillId="0" borderId="0" xfId="0" applyNumberFormat="1" applyFont="1" applyAlignment="1">
      <alignment horizontal="center"/>
    </xf>
    <xf numFmtId="190" fontId="195" fillId="0" borderId="14" xfId="0" applyNumberFormat="1" applyFont="1" applyBorder="1" applyAlignment="1">
      <alignment horizontal="center" vertical="center" shrinkToFit="1"/>
    </xf>
    <xf numFmtId="190" fontId="195" fillId="0" borderId="22" xfId="0" applyNumberFormat="1" applyFont="1" applyBorder="1" applyAlignment="1">
      <alignment horizontal="center" vertical="center" shrinkToFit="1"/>
    </xf>
    <xf numFmtId="190" fontId="195" fillId="0" borderId="19" xfId="0" applyNumberFormat="1" applyFont="1" applyBorder="1" applyAlignment="1">
      <alignment horizontal="center" vertical="center" shrinkToFit="1"/>
    </xf>
    <xf numFmtId="190" fontId="195" fillId="0" borderId="4" xfId="1" applyNumberFormat="1" applyFont="1" applyFill="1" applyBorder="1" applyAlignment="1">
      <alignment horizontal="center"/>
    </xf>
    <xf numFmtId="190" fontId="117" fillId="0" borderId="0" xfId="1" quotePrefix="1" applyNumberFormat="1" applyFont="1" applyFill="1" applyAlignment="1">
      <alignment horizontal="center"/>
    </xf>
    <xf numFmtId="0" fontId="167" fillId="0" borderId="0" xfId="0" applyFont="1"/>
    <xf numFmtId="190" fontId="113" fillId="0" borderId="0" xfId="0" applyNumberFormat="1" applyFont="1" applyAlignment="1">
      <alignment horizontal="center"/>
    </xf>
    <xf numFmtId="190" fontId="96" fillId="0" borderId="0" xfId="0" applyNumberFormat="1" applyFont="1" applyAlignment="1">
      <alignment horizontal="center"/>
    </xf>
    <xf numFmtId="190" fontId="117" fillId="0" borderId="0" xfId="0" applyNumberFormat="1" applyFont="1" applyAlignment="1">
      <alignment horizontal="center"/>
    </xf>
    <xf numFmtId="190" fontId="196" fillId="0" borderId="0" xfId="0" applyNumberFormat="1" applyFont="1" applyAlignment="1">
      <alignment horizontal="right"/>
    </xf>
    <xf numFmtId="210" fontId="196" fillId="0" borderId="3" xfId="0" applyNumberFormat="1" applyFont="1" applyBorder="1" applyAlignment="1">
      <alignment horizontal="center" vertical="center"/>
    </xf>
    <xf numFmtId="190" fontId="195" fillId="0" borderId="4" xfId="0" applyNumberFormat="1" applyFont="1" applyBorder="1" applyAlignment="1">
      <alignment horizontal="center" vertical="center" wrapText="1"/>
    </xf>
    <xf numFmtId="190" fontId="195" fillId="0" borderId="4" xfId="0" applyNumberFormat="1" applyFont="1" applyBorder="1" applyAlignment="1">
      <alignment horizontal="center" vertical="center" shrinkToFit="1"/>
    </xf>
    <xf numFmtId="190" fontId="195" fillId="0" borderId="14" xfId="0" applyNumberFormat="1" applyFont="1" applyBorder="1" applyAlignment="1">
      <alignment horizontal="center" vertical="center" wrapText="1"/>
    </xf>
    <xf numFmtId="190" fontId="195" fillId="0" borderId="19" xfId="0" applyNumberFormat="1" applyFont="1" applyBorder="1" applyAlignment="1">
      <alignment horizontal="center" vertical="center" wrapText="1"/>
    </xf>
    <xf numFmtId="4" fontId="110" fillId="0" borderId="0" xfId="1" applyNumberFormat="1" applyFont="1" applyFill="1" applyAlignment="1">
      <alignment horizontal="center"/>
    </xf>
    <xf numFmtId="190" fontId="198" fillId="0" borderId="4" xfId="0" applyNumberFormat="1" applyFont="1" applyBorder="1" applyAlignment="1">
      <alignment horizontal="center" vertical="center" shrinkToFit="1"/>
    </xf>
    <xf numFmtId="213" fontId="110" fillId="0" borderId="0" xfId="0" applyNumberFormat="1" applyFont="1" applyAlignment="1">
      <alignment horizontal="center"/>
    </xf>
    <xf numFmtId="210" fontId="110" fillId="0" borderId="0" xfId="0" applyNumberFormat="1" applyFont="1" applyAlignment="1">
      <alignment horizontal="center"/>
    </xf>
    <xf numFmtId="190" fontId="110" fillId="0" borderId="0" xfId="0" applyNumberFormat="1" applyFont="1" applyAlignment="1">
      <alignment horizontal="center"/>
    </xf>
    <xf numFmtId="3" fontId="110" fillId="0" borderId="0" xfId="1" applyNumberFormat="1" applyFont="1" applyFill="1" applyAlignment="1">
      <alignment horizontal="center"/>
    </xf>
    <xf numFmtId="190" fontId="195" fillId="0" borderId="0" xfId="0" applyNumberFormat="1" applyFont="1" applyAlignment="1">
      <alignment horizontal="center" vertical="center"/>
    </xf>
    <xf numFmtId="190" fontId="196" fillId="0" borderId="0" xfId="0" applyNumberFormat="1" applyFont="1" applyAlignment="1">
      <alignment horizontal="center" vertical="center"/>
    </xf>
    <xf numFmtId="190" fontId="96" fillId="0" borderId="0" xfId="1" applyNumberFormat="1" applyFont="1" applyFill="1" applyAlignment="1">
      <alignment horizontal="center"/>
    </xf>
    <xf numFmtId="190" fontId="196" fillId="0" borderId="15" xfId="0" applyNumberFormat="1" applyFont="1" applyBorder="1" applyAlignment="1">
      <alignment horizontal="center" vertical="center"/>
    </xf>
    <xf numFmtId="190" fontId="110" fillId="0" borderId="0" xfId="0" applyNumberFormat="1" applyFont="1" applyAlignment="1">
      <alignment horizontal="center" vertical="center"/>
    </xf>
    <xf numFmtId="190" fontId="110" fillId="0" borderId="0" xfId="0" applyNumberFormat="1" applyFont="1" applyAlignment="1">
      <alignment horizontal="right"/>
    </xf>
    <xf numFmtId="190" fontId="96" fillId="0" borderId="0" xfId="1" quotePrefix="1" applyNumberFormat="1" applyFont="1" applyFill="1" applyAlignment="1">
      <alignment horizontal="center"/>
    </xf>
    <xf numFmtId="190" fontId="110" fillId="0" borderId="3" xfId="0" applyNumberFormat="1" applyFont="1" applyBorder="1" applyAlignment="1">
      <alignment horizontal="center" vertical="center"/>
    </xf>
    <xf numFmtId="190" fontId="195" fillId="0" borderId="14" xfId="1" applyNumberFormat="1" applyFont="1" applyFill="1" applyBorder="1" applyAlignment="1">
      <alignment horizontal="center" vertical="center" wrapText="1"/>
    </xf>
    <xf numFmtId="190" fontId="195" fillId="0" borderId="22" xfId="1" applyNumberFormat="1" applyFont="1" applyFill="1" applyBorder="1" applyAlignment="1">
      <alignment horizontal="center" vertical="center" wrapText="1"/>
    </xf>
    <xf numFmtId="190" fontId="195" fillId="0" borderId="19" xfId="1" applyNumberFormat="1" applyFont="1" applyFill="1" applyBorder="1" applyAlignment="1">
      <alignment horizontal="center" vertical="center" wrapText="1"/>
    </xf>
    <xf numFmtId="190" fontId="196" fillId="0" borderId="0" xfId="0" applyNumberFormat="1" applyFont="1" applyAlignment="1">
      <alignment horizontal="center"/>
    </xf>
    <xf numFmtId="190" fontId="96" fillId="0" borderId="0" xfId="0" applyNumberFormat="1" applyFont="1" applyAlignment="1">
      <alignment horizontal="center" vertical="center"/>
    </xf>
    <xf numFmtId="190" fontId="195" fillId="0" borderId="10" xfId="1" applyNumberFormat="1" applyFont="1" applyFill="1" applyBorder="1" applyAlignment="1">
      <alignment horizontal="center" vertical="center" wrapText="1"/>
    </xf>
    <xf numFmtId="190" fontId="195" fillId="0" borderId="11" xfId="1" applyNumberFormat="1" applyFont="1" applyFill="1" applyBorder="1" applyAlignment="1">
      <alignment horizontal="center" vertical="center" wrapText="1"/>
    </xf>
    <xf numFmtId="190" fontId="195" fillId="0" borderId="16" xfId="1" applyNumberFormat="1" applyFont="1" applyFill="1" applyBorder="1" applyAlignment="1">
      <alignment horizontal="center" vertical="center" wrapText="1"/>
    </xf>
    <xf numFmtId="190" fontId="7" fillId="0" borderId="0" xfId="0" applyNumberFormat="1" applyFont="1" applyAlignment="1">
      <alignment horizontal="center"/>
    </xf>
    <xf numFmtId="190" fontId="84" fillId="0" borderId="0" xfId="1" applyNumberFormat="1" applyFont="1" applyFill="1" applyAlignment="1">
      <alignment horizontal="center"/>
    </xf>
    <xf numFmtId="190" fontId="84" fillId="0" borderId="0" xfId="0" applyNumberFormat="1" applyFont="1" applyAlignment="1">
      <alignment horizontal="center"/>
    </xf>
    <xf numFmtId="190" fontId="168" fillId="0" borderId="0" xfId="0" applyNumberFormat="1" applyFont="1" applyAlignment="1">
      <alignment horizontal="center"/>
    </xf>
    <xf numFmtId="190" fontId="7" fillId="0" borderId="3" xfId="0" applyNumberFormat="1" applyFont="1" applyBorder="1" applyAlignment="1">
      <alignment horizontal="center"/>
    </xf>
    <xf numFmtId="190" fontId="82" fillId="0" borderId="0" xfId="0" applyNumberFormat="1" applyFont="1" applyAlignment="1">
      <alignment horizontal="right"/>
    </xf>
    <xf numFmtId="210" fontId="168" fillId="0" borderId="0" xfId="0" applyNumberFormat="1" applyFont="1" applyAlignment="1">
      <alignment horizontal="center" vertical="center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190" fontId="26" fillId="0" borderId="4" xfId="1" applyNumberFormat="1" applyFont="1" applyFill="1" applyBorder="1" applyAlignment="1">
      <alignment horizontal="center"/>
    </xf>
    <xf numFmtId="190" fontId="26" fillId="0" borderId="4" xfId="1" applyNumberFormat="1" applyFont="1" applyFill="1" applyBorder="1" applyAlignment="1">
      <alignment horizontal="center" vertical="center" wrapText="1"/>
    </xf>
    <xf numFmtId="190" fontId="26" fillId="0" borderId="4" xfId="0" applyNumberFormat="1" applyFont="1" applyBorder="1" applyAlignment="1">
      <alignment horizontal="center" vertical="center"/>
    </xf>
    <xf numFmtId="190" fontId="26" fillId="0" borderId="4" xfId="0" applyNumberFormat="1" applyFont="1" applyBorder="1" applyAlignment="1">
      <alignment horizontal="center" vertical="center" wrapText="1"/>
    </xf>
    <xf numFmtId="190" fontId="192" fillId="0" borderId="4" xfId="0" applyNumberFormat="1" applyFont="1" applyBorder="1" applyAlignment="1">
      <alignment horizontal="center" vertical="center"/>
    </xf>
    <xf numFmtId="210" fontId="12" fillId="0" borderId="0" xfId="0" applyNumberFormat="1" applyFont="1" applyAlignment="1">
      <alignment horizontal="center"/>
    </xf>
    <xf numFmtId="4" fontId="12" fillId="0" borderId="0" xfId="1" applyNumberFormat="1" applyFont="1" applyFill="1" applyAlignment="1">
      <alignment horizontal="center"/>
    </xf>
    <xf numFmtId="190" fontId="9" fillId="0" borderId="0" xfId="0" applyNumberFormat="1" applyFont="1" applyAlignment="1">
      <alignment horizontal="center"/>
    </xf>
    <xf numFmtId="3" fontId="12" fillId="0" borderId="0" xfId="1" applyNumberFormat="1" applyFont="1" applyFill="1" applyAlignment="1">
      <alignment horizontal="center"/>
    </xf>
    <xf numFmtId="190" fontId="12" fillId="0" borderId="0" xfId="0" applyNumberFormat="1" applyFont="1" applyAlignment="1">
      <alignment horizontal="center"/>
    </xf>
    <xf numFmtId="190" fontId="12" fillId="0" borderId="0" xfId="1" applyNumberFormat="1" applyFont="1" applyFill="1" applyAlignment="1">
      <alignment horizontal="center"/>
    </xf>
    <xf numFmtId="190" fontId="127" fillId="0" borderId="0" xfId="0" applyNumberFormat="1" applyFont="1" applyAlignment="1">
      <alignment horizontal="center"/>
    </xf>
    <xf numFmtId="190" fontId="84" fillId="0" borderId="0" xfId="0" applyNumberFormat="1" applyFont="1" applyAlignment="1">
      <alignment horizontal="left" vertical="center"/>
    </xf>
    <xf numFmtId="190" fontId="26" fillId="0" borderId="4" xfId="0" applyNumberFormat="1" applyFont="1" applyBorder="1" applyAlignment="1">
      <alignment horizontal="center" vertical="center" shrinkToFit="1"/>
    </xf>
    <xf numFmtId="0" fontId="179" fillId="0" borderId="0" xfId="0" applyFont="1" applyAlignment="1">
      <alignment horizontal="center" vertical="center"/>
    </xf>
    <xf numFmtId="190" fontId="26" fillId="0" borderId="0" xfId="0" applyNumberFormat="1" applyFont="1" applyAlignment="1">
      <alignment horizontal="center" vertical="center"/>
    </xf>
    <xf numFmtId="0" fontId="174" fillId="0" borderId="4" xfId="0" applyFont="1" applyBorder="1" applyAlignment="1">
      <alignment horizontal="center" vertical="center"/>
    </xf>
    <xf numFmtId="0" fontId="174" fillId="0" borderId="4" xfId="0" applyFont="1" applyBorder="1" applyAlignment="1">
      <alignment horizontal="center" vertical="center" wrapText="1"/>
    </xf>
    <xf numFmtId="0" fontId="174" fillId="0" borderId="10" xfId="0" applyFont="1" applyBorder="1" applyAlignment="1">
      <alignment horizontal="center" vertical="center" wrapText="1"/>
    </xf>
    <xf numFmtId="0" fontId="174" fillId="0" borderId="16" xfId="0" applyFont="1" applyBorder="1" applyAlignment="1">
      <alignment horizontal="center" vertical="center" wrapText="1"/>
    </xf>
    <xf numFmtId="0" fontId="177" fillId="0" borderId="14" xfId="0" applyFont="1" applyBorder="1" applyAlignment="1">
      <alignment horizontal="center" vertical="center"/>
    </xf>
    <xf numFmtId="0" fontId="152" fillId="0" borderId="22" xfId="0" applyFont="1" applyBorder="1" applyAlignment="1">
      <alignment horizontal="center" vertical="center"/>
    </xf>
    <xf numFmtId="0" fontId="152" fillId="0" borderId="19" xfId="0" applyFont="1" applyBorder="1" applyAlignment="1">
      <alignment horizontal="center" vertical="center"/>
    </xf>
    <xf numFmtId="0" fontId="175" fillId="0" borderId="15" xfId="0" applyFont="1" applyBorder="1" applyAlignment="1">
      <alignment horizontal="right"/>
    </xf>
    <xf numFmtId="198" fontId="174" fillId="0" borderId="0" xfId="1" applyNumberFormat="1" applyFont="1" applyFill="1" applyAlignment="1">
      <alignment horizontal="center"/>
    </xf>
    <xf numFmtId="198" fontId="174" fillId="0" borderId="0" xfId="1" quotePrefix="1" applyNumberFormat="1" applyFont="1" applyFill="1" applyAlignment="1">
      <alignment horizontal="center"/>
    </xf>
    <xf numFmtId="0" fontId="61" fillId="0" borderId="0" xfId="0" applyFont="1" applyAlignment="1">
      <alignment horizontal="center"/>
    </xf>
    <xf numFmtId="0" fontId="174" fillId="0" borderId="0" xfId="0" applyFont="1" applyAlignment="1">
      <alignment horizontal="center"/>
    </xf>
    <xf numFmtId="0" fontId="117" fillId="0" borderId="0" xfId="0" applyFont="1" applyAlignment="1">
      <alignment horizontal="center" vertical="center" wrapText="1"/>
    </xf>
    <xf numFmtId="0" fontId="117" fillId="0" borderId="0" xfId="0" applyFont="1" applyAlignment="1">
      <alignment horizontal="center" vertical="center"/>
    </xf>
    <xf numFmtId="190" fontId="174" fillId="0" borderId="4" xfId="1" applyNumberFormat="1" applyFont="1" applyFill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198" fontId="26" fillId="0" borderId="0" xfId="1" applyNumberFormat="1" applyFont="1" applyFill="1" applyAlignment="1">
      <alignment horizontal="center"/>
    </xf>
    <xf numFmtId="0" fontId="82" fillId="0" borderId="0" xfId="0" applyFont="1" applyAlignment="1">
      <alignment horizontal="center"/>
    </xf>
    <xf numFmtId="0" fontId="84" fillId="0" borderId="0" xfId="0" applyFont="1" applyAlignment="1">
      <alignment horizontal="center" vertical="center" wrapText="1"/>
    </xf>
    <xf numFmtId="0" fontId="84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198" fontId="26" fillId="0" borderId="0" xfId="1" quotePrefix="1" applyNumberFormat="1" applyFont="1" applyFill="1" applyAlignment="1">
      <alignment horizontal="center"/>
    </xf>
    <xf numFmtId="0" fontId="26" fillId="0" borderId="0" xfId="0" applyFont="1" applyAlignment="1">
      <alignment horizontal="center"/>
    </xf>
    <xf numFmtId="0" fontId="92" fillId="0" borderId="0" xfId="0" applyFont="1" applyAlignment="1">
      <alignment horizontal="center"/>
    </xf>
    <xf numFmtId="0" fontId="116" fillId="0" borderId="14" xfId="0" applyFont="1" applyBorder="1" applyAlignment="1">
      <alignment horizontal="center" vertical="center"/>
    </xf>
    <xf numFmtId="0" fontId="107" fillId="0" borderId="22" xfId="0" applyFont="1" applyBorder="1" applyAlignment="1">
      <alignment horizontal="center" vertical="center"/>
    </xf>
    <xf numFmtId="0" fontId="107" fillId="0" borderId="19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justify" wrapText="1"/>
    </xf>
    <xf numFmtId="0" fontId="63" fillId="0" borderId="15" xfId="0" applyFont="1" applyBorder="1" applyAlignment="1">
      <alignment horizontal="center"/>
    </xf>
    <xf numFmtId="0" fontId="44" fillId="0" borderId="14" xfId="0" applyFont="1" applyBorder="1" applyAlignment="1">
      <alignment horizontal="center" vertical="center"/>
    </xf>
    <xf numFmtId="0" fontId="44" fillId="0" borderId="19" xfId="0" applyFont="1" applyBorder="1" applyAlignment="1">
      <alignment horizontal="center" vertical="center"/>
    </xf>
    <xf numFmtId="0" fontId="95" fillId="0" borderId="4" xfId="0" applyFont="1" applyBorder="1" applyAlignment="1">
      <alignment horizontal="left" vertical="center"/>
    </xf>
    <xf numFmtId="0" fontId="95" fillId="0" borderId="4" xfId="0" applyFont="1" applyBorder="1" applyAlignment="1">
      <alignment horizontal="left" vertical="center" wrapText="1"/>
    </xf>
    <xf numFmtId="0" fontId="107" fillId="4" borderId="4" xfId="0" applyFont="1" applyFill="1" applyBorder="1" applyAlignment="1">
      <alignment horizontal="center" vertical="center"/>
    </xf>
    <xf numFmtId="196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197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96" fontId="82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/>
    </xf>
    <xf numFmtId="196" fontId="26" fillId="0" borderId="0" xfId="1" applyNumberFormat="1" applyFont="1" applyFill="1" applyAlignment="1">
      <alignment horizontal="center"/>
    </xf>
    <xf numFmtId="0" fontId="34" fillId="0" borderId="0" xfId="0" applyFont="1" applyAlignment="1">
      <alignment horizontal="center"/>
    </xf>
    <xf numFmtId="0" fontId="26" fillId="4" borderId="0" xfId="0" applyFont="1" applyFill="1" applyAlignment="1">
      <alignment horizontal="center" vertical="center"/>
    </xf>
    <xf numFmtId="1" fontId="95" fillId="0" borderId="4" xfId="0" applyNumberFormat="1" applyFont="1" applyBorder="1" applyAlignment="1">
      <alignment horizontal="left" vertical="center"/>
    </xf>
    <xf numFmtId="0" fontId="107" fillId="0" borderId="4" xfId="0" applyFont="1" applyBorder="1" applyAlignment="1">
      <alignment horizontal="center" vertical="center"/>
    </xf>
    <xf numFmtId="1" fontId="26" fillId="0" borderId="4" xfId="0" applyNumberFormat="1" applyFont="1" applyBorder="1" applyAlignment="1">
      <alignment horizontal="left" vertical="center" wrapText="1"/>
    </xf>
    <xf numFmtId="190" fontId="26" fillId="0" borderId="0" xfId="1" applyNumberFormat="1" applyFont="1" applyFill="1" applyAlignment="1">
      <alignment horizontal="center"/>
    </xf>
    <xf numFmtId="0" fontId="12" fillId="0" borderId="0" xfId="0" applyFont="1" applyAlignment="1">
      <alignment horizontal="center"/>
    </xf>
    <xf numFmtId="190" fontId="26" fillId="0" borderId="0" xfId="1" quotePrefix="1" applyNumberFormat="1" applyFont="1" applyFill="1" applyAlignment="1">
      <alignment horizontal="center"/>
    </xf>
    <xf numFmtId="0" fontId="84" fillId="0" borderId="0" xfId="0" applyFont="1" applyAlignment="1">
      <alignment horizontal="center"/>
    </xf>
    <xf numFmtId="0" fontId="106" fillId="0" borderId="0" xfId="0" applyFont="1" applyAlignment="1">
      <alignment horizontal="center" vertical="center"/>
    </xf>
    <xf numFmtId="0" fontId="79" fillId="0" borderId="0" xfId="0" applyFont="1" applyAlignment="1">
      <alignment horizontal="center"/>
    </xf>
    <xf numFmtId="0" fontId="79" fillId="0" borderId="0" xfId="0" quotePrefix="1" applyFont="1" applyAlignment="1">
      <alignment horizontal="center"/>
    </xf>
    <xf numFmtId="0" fontId="76" fillId="0" borderId="0" xfId="0" applyFont="1" applyAlignment="1">
      <alignment horizontal="center"/>
    </xf>
    <xf numFmtId="0" fontId="120" fillId="0" borderId="0" xfId="0" applyFont="1" applyAlignment="1">
      <alignment horizontal="center"/>
    </xf>
    <xf numFmtId="0" fontId="81" fillId="0" borderId="0" xfId="0" applyFont="1" applyAlignment="1">
      <alignment horizontal="center" vertical="center"/>
    </xf>
    <xf numFmtId="0" fontId="122" fillId="0" borderId="15" xfId="0" applyFont="1" applyBorder="1" applyAlignment="1">
      <alignment horizontal="right" vertical="center"/>
    </xf>
    <xf numFmtId="0" fontId="120" fillId="0" borderId="0" xfId="0" applyFont="1" applyAlignment="1">
      <alignment horizontal="left"/>
    </xf>
    <xf numFmtId="0" fontId="10" fillId="0" borderId="0" xfId="0" quotePrefix="1" applyFont="1" applyAlignment="1">
      <alignment horizontal="center"/>
    </xf>
    <xf numFmtId="0" fontId="24" fillId="0" borderId="0" xfId="16" applyFont="1" applyAlignment="1">
      <alignment horizontal="center"/>
    </xf>
    <xf numFmtId="0" fontId="71" fillId="0" borderId="0" xfId="0" applyFont="1" applyAlignment="1">
      <alignment horizontal="center"/>
    </xf>
    <xf numFmtId="0" fontId="91" fillId="0" borderId="0" xfId="0" applyFont="1" applyAlignment="1">
      <alignment horizontal="center"/>
    </xf>
    <xf numFmtId="196" fontId="12" fillId="0" borderId="3" xfId="1" applyNumberFormat="1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8" fillId="0" borderId="14" xfId="0" applyFont="1" applyBorder="1" applyAlignment="1">
      <alignment horizontal="center" vertical="center"/>
    </xf>
    <xf numFmtId="0" fontId="108" fillId="0" borderId="22" xfId="0" applyFont="1" applyBorder="1" applyAlignment="1">
      <alignment horizontal="center" vertical="center"/>
    </xf>
    <xf numFmtId="0" fontId="108" fillId="0" borderId="19" xfId="0" applyFont="1" applyBorder="1" applyAlignment="1">
      <alignment horizontal="center" vertical="center"/>
    </xf>
    <xf numFmtId="0" fontId="86" fillId="0" borderId="0" xfId="16" applyFont="1" applyAlignment="1">
      <alignment horizontal="center"/>
    </xf>
    <xf numFmtId="3" fontId="17" fillId="0" borderId="0" xfId="0" applyNumberFormat="1" applyFont="1"/>
    <xf numFmtId="3" fontId="17" fillId="0" borderId="0" xfId="0" applyNumberFormat="1" applyFont="1" applyAlignment="1">
      <alignment horizontal="center"/>
    </xf>
    <xf numFmtId="0" fontId="78" fillId="0" borderId="0" xfId="0" applyFont="1" applyAlignment="1">
      <alignment horizontal="left"/>
    </xf>
    <xf numFmtId="0" fontId="78" fillId="0" borderId="0" xfId="0" applyFont="1" applyAlignment="1">
      <alignment horizontal="center"/>
    </xf>
    <xf numFmtId="0" fontId="17" fillId="0" borderId="0" xfId="0" applyFont="1" applyAlignment="1">
      <alignment horizontal="center" wrapText="1"/>
    </xf>
    <xf numFmtId="0" fontId="34" fillId="0" borderId="3" xfId="0" applyFont="1" applyBorder="1" applyAlignment="1">
      <alignment horizontal="center"/>
    </xf>
    <xf numFmtId="0" fontId="92" fillId="0" borderId="14" xfId="0" applyFont="1" applyBorder="1" applyAlignment="1">
      <alignment horizontal="center" vertical="center"/>
    </xf>
    <xf numFmtId="0" fontId="92" fillId="0" borderId="19" xfId="0" applyFont="1" applyBorder="1" applyAlignment="1">
      <alignment horizontal="center" vertical="center"/>
    </xf>
    <xf numFmtId="0" fontId="112" fillId="0" borderId="0" xfId="0" applyFont="1" applyAlignment="1">
      <alignment horizontal="center"/>
    </xf>
    <xf numFmtId="0" fontId="63" fillId="0" borderId="0" xfId="0" applyFont="1" applyAlignment="1">
      <alignment horizontal="right"/>
    </xf>
    <xf numFmtId="203" fontId="11" fillId="0" borderId="14" xfId="0" applyNumberFormat="1" applyFont="1" applyBorder="1" applyAlignment="1">
      <alignment horizontal="center" vertical="center"/>
    </xf>
    <xf numFmtId="203" fontId="11" fillId="0" borderId="22" xfId="0" applyNumberFormat="1" applyFont="1" applyBorder="1" applyAlignment="1">
      <alignment horizontal="center" vertical="center"/>
    </xf>
    <xf numFmtId="203" fontId="11" fillId="0" borderId="19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203" fontId="11" fillId="0" borderId="0" xfId="0" applyNumberFormat="1" applyFont="1" applyAlignment="1">
      <alignment horizontal="center" vertical="center"/>
    </xf>
    <xf numFmtId="203" fontId="11" fillId="0" borderId="4" xfId="0" applyNumberFormat="1" applyFont="1" applyBorder="1" applyAlignment="1">
      <alignment horizontal="center" vertical="center"/>
    </xf>
    <xf numFmtId="0" fontId="143" fillId="0" borderId="22" xfId="0" applyFont="1" applyBorder="1" applyAlignment="1">
      <alignment vertical="center"/>
    </xf>
    <xf numFmtId="0" fontId="143" fillId="0" borderId="19" xfId="0" applyFont="1" applyBorder="1" applyAlignment="1">
      <alignment vertical="center"/>
    </xf>
    <xf numFmtId="218" fontId="34" fillId="4" borderId="0" xfId="5" applyNumberFormat="1" applyFont="1" applyFill="1" applyAlignment="1">
      <alignment horizontal="right"/>
    </xf>
    <xf numFmtId="0" fontId="26" fillId="4" borderId="0" xfId="0" applyFont="1" applyFill="1" applyAlignment="1">
      <alignment horizontal="center"/>
    </xf>
    <xf numFmtId="0" fontId="26" fillId="4" borderId="0" xfId="0" quotePrefix="1" applyFont="1" applyFill="1" applyAlignment="1">
      <alignment horizontal="center"/>
    </xf>
    <xf numFmtId="0" fontId="84" fillId="4" borderId="0" xfId="0" applyFont="1" applyFill="1" applyAlignment="1">
      <alignment horizontal="center"/>
    </xf>
    <xf numFmtId="0" fontId="26" fillId="4" borderId="23" xfId="0" applyFont="1" applyFill="1" applyBorder="1" applyAlignment="1">
      <alignment horizontal="center" vertical="center"/>
    </xf>
    <xf numFmtId="0" fontId="26" fillId="4" borderId="24" xfId="0" applyFont="1" applyFill="1" applyBorder="1" applyAlignment="1">
      <alignment horizontal="center" vertical="center"/>
    </xf>
    <xf numFmtId="0" fontId="26" fillId="4" borderId="4" xfId="0" applyFont="1" applyFill="1" applyBorder="1" applyAlignment="1">
      <alignment horizontal="center" vertical="center"/>
    </xf>
    <xf numFmtId="0" fontId="116" fillId="4" borderId="14" xfId="0" applyFont="1" applyFill="1" applyBorder="1" applyAlignment="1">
      <alignment horizontal="center" vertical="center"/>
    </xf>
    <xf numFmtId="0" fontId="116" fillId="4" borderId="22" xfId="0" applyFont="1" applyFill="1" applyBorder="1" applyAlignment="1">
      <alignment horizontal="center" vertical="center"/>
    </xf>
    <xf numFmtId="0" fontId="116" fillId="4" borderId="19" xfId="0" applyFont="1" applyFill="1" applyBorder="1" applyAlignment="1">
      <alignment horizontal="center" vertical="center"/>
    </xf>
    <xf numFmtId="198" fontId="2" fillId="2" borderId="4" xfId="1" applyNumberFormat="1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46" fillId="0" borderId="14" xfId="0" applyFont="1" applyBorder="1" applyAlignment="1">
      <alignment horizontal="center" vertical="center"/>
    </xf>
    <xf numFmtId="0" fontId="46" fillId="0" borderId="22" xfId="0" applyFont="1" applyBorder="1" applyAlignment="1">
      <alignment horizontal="center" vertical="center"/>
    </xf>
    <xf numFmtId="0" fontId="46" fillId="0" borderId="19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 shrinkToFit="1"/>
    </xf>
    <xf numFmtId="0" fontId="27" fillId="0" borderId="0" xfId="0" applyFont="1" applyAlignment="1">
      <alignment horizontal="center"/>
    </xf>
    <xf numFmtId="0" fontId="17" fillId="0" borderId="3" xfId="0" applyFont="1" applyBorder="1" applyAlignment="1">
      <alignment horizontal="center" vertical="center" wrapText="1" shrinkToFit="1"/>
    </xf>
    <xf numFmtId="0" fontId="20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198" fontId="29" fillId="0" borderId="0" xfId="1" applyNumberFormat="1" applyFont="1" applyFill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50" fillId="0" borderId="14" xfId="0" applyFont="1" applyBorder="1" applyAlignment="1">
      <alignment horizontal="center" vertical="center"/>
    </xf>
    <xf numFmtId="0" fontId="20" fillId="0" borderId="15" xfId="0" applyFont="1" applyBorder="1" applyAlignment="1">
      <alignment horizontal="right"/>
    </xf>
    <xf numFmtId="0" fontId="33" fillId="0" borderId="0" xfId="0" applyFont="1" applyAlignment="1">
      <alignment horizontal="center"/>
    </xf>
    <xf numFmtId="0" fontId="44" fillId="0" borderId="0" xfId="0" applyFont="1" applyAlignment="1">
      <alignment horizontal="left" vertical="center"/>
    </xf>
    <xf numFmtId="0" fontId="138" fillId="0" borderId="0" xfId="0" applyFont="1"/>
    <xf numFmtId="0" fontId="116" fillId="0" borderId="4" xfId="0" applyFont="1" applyBorder="1" applyAlignment="1">
      <alignment horizontal="center" vertical="center"/>
    </xf>
    <xf numFmtId="198" fontId="26" fillId="0" borderId="0" xfId="1" applyNumberFormat="1" applyFont="1" applyFill="1" applyBorder="1" applyAlignment="1">
      <alignment horizontal="center"/>
    </xf>
    <xf numFmtId="198" fontId="26" fillId="0" borderId="0" xfId="1" quotePrefix="1" applyNumberFormat="1" applyFont="1" applyFill="1" applyBorder="1" applyAlignment="1">
      <alignment horizontal="center"/>
    </xf>
    <xf numFmtId="0" fontId="26" fillId="4" borderId="10" xfId="0" applyFont="1" applyFill="1" applyBorder="1" applyAlignment="1">
      <alignment horizontal="center" vertical="center" shrinkToFit="1"/>
    </xf>
    <xf numFmtId="0" fontId="26" fillId="4" borderId="16" xfId="0" applyFont="1" applyFill="1" applyBorder="1" applyAlignment="1">
      <alignment horizontal="center" vertical="center" shrinkToFit="1"/>
    </xf>
    <xf numFmtId="0" fontId="0" fillId="4" borderId="16" xfId="0" applyFill="1" applyBorder="1"/>
    <xf numFmtId="197" fontId="26" fillId="4" borderId="10" xfId="1" applyNumberFormat="1" applyFont="1" applyFill="1" applyBorder="1" applyAlignment="1">
      <alignment horizontal="center" vertical="center" shrinkToFit="1"/>
    </xf>
    <xf numFmtId="0" fontId="26" fillId="4" borderId="14" xfId="0" applyFont="1" applyFill="1" applyBorder="1" applyAlignment="1">
      <alignment horizontal="center" vertical="center"/>
    </xf>
    <xf numFmtId="0" fontId="26" fillId="4" borderId="22" xfId="0" applyFont="1" applyFill="1" applyBorder="1" applyAlignment="1">
      <alignment horizontal="center" vertical="center"/>
    </xf>
    <xf numFmtId="0" fontId="26" fillId="4" borderId="19" xfId="0" applyFont="1" applyFill="1" applyBorder="1" applyAlignment="1">
      <alignment horizontal="center" vertical="center"/>
    </xf>
    <xf numFmtId="197" fontId="83" fillId="4" borderId="0" xfId="0" applyNumberFormat="1" applyFont="1" applyFill="1" applyAlignment="1">
      <alignment horizontal="center"/>
    </xf>
    <xf numFmtId="0" fontId="82" fillId="4" borderId="0" xfId="0" applyFont="1" applyFill="1" applyAlignment="1">
      <alignment horizontal="left"/>
    </xf>
    <xf numFmtId="0" fontId="82" fillId="4" borderId="0" xfId="0" applyFont="1" applyFill="1" applyAlignment="1">
      <alignment horizontal="center"/>
    </xf>
    <xf numFmtId="0" fontId="34" fillId="0" borderId="15" xfId="0" applyFont="1" applyBorder="1" applyAlignment="1">
      <alignment horizontal="center" vertical="center"/>
    </xf>
    <xf numFmtId="0" fontId="82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37" fillId="4" borderId="0" xfId="0" applyFont="1" applyFill="1" applyAlignment="1">
      <alignment horizontal="center"/>
    </xf>
    <xf numFmtId="0" fontId="26" fillId="4" borderId="4" xfId="0" applyFont="1" applyFill="1" applyBorder="1" applyAlignment="1">
      <alignment horizontal="center" vertical="center" shrinkToFit="1"/>
    </xf>
    <xf numFmtId="0" fontId="26" fillId="4" borderId="4" xfId="0" applyFont="1" applyFill="1" applyBorder="1" applyAlignment="1">
      <alignment horizontal="center" vertical="center" wrapText="1"/>
    </xf>
    <xf numFmtId="0" fontId="123" fillId="0" borderId="4" xfId="0" applyFont="1" applyBorder="1" applyAlignment="1">
      <alignment horizontal="center"/>
    </xf>
    <xf numFmtId="0" fontId="67" fillId="0" borderId="4" xfId="0" applyFont="1" applyBorder="1" applyAlignment="1">
      <alignment horizontal="center"/>
    </xf>
    <xf numFmtId="0" fontId="66" fillId="0" borderId="4" xfId="0" applyFont="1" applyBorder="1" applyAlignment="1">
      <alignment horizontal="center"/>
    </xf>
    <xf numFmtId="0" fontId="40" fillId="0" borderId="4" xfId="0" applyFont="1" applyBorder="1" applyAlignment="1">
      <alignment horizontal="center"/>
    </xf>
    <xf numFmtId="0" fontId="67" fillId="0" borderId="10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0" fontId="60" fillId="0" borderId="4" xfId="0" applyFont="1" applyBorder="1" applyAlignment="1">
      <alignment horizontal="center"/>
    </xf>
    <xf numFmtId="195" fontId="74" fillId="0" borderId="0" xfId="1" applyFont="1" applyFill="1" applyAlignment="1">
      <alignment horizontal="center"/>
    </xf>
    <xf numFmtId="196" fontId="1" fillId="0" borderId="0" xfId="1" applyNumberFormat="1" applyFont="1" applyFill="1" applyAlignment="1">
      <alignment horizontal="center"/>
    </xf>
    <xf numFmtId="196" fontId="74" fillId="0" borderId="0" xfId="1" applyNumberFormat="1" applyFont="1" applyFill="1" applyAlignment="1">
      <alignment horizontal="center"/>
    </xf>
    <xf numFmtId="212" fontId="0" fillId="0" borderId="0" xfId="0" applyNumberFormat="1" applyAlignment="1">
      <alignment horizontal="center"/>
    </xf>
    <xf numFmtId="0" fontId="92" fillId="0" borderId="0" xfId="16" applyFont="1" applyAlignment="1">
      <alignment horizontal="center"/>
    </xf>
    <xf numFmtId="0" fontId="76" fillId="0" borderId="0" xfId="16" applyFont="1" applyAlignment="1">
      <alignment horizontal="right"/>
    </xf>
    <xf numFmtId="0" fontId="10" fillId="0" borderId="14" xfId="18" applyFont="1" applyBorder="1" applyAlignment="1">
      <alignment horizontal="left" vertical="center"/>
    </xf>
    <xf numFmtId="0" fontId="10" fillId="0" borderId="19" xfId="18" applyFont="1" applyBorder="1" applyAlignment="1">
      <alignment horizontal="left" vertical="center"/>
    </xf>
    <xf numFmtId="0" fontId="57" fillId="0" borderId="0" xfId="0" applyFont="1" applyAlignment="1">
      <alignment horizontal="center"/>
    </xf>
    <xf numFmtId="198" fontId="44" fillId="0" borderId="0" xfId="1" applyNumberFormat="1" applyFont="1" applyFill="1" applyAlignment="1">
      <alignment horizontal="center"/>
    </xf>
    <xf numFmtId="0" fontId="44" fillId="0" borderId="0" xfId="0" quotePrefix="1" applyFont="1" applyAlignment="1">
      <alignment horizontal="center"/>
    </xf>
    <xf numFmtId="0" fontId="39" fillId="0" borderId="0" xfId="0" applyFont="1" applyAlignment="1">
      <alignment horizontal="left" vertical="center" shrinkToFit="1"/>
    </xf>
    <xf numFmtId="0" fontId="52" fillId="0" borderId="3" xfId="0" applyFont="1" applyBorder="1" applyAlignment="1">
      <alignment horizontal="center"/>
    </xf>
    <xf numFmtId="0" fontId="42" fillId="0" borderId="4" xfId="0" applyFont="1" applyBorder="1" applyAlignment="1">
      <alignment horizontal="center" vertical="center"/>
    </xf>
    <xf numFmtId="0" fontId="53" fillId="0" borderId="15" xfId="0" applyFont="1" applyBorder="1" applyAlignment="1">
      <alignment horizontal="center" vertical="center" shrinkToFit="1"/>
    </xf>
    <xf numFmtId="0" fontId="42" fillId="0" borderId="4" xfId="0" applyFont="1" applyBorder="1" applyAlignment="1">
      <alignment horizontal="center"/>
    </xf>
    <xf numFmtId="0" fontId="42" fillId="0" borderId="0" xfId="0" applyFont="1" applyAlignment="1">
      <alignment horizontal="left" vertical="center"/>
    </xf>
    <xf numFmtId="0" fontId="39" fillId="0" borderId="0" xfId="0" applyFont="1" applyAlignment="1">
      <alignment horizontal="left"/>
    </xf>
    <xf numFmtId="0" fontId="53" fillId="0" borderId="0" xfId="0" applyFont="1" applyAlignment="1">
      <alignment horizontal="left"/>
    </xf>
    <xf numFmtId="0" fontId="53" fillId="0" borderId="0" xfId="0" applyFont="1" applyAlignment="1">
      <alignment horizontal="center" vertical="center" shrinkToFit="1"/>
    </xf>
    <xf numFmtId="0" fontId="52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26" fillId="5" borderId="4" xfId="0" applyFont="1" applyFill="1" applyBorder="1" applyAlignment="1">
      <alignment horizontal="center"/>
    </xf>
    <xf numFmtId="0" fontId="181" fillId="5" borderId="4" xfId="0" applyFont="1" applyFill="1" applyBorder="1" applyAlignment="1">
      <alignment horizontal="center"/>
    </xf>
  </cellXfs>
  <cellStyles count="29">
    <cellStyle name="Accent6" xfId="28" builtinId="49"/>
    <cellStyle name="Comma" xfId="1" builtinId="3"/>
    <cellStyle name="Comma [0] 2" xfId="2"/>
    <cellStyle name="Comma 19" xfId="3"/>
    <cellStyle name="Comma 2" xfId="4"/>
    <cellStyle name="Comma 2 2" xfId="5"/>
    <cellStyle name="Comma 3" xfId="6"/>
    <cellStyle name="Comma 5" xfId="24"/>
    <cellStyle name="Comma_Sheet1" xfId="26"/>
    <cellStyle name="Currency" xfId="7" builtinId="4"/>
    <cellStyle name="Normal" xfId="0" builtinId="0"/>
    <cellStyle name="Normal 10" xfId="8"/>
    <cellStyle name="Normal 16" xfId="9"/>
    <cellStyle name="Normal 2" xfId="10"/>
    <cellStyle name="Normal 2 2" xfId="11"/>
    <cellStyle name="Normal 2 2 2" xfId="12"/>
    <cellStyle name="Normal 2 2 2 2" xfId="13"/>
    <cellStyle name="Normal 2 2 2 2 2 2" xfId="23"/>
    <cellStyle name="Normal 21" xfId="25"/>
    <cellStyle name="Normal 24" xfId="27"/>
    <cellStyle name="Normal 3" xfId="14"/>
    <cellStyle name="Normal 3 6" xfId="15"/>
    <cellStyle name="Normal 4" xfId="16"/>
    <cellStyle name="Normal 5" xfId="17"/>
    <cellStyle name="Normal_KE HOACH SAN XUAT HANG THANG NAM 2016" xfId="18"/>
    <cellStyle name="Normal_Sheet1" xfId="19"/>
    <cellStyle name="Normal_Sheet1 2" xfId="20"/>
    <cellStyle name="Percent" xfId="21" builtinId="5"/>
    <cellStyle name="Percent 2" xfId="22"/>
  </cellStyles>
  <dxfs count="5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Châm Công Phụ Cấp -style" pivot="0" count="2"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249891</xdr:colOff>
      <xdr:row>5</xdr:row>
      <xdr:rowOff>203200</xdr:rowOff>
    </xdr:from>
    <xdr:to>
      <xdr:col>9</xdr:col>
      <xdr:colOff>259416</xdr:colOff>
      <xdr:row>5</xdr:row>
      <xdr:rowOff>204788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3389331" y="1170940"/>
          <a:ext cx="119824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984685</xdr:colOff>
      <xdr:row>7</xdr:row>
      <xdr:rowOff>102052</xdr:rowOff>
    </xdr:from>
    <xdr:to>
      <xdr:col>11</xdr:col>
      <xdr:colOff>724913</xdr:colOff>
      <xdr:row>7</xdr:row>
      <xdr:rowOff>103640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7118785" y="3988252"/>
          <a:ext cx="3108268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298885</xdr:colOff>
      <xdr:row>6</xdr:row>
      <xdr:rowOff>102052</xdr:rowOff>
    </xdr:from>
    <xdr:to>
      <xdr:col>9</xdr:col>
      <xdr:colOff>39113</xdr:colOff>
      <xdr:row>6</xdr:row>
      <xdr:rowOff>103640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248325" y="3043372"/>
          <a:ext cx="2689168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23813</xdr:rowOff>
    </xdr:from>
    <xdr:to>
      <xdr:col>5</xdr:col>
      <xdr:colOff>23813</xdr:colOff>
      <xdr:row>7</xdr:row>
      <xdr:rowOff>25401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400-000005000000}"/>
            </a:ext>
          </a:extLst>
        </xdr:cNvPr>
        <xdr:cNvCxnSpPr/>
      </xdr:nvCxnSpPr>
      <xdr:spPr>
        <a:xfrm>
          <a:off x="3929063" y="1881188"/>
          <a:ext cx="252412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</xdr:row>
      <xdr:rowOff>23813</xdr:rowOff>
    </xdr:from>
    <xdr:to>
      <xdr:col>5</xdr:col>
      <xdr:colOff>23813</xdr:colOff>
      <xdr:row>6</xdr:row>
      <xdr:rowOff>25401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CxnSpPr/>
      </xdr:nvCxnSpPr>
      <xdr:spPr>
        <a:xfrm>
          <a:off x="6431280" y="2203133"/>
          <a:ext cx="2381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744703</xdr:colOff>
      <xdr:row>6</xdr:row>
      <xdr:rowOff>86590</xdr:rowOff>
    </xdr:from>
    <xdr:to>
      <xdr:col>5</xdr:col>
      <xdr:colOff>51976</xdr:colOff>
      <xdr:row>6</xdr:row>
      <xdr:rowOff>86590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0400-000006000000}"/>
            </a:ext>
          </a:extLst>
        </xdr:cNvPr>
        <xdr:cNvCxnSpPr/>
      </xdr:nvCxnSpPr>
      <xdr:spPr>
        <a:xfrm>
          <a:off x="3983203" y="2265910"/>
          <a:ext cx="250005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1350820</xdr:colOff>
      <xdr:row>6</xdr:row>
      <xdr:rowOff>69272</xdr:rowOff>
    </xdr:from>
    <xdr:to>
      <xdr:col>5</xdr:col>
      <xdr:colOff>346365</xdr:colOff>
      <xdr:row>6</xdr:row>
      <xdr:rowOff>69272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CxnSpPr/>
      </xdr:nvCxnSpPr>
      <xdr:spPr>
        <a:xfrm>
          <a:off x="3408220" y="2157152"/>
          <a:ext cx="22188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109225</xdr:colOff>
      <xdr:row>7</xdr:row>
      <xdr:rowOff>51955</xdr:rowOff>
    </xdr:from>
    <xdr:to>
      <xdr:col>6</xdr:col>
      <xdr:colOff>207815</xdr:colOff>
      <xdr:row>7</xdr:row>
      <xdr:rowOff>51955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2319025" y="1995055"/>
          <a:ext cx="1797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697507</xdr:colOff>
      <xdr:row>7</xdr:row>
      <xdr:rowOff>24849</xdr:rowOff>
    </xdr:from>
    <xdr:to>
      <xdr:col>3</xdr:col>
      <xdr:colOff>1008697</xdr:colOff>
      <xdr:row>7</xdr:row>
      <xdr:rowOff>26437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2061487" y="1495509"/>
          <a:ext cx="133227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1152525</xdr:colOff>
      <xdr:row>6</xdr:row>
      <xdr:rowOff>9525</xdr:rowOff>
    </xdr:from>
    <xdr:to>
      <xdr:col>3</xdr:col>
      <xdr:colOff>209550</xdr:colOff>
      <xdr:row>6</xdr:row>
      <xdr:rowOff>11113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1495425" y="1411605"/>
          <a:ext cx="186880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154642</xdr:colOff>
      <xdr:row>6</xdr:row>
      <xdr:rowOff>58834</xdr:rowOff>
    </xdr:from>
    <xdr:to>
      <xdr:col>7</xdr:col>
      <xdr:colOff>759760</xdr:colOff>
      <xdr:row>6</xdr:row>
      <xdr:rowOff>60422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900-000003000000}"/>
            </a:ext>
          </a:extLst>
        </xdr:cNvPr>
        <xdr:cNvCxnSpPr/>
      </xdr:nvCxnSpPr>
      <xdr:spPr>
        <a:xfrm>
          <a:off x="2509222" y="1529494"/>
          <a:ext cx="2487258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1187824</xdr:colOff>
      <xdr:row>5</xdr:row>
      <xdr:rowOff>22411</xdr:rowOff>
    </xdr:from>
    <xdr:to>
      <xdr:col>4</xdr:col>
      <xdr:colOff>67236</xdr:colOff>
      <xdr:row>5</xdr:row>
      <xdr:rowOff>23999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CxnSpPr/>
      </xdr:nvCxnSpPr>
      <xdr:spPr>
        <a:xfrm>
          <a:off x="1540249" y="1213036"/>
          <a:ext cx="2165537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639227</xdr:colOff>
      <xdr:row>7</xdr:row>
      <xdr:rowOff>28575</xdr:rowOff>
    </xdr:from>
    <xdr:to>
      <xdr:col>1</xdr:col>
      <xdr:colOff>2398586</xdr:colOff>
      <xdr:row>7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CxnSpPr/>
      </xdr:nvCxnSpPr>
      <xdr:spPr>
        <a:xfrm>
          <a:off x="1030810" y="1425575"/>
          <a:ext cx="175935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639227</xdr:colOff>
      <xdr:row>7</xdr:row>
      <xdr:rowOff>28575</xdr:rowOff>
    </xdr:from>
    <xdr:to>
      <xdr:col>1</xdr:col>
      <xdr:colOff>2398586</xdr:colOff>
      <xdr:row>7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CxnSpPr/>
      </xdr:nvCxnSpPr>
      <xdr:spPr>
        <a:xfrm>
          <a:off x="1043087" y="1407795"/>
          <a:ext cx="175935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1344704</xdr:colOff>
      <xdr:row>7</xdr:row>
      <xdr:rowOff>11206</xdr:rowOff>
    </xdr:from>
    <xdr:to>
      <xdr:col>1</xdr:col>
      <xdr:colOff>2319615</xdr:colOff>
      <xdr:row>7</xdr:row>
      <xdr:rowOff>11206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CxnSpPr/>
      </xdr:nvCxnSpPr>
      <xdr:spPr>
        <a:xfrm>
          <a:off x="1687604" y="1430431"/>
          <a:ext cx="97491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409084</xdr:colOff>
      <xdr:row>7</xdr:row>
      <xdr:rowOff>19050</xdr:rowOff>
    </xdr:from>
    <xdr:to>
      <xdr:col>2</xdr:col>
      <xdr:colOff>261790</xdr:colOff>
      <xdr:row>7</xdr:row>
      <xdr:rowOff>20638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CxnSpPr/>
      </xdr:nvCxnSpPr>
      <xdr:spPr>
        <a:xfrm>
          <a:off x="885334" y="1343025"/>
          <a:ext cx="1300506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1552575</xdr:colOff>
      <xdr:row>5</xdr:row>
      <xdr:rowOff>28575</xdr:rowOff>
    </xdr:from>
    <xdr:to>
      <xdr:col>4</xdr:col>
      <xdr:colOff>1009650</xdr:colOff>
      <xdr:row>5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F00-000003000000}"/>
            </a:ext>
          </a:extLst>
        </xdr:cNvPr>
        <xdr:cNvCxnSpPr/>
      </xdr:nvCxnSpPr>
      <xdr:spPr>
        <a:xfrm>
          <a:off x="1964055" y="1095375"/>
          <a:ext cx="148399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603885</xdr:colOff>
      <xdr:row>6</xdr:row>
      <xdr:rowOff>19050</xdr:rowOff>
    </xdr:from>
    <xdr:to>
      <xdr:col>2</xdr:col>
      <xdr:colOff>346757</xdr:colOff>
      <xdr:row>6</xdr:row>
      <xdr:rowOff>19844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CxnSpPr/>
      </xdr:nvCxnSpPr>
      <xdr:spPr>
        <a:xfrm>
          <a:off x="927735" y="1276350"/>
          <a:ext cx="1114472" cy="7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1403985</xdr:colOff>
      <xdr:row>6</xdr:row>
      <xdr:rowOff>19050</xdr:rowOff>
    </xdr:from>
    <xdr:to>
      <xdr:col>3</xdr:col>
      <xdr:colOff>278177</xdr:colOff>
      <xdr:row>6</xdr:row>
      <xdr:rowOff>19844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000-000003000000}"/>
            </a:ext>
          </a:extLst>
        </xdr:cNvPr>
        <xdr:cNvCxnSpPr/>
      </xdr:nvCxnSpPr>
      <xdr:spPr>
        <a:xfrm>
          <a:off x="1739265" y="1299210"/>
          <a:ext cx="1152572" cy="7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876300</xdr:colOff>
      <xdr:row>8</xdr:row>
      <xdr:rowOff>38100</xdr:rowOff>
    </xdr:from>
    <xdr:to>
      <xdr:col>2</xdr:col>
      <xdr:colOff>523875</xdr:colOff>
      <xdr:row>8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CxnSpPr/>
      </xdr:nvCxnSpPr>
      <xdr:spPr>
        <a:xfrm>
          <a:off x="1190625" y="1381125"/>
          <a:ext cx="103822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356906</xdr:colOff>
      <xdr:row>8</xdr:row>
      <xdr:rowOff>9525</xdr:rowOff>
    </xdr:from>
    <xdr:to>
      <xdr:col>3</xdr:col>
      <xdr:colOff>23531</xdr:colOff>
      <xdr:row>8</xdr:row>
      <xdr:rowOff>11113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1200-000004000000}"/>
            </a:ext>
          </a:extLst>
        </xdr:cNvPr>
        <xdr:cNvCxnSpPr/>
      </xdr:nvCxnSpPr>
      <xdr:spPr>
        <a:xfrm>
          <a:off x="2833406" y="1548765"/>
          <a:ext cx="92392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1390650</xdr:colOff>
      <xdr:row>7</xdr:row>
      <xdr:rowOff>28575</xdr:rowOff>
    </xdr:from>
    <xdr:to>
      <xdr:col>2</xdr:col>
      <xdr:colOff>400050</xdr:colOff>
      <xdr:row>7</xdr:row>
      <xdr:rowOff>30163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1500-000004000000}"/>
            </a:ext>
          </a:extLst>
        </xdr:cNvPr>
        <xdr:cNvCxnSpPr/>
      </xdr:nvCxnSpPr>
      <xdr:spPr>
        <a:xfrm>
          <a:off x="1781175" y="1419225"/>
          <a:ext cx="124777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1390650</xdr:colOff>
      <xdr:row>7</xdr:row>
      <xdr:rowOff>28575</xdr:rowOff>
    </xdr:from>
    <xdr:to>
      <xdr:col>2</xdr:col>
      <xdr:colOff>400050</xdr:colOff>
      <xdr:row>7</xdr:row>
      <xdr:rowOff>30163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1500-000005000000}"/>
            </a:ext>
          </a:extLst>
        </xdr:cNvPr>
        <xdr:cNvCxnSpPr/>
      </xdr:nvCxnSpPr>
      <xdr:spPr>
        <a:xfrm>
          <a:off x="1794510" y="1407795"/>
          <a:ext cx="141732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6</xdr:row>
      <xdr:rowOff>28575</xdr:rowOff>
    </xdr:from>
    <xdr:to>
      <xdr:col>4</xdr:col>
      <xdr:colOff>161925</xdr:colOff>
      <xdr:row>6</xdr:row>
      <xdr:rowOff>30163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600-000003000000}"/>
            </a:ext>
          </a:extLst>
        </xdr:cNvPr>
        <xdr:cNvCxnSpPr/>
      </xdr:nvCxnSpPr>
      <xdr:spPr>
        <a:xfrm>
          <a:off x="1165860" y="1255395"/>
          <a:ext cx="143446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6</xdr:row>
      <xdr:rowOff>28575</xdr:rowOff>
    </xdr:from>
    <xdr:to>
      <xdr:col>4</xdr:col>
      <xdr:colOff>161925</xdr:colOff>
      <xdr:row>6</xdr:row>
      <xdr:rowOff>30163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700-000002000000}"/>
            </a:ext>
          </a:extLst>
        </xdr:cNvPr>
        <xdr:cNvCxnSpPr/>
      </xdr:nvCxnSpPr>
      <xdr:spPr>
        <a:xfrm>
          <a:off x="1120140" y="1255395"/>
          <a:ext cx="131254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an/Documents/Zalo%20Received%20Files/&#272;&#7896;I%201%20TH&#193;NG%208%20N&#258;M%202024%20(5)%20(3)%20(3)%20(4)%20(3)%20(1)%20(2)%20(8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Documents/Zalo%20Received%20Files/L&#432;&#417;ng%20T6%20%20&#272;&#7897;i%204%202%20b&#7843;n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xit đánh đông"/>
      <sheetName val="BẢNG CHẤM CÔNG"/>
      <sheetName val="LÁT A"/>
      <sheetName val="Trang_tính1"/>
      <sheetName val="LÁT B"/>
      <sheetName val="LÁT C"/>
      <sheetName val="LÁT D"/>
      <sheetName val="MỦ DÂY"/>
      <sheetName val="TH MỦ CN"/>
      <sheetName val="LŨY KẾ MỦ"/>
      <sheetName val="bôi thuốc"/>
      <sheetName val="kỷ thuật"/>
      <sheetName val="phụ cấp gạo nếp"/>
      <sheetName val="CHẤM CÔNG BV"/>
      <sheetName val="LƯƠNG K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TRẠM 1"/>
      <sheetName val="TRẠM 2"/>
      <sheetName val="CNKT "/>
      <sheetName val="Lương bảo vệ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Thanh toán XX"/>
      <sheetName val="PC xăng xe T4"/>
      <sheetName val="PLcon NT"/>
      <sheetName val="Phân Toán CVK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8">
          <cell r="G18">
            <v>11569069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92D050"/>
  </sheetPr>
  <dimension ref="A1:AZ189"/>
  <sheetViews>
    <sheetView topLeftCell="A148" zoomScale="70" zoomScaleNormal="70" workbookViewId="0">
      <selection activeCell="Z25" sqref="Z25"/>
    </sheetView>
  </sheetViews>
  <sheetFormatPr defaultColWidth="5.28515625" defaultRowHeight="12.75"/>
  <cols>
    <col min="1" max="2" width="3.85546875" style="150" customWidth="1"/>
    <col min="3" max="3" width="11.5703125" style="150" customWidth="1"/>
    <col min="4" max="4" width="14.140625" style="150" customWidth="1"/>
    <col min="5" max="5" width="10.7109375" style="12" customWidth="1"/>
    <col min="6" max="34" width="4.28515625" style="150" customWidth="1"/>
    <col min="35" max="35" width="5" style="150" customWidth="1"/>
    <col min="36" max="36" width="5.7109375" style="150" hidden="1" customWidth="1"/>
    <col min="37" max="38" width="6.7109375" style="150" customWidth="1"/>
    <col min="39" max="39" width="7.42578125" style="150" hidden="1" customWidth="1"/>
    <col min="40" max="40" width="6.85546875" style="150" hidden="1" customWidth="1"/>
    <col min="41" max="42" width="7.42578125" style="150" hidden="1" customWidth="1"/>
    <col min="43" max="43" width="8.7109375" style="150" customWidth="1"/>
    <col min="44" max="44" width="5.28515625" style="150"/>
    <col min="45" max="45" width="9.7109375" style="150" customWidth="1"/>
    <col min="46" max="46" width="9" style="483" customWidth="1"/>
    <col min="47" max="16384" width="5.28515625" style="150"/>
  </cols>
  <sheetData>
    <row r="1" spans="1:52" ht="16.5">
      <c r="B1" s="1300" t="s">
        <v>54</v>
      </c>
      <c r="C1" s="1300"/>
      <c r="D1" s="1300"/>
      <c r="E1" s="1300"/>
      <c r="F1" s="1300"/>
      <c r="G1" s="1300"/>
      <c r="H1" s="1300"/>
      <c r="I1" s="1300"/>
      <c r="J1" s="1300"/>
      <c r="K1" s="1300"/>
      <c r="L1" s="1300"/>
      <c r="M1" s="1300"/>
      <c r="N1" s="1300"/>
      <c r="O1" s="1300"/>
      <c r="P1" s="1300"/>
      <c r="Q1" s="1300"/>
      <c r="R1" s="1300"/>
      <c r="S1" s="1300"/>
      <c r="T1" s="1300"/>
      <c r="U1" s="1300"/>
      <c r="V1" s="1300"/>
      <c r="W1" s="1300"/>
      <c r="X1" s="1300"/>
      <c r="Y1" s="1300"/>
      <c r="Z1" s="1300"/>
      <c r="AA1" s="1300"/>
      <c r="AB1" s="1300"/>
      <c r="AC1" s="1300"/>
      <c r="AD1" s="1300"/>
      <c r="AE1" s="1300"/>
      <c r="AF1" s="1300"/>
      <c r="AG1" s="1300"/>
      <c r="AH1" s="1300"/>
      <c r="AI1" s="1300"/>
      <c r="AJ1" s="1300"/>
      <c r="AK1" s="1300"/>
      <c r="AL1" s="1300"/>
      <c r="AM1" s="1300"/>
      <c r="AN1" s="1300"/>
      <c r="AO1" s="1300"/>
      <c r="AP1" s="1300"/>
      <c r="AQ1" s="1300"/>
    </row>
    <row r="2" spans="1:52" ht="16.5">
      <c r="B2" s="1300" t="s">
        <v>55</v>
      </c>
      <c r="C2" s="1300"/>
      <c r="D2" s="1300"/>
      <c r="E2" s="1300"/>
      <c r="F2" s="1300"/>
      <c r="G2" s="1300"/>
      <c r="H2" s="1300"/>
      <c r="I2" s="1300"/>
      <c r="J2" s="1300"/>
      <c r="K2" s="1300"/>
      <c r="L2" s="1300"/>
      <c r="M2" s="1300"/>
      <c r="N2" s="1300"/>
      <c r="O2" s="1300"/>
      <c r="P2" s="1300"/>
      <c r="Q2" s="1300"/>
      <c r="R2" s="1300"/>
      <c r="S2" s="1300"/>
      <c r="T2" s="1300"/>
      <c r="U2" s="1300"/>
      <c r="V2" s="1300"/>
      <c r="W2" s="1300"/>
      <c r="X2" s="1300"/>
      <c r="Y2" s="1300"/>
      <c r="Z2" s="1300"/>
      <c r="AA2" s="1300"/>
      <c r="AB2" s="1300"/>
      <c r="AC2" s="1300"/>
      <c r="AD2" s="1300"/>
      <c r="AE2" s="1300"/>
      <c r="AF2" s="1300"/>
      <c r="AG2" s="1300"/>
      <c r="AH2" s="1300"/>
      <c r="AI2" s="1300"/>
      <c r="AJ2" s="1300"/>
      <c r="AK2" s="1300"/>
      <c r="AL2" s="1300"/>
      <c r="AM2" s="1300"/>
      <c r="AN2" s="1300"/>
      <c r="AO2" s="1300"/>
      <c r="AP2" s="1300"/>
      <c r="AQ2" s="1300"/>
    </row>
    <row r="3" spans="1:52" ht="16.5">
      <c r="B3" s="1301" t="s">
        <v>292</v>
      </c>
      <c r="C3" s="1301"/>
      <c r="D3" s="1300"/>
      <c r="E3" s="1300"/>
      <c r="F3" s="1300"/>
      <c r="G3" s="1300"/>
      <c r="H3" s="1300"/>
      <c r="I3" s="1300"/>
      <c r="J3" s="1300"/>
      <c r="K3" s="1300"/>
      <c r="L3" s="1300"/>
      <c r="M3" s="1300"/>
      <c r="N3" s="1300"/>
      <c r="O3" s="1300"/>
      <c r="P3" s="1300"/>
      <c r="Q3" s="1300"/>
      <c r="R3" s="1300"/>
      <c r="S3" s="1300"/>
      <c r="T3" s="1300"/>
      <c r="U3" s="1300"/>
      <c r="V3" s="1300"/>
      <c r="W3" s="1300"/>
      <c r="X3" s="1300"/>
      <c r="Y3" s="1300"/>
      <c r="Z3" s="1300"/>
      <c r="AA3" s="1300"/>
      <c r="AB3" s="1300"/>
      <c r="AC3" s="1300"/>
      <c r="AD3" s="1300"/>
      <c r="AE3" s="1300"/>
      <c r="AF3" s="1300"/>
      <c r="AG3" s="1300"/>
      <c r="AH3" s="1300"/>
      <c r="AI3" s="1300"/>
      <c r="AJ3" s="1300"/>
      <c r="AK3" s="1300"/>
      <c r="AL3" s="1300"/>
      <c r="AM3" s="1300"/>
      <c r="AN3" s="1300"/>
      <c r="AO3" s="1300"/>
      <c r="AP3" s="1300"/>
      <c r="AQ3" s="1300"/>
    </row>
    <row r="4" spans="1:52" ht="9" customHeight="1">
      <c r="B4" s="297"/>
      <c r="C4" s="297"/>
      <c r="D4" s="297"/>
      <c r="E4" s="484"/>
      <c r="F4" s="297"/>
      <c r="G4" s="297"/>
      <c r="H4" s="297"/>
      <c r="I4" s="297"/>
      <c r="J4" s="297"/>
      <c r="K4" s="297"/>
      <c r="L4" s="297"/>
      <c r="M4" s="297"/>
      <c r="N4" s="293"/>
      <c r="O4" s="293"/>
      <c r="P4" s="293"/>
      <c r="Q4" s="293"/>
      <c r="R4" s="293"/>
      <c r="S4" s="293"/>
      <c r="T4" s="293"/>
      <c r="U4" s="293"/>
      <c r="V4" s="293"/>
      <c r="W4" s="293"/>
      <c r="X4" s="293"/>
      <c r="Y4" s="293"/>
      <c r="Z4" s="293"/>
      <c r="AA4" s="293"/>
      <c r="AB4" s="293"/>
      <c r="AC4" s="293"/>
      <c r="AD4" s="293"/>
      <c r="AE4" s="293"/>
      <c r="AF4" s="293"/>
      <c r="AG4" s="293"/>
      <c r="AH4" s="293"/>
      <c r="AI4" s="293"/>
      <c r="AJ4" s="293"/>
      <c r="AK4" s="236"/>
      <c r="AL4" s="236"/>
      <c r="AM4" s="236"/>
      <c r="AN4" s="236"/>
      <c r="AO4" s="236"/>
      <c r="AP4" s="236"/>
      <c r="AQ4" s="236"/>
    </row>
    <row r="5" spans="1:52" ht="16.5">
      <c r="B5" s="1302" t="s">
        <v>598</v>
      </c>
      <c r="C5" s="1302"/>
      <c r="D5" s="1302"/>
      <c r="E5" s="1302"/>
      <c r="F5" s="1302"/>
      <c r="G5" s="1302"/>
      <c r="H5" s="1302"/>
      <c r="I5" s="1302"/>
      <c r="J5" s="1302"/>
      <c r="K5" s="1302"/>
      <c r="L5" s="1302"/>
      <c r="M5" s="1302"/>
      <c r="N5" s="1302"/>
      <c r="O5" s="1302"/>
      <c r="P5" s="1302"/>
      <c r="Q5" s="293"/>
      <c r="R5" s="293"/>
      <c r="S5" s="293"/>
      <c r="T5" s="293"/>
      <c r="U5" s="293"/>
      <c r="V5" s="293"/>
      <c r="W5" s="293"/>
      <c r="X5" s="293"/>
      <c r="Y5" s="293"/>
      <c r="Z5" s="293"/>
      <c r="AA5" s="293"/>
      <c r="AB5" s="293"/>
      <c r="AC5" s="293"/>
      <c r="AD5" s="293"/>
      <c r="AE5" s="293"/>
      <c r="AF5" s="293"/>
      <c r="AG5" s="293"/>
      <c r="AH5" s="293"/>
      <c r="AI5" s="293"/>
      <c r="AJ5" s="293"/>
      <c r="AK5" s="236"/>
      <c r="AL5" s="236"/>
      <c r="AM5" s="236"/>
      <c r="AN5" s="236"/>
      <c r="AO5" s="236"/>
      <c r="AP5" s="236"/>
      <c r="AQ5" s="236"/>
    </row>
    <row r="6" spans="1:52" ht="16.5">
      <c r="B6" s="1302" t="s">
        <v>576</v>
      </c>
      <c r="C6" s="1302"/>
      <c r="D6" s="1302"/>
      <c r="E6" s="1302"/>
      <c r="F6" s="1302"/>
      <c r="G6" s="1302"/>
      <c r="H6" s="1302"/>
      <c r="I6" s="1302"/>
      <c r="J6" s="1302"/>
      <c r="K6" s="1302"/>
      <c r="L6" s="1302"/>
      <c r="M6" s="1302"/>
      <c r="N6" s="1302"/>
      <c r="O6" s="1302"/>
      <c r="P6" s="1302"/>
      <c r="Q6" s="293"/>
      <c r="R6" s="293"/>
      <c r="S6" s="293"/>
      <c r="T6" s="293"/>
      <c r="U6" s="293"/>
      <c r="V6" s="293"/>
      <c r="W6" s="293"/>
      <c r="X6" s="293"/>
      <c r="Y6" s="293"/>
      <c r="Z6" s="293"/>
      <c r="AA6" s="293"/>
      <c r="AB6" s="293"/>
      <c r="AC6" s="293"/>
      <c r="AD6" s="293"/>
      <c r="AE6" s="293"/>
      <c r="AF6" s="293"/>
      <c r="AG6" s="293"/>
      <c r="AH6" s="293"/>
      <c r="AI6" s="293"/>
      <c r="AJ6" s="293"/>
      <c r="AK6" s="236"/>
      <c r="AL6" s="236"/>
      <c r="AM6" s="236"/>
      <c r="AN6" s="236"/>
      <c r="AO6" s="236"/>
      <c r="AP6" s="236"/>
      <c r="AQ6" s="236"/>
    </row>
    <row r="7" spans="1:52" ht="18.75">
      <c r="B7" s="1298" t="s">
        <v>825</v>
      </c>
      <c r="C7" s="1298"/>
      <c r="D7" s="1298"/>
      <c r="E7" s="1298"/>
      <c r="F7" s="1298"/>
      <c r="G7" s="1298"/>
      <c r="H7" s="1298"/>
      <c r="I7" s="1298"/>
      <c r="J7" s="1298"/>
      <c r="K7" s="1298"/>
      <c r="L7" s="1298"/>
      <c r="M7" s="1298"/>
      <c r="N7" s="1298"/>
      <c r="O7" s="1298"/>
      <c r="P7" s="1298"/>
      <c r="Q7" s="1298"/>
      <c r="R7" s="1298"/>
      <c r="S7" s="1298"/>
      <c r="T7" s="1298"/>
      <c r="U7" s="1298"/>
      <c r="V7" s="1298"/>
      <c r="W7" s="1298"/>
      <c r="X7" s="1298"/>
      <c r="Y7" s="1298"/>
      <c r="Z7" s="1298"/>
      <c r="AA7" s="1298"/>
      <c r="AB7" s="1298"/>
      <c r="AC7" s="1298"/>
      <c r="AD7" s="1298"/>
      <c r="AE7" s="1298"/>
      <c r="AF7" s="1298"/>
      <c r="AG7" s="1298"/>
      <c r="AH7" s="1298"/>
      <c r="AI7" s="1298"/>
      <c r="AJ7" s="1298"/>
      <c r="AK7" s="1298"/>
      <c r="AL7" s="1298"/>
      <c r="AM7" s="1298"/>
      <c r="AN7" s="1298"/>
      <c r="AO7" s="1298"/>
      <c r="AP7" s="1298"/>
      <c r="AQ7" s="1298"/>
    </row>
    <row r="8" spans="1:52" ht="16.5">
      <c r="A8" s="1299" t="s">
        <v>823</v>
      </c>
      <c r="B8" s="1299"/>
      <c r="C8" s="1299"/>
      <c r="D8" s="1299"/>
      <c r="E8" s="1299"/>
      <c r="F8" s="1299"/>
      <c r="G8" s="1299"/>
      <c r="H8" s="1299"/>
      <c r="I8" s="1299"/>
      <c r="J8" s="1299"/>
      <c r="K8" s="1299"/>
      <c r="L8" s="1299"/>
      <c r="M8" s="1299"/>
      <c r="N8" s="1299"/>
      <c r="O8" s="1299"/>
      <c r="P8" s="1299"/>
      <c r="Q8" s="1299"/>
      <c r="R8" s="1299"/>
      <c r="S8" s="1299"/>
      <c r="T8" s="1299"/>
      <c r="U8" s="1299"/>
      <c r="V8" s="1299"/>
      <c r="W8" s="1299"/>
      <c r="X8" s="1299"/>
      <c r="Y8" s="1299"/>
      <c r="Z8" s="1299"/>
      <c r="AA8" s="1299"/>
      <c r="AB8" s="1299"/>
      <c r="AC8" s="1299"/>
      <c r="AD8" s="1299"/>
      <c r="AE8" s="1299"/>
      <c r="AF8" s="1299"/>
      <c r="AG8" s="1299"/>
      <c r="AH8" s="1299"/>
      <c r="AI8" s="1299"/>
      <c r="AJ8" s="1299"/>
      <c r="AK8" s="1299"/>
      <c r="AL8" s="1299"/>
      <c r="AM8" s="1299"/>
      <c r="AN8" s="1299"/>
      <c r="AO8" s="1299"/>
      <c r="AP8" s="1299"/>
      <c r="AQ8" s="1299"/>
    </row>
    <row r="9" spans="1:52" ht="16.5">
      <c r="B9" s="935"/>
      <c r="C9" s="935"/>
      <c r="D9" s="935"/>
      <c r="E9" s="935"/>
      <c r="F9" s="935"/>
      <c r="G9" s="935"/>
      <c r="H9" s="935"/>
      <c r="I9" s="935"/>
      <c r="J9" s="935"/>
      <c r="K9" s="935"/>
      <c r="L9" s="935"/>
      <c r="M9" s="935"/>
      <c r="N9" s="935"/>
      <c r="O9" s="935"/>
      <c r="P9" s="935"/>
      <c r="Q9" s="293"/>
      <c r="R9" s="293"/>
      <c r="S9" s="293"/>
      <c r="T9" s="293"/>
      <c r="U9" s="293"/>
      <c r="V9" s="293"/>
      <c r="W9" s="293"/>
      <c r="X9" s="293"/>
      <c r="Y9" s="293"/>
      <c r="Z9" s="293"/>
      <c r="AA9" s="293"/>
      <c r="AB9" s="293"/>
      <c r="AC9" s="293"/>
      <c r="AD9" s="293"/>
      <c r="AE9" s="293"/>
      <c r="AF9" s="293"/>
      <c r="AG9" s="293"/>
      <c r="AH9" s="293"/>
      <c r="AI9" s="293"/>
      <c r="AJ9" s="293"/>
      <c r="AK9" s="236"/>
      <c r="AL9" s="236"/>
      <c r="AM9" s="236"/>
      <c r="AN9" s="236"/>
      <c r="AO9" s="236"/>
      <c r="AP9" s="236"/>
      <c r="AQ9" s="236"/>
    </row>
    <row r="10" spans="1:52" ht="15.75" customHeight="1">
      <c r="A10" s="1305" t="s">
        <v>4</v>
      </c>
      <c r="B10" s="1305"/>
      <c r="C10" s="1305" t="s">
        <v>402</v>
      </c>
      <c r="D10" s="1290" t="s">
        <v>57</v>
      </c>
      <c r="E10" s="1290" t="s">
        <v>395</v>
      </c>
      <c r="F10" s="1304" t="s">
        <v>59</v>
      </c>
      <c r="G10" s="1304"/>
      <c r="H10" s="1304"/>
      <c r="I10" s="1304"/>
      <c r="J10" s="1304"/>
      <c r="K10" s="1304"/>
      <c r="L10" s="1304"/>
      <c r="M10" s="1304"/>
      <c r="N10" s="1304"/>
      <c r="O10" s="1304"/>
      <c r="P10" s="1304"/>
      <c r="Q10" s="1304"/>
      <c r="R10" s="1304"/>
      <c r="S10" s="1304"/>
      <c r="T10" s="1304"/>
      <c r="U10" s="1304"/>
      <c r="V10" s="1304"/>
      <c r="W10" s="1304"/>
      <c r="X10" s="1304"/>
      <c r="Y10" s="1304"/>
      <c r="Z10" s="1304"/>
      <c r="AA10" s="1304"/>
      <c r="AB10" s="1304"/>
      <c r="AC10" s="1304"/>
      <c r="AD10" s="1304"/>
      <c r="AE10" s="1304"/>
      <c r="AF10" s="1304"/>
      <c r="AG10" s="1304"/>
      <c r="AH10" s="1304"/>
      <c r="AI10" s="1304"/>
      <c r="AJ10" s="1304"/>
      <c r="AK10" s="1292" t="s">
        <v>855</v>
      </c>
      <c r="AL10" s="1292" t="s">
        <v>856</v>
      </c>
      <c r="AM10" s="1291" t="s">
        <v>462</v>
      </c>
      <c r="AN10" s="1291" t="s">
        <v>467</v>
      </c>
      <c r="AO10" s="1291" t="s">
        <v>460</v>
      </c>
      <c r="AP10" s="1291" t="s">
        <v>461</v>
      </c>
      <c r="AQ10" s="1292" t="s">
        <v>33</v>
      </c>
      <c r="AU10" s="564" t="s">
        <v>258</v>
      </c>
      <c r="AV10" s="564" t="s">
        <v>259</v>
      </c>
      <c r="AW10" s="564" t="s">
        <v>462</v>
      </c>
      <c r="AX10" s="564" t="s">
        <v>467</v>
      </c>
      <c r="AY10" s="564" t="s">
        <v>460</v>
      </c>
      <c r="AZ10" s="564" t="s">
        <v>461</v>
      </c>
    </row>
    <row r="11" spans="1:52" ht="73.5" customHeight="1">
      <c r="A11" s="1305"/>
      <c r="B11" s="1305"/>
      <c r="C11" s="1305"/>
      <c r="D11" s="1290"/>
      <c r="E11" s="1290"/>
      <c r="F11" s="936">
        <v>1</v>
      </c>
      <c r="G11" s="1033">
        <v>2</v>
      </c>
      <c r="H11" s="936">
        <v>3</v>
      </c>
      <c r="I11" s="1033">
        <v>4</v>
      </c>
      <c r="J11" s="936">
        <v>5</v>
      </c>
      <c r="K11" s="1033">
        <v>6</v>
      </c>
      <c r="L11" s="936">
        <v>7</v>
      </c>
      <c r="M11" s="1033">
        <v>8</v>
      </c>
      <c r="N11" s="936">
        <v>9</v>
      </c>
      <c r="O11" s="1033">
        <v>10</v>
      </c>
      <c r="P11" s="936">
        <v>11</v>
      </c>
      <c r="Q11" s="1033">
        <v>12</v>
      </c>
      <c r="R11" s="936">
        <v>13</v>
      </c>
      <c r="S11" s="1033">
        <v>14</v>
      </c>
      <c r="T11" s="936">
        <v>15</v>
      </c>
      <c r="U11" s="1033">
        <v>16</v>
      </c>
      <c r="V11" s="936">
        <v>17</v>
      </c>
      <c r="W11" s="1033">
        <v>18</v>
      </c>
      <c r="X11" s="936">
        <v>19</v>
      </c>
      <c r="Y11" s="1033">
        <v>20</v>
      </c>
      <c r="Z11" s="936">
        <v>21</v>
      </c>
      <c r="AA11" s="1033">
        <v>22</v>
      </c>
      <c r="AB11" s="936">
        <v>23</v>
      </c>
      <c r="AC11" s="1033">
        <v>24</v>
      </c>
      <c r="AD11" s="936">
        <v>25</v>
      </c>
      <c r="AE11" s="1033">
        <v>26</v>
      </c>
      <c r="AF11" s="936">
        <v>27</v>
      </c>
      <c r="AG11" s="1033">
        <v>28</v>
      </c>
      <c r="AH11" s="936">
        <v>29</v>
      </c>
      <c r="AI11" s="1033">
        <v>30</v>
      </c>
      <c r="AJ11" s="936">
        <v>31</v>
      </c>
      <c r="AK11" s="1292"/>
      <c r="AL11" s="1292"/>
      <c r="AM11" s="1291"/>
      <c r="AN11" s="1291"/>
      <c r="AO11" s="1291"/>
      <c r="AP11" s="1291"/>
      <c r="AQ11" s="1292"/>
      <c r="AU11" s="565"/>
      <c r="AV11" s="565"/>
      <c r="AW11" s="565"/>
      <c r="AX11" s="565"/>
      <c r="AY11" s="565"/>
      <c r="AZ11" s="565"/>
    </row>
    <row r="12" spans="1:52" s="630" customFormat="1" ht="15.75" customHeight="1">
      <c r="A12" s="1303" t="s">
        <v>578</v>
      </c>
      <c r="B12" s="1303"/>
      <c r="C12" s="1303"/>
      <c r="D12" s="1303"/>
      <c r="E12" s="1303"/>
      <c r="F12" s="631">
        <f t="shared" ref="F12:AH12" si="0">SUM(COUNTIF(F13:F93,"x"))+(COUNTIF(F13:F93,"cn"))+(COUNTIF(F13:F93,"gt"))+(COUNTIF(F13:F93,"ct"))</f>
        <v>73</v>
      </c>
      <c r="G12" s="631">
        <f t="shared" si="0"/>
        <v>73</v>
      </c>
      <c r="H12" s="631">
        <f t="shared" si="0"/>
        <v>73</v>
      </c>
      <c r="I12" s="631">
        <f t="shared" si="0"/>
        <v>73</v>
      </c>
      <c r="J12" s="631">
        <f t="shared" si="0"/>
        <v>73</v>
      </c>
      <c r="K12" s="631">
        <f t="shared" si="0"/>
        <v>73</v>
      </c>
      <c r="L12" s="631">
        <f t="shared" si="0"/>
        <v>73</v>
      </c>
      <c r="M12" s="631">
        <f t="shared" si="0"/>
        <v>73</v>
      </c>
      <c r="N12" s="631">
        <f t="shared" si="0"/>
        <v>73</v>
      </c>
      <c r="O12" s="631">
        <f t="shared" si="0"/>
        <v>70</v>
      </c>
      <c r="P12" s="631">
        <f t="shared" si="0"/>
        <v>65</v>
      </c>
      <c r="Q12" s="631">
        <f t="shared" si="0"/>
        <v>0</v>
      </c>
      <c r="R12" s="631">
        <f t="shared" si="0"/>
        <v>9</v>
      </c>
      <c r="S12" s="631">
        <f t="shared" si="0"/>
        <v>62</v>
      </c>
      <c r="T12" s="631">
        <f t="shared" si="0"/>
        <v>65</v>
      </c>
      <c r="U12" s="631">
        <f t="shared" si="0"/>
        <v>68</v>
      </c>
      <c r="V12" s="631">
        <f t="shared" si="0"/>
        <v>67</v>
      </c>
      <c r="W12" s="631">
        <f t="shared" si="0"/>
        <v>73</v>
      </c>
      <c r="X12" s="631">
        <f t="shared" si="0"/>
        <v>70</v>
      </c>
      <c r="Y12" s="631">
        <f t="shared" si="0"/>
        <v>73</v>
      </c>
      <c r="Z12" s="631">
        <f t="shared" si="0"/>
        <v>73</v>
      </c>
      <c r="AA12" s="631">
        <f t="shared" si="0"/>
        <v>73</v>
      </c>
      <c r="AB12" s="631">
        <f t="shared" si="0"/>
        <v>66</v>
      </c>
      <c r="AC12" s="631">
        <f t="shared" si="0"/>
        <v>73</v>
      </c>
      <c r="AD12" s="631">
        <f t="shared" si="0"/>
        <v>72</v>
      </c>
      <c r="AE12" s="631">
        <f t="shared" si="0"/>
        <v>73</v>
      </c>
      <c r="AF12" s="631">
        <f t="shared" si="0"/>
        <v>66</v>
      </c>
      <c r="AG12" s="631">
        <f t="shared" si="0"/>
        <v>62</v>
      </c>
      <c r="AH12" s="631">
        <f t="shared" si="0"/>
        <v>73</v>
      </c>
      <c r="AI12" s="631">
        <f>SUM(COUNTIF(AI13:AI93,"x"))+(COUNTIF(AI13:AI93,"cn"))+(COUNTIF(AI13:AI93,"gt"))+(COUNTIF(AI13:AI93,"ct"))</f>
        <v>70</v>
      </c>
      <c r="AJ12" s="631">
        <f>SUM(COUNTIF(AJ13:AJ92,"x"))+(COUNTIF(AJ13:AJ92,"cn"))+(COUNTIF(AJ13:AJ92,"đ"))</f>
        <v>0</v>
      </c>
      <c r="AK12" s="776">
        <f>SUM(AK13:AK93)</f>
        <v>1623</v>
      </c>
      <c r="AL12" s="776">
        <f t="shared" ref="AL12:AQ12" si="1">SUM(AL13:AL93)</f>
        <v>357</v>
      </c>
      <c r="AM12" s="776">
        <f t="shared" si="1"/>
        <v>0</v>
      </c>
      <c r="AN12" s="776">
        <f t="shared" si="1"/>
        <v>0</v>
      </c>
      <c r="AO12" s="776">
        <f t="shared" si="1"/>
        <v>0</v>
      </c>
      <c r="AP12" s="776">
        <f t="shared" si="1"/>
        <v>0</v>
      </c>
      <c r="AQ12" s="776">
        <f t="shared" si="1"/>
        <v>1980</v>
      </c>
      <c r="AS12" s="341" t="str">
        <f>'Mã số nhân viên'!I3</f>
        <v>03456</v>
      </c>
      <c r="AT12" s="1031">
        <f t="shared" ref="AT12:AT43" si="2">C13-AS12</f>
        <v>0</v>
      </c>
    </row>
    <row r="13" spans="1:52" ht="24.75" customHeight="1">
      <c r="A13" s="779">
        <v>1</v>
      </c>
      <c r="B13" s="779">
        <v>1</v>
      </c>
      <c r="C13" s="779" t="str">
        <f>VLOOKUP(D13,'Mã số nhân viên'!B3:I134,8,0)</f>
        <v>03456</v>
      </c>
      <c r="D13" s="749" t="s">
        <v>323</v>
      </c>
      <c r="E13" s="779"/>
      <c r="F13" s="1089" t="s">
        <v>116</v>
      </c>
      <c r="G13" s="1089" t="s">
        <v>53</v>
      </c>
      <c r="H13" s="1089" t="s">
        <v>53</v>
      </c>
      <c r="I13" s="1089" t="s">
        <v>53</v>
      </c>
      <c r="J13" s="1089" t="s">
        <v>53</v>
      </c>
      <c r="K13" s="1089" t="s">
        <v>53</v>
      </c>
      <c r="L13" s="1089" t="s">
        <v>53</v>
      </c>
      <c r="M13" s="1089" t="s">
        <v>116</v>
      </c>
      <c r="N13" s="1089" t="s">
        <v>53</v>
      </c>
      <c r="O13" s="1089" t="s">
        <v>53</v>
      </c>
      <c r="P13" s="1089" t="s">
        <v>53</v>
      </c>
      <c r="Q13" s="1089"/>
      <c r="R13" s="1089"/>
      <c r="S13" s="1089"/>
      <c r="T13" s="1089"/>
      <c r="U13" s="1089" t="s">
        <v>53</v>
      </c>
      <c r="V13" s="1089" t="s">
        <v>53</v>
      </c>
      <c r="W13" s="1089" t="s">
        <v>53</v>
      </c>
      <c r="X13" s="1089" t="s">
        <v>837</v>
      </c>
      <c r="Y13" s="1089" t="s">
        <v>837</v>
      </c>
      <c r="Z13" s="1089" t="s">
        <v>837</v>
      </c>
      <c r="AA13" s="1089" t="s">
        <v>837</v>
      </c>
      <c r="AB13" s="1089" t="s">
        <v>837</v>
      </c>
      <c r="AC13" s="1089" t="s">
        <v>837</v>
      </c>
      <c r="AD13" s="1089" t="s">
        <v>837</v>
      </c>
      <c r="AE13" s="1089" t="s">
        <v>837</v>
      </c>
      <c r="AF13" s="1089" t="s">
        <v>837</v>
      </c>
      <c r="AG13" s="1089" t="s">
        <v>837</v>
      </c>
      <c r="AH13" s="1089" t="s">
        <v>837</v>
      </c>
      <c r="AI13" s="1089" t="s">
        <v>837</v>
      </c>
      <c r="AJ13" s="773"/>
      <c r="AK13" s="1207">
        <f>SUM(COUNTIF(F13:AJ13,"x"))</f>
        <v>12</v>
      </c>
      <c r="AL13" s="1208">
        <f>SUM(COUNTIF(F13:AJ13,"cn"))</f>
        <v>2</v>
      </c>
      <c r="AM13" s="1207">
        <f>SUM(COUNTIF(F13:AJ13,"đ"))</f>
        <v>0</v>
      </c>
      <c r="AN13" s="1207">
        <f>SUM(COUNTIF(F13:AJ13,"đc"))</f>
        <v>0</v>
      </c>
      <c r="AO13" s="1207">
        <f>SUM(COUNTIF(F13:AJ13,"gt"))</f>
        <v>0</v>
      </c>
      <c r="AP13" s="1208">
        <f>SUM(COUNTIF(F13:AJ13,"ct"))</f>
        <v>0</v>
      </c>
      <c r="AQ13" s="1209">
        <f>AK13+AL13+AM13+AN13+AO13+AP13</f>
        <v>14</v>
      </c>
      <c r="AR13" s="152"/>
      <c r="AS13" s="341" t="str">
        <f>'Mã số nhân viên'!I4</f>
        <v>04052</v>
      </c>
      <c r="AT13" s="1031">
        <f t="shared" si="2"/>
        <v>0</v>
      </c>
    </row>
    <row r="14" spans="1:52" ht="24.75" customHeight="1">
      <c r="A14" s="779">
        <v>2</v>
      </c>
      <c r="B14" s="779">
        <v>2</v>
      </c>
      <c r="C14" s="779" t="str">
        <f>VLOOKUP(D14,'Mã số nhân viên'!B4:I135,8,0)</f>
        <v>04052</v>
      </c>
      <c r="D14" s="416" t="s">
        <v>405</v>
      </c>
      <c r="E14" s="779"/>
      <c r="F14" s="1089" t="s">
        <v>116</v>
      </c>
      <c r="G14" s="1089" t="s">
        <v>53</v>
      </c>
      <c r="H14" s="1089" t="s">
        <v>53</v>
      </c>
      <c r="I14" s="1089" t="s">
        <v>53</v>
      </c>
      <c r="J14" s="1089" t="s">
        <v>53</v>
      </c>
      <c r="K14" s="1089" t="s">
        <v>53</v>
      </c>
      <c r="L14" s="1089" t="s">
        <v>53</v>
      </c>
      <c r="M14" s="1089" t="s">
        <v>116</v>
      </c>
      <c r="N14" s="1089" t="s">
        <v>53</v>
      </c>
      <c r="O14" s="1089" t="s">
        <v>53</v>
      </c>
      <c r="P14" s="1089" t="s">
        <v>53</v>
      </c>
      <c r="Q14" s="1089"/>
      <c r="R14" s="1089"/>
      <c r="S14" s="1089" t="s">
        <v>53</v>
      </c>
      <c r="T14" s="1089" t="s">
        <v>116</v>
      </c>
      <c r="U14" s="1089" t="s">
        <v>53</v>
      </c>
      <c r="V14" s="1089" t="s">
        <v>53</v>
      </c>
      <c r="W14" s="1089" t="s">
        <v>53</v>
      </c>
      <c r="X14" s="1089" t="s">
        <v>53</v>
      </c>
      <c r="Y14" s="1089" t="s">
        <v>53</v>
      </c>
      <c r="Z14" s="1089" t="s">
        <v>53</v>
      </c>
      <c r="AA14" s="1089" t="s">
        <v>116</v>
      </c>
      <c r="AB14" s="1089" t="s">
        <v>53</v>
      </c>
      <c r="AC14" s="1089" t="s">
        <v>53</v>
      </c>
      <c r="AD14" s="1089"/>
      <c r="AE14" s="1089" t="s">
        <v>53</v>
      </c>
      <c r="AF14" s="1089" t="s">
        <v>837</v>
      </c>
      <c r="AG14" s="1089" t="s">
        <v>53</v>
      </c>
      <c r="AH14" s="1089" t="s">
        <v>837</v>
      </c>
      <c r="AI14" s="1089" t="s">
        <v>53</v>
      </c>
      <c r="AJ14" s="773"/>
      <c r="AK14" s="1207">
        <f t="shared" ref="AK14:AK77" si="3">SUM(COUNTIF(F14:AJ14,"x"))</f>
        <v>21</v>
      </c>
      <c r="AL14" s="1208">
        <f t="shared" ref="AL14:AL77" si="4">SUM(COUNTIF(F14:AJ14,"cn"))</f>
        <v>4</v>
      </c>
      <c r="AM14" s="1207">
        <f t="shared" ref="AM14:AM77" si="5">SUM(COUNTIF(F14:AJ14,"đ"))</f>
        <v>0</v>
      </c>
      <c r="AN14" s="1207">
        <f t="shared" ref="AN14:AN77" si="6">SUM(COUNTIF(F14:AJ14,"đc"))</f>
        <v>0</v>
      </c>
      <c r="AO14" s="1207">
        <f t="shared" ref="AO14:AO77" si="7">SUM(COUNTIF(F14:AJ14,"gt"))</f>
        <v>0</v>
      </c>
      <c r="AP14" s="1208">
        <f>SUM(COUNTIF(F14:AJ14,"ct"))</f>
        <v>0</v>
      </c>
      <c r="AQ14" s="1209">
        <f t="shared" ref="AQ14:AQ77" si="8">AK14+AL14+AM14+AN14+AO14+AP14</f>
        <v>25</v>
      </c>
      <c r="AR14" s="152"/>
      <c r="AS14" s="341" t="str">
        <f>'Mã số nhân viên'!I5</f>
        <v>02725</v>
      </c>
      <c r="AT14" s="1031">
        <f t="shared" si="2"/>
        <v>0</v>
      </c>
    </row>
    <row r="15" spans="1:52" ht="24.75" customHeight="1">
      <c r="A15" s="779">
        <v>3</v>
      </c>
      <c r="B15" s="779">
        <v>3</v>
      </c>
      <c r="C15" s="779" t="str">
        <f>VLOOKUP(D15,'Mã số nhân viên'!B5:I136,8,0)</f>
        <v>02725</v>
      </c>
      <c r="D15" s="416" t="s">
        <v>214</v>
      </c>
      <c r="E15" s="779"/>
      <c r="F15" s="1089" t="s">
        <v>116</v>
      </c>
      <c r="G15" s="1089" t="s">
        <v>53</v>
      </c>
      <c r="H15" s="1089" t="s">
        <v>53</v>
      </c>
      <c r="I15" s="1089" t="s">
        <v>53</v>
      </c>
      <c r="J15" s="1089" t="s">
        <v>53</v>
      </c>
      <c r="K15" s="1089" t="s">
        <v>53</v>
      </c>
      <c r="L15" s="1089" t="s">
        <v>53</v>
      </c>
      <c r="M15" s="1089" t="s">
        <v>116</v>
      </c>
      <c r="N15" s="1089" t="s">
        <v>53</v>
      </c>
      <c r="O15" s="1089" t="s">
        <v>53</v>
      </c>
      <c r="P15" s="1089" t="s">
        <v>53</v>
      </c>
      <c r="Q15" s="1089"/>
      <c r="R15" s="1089" t="s">
        <v>53</v>
      </c>
      <c r="S15" s="1089" t="s">
        <v>53</v>
      </c>
      <c r="T15" s="1089" t="s">
        <v>116</v>
      </c>
      <c r="U15" s="1089" t="s">
        <v>837</v>
      </c>
      <c r="V15" s="1089" t="s">
        <v>837</v>
      </c>
      <c r="W15" s="1089" t="s">
        <v>837</v>
      </c>
      <c r="X15" s="1089"/>
      <c r="Y15" s="1089" t="s">
        <v>837</v>
      </c>
      <c r="Z15" s="1089" t="s">
        <v>53</v>
      </c>
      <c r="AA15" s="1089" t="s">
        <v>116</v>
      </c>
      <c r="AB15" s="1089" t="s">
        <v>53</v>
      </c>
      <c r="AC15" s="1089" t="s">
        <v>53</v>
      </c>
      <c r="AD15" s="1089" t="s">
        <v>53</v>
      </c>
      <c r="AE15" s="1089" t="s">
        <v>53</v>
      </c>
      <c r="AF15" s="1089" t="s">
        <v>53</v>
      </c>
      <c r="AG15" s="1089" t="s">
        <v>53</v>
      </c>
      <c r="AH15" s="1089" t="s">
        <v>116</v>
      </c>
      <c r="AI15" s="1089" t="s">
        <v>53</v>
      </c>
      <c r="AJ15" s="773"/>
      <c r="AK15" s="1207">
        <f t="shared" si="3"/>
        <v>19</v>
      </c>
      <c r="AL15" s="1208">
        <f t="shared" si="4"/>
        <v>5</v>
      </c>
      <c r="AM15" s="1207">
        <f t="shared" si="5"/>
        <v>0</v>
      </c>
      <c r="AN15" s="1207">
        <f t="shared" si="6"/>
        <v>0</v>
      </c>
      <c r="AO15" s="1207">
        <f t="shared" si="7"/>
        <v>0</v>
      </c>
      <c r="AP15" s="1208">
        <f t="shared" ref="AP15:AP77" si="9">SUM(COUNTIF(F15:AJ15,"ct"))</f>
        <v>0</v>
      </c>
      <c r="AQ15" s="1209">
        <f t="shared" si="8"/>
        <v>24</v>
      </c>
      <c r="AR15" s="152"/>
      <c r="AS15" s="341" t="str">
        <f>'Mã số nhân viên'!I6</f>
        <v>04053</v>
      </c>
      <c r="AT15" s="1031">
        <f t="shared" si="2"/>
        <v>0</v>
      </c>
    </row>
    <row r="16" spans="1:52" ht="24.75" customHeight="1">
      <c r="A16" s="779">
        <v>4</v>
      </c>
      <c r="B16" s="779">
        <v>4</v>
      </c>
      <c r="C16" s="779" t="str">
        <f>VLOOKUP(D16,'Mã số nhân viên'!B6:I137,8,0)</f>
        <v>04053</v>
      </c>
      <c r="D16" s="749" t="s">
        <v>551</v>
      </c>
      <c r="E16" s="779"/>
      <c r="F16" s="1089" t="s">
        <v>116</v>
      </c>
      <c r="G16" s="1089" t="s">
        <v>53</v>
      </c>
      <c r="H16" s="1089" t="s">
        <v>53</v>
      </c>
      <c r="I16" s="1089" t="s">
        <v>53</v>
      </c>
      <c r="J16" s="1089" t="s">
        <v>53</v>
      </c>
      <c r="K16" s="1089" t="s">
        <v>53</v>
      </c>
      <c r="L16" s="1089" t="s">
        <v>53</v>
      </c>
      <c r="M16" s="1089" t="s">
        <v>116</v>
      </c>
      <c r="N16" s="1089" t="s">
        <v>53</v>
      </c>
      <c r="O16" s="1089" t="s">
        <v>53</v>
      </c>
      <c r="P16" s="1089" t="s">
        <v>53</v>
      </c>
      <c r="Q16" s="1089"/>
      <c r="R16" s="1089"/>
      <c r="S16" s="1089" t="s">
        <v>53</v>
      </c>
      <c r="T16" s="1089" t="s">
        <v>116</v>
      </c>
      <c r="U16" s="1089" t="s">
        <v>837</v>
      </c>
      <c r="V16" s="1089" t="s">
        <v>837</v>
      </c>
      <c r="W16" s="1089" t="s">
        <v>53</v>
      </c>
      <c r="X16" s="1089" t="s">
        <v>53</v>
      </c>
      <c r="Y16" s="1089" t="s">
        <v>53</v>
      </c>
      <c r="Z16" s="1089" t="s">
        <v>53</v>
      </c>
      <c r="AA16" s="1089" t="s">
        <v>116</v>
      </c>
      <c r="AB16" s="1089"/>
      <c r="AC16" s="1089" t="s">
        <v>53</v>
      </c>
      <c r="AD16" s="1089" t="s">
        <v>53</v>
      </c>
      <c r="AE16" s="1089" t="s">
        <v>53</v>
      </c>
      <c r="AF16" s="1089" t="s">
        <v>53</v>
      </c>
      <c r="AG16" s="1089" t="s">
        <v>53</v>
      </c>
      <c r="AH16" s="1089" t="s">
        <v>116</v>
      </c>
      <c r="AI16" s="1089" t="s">
        <v>53</v>
      </c>
      <c r="AJ16" s="773"/>
      <c r="AK16" s="1207">
        <f t="shared" si="3"/>
        <v>20</v>
      </c>
      <c r="AL16" s="1208">
        <f t="shared" si="4"/>
        <v>5</v>
      </c>
      <c r="AM16" s="1207">
        <f t="shared" si="5"/>
        <v>0</v>
      </c>
      <c r="AN16" s="1207">
        <f t="shared" si="6"/>
        <v>0</v>
      </c>
      <c r="AO16" s="1207">
        <f t="shared" si="7"/>
        <v>0</v>
      </c>
      <c r="AP16" s="1208">
        <f t="shared" si="9"/>
        <v>0</v>
      </c>
      <c r="AQ16" s="1209">
        <f t="shared" si="8"/>
        <v>25</v>
      </c>
      <c r="AR16" s="152"/>
      <c r="AS16" s="341" t="str">
        <f>'Mã số nhân viên'!I7</f>
        <v>03459</v>
      </c>
      <c r="AT16" s="1031">
        <f t="shared" si="2"/>
        <v>0</v>
      </c>
    </row>
    <row r="17" spans="1:46" ht="24.75" customHeight="1">
      <c r="A17" s="779">
        <v>5</v>
      </c>
      <c r="B17" s="779">
        <v>5</v>
      </c>
      <c r="C17" s="779" t="str">
        <f>VLOOKUP(D17,'Mã số nhân viên'!B7:I138,8,0)</f>
        <v>03459</v>
      </c>
      <c r="D17" s="115" t="s">
        <v>239</v>
      </c>
      <c r="E17" s="779"/>
      <c r="F17" s="1089" t="s">
        <v>116</v>
      </c>
      <c r="G17" s="1089" t="s">
        <v>53</v>
      </c>
      <c r="H17" s="1089" t="s">
        <v>53</v>
      </c>
      <c r="I17" s="1089" t="s">
        <v>53</v>
      </c>
      <c r="J17" s="1089" t="s">
        <v>53</v>
      </c>
      <c r="K17" s="1089" t="s">
        <v>53</v>
      </c>
      <c r="L17" s="1089" t="s">
        <v>53</v>
      </c>
      <c r="M17" s="1089" t="s">
        <v>116</v>
      </c>
      <c r="N17" s="1089" t="s">
        <v>837</v>
      </c>
      <c r="O17" s="1089" t="s">
        <v>837</v>
      </c>
      <c r="P17" s="1089"/>
      <c r="Q17" s="1089"/>
      <c r="R17" s="1089"/>
      <c r="S17" s="1089" t="s">
        <v>837</v>
      </c>
      <c r="T17" s="1089" t="s">
        <v>837</v>
      </c>
      <c r="U17" s="1089" t="s">
        <v>53</v>
      </c>
      <c r="V17" s="1089" t="s">
        <v>53</v>
      </c>
      <c r="W17" s="1089" t="s">
        <v>53</v>
      </c>
      <c r="X17" s="1089" t="s">
        <v>53</v>
      </c>
      <c r="Y17" s="1089" t="s">
        <v>53</v>
      </c>
      <c r="Z17" s="1089" t="s">
        <v>53</v>
      </c>
      <c r="AA17" s="1089" t="s">
        <v>116</v>
      </c>
      <c r="AB17" s="1089" t="s">
        <v>53</v>
      </c>
      <c r="AC17" s="1089" t="s">
        <v>53</v>
      </c>
      <c r="AD17" s="1089" t="s">
        <v>53</v>
      </c>
      <c r="AE17" s="1089" t="s">
        <v>53</v>
      </c>
      <c r="AF17" s="1089" t="s">
        <v>53</v>
      </c>
      <c r="AG17" s="1089" t="s">
        <v>53</v>
      </c>
      <c r="AH17" s="1089" t="s">
        <v>116</v>
      </c>
      <c r="AI17" s="1089" t="s">
        <v>53</v>
      </c>
      <c r="AJ17" s="773"/>
      <c r="AK17" s="1207">
        <f t="shared" si="3"/>
        <v>19</v>
      </c>
      <c r="AL17" s="1208">
        <f t="shared" si="4"/>
        <v>4</v>
      </c>
      <c r="AM17" s="1207">
        <f t="shared" si="5"/>
        <v>0</v>
      </c>
      <c r="AN17" s="1207">
        <f t="shared" si="6"/>
        <v>0</v>
      </c>
      <c r="AO17" s="1207">
        <f t="shared" si="7"/>
        <v>0</v>
      </c>
      <c r="AP17" s="1208">
        <f t="shared" si="9"/>
        <v>0</v>
      </c>
      <c r="AQ17" s="1209">
        <f t="shared" si="8"/>
        <v>23</v>
      </c>
      <c r="AR17" s="152"/>
      <c r="AS17" s="341" t="str">
        <f>'Mã số nhân viên'!I8</f>
        <v>04054</v>
      </c>
      <c r="AT17" s="1031">
        <f t="shared" si="2"/>
        <v>0</v>
      </c>
    </row>
    <row r="18" spans="1:46" ht="24.75" customHeight="1">
      <c r="A18" s="779">
        <v>6</v>
      </c>
      <c r="B18" s="779">
        <v>6</v>
      </c>
      <c r="C18" s="779" t="str">
        <f>VLOOKUP(D18,'Mã số nhân viên'!B8:I139,8,0)</f>
        <v>04054</v>
      </c>
      <c r="D18" s="416" t="s">
        <v>552</v>
      </c>
      <c r="E18" s="779"/>
      <c r="F18" s="1089" t="s">
        <v>116</v>
      </c>
      <c r="G18" s="1089" t="s">
        <v>53</v>
      </c>
      <c r="H18" s="1089" t="s">
        <v>53</v>
      </c>
      <c r="I18" s="1089" t="s">
        <v>53</v>
      </c>
      <c r="J18" s="1089" t="s">
        <v>53</v>
      </c>
      <c r="K18" s="1089" t="s">
        <v>53</v>
      </c>
      <c r="L18" s="1089" t="s">
        <v>53</v>
      </c>
      <c r="M18" s="1089" t="s">
        <v>116</v>
      </c>
      <c r="N18" s="1089" t="s">
        <v>53</v>
      </c>
      <c r="O18" s="1089" t="s">
        <v>53</v>
      </c>
      <c r="P18" s="1089" t="s">
        <v>53</v>
      </c>
      <c r="Q18" s="1089"/>
      <c r="R18" s="1089"/>
      <c r="S18" s="1089"/>
      <c r="T18" s="1089"/>
      <c r="U18" s="1089" t="s">
        <v>837</v>
      </c>
      <c r="V18" s="1089" t="s">
        <v>837</v>
      </c>
      <c r="W18" s="1089" t="s">
        <v>53</v>
      </c>
      <c r="X18" s="1089" t="s">
        <v>53</v>
      </c>
      <c r="Y18" s="1089" t="s">
        <v>53</v>
      </c>
      <c r="Z18" s="1089" t="s">
        <v>53</v>
      </c>
      <c r="AA18" s="1089" t="s">
        <v>116</v>
      </c>
      <c r="AB18" s="1089" t="s">
        <v>53</v>
      </c>
      <c r="AC18" s="1089" t="s">
        <v>53</v>
      </c>
      <c r="AD18" s="1089" t="s">
        <v>53</v>
      </c>
      <c r="AE18" s="1089" t="s">
        <v>53</v>
      </c>
      <c r="AF18" s="1089" t="s">
        <v>53</v>
      </c>
      <c r="AG18" s="1089" t="s">
        <v>53</v>
      </c>
      <c r="AH18" s="1089" t="s">
        <v>116</v>
      </c>
      <c r="AI18" s="1089" t="s">
        <v>53</v>
      </c>
      <c r="AJ18" s="773"/>
      <c r="AK18" s="1207">
        <f t="shared" si="3"/>
        <v>20</v>
      </c>
      <c r="AL18" s="1208">
        <f t="shared" si="4"/>
        <v>4</v>
      </c>
      <c r="AM18" s="1207">
        <f t="shared" si="5"/>
        <v>0</v>
      </c>
      <c r="AN18" s="1207">
        <f t="shared" si="6"/>
        <v>0</v>
      </c>
      <c r="AO18" s="1207">
        <f t="shared" si="7"/>
        <v>0</v>
      </c>
      <c r="AP18" s="1208">
        <f t="shared" si="9"/>
        <v>0</v>
      </c>
      <c r="AQ18" s="1209">
        <f t="shared" si="8"/>
        <v>24</v>
      </c>
      <c r="AR18" s="152"/>
      <c r="AS18" s="341" t="str">
        <f>'Mã số nhân viên'!I9</f>
        <v>04055</v>
      </c>
      <c r="AT18" s="1031">
        <f t="shared" si="2"/>
        <v>0</v>
      </c>
    </row>
    <row r="19" spans="1:46" ht="24.75" customHeight="1">
      <c r="A19" s="779">
        <v>7</v>
      </c>
      <c r="B19" s="779">
        <v>7</v>
      </c>
      <c r="C19" s="779" t="str">
        <f>VLOOKUP(D19,'Mã số nhân viên'!B9:I140,8,0)</f>
        <v>04055</v>
      </c>
      <c r="D19" s="650" t="s">
        <v>553</v>
      </c>
      <c r="E19" s="779"/>
      <c r="F19" s="1089" t="s">
        <v>116</v>
      </c>
      <c r="G19" s="1089" t="s">
        <v>53</v>
      </c>
      <c r="H19" s="1089" t="s">
        <v>53</v>
      </c>
      <c r="I19" s="1089" t="s">
        <v>53</v>
      </c>
      <c r="J19" s="1089" t="s">
        <v>53</v>
      </c>
      <c r="K19" s="1089" t="s">
        <v>53</v>
      </c>
      <c r="L19" s="1089" t="s">
        <v>53</v>
      </c>
      <c r="M19" s="1089" t="s">
        <v>116</v>
      </c>
      <c r="N19" s="1089" t="s">
        <v>53</v>
      </c>
      <c r="O19" s="1089" t="s">
        <v>53</v>
      </c>
      <c r="P19" s="1089" t="s">
        <v>53</v>
      </c>
      <c r="Q19" s="1089"/>
      <c r="R19" s="1089"/>
      <c r="S19" s="1089" t="s">
        <v>53</v>
      </c>
      <c r="T19" s="1089" t="s">
        <v>116</v>
      </c>
      <c r="U19" s="1089" t="s">
        <v>53</v>
      </c>
      <c r="V19" s="1089" t="s">
        <v>53</v>
      </c>
      <c r="W19" s="1089" t="s">
        <v>53</v>
      </c>
      <c r="X19" s="1089" t="s">
        <v>53</v>
      </c>
      <c r="Y19" s="1089" t="s">
        <v>53</v>
      </c>
      <c r="Z19" s="1089" t="s">
        <v>53</v>
      </c>
      <c r="AA19" s="1089" t="s">
        <v>116</v>
      </c>
      <c r="AB19" s="1089" t="s">
        <v>53</v>
      </c>
      <c r="AC19" s="1089" t="s">
        <v>53</v>
      </c>
      <c r="AD19" s="1089" t="s">
        <v>53</v>
      </c>
      <c r="AE19" s="1089" t="s">
        <v>53</v>
      </c>
      <c r="AF19" s="1089" t="s">
        <v>53</v>
      </c>
      <c r="AG19" s="1089" t="s">
        <v>53</v>
      </c>
      <c r="AH19" s="1089" t="s">
        <v>116</v>
      </c>
      <c r="AI19" s="1089" t="s">
        <v>53</v>
      </c>
      <c r="AJ19" s="773"/>
      <c r="AK19" s="1207">
        <f t="shared" si="3"/>
        <v>23</v>
      </c>
      <c r="AL19" s="1208">
        <f t="shared" si="4"/>
        <v>5</v>
      </c>
      <c r="AM19" s="1207">
        <f t="shared" si="5"/>
        <v>0</v>
      </c>
      <c r="AN19" s="1207">
        <f t="shared" si="6"/>
        <v>0</v>
      </c>
      <c r="AO19" s="1207">
        <f t="shared" si="7"/>
        <v>0</v>
      </c>
      <c r="AP19" s="1208">
        <f t="shared" si="9"/>
        <v>0</v>
      </c>
      <c r="AQ19" s="1209">
        <f>AK19+AL19+AM19+AN19+AO19+AP19</f>
        <v>28</v>
      </c>
      <c r="AR19" s="152"/>
      <c r="AS19" s="341" t="str">
        <f>'Mã số nhân viên'!I10</f>
        <v>03462</v>
      </c>
      <c r="AT19" s="1031">
        <f t="shared" si="2"/>
        <v>0</v>
      </c>
    </row>
    <row r="20" spans="1:46" ht="24.75" customHeight="1">
      <c r="A20" s="779">
        <v>8</v>
      </c>
      <c r="B20" s="779">
        <v>8</v>
      </c>
      <c r="C20" s="779" t="str">
        <f>VLOOKUP(D20,'Mã số nhân viên'!B10:I141,8,0)</f>
        <v>03462</v>
      </c>
      <c r="D20" s="115" t="s">
        <v>324</v>
      </c>
      <c r="E20" s="779"/>
      <c r="F20" s="1089" t="s">
        <v>116</v>
      </c>
      <c r="G20" s="1089" t="s">
        <v>53</v>
      </c>
      <c r="H20" s="1089" t="s">
        <v>53</v>
      </c>
      <c r="I20" s="1089" t="s">
        <v>53</v>
      </c>
      <c r="J20" s="1089" t="s">
        <v>53</v>
      </c>
      <c r="K20" s="1089" t="s">
        <v>53</v>
      </c>
      <c r="L20" s="1089" t="s">
        <v>53</v>
      </c>
      <c r="M20" s="1089" t="s">
        <v>116</v>
      </c>
      <c r="N20" s="1089" t="s">
        <v>53</v>
      </c>
      <c r="O20" s="1089" t="s">
        <v>53</v>
      </c>
      <c r="P20" s="1089" t="s">
        <v>53</v>
      </c>
      <c r="Q20" s="1089"/>
      <c r="R20" s="1089"/>
      <c r="S20" s="1089" t="s">
        <v>53</v>
      </c>
      <c r="T20" s="1089" t="s">
        <v>116</v>
      </c>
      <c r="U20" s="1089" t="s">
        <v>53</v>
      </c>
      <c r="V20" s="1089" t="s">
        <v>53</v>
      </c>
      <c r="W20" s="1089" t="s">
        <v>53</v>
      </c>
      <c r="X20" s="1089" t="s">
        <v>53</v>
      </c>
      <c r="Y20" s="1089" t="s">
        <v>53</v>
      </c>
      <c r="Z20" s="1089" t="s">
        <v>53</v>
      </c>
      <c r="AA20" s="1089" t="s">
        <v>116</v>
      </c>
      <c r="AB20" s="1089" t="s">
        <v>53</v>
      </c>
      <c r="AC20" s="1089" t="s">
        <v>53</v>
      </c>
      <c r="AD20" s="1089" t="s">
        <v>53</v>
      </c>
      <c r="AE20" s="1089" t="s">
        <v>53</v>
      </c>
      <c r="AF20" s="1089" t="s">
        <v>53</v>
      </c>
      <c r="AG20" s="1089" t="s">
        <v>53</v>
      </c>
      <c r="AH20" s="1089" t="s">
        <v>116</v>
      </c>
      <c r="AI20" s="1089" t="s">
        <v>53</v>
      </c>
      <c r="AJ20" s="773"/>
      <c r="AK20" s="1207">
        <f t="shared" si="3"/>
        <v>23</v>
      </c>
      <c r="AL20" s="1208">
        <f t="shared" si="4"/>
        <v>5</v>
      </c>
      <c r="AM20" s="1207">
        <f t="shared" si="5"/>
        <v>0</v>
      </c>
      <c r="AN20" s="1207">
        <f t="shared" si="6"/>
        <v>0</v>
      </c>
      <c r="AO20" s="1207">
        <f t="shared" si="7"/>
        <v>0</v>
      </c>
      <c r="AP20" s="1208">
        <f t="shared" si="9"/>
        <v>0</v>
      </c>
      <c r="AQ20" s="1209">
        <f t="shared" si="8"/>
        <v>28</v>
      </c>
      <c r="AR20" s="152"/>
      <c r="AS20" s="341" t="str">
        <f>'Mã số nhân viên'!I11</f>
        <v>03463</v>
      </c>
      <c r="AT20" s="1031">
        <f t="shared" si="2"/>
        <v>0</v>
      </c>
    </row>
    <row r="21" spans="1:46" ht="24.75" customHeight="1">
      <c r="A21" s="779">
        <v>9</v>
      </c>
      <c r="B21" s="779">
        <v>9</v>
      </c>
      <c r="C21" s="779" t="str">
        <f>VLOOKUP(D21,'Mã số nhân viên'!B11:I142,8,0)</f>
        <v>03463</v>
      </c>
      <c r="D21" s="416" t="s">
        <v>241</v>
      </c>
      <c r="E21" s="779"/>
      <c r="F21" s="1089" t="s">
        <v>116</v>
      </c>
      <c r="G21" s="1089" t="s">
        <v>53</v>
      </c>
      <c r="H21" s="1089" t="s">
        <v>53</v>
      </c>
      <c r="I21" s="1089" t="s">
        <v>53</v>
      </c>
      <c r="J21" s="1089" t="s">
        <v>53</v>
      </c>
      <c r="K21" s="1089" t="s">
        <v>53</v>
      </c>
      <c r="L21" s="1089" t="s">
        <v>53</v>
      </c>
      <c r="M21" s="1089" t="s">
        <v>116</v>
      </c>
      <c r="N21" s="1089" t="s">
        <v>53</v>
      </c>
      <c r="O21" s="1089" t="s">
        <v>53</v>
      </c>
      <c r="P21" s="1089" t="s">
        <v>53</v>
      </c>
      <c r="Q21" s="1089"/>
      <c r="R21" s="1089"/>
      <c r="S21" s="1089" t="s">
        <v>53</v>
      </c>
      <c r="T21" s="1089" t="s">
        <v>116</v>
      </c>
      <c r="U21" s="1089" t="s">
        <v>53</v>
      </c>
      <c r="V21" s="1089" t="s">
        <v>53</v>
      </c>
      <c r="W21" s="1089" t="s">
        <v>53</v>
      </c>
      <c r="X21" s="1089" t="s">
        <v>53</v>
      </c>
      <c r="Y21" s="1089" t="s">
        <v>53</v>
      </c>
      <c r="Z21" s="1089" t="s">
        <v>53</v>
      </c>
      <c r="AA21" s="1089" t="s">
        <v>116</v>
      </c>
      <c r="AB21" s="1089" t="s">
        <v>53</v>
      </c>
      <c r="AC21" s="1089" t="s">
        <v>53</v>
      </c>
      <c r="AD21" s="1089" t="s">
        <v>53</v>
      </c>
      <c r="AE21" s="1089" t="s">
        <v>53</v>
      </c>
      <c r="AF21" s="1089" t="s">
        <v>53</v>
      </c>
      <c r="AG21" s="1089" t="s">
        <v>53</v>
      </c>
      <c r="AH21" s="1089" t="s">
        <v>116</v>
      </c>
      <c r="AI21" s="1089" t="s">
        <v>53</v>
      </c>
      <c r="AJ21" s="773"/>
      <c r="AK21" s="1207">
        <f t="shared" si="3"/>
        <v>23</v>
      </c>
      <c r="AL21" s="1208">
        <f t="shared" si="4"/>
        <v>5</v>
      </c>
      <c r="AM21" s="1207">
        <f t="shared" si="5"/>
        <v>0</v>
      </c>
      <c r="AN21" s="1207">
        <f t="shared" si="6"/>
        <v>0</v>
      </c>
      <c r="AO21" s="1207">
        <f t="shared" si="7"/>
        <v>0</v>
      </c>
      <c r="AP21" s="1208">
        <f t="shared" si="9"/>
        <v>0</v>
      </c>
      <c r="AQ21" s="1209">
        <f t="shared" si="8"/>
        <v>28</v>
      </c>
      <c r="AR21" s="152"/>
      <c r="AS21" s="341" t="str">
        <f>'Mã số nhân viên'!I12</f>
        <v>03464</v>
      </c>
      <c r="AT21" s="1031">
        <f t="shared" si="2"/>
        <v>0</v>
      </c>
    </row>
    <row r="22" spans="1:46" ht="24.75" customHeight="1">
      <c r="A22" s="779">
        <v>10</v>
      </c>
      <c r="B22" s="779">
        <v>10</v>
      </c>
      <c r="C22" s="779" t="str">
        <f>VLOOKUP(D22,'Mã số nhân viên'!B12:I143,8,0)</f>
        <v>03464</v>
      </c>
      <c r="D22" s="416" t="s">
        <v>240</v>
      </c>
      <c r="E22" s="779"/>
      <c r="F22" s="1089" t="s">
        <v>116</v>
      </c>
      <c r="G22" s="1089" t="s">
        <v>53</v>
      </c>
      <c r="H22" s="1089" t="s">
        <v>53</v>
      </c>
      <c r="I22" s="1089" t="s">
        <v>53</v>
      </c>
      <c r="J22" s="1089" t="s">
        <v>53</v>
      </c>
      <c r="K22" s="1089" t="s">
        <v>53</v>
      </c>
      <c r="L22" s="1089" t="s">
        <v>53</v>
      </c>
      <c r="M22" s="1089" t="s">
        <v>116</v>
      </c>
      <c r="N22" s="1089" t="s">
        <v>53</v>
      </c>
      <c r="O22" s="1089" t="s">
        <v>53</v>
      </c>
      <c r="P22" s="1089" t="s">
        <v>53</v>
      </c>
      <c r="Q22" s="1089"/>
      <c r="R22" s="1089"/>
      <c r="S22" s="1089" t="s">
        <v>53</v>
      </c>
      <c r="T22" s="1089" t="s">
        <v>116</v>
      </c>
      <c r="U22" s="1089" t="s">
        <v>53</v>
      </c>
      <c r="V22" s="1089" t="s">
        <v>53</v>
      </c>
      <c r="W22" s="1089" t="s">
        <v>53</v>
      </c>
      <c r="X22" s="1089" t="s">
        <v>53</v>
      </c>
      <c r="Y22" s="1089" t="s">
        <v>53</v>
      </c>
      <c r="Z22" s="1089" t="s">
        <v>53</v>
      </c>
      <c r="AA22" s="1089" t="s">
        <v>116</v>
      </c>
      <c r="AB22" s="1089" t="s">
        <v>53</v>
      </c>
      <c r="AC22" s="1089" t="s">
        <v>53</v>
      </c>
      <c r="AD22" s="1089" t="s">
        <v>53</v>
      </c>
      <c r="AE22" s="1089" t="s">
        <v>53</v>
      </c>
      <c r="AF22" s="1089" t="s">
        <v>53</v>
      </c>
      <c r="AG22" s="1089" t="s">
        <v>53</v>
      </c>
      <c r="AH22" s="1089" t="s">
        <v>116</v>
      </c>
      <c r="AI22" s="1089" t="s">
        <v>53</v>
      </c>
      <c r="AJ22" s="773"/>
      <c r="AK22" s="1207">
        <f t="shared" si="3"/>
        <v>23</v>
      </c>
      <c r="AL22" s="1208">
        <f t="shared" si="4"/>
        <v>5</v>
      </c>
      <c r="AM22" s="1207">
        <f t="shared" si="5"/>
        <v>0</v>
      </c>
      <c r="AN22" s="1207">
        <f t="shared" si="6"/>
        <v>0</v>
      </c>
      <c r="AO22" s="1207">
        <f t="shared" si="7"/>
        <v>0</v>
      </c>
      <c r="AP22" s="1208">
        <f t="shared" si="9"/>
        <v>0</v>
      </c>
      <c r="AQ22" s="1209">
        <f t="shared" si="8"/>
        <v>28</v>
      </c>
      <c r="AR22" s="152"/>
      <c r="AS22" s="341" t="str">
        <f>'Mã số nhân viên'!I13</f>
        <v>03465</v>
      </c>
      <c r="AT22" s="1031">
        <f t="shared" si="2"/>
        <v>0</v>
      </c>
    </row>
    <row r="23" spans="1:46" ht="24.75" customHeight="1">
      <c r="A23" s="779">
        <v>11</v>
      </c>
      <c r="B23" s="779">
        <v>11</v>
      </c>
      <c r="C23" s="779" t="str">
        <f>VLOOKUP(D23,'Mã số nhân viên'!B13:I144,8,0)</f>
        <v>03465</v>
      </c>
      <c r="D23" s="416" t="s">
        <v>242</v>
      </c>
      <c r="E23" s="779"/>
      <c r="F23" s="1089" t="s">
        <v>116</v>
      </c>
      <c r="G23" s="1089" t="s">
        <v>53</v>
      </c>
      <c r="H23" s="1089" t="s">
        <v>53</v>
      </c>
      <c r="I23" s="1089" t="s">
        <v>53</v>
      </c>
      <c r="J23" s="1089" t="s">
        <v>53</v>
      </c>
      <c r="K23" s="1089" t="s">
        <v>53</v>
      </c>
      <c r="L23" s="1089" t="s">
        <v>53</v>
      </c>
      <c r="M23" s="1089" t="s">
        <v>116</v>
      </c>
      <c r="N23" s="1089" t="s">
        <v>837</v>
      </c>
      <c r="O23" s="1089" t="s">
        <v>53</v>
      </c>
      <c r="P23" s="1089"/>
      <c r="Q23" s="1089"/>
      <c r="R23" s="1089"/>
      <c r="S23" s="1089" t="s">
        <v>53</v>
      </c>
      <c r="T23" s="1089" t="s">
        <v>116</v>
      </c>
      <c r="U23" s="1089" t="s">
        <v>53</v>
      </c>
      <c r="V23" s="1089" t="s">
        <v>53</v>
      </c>
      <c r="W23" s="1089" t="s">
        <v>53</v>
      </c>
      <c r="X23" s="1089" t="s">
        <v>53</v>
      </c>
      <c r="Y23" s="1089" t="s">
        <v>53</v>
      </c>
      <c r="Z23" s="1089" t="s">
        <v>53</v>
      </c>
      <c r="AA23" s="1089" t="s">
        <v>116</v>
      </c>
      <c r="AB23" s="1089" t="s">
        <v>53</v>
      </c>
      <c r="AC23" s="1089" t="s">
        <v>53</v>
      </c>
      <c r="AD23" s="1089" t="s">
        <v>53</v>
      </c>
      <c r="AE23" s="1089" t="s">
        <v>53</v>
      </c>
      <c r="AF23" s="1089" t="s">
        <v>53</v>
      </c>
      <c r="AG23" s="1089"/>
      <c r="AH23" s="1089" t="s">
        <v>116</v>
      </c>
      <c r="AI23" s="1089" t="s">
        <v>53</v>
      </c>
      <c r="AJ23" s="773"/>
      <c r="AK23" s="1207">
        <f t="shared" si="3"/>
        <v>20</v>
      </c>
      <c r="AL23" s="1208">
        <f t="shared" si="4"/>
        <v>5</v>
      </c>
      <c r="AM23" s="1207">
        <f t="shared" si="5"/>
        <v>0</v>
      </c>
      <c r="AN23" s="1207">
        <f t="shared" si="6"/>
        <v>0</v>
      </c>
      <c r="AO23" s="1207">
        <f t="shared" si="7"/>
        <v>0</v>
      </c>
      <c r="AP23" s="1208">
        <f t="shared" si="9"/>
        <v>0</v>
      </c>
      <c r="AQ23" s="1209">
        <f t="shared" si="8"/>
        <v>25</v>
      </c>
      <c r="AR23" s="152"/>
      <c r="AS23" s="341" t="str">
        <f>'Mã số nhân viên'!I14</f>
        <v>03466</v>
      </c>
      <c r="AT23" s="1031">
        <f t="shared" si="2"/>
        <v>0</v>
      </c>
    </row>
    <row r="24" spans="1:46" ht="24.75" customHeight="1">
      <c r="A24" s="779">
        <v>12</v>
      </c>
      <c r="B24" s="779">
        <v>12</v>
      </c>
      <c r="C24" s="779" t="str">
        <f>VLOOKUP(D24,'Mã số nhân viên'!B14:I145,8,0)</f>
        <v>03466</v>
      </c>
      <c r="D24" s="115" t="s">
        <v>249</v>
      </c>
      <c r="E24" s="779"/>
      <c r="F24" s="1089" t="s">
        <v>116</v>
      </c>
      <c r="G24" s="1089" t="s">
        <v>53</v>
      </c>
      <c r="H24" s="1089" t="s">
        <v>53</v>
      </c>
      <c r="I24" s="1089" t="s">
        <v>53</v>
      </c>
      <c r="J24" s="1089" t="s">
        <v>53</v>
      </c>
      <c r="K24" s="1089" t="s">
        <v>53</v>
      </c>
      <c r="L24" s="1089" t="s">
        <v>53</v>
      </c>
      <c r="M24" s="1089" t="s">
        <v>116</v>
      </c>
      <c r="N24" s="1089" t="s">
        <v>53</v>
      </c>
      <c r="O24" s="1089" t="s">
        <v>53</v>
      </c>
      <c r="P24" s="1089" t="s">
        <v>53</v>
      </c>
      <c r="Q24" s="1089"/>
      <c r="R24" s="1089"/>
      <c r="S24" s="1089" t="s">
        <v>53</v>
      </c>
      <c r="T24" s="1089" t="s">
        <v>116</v>
      </c>
      <c r="U24" s="1089" t="s">
        <v>53</v>
      </c>
      <c r="V24" s="1089" t="s">
        <v>53</v>
      </c>
      <c r="W24" s="1089" t="s">
        <v>53</v>
      </c>
      <c r="X24" s="1089" t="s">
        <v>53</v>
      </c>
      <c r="Y24" s="1089" t="s">
        <v>53</v>
      </c>
      <c r="Z24" s="1089" t="s">
        <v>53</v>
      </c>
      <c r="AA24" s="1089" t="s">
        <v>116</v>
      </c>
      <c r="AB24" s="1089" t="s">
        <v>53</v>
      </c>
      <c r="AC24" s="1089" t="s">
        <v>53</v>
      </c>
      <c r="AD24" s="1089" t="s">
        <v>53</v>
      </c>
      <c r="AE24" s="1089" t="s">
        <v>53</v>
      </c>
      <c r="AF24" s="1089" t="s">
        <v>53</v>
      </c>
      <c r="AG24" s="1089" t="s">
        <v>53</v>
      </c>
      <c r="AH24" s="1089" t="s">
        <v>116</v>
      </c>
      <c r="AI24" s="1089" t="s">
        <v>53</v>
      </c>
      <c r="AJ24" s="773"/>
      <c r="AK24" s="1207">
        <f t="shared" si="3"/>
        <v>23</v>
      </c>
      <c r="AL24" s="1208">
        <f t="shared" si="4"/>
        <v>5</v>
      </c>
      <c r="AM24" s="1207">
        <f t="shared" si="5"/>
        <v>0</v>
      </c>
      <c r="AN24" s="1207">
        <f t="shared" si="6"/>
        <v>0</v>
      </c>
      <c r="AO24" s="1207">
        <f t="shared" si="7"/>
        <v>0</v>
      </c>
      <c r="AP24" s="1208">
        <f t="shared" si="9"/>
        <v>0</v>
      </c>
      <c r="AQ24" s="1209">
        <f t="shared" si="8"/>
        <v>28</v>
      </c>
      <c r="AR24" s="152"/>
      <c r="AS24" s="341" t="str">
        <f>'Mã số nhân viên'!I15</f>
        <v>02727</v>
      </c>
      <c r="AT24" s="1031">
        <f t="shared" si="2"/>
        <v>0</v>
      </c>
    </row>
    <row r="25" spans="1:46" ht="24.75" customHeight="1">
      <c r="A25" s="779">
        <v>13</v>
      </c>
      <c r="B25" s="779">
        <v>13</v>
      </c>
      <c r="C25" s="779" t="str">
        <f>VLOOKUP(D25,'Mã số nhân viên'!B15:I146,8,0)</f>
        <v>02727</v>
      </c>
      <c r="D25" s="650" t="s">
        <v>230</v>
      </c>
      <c r="E25" s="779"/>
      <c r="F25" s="1089" t="s">
        <v>116</v>
      </c>
      <c r="G25" s="1089" t="s">
        <v>53</v>
      </c>
      <c r="H25" s="1089" t="s">
        <v>53</v>
      </c>
      <c r="I25" s="1089" t="s">
        <v>53</v>
      </c>
      <c r="J25" s="1089" t="s">
        <v>53</v>
      </c>
      <c r="K25" s="1089" t="s">
        <v>53</v>
      </c>
      <c r="L25" s="1089" t="s">
        <v>53</v>
      </c>
      <c r="M25" s="1089" t="s">
        <v>116</v>
      </c>
      <c r="N25" s="1089" t="s">
        <v>53</v>
      </c>
      <c r="O25" s="1089" t="s">
        <v>53</v>
      </c>
      <c r="P25" s="1089" t="s">
        <v>53</v>
      </c>
      <c r="Q25" s="1089"/>
      <c r="R25" s="1089"/>
      <c r="S25" s="1089" t="s">
        <v>53</v>
      </c>
      <c r="T25" s="1089" t="s">
        <v>116</v>
      </c>
      <c r="U25" s="1089"/>
      <c r="V25" s="1089"/>
      <c r="W25" s="1089" t="s">
        <v>53</v>
      </c>
      <c r="X25" s="1089" t="s">
        <v>53</v>
      </c>
      <c r="Y25" s="1089" t="s">
        <v>53</v>
      </c>
      <c r="Z25" s="1089" t="s">
        <v>53</v>
      </c>
      <c r="AA25" s="1089" t="s">
        <v>116</v>
      </c>
      <c r="AB25" s="1089" t="s">
        <v>53</v>
      </c>
      <c r="AC25" s="1089" t="s">
        <v>53</v>
      </c>
      <c r="AD25" s="1089" t="s">
        <v>53</v>
      </c>
      <c r="AE25" s="1089" t="s">
        <v>53</v>
      </c>
      <c r="AF25" s="1089" t="s">
        <v>53</v>
      </c>
      <c r="AG25" s="1089"/>
      <c r="AH25" s="1089" t="s">
        <v>116</v>
      </c>
      <c r="AI25" s="1089" t="s">
        <v>53</v>
      </c>
      <c r="AJ25" s="773"/>
      <c r="AK25" s="1207">
        <f t="shared" si="3"/>
        <v>20</v>
      </c>
      <c r="AL25" s="1208">
        <f t="shared" si="4"/>
        <v>5</v>
      </c>
      <c r="AM25" s="1207">
        <f t="shared" si="5"/>
        <v>0</v>
      </c>
      <c r="AN25" s="1207">
        <f t="shared" si="6"/>
        <v>0</v>
      </c>
      <c r="AO25" s="1207">
        <f t="shared" si="7"/>
        <v>0</v>
      </c>
      <c r="AP25" s="1208">
        <f t="shared" si="9"/>
        <v>0</v>
      </c>
      <c r="AQ25" s="1209">
        <f t="shared" si="8"/>
        <v>25</v>
      </c>
      <c r="AR25" s="152"/>
      <c r="AS25" s="341" t="str">
        <f>'Mã số nhân viên'!I16</f>
        <v>03467</v>
      </c>
      <c r="AT25" s="1031">
        <f t="shared" si="2"/>
        <v>0</v>
      </c>
    </row>
    <row r="26" spans="1:46" ht="24.75" customHeight="1">
      <c r="A26" s="779">
        <v>14</v>
      </c>
      <c r="B26" s="779">
        <v>14</v>
      </c>
      <c r="C26" s="779" t="str">
        <f>VLOOKUP(D26,'Mã số nhân viên'!B16:I147,8,0)</f>
        <v>03467</v>
      </c>
      <c r="D26" s="749" t="s">
        <v>219</v>
      </c>
      <c r="E26" s="779"/>
      <c r="F26" s="1089" t="s">
        <v>116</v>
      </c>
      <c r="G26" s="1089" t="s">
        <v>53</v>
      </c>
      <c r="H26" s="1089" t="s">
        <v>53</v>
      </c>
      <c r="I26" s="1089" t="s">
        <v>53</v>
      </c>
      <c r="J26" s="1089" t="s">
        <v>53</v>
      </c>
      <c r="K26" s="1089" t="s">
        <v>53</v>
      </c>
      <c r="L26" s="1089" t="s">
        <v>53</v>
      </c>
      <c r="M26" s="1089" t="s">
        <v>116</v>
      </c>
      <c r="N26" s="1089" t="s">
        <v>53</v>
      </c>
      <c r="O26" s="1089" t="s">
        <v>53</v>
      </c>
      <c r="P26" s="1089" t="s">
        <v>53</v>
      </c>
      <c r="Q26" s="1089"/>
      <c r="R26" s="1089"/>
      <c r="S26" s="1089" t="s">
        <v>53</v>
      </c>
      <c r="T26" s="1089" t="s">
        <v>116</v>
      </c>
      <c r="U26" s="1089" t="s">
        <v>53</v>
      </c>
      <c r="V26" s="1089" t="s">
        <v>53</v>
      </c>
      <c r="W26" s="1089" t="s">
        <v>53</v>
      </c>
      <c r="X26" s="1089" t="s">
        <v>53</v>
      </c>
      <c r="Y26" s="1089" t="s">
        <v>53</v>
      </c>
      <c r="Z26" s="1089" t="s">
        <v>53</v>
      </c>
      <c r="AA26" s="1089" t="s">
        <v>116</v>
      </c>
      <c r="AB26" s="1089" t="s">
        <v>53</v>
      </c>
      <c r="AC26" s="1089" t="s">
        <v>53</v>
      </c>
      <c r="AD26" s="1089" t="s">
        <v>53</v>
      </c>
      <c r="AE26" s="1089" t="s">
        <v>53</v>
      </c>
      <c r="AF26" s="1089" t="s">
        <v>53</v>
      </c>
      <c r="AG26" s="1089"/>
      <c r="AH26" s="1089" t="s">
        <v>116</v>
      </c>
      <c r="AI26" s="1089" t="s">
        <v>53</v>
      </c>
      <c r="AJ26" s="773"/>
      <c r="AK26" s="1207">
        <f t="shared" si="3"/>
        <v>22</v>
      </c>
      <c r="AL26" s="1208">
        <f t="shared" si="4"/>
        <v>5</v>
      </c>
      <c r="AM26" s="1207">
        <f t="shared" si="5"/>
        <v>0</v>
      </c>
      <c r="AN26" s="1207">
        <f t="shared" si="6"/>
        <v>0</v>
      </c>
      <c r="AO26" s="1207">
        <f t="shared" si="7"/>
        <v>0</v>
      </c>
      <c r="AP26" s="1208">
        <f t="shared" si="9"/>
        <v>0</v>
      </c>
      <c r="AQ26" s="1209">
        <f t="shared" si="8"/>
        <v>27</v>
      </c>
      <c r="AR26" s="152"/>
      <c r="AS26" s="341" t="str">
        <f>'Mã số nhân viên'!I17</f>
        <v>04056</v>
      </c>
      <c r="AT26" s="1031">
        <f t="shared" si="2"/>
        <v>0</v>
      </c>
    </row>
    <row r="27" spans="1:46" ht="24.75" customHeight="1">
      <c r="A27" s="779">
        <v>15</v>
      </c>
      <c r="B27" s="779">
        <v>15</v>
      </c>
      <c r="C27" s="779" t="str">
        <f>VLOOKUP(D27,'Mã số nhân viên'!B17:I148,8,0)</f>
        <v>04056</v>
      </c>
      <c r="D27" s="416" t="s">
        <v>554</v>
      </c>
      <c r="E27" s="779"/>
      <c r="F27" s="1089" t="s">
        <v>116</v>
      </c>
      <c r="G27" s="1089" t="s">
        <v>53</v>
      </c>
      <c r="H27" s="1089" t="s">
        <v>53</v>
      </c>
      <c r="I27" s="1089" t="s">
        <v>53</v>
      </c>
      <c r="J27" s="1089" t="s">
        <v>53</v>
      </c>
      <c r="K27" s="1089" t="s">
        <v>53</v>
      </c>
      <c r="L27" s="1089" t="s">
        <v>53</v>
      </c>
      <c r="M27" s="1089" t="s">
        <v>116</v>
      </c>
      <c r="N27" s="1089" t="s">
        <v>53</v>
      </c>
      <c r="O27" s="1089" t="s">
        <v>53</v>
      </c>
      <c r="P27" s="1089" t="s">
        <v>53</v>
      </c>
      <c r="Q27" s="1089"/>
      <c r="R27" s="1089"/>
      <c r="S27" s="1089" t="s">
        <v>53</v>
      </c>
      <c r="T27" s="1089"/>
      <c r="U27" s="1089"/>
      <c r="V27" s="1089" t="s">
        <v>53</v>
      </c>
      <c r="W27" s="1089" t="s">
        <v>837</v>
      </c>
      <c r="X27" s="1089" t="s">
        <v>837</v>
      </c>
      <c r="Y27" s="1089" t="s">
        <v>53</v>
      </c>
      <c r="Z27" s="1089" t="s">
        <v>53</v>
      </c>
      <c r="AA27" s="1089" t="s">
        <v>116</v>
      </c>
      <c r="AB27" s="1089"/>
      <c r="AC27" s="1089" t="s">
        <v>53</v>
      </c>
      <c r="AD27" s="1089" t="s">
        <v>53</v>
      </c>
      <c r="AE27" s="1089" t="s">
        <v>53</v>
      </c>
      <c r="AF27" s="1089" t="s">
        <v>53</v>
      </c>
      <c r="AG27" s="1089" t="s">
        <v>53</v>
      </c>
      <c r="AH27" s="1089" t="s">
        <v>116</v>
      </c>
      <c r="AI27" s="1089" t="s">
        <v>53</v>
      </c>
      <c r="AJ27" s="773"/>
      <c r="AK27" s="1207">
        <f t="shared" si="3"/>
        <v>19</v>
      </c>
      <c r="AL27" s="1208">
        <f t="shared" si="4"/>
        <v>4</v>
      </c>
      <c r="AM27" s="1207">
        <f t="shared" si="5"/>
        <v>0</v>
      </c>
      <c r="AN27" s="1207">
        <f t="shared" si="6"/>
        <v>0</v>
      </c>
      <c r="AO27" s="1207">
        <f t="shared" si="7"/>
        <v>0</v>
      </c>
      <c r="AP27" s="1208">
        <f t="shared" si="9"/>
        <v>0</v>
      </c>
      <c r="AQ27" s="1209">
        <f t="shared" si="8"/>
        <v>23</v>
      </c>
      <c r="AR27" s="152"/>
      <c r="AS27" s="341" t="str">
        <f>'Mã số nhân viên'!I18</f>
        <v>03469</v>
      </c>
      <c r="AT27" s="1031">
        <f t="shared" si="2"/>
        <v>0</v>
      </c>
    </row>
    <row r="28" spans="1:46" ht="24.75" customHeight="1">
      <c r="A28" s="779">
        <v>16</v>
      </c>
      <c r="B28" s="779">
        <v>16</v>
      </c>
      <c r="C28" s="779" t="str">
        <f>VLOOKUP(D28,'Mã số nhân viên'!B18:I149,8,0)</f>
        <v>03469</v>
      </c>
      <c r="D28" s="416" t="s">
        <v>220</v>
      </c>
      <c r="E28" s="779"/>
      <c r="F28" s="1089" t="s">
        <v>116</v>
      </c>
      <c r="G28" s="1089" t="s">
        <v>53</v>
      </c>
      <c r="H28" s="1089" t="s">
        <v>53</v>
      </c>
      <c r="I28" s="1089" t="s">
        <v>53</v>
      </c>
      <c r="J28" s="1089" t="s">
        <v>53</v>
      </c>
      <c r="K28" s="1089" t="s">
        <v>53</v>
      </c>
      <c r="L28" s="1089" t="s">
        <v>53</v>
      </c>
      <c r="M28" s="1089" t="s">
        <v>116</v>
      </c>
      <c r="N28" s="1089" t="s">
        <v>53</v>
      </c>
      <c r="O28" s="1089" t="s">
        <v>53</v>
      </c>
      <c r="P28" s="1089" t="s">
        <v>53</v>
      </c>
      <c r="Q28" s="1089"/>
      <c r="R28" s="1089"/>
      <c r="S28" s="1089" t="s">
        <v>53</v>
      </c>
      <c r="T28" s="1089" t="s">
        <v>116</v>
      </c>
      <c r="U28" s="1089" t="s">
        <v>53</v>
      </c>
      <c r="V28" s="1089" t="s">
        <v>53</v>
      </c>
      <c r="W28" s="1089" t="s">
        <v>53</v>
      </c>
      <c r="X28" s="1089" t="s">
        <v>53</v>
      </c>
      <c r="Y28" s="1089" t="s">
        <v>53</v>
      </c>
      <c r="Z28" s="1089" t="s">
        <v>53</v>
      </c>
      <c r="AA28" s="1089" t="s">
        <v>116</v>
      </c>
      <c r="AB28" s="1089" t="s">
        <v>53</v>
      </c>
      <c r="AC28" s="1089" t="s">
        <v>53</v>
      </c>
      <c r="AD28" s="1089" t="s">
        <v>53</v>
      </c>
      <c r="AE28" s="1089" t="s">
        <v>53</v>
      </c>
      <c r="AF28" s="1089" t="s">
        <v>53</v>
      </c>
      <c r="AG28" s="1089" t="s">
        <v>53</v>
      </c>
      <c r="AH28" s="1089" t="s">
        <v>116</v>
      </c>
      <c r="AI28" s="1089" t="s">
        <v>53</v>
      </c>
      <c r="AJ28" s="773"/>
      <c r="AK28" s="1207">
        <f t="shared" si="3"/>
        <v>23</v>
      </c>
      <c r="AL28" s="1208">
        <f t="shared" si="4"/>
        <v>5</v>
      </c>
      <c r="AM28" s="1207">
        <f t="shared" si="5"/>
        <v>0</v>
      </c>
      <c r="AN28" s="1207">
        <f t="shared" si="6"/>
        <v>0</v>
      </c>
      <c r="AO28" s="1207">
        <f t="shared" si="7"/>
        <v>0</v>
      </c>
      <c r="AP28" s="1208">
        <f t="shared" si="9"/>
        <v>0</v>
      </c>
      <c r="AQ28" s="1209">
        <f t="shared" si="8"/>
        <v>28</v>
      </c>
      <c r="AR28" s="152"/>
      <c r="AS28" s="341" t="str">
        <f>'Mã số nhân viên'!I19</f>
        <v>03470</v>
      </c>
      <c r="AT28" s="1031">
        <f t="shared" si="2"/>
        <v>0</v>
      </c>
    </row>
    <row r="29" spans="1:46" ht="24.75" customHeight="1">
      <c r="A29" s="779">
        <v>17</v>
      </c>
      <c r="B29" s="779">
        <v>17</v>
      </c>
      <c r="C29" s="779" t="str">
        <f>VLOOKUP(D29,'Mã số nhân viên'!B19:I150,8,0)</f>
        <v>03470</v>
      </c>
      <c r="D29" s="248" t="s">
        <v>221</v>
      </c>
      <c r="E29" s="779"/>
      <c r="F29" s="1089" t="s">
        <v>116</v>
      </c>
      <c r="G29" s="1089" t="s">
        <v>53</v>
      </c>
      <c r="H29" s="1089" t="s">
        <v>53</v>
      </c>
      <c r="I29" s="1089" t="s">
        <v>53</v>
      </c>
      <c r="J29" s="1089" t="s">
        <v>53</v>
      </c>
      <c r="K29" s="1089" t="s">
        <v>53</v>
      </c>
      <c r="L29" s="1089" t="s">
        <v>53</v>
      </c>
      <c r="M29" s="1089" t="s">
        <v>116</v>
      </c>
      <c r="N29" s="1089" t="s">
        <v>837</v>
      </c>
      <c r="O29" s="1089" t="s">
        <v>837</v>
      </c>
      <c r="P29" s="1089"/>
      <c r="Q29" s="1089"/>
      <c r="R29" s="1089"/>
      <c r="S29" s="1089" t="s">
        <v>837</v>
      </c>
      <c r="T29" s="1089" t="s">
        <v>837</v>
      </c>
      <c r="U29" s="1089" t="s">
        <v>53</v>
      </c>
      <c r="V29" s="1089" t="s">
        <v>53</v>
      </c>
      <c r="W29" s="1089" t="s">
        <v>53</v>
      </c>
      <c r="X29" s="1089" t="s">
        <v>53</v>
      </c>
      <c r="Y29" s="1089" t="s">
        <v>53</v>
      </c>
      <c r="Z29" s="1089" t="s">
        <v>53</v>
      </c>
      <c r="AA29" s="1089" t="s">
        <v>116</v>
      </c>
      <c r="AB29" s="1089" t="s">
        <v>53</v>
      </c>
      <c r="AC29" s="1089" t="s">
        <v>53</v>
      </c>
      <c r="AD29" s="1089" t="s">
        <v>53</v>
      </c>
      <c r="AE29" s="1089" t="s">
        <v>53</v>
      </c>
      <c r="AF29" s="1089" t="s">
        <v>53</v>
      </c>
      <c r="AG29" s="1089" t="s">
        <v>53</v>
      </c>
      <c r="AH29" s="1089" t="s">
        <v>116</v>
      </c>
      <c r="AI29" s="1089" t="s">
        <v>53</v>
      </c>
      <c r="AJ29" s="773"/>
      <c r="AK29" s="1207">
        <f t="shared" si="3"/>
        <v>19</v>
      </c>
      <c r="AL29" s="1208">
        <f t="shared" si="4"/>
        <v>4</v>
      </c>
      <c r="AM29" s="1207">
        <f t="shared" si="5"/>
        <v>0</v>
      </c>
      <c r="AN29" s="1207">
        <f t="shared" si="6"/>
        <v>0</v>
      </c>
      <c r="AO29" s="1207">
        <f t="shared" si="7"/>
        <v>0</v>
      </c>
      <c r="AP29" s="1208">
        <f t="shared" si="9"/>
        <v>0</v>
      </c>
      <c r="AQ29" s="1209">
        <f t="shared" si="8"/>
        <v>23</v>
      </c>
      <c r="AR29" s="152"/>
      <c r="AS29" s="341" t="str">
        <f>'Mã số nhân viên'!I20</f>
        <v>03471</v>
      </c>
      <c r="AT29" s="1031">
        <f t="shared" si="2"/>
        <v>0</v>
      </c>
    </row>
    <row r="30" spans="1:46" ht="24.75" customHeight="1">
      <c r="A30" s="779">
        <v>18</v>
      </c>
      <c r="B30" s="779">
        <v>18</v>
      </c>
      <c r="C30" s="779" t="str">
        <f>VLOOKUP(D30,'Mã số nhân viên'!B20:I151,8,0)</f>
        <v>03471</v>
      </c>
      <c r="D30" s="650" t="s">
        <v>200</v>
      </c>
      <c r="E30" s="779"/>
      <c r="F30" s="1089" t="s">
        <v>116</v>
      </c>
      <c r="G30" s="1089" t="s">
        <v>53</v>
      </c>
      <c r="H30" s="1089" t="s">
        <v>53</v>
      </c>
      <c r="I30" s="1089" t="s">
        <v>53</v>
      </c>
      <c r="J30" s="1089" t="s">
        <v>53</v>
      </c>
      <c r="K30" s="1089" t="s">
        <v>53</v>
      </c>
      <c r="L30" s="1089" t="s">
        <v>53</v>
      </c>
      <c r="M30" s="1089" t="s">
        <v>116</v>
      </c>
      <c r="N30" s="1089" t="s">
        <v>53</v>
      </c>
      <c r="O30" s="1089" t="s">
        <v>53</v>
      </c>
      <c r="P30" s="1089" t="s">
        <v>53</v>
      </c>
      <c r="Q30" s="1089"/>
      <c r="R30" s="1089"/>
      <c r="S30" s="1089" t="s">
        <v>53</v>
      </c>
      <c r="T30" s="1089" t="s">
        <v>116</v>
      </c>
      <c r="U30" s="1089" t="s">
        <v>53</v>
      </c>
      <c r="V30" s="1089" t="s">
        <v>53</v>
      </c>
      <c r="W30" s="1089" t="s">
        <v>53</v>
      </c>
      <c r="X30" s="1089" t="s">
        <v>53</v>
      </c>
      <c r="Y30" s="1089" t="s">
        <v>53</v>
      </c>
      <c r="Z30" s="1089" t="s">
        <v>53</v>
      </c>
      <c r="AA30" s="1089" t="s">
        <v>116</v>
      </c>
      <c r="AB30" s="1089" t="s">
        <v>53</v>
      </c>
      <c r="AC30" s="1089" t="s">
        <v>53</v>
      </c>
      <c r="AD30" s="1089" t="s">
        <v>53</v>
      </c>
      <c r="AE30" s="1089" t="s">
        <v>53</v>
      </c>
      <c r="AF30" s="1089" t="s">
        <v>53</v>
      </c>
      <c r="AG30" s="1089" t="s">
        <v>53</v>
      </c>
      <c r="AH30" s="1089" t="s">
        <v>116</v>
      </c>
      <c r="AI30" s="1089" t="s">
        <v>53</v>
      </c>
      <c r="AJ30" s="773"/>
      <c r="AK30" s="1207">
        <f t="shared" si="3"/>
        <v>23</v>
      </c>
      <c r="AL30" s="1208">
        <f t="shared" si="4"/>
        <v>5</v>
      </c>
      <c r="AM30" s="1207">
        <f t="shared" si="5"/>
        <v>0</v>
      </c>
      <c r="AN30" s="1207">
        <f t="shared" si="6"/>
        <v>0</v>
      </c>
      <c r="AO30" s="1207">
        <f t="shared" si="7"/>
        <v>0</v>
      </c>
      <c r="AP30" s="1208">
        <f t="shared" si="9"/>
        <v>0</v>
      </c>
      <c r="AQ30" s="1209">
        <f t="shared" si="8"/>
        <v>28</v>
      </c>
      <c r="AR30" s="152"/>
      <c r="AS30" s="341" t="str">
        <f>'Mã số nhân viên'!I21</f>
        <v>03472</v>
      </c>
      <c r="AT30" s="1031">
        <f t="shared" si="2"/>
        <v>0</v>
      </c>
    </row>
    <row r="31" spans="1:46" ht="24.75" customHeight="1">
      <c r="A31" s="779">
        <v>19</v>
      </c>
      <c r="B31" s="779">
        <v>19</v>
      </c>
      <c r="C31" s="779" t="str">
        <f>VLOOKUP(D31,'Mã số nhân viên'!B21:I152,8,0)</f>
        <v>03472</v>
      </c>
      <c r="D31" s="749" t="s">
        <v>235</v>
      </c>
      <c r="E31" s="779"/>
      <c r="F31" s="1089" t="s">
        <v>116</v>
      </c>
      <c r="G31" s="1089" t="s">
        <v>53</v>
      </c>
      <c r="H31" s="1089" t="s">
        <v>53</v>
      </c>
      <c r="I31" s="1089" t="s">
        <v>53</v>
      </c>
      <c r="J31" s="1089" t="s">
        <v>53</v>
      </c>
      <c r="K31" s="1089" t="s">
        <v>53</v>
      </c>
      <c r="L31" s="1089" t="s">
        <v>53</v>
      </c>
      <c r="M31" s="1089" t="s">
        <v>116</v>
      </c>
      <c r="N31" s="1089" t="s">
        <v>53</v>
      </c>
      <c r="O31" s="1089"/>
      <c r="P31" s="1089" t="s">
        <v>53</v>
      </c>
      <c r="Q31" s="1089"/>
      <c r="R31" s="1089"/>
      <c r="S31" s="1089"/>
      <c r="T31" s="1089" t="s">
        <v>116</v>
      </c>
      <c r="U31" s="1089" t="s">
        <v>53</v>
      </c>
      <c r="V31" s="1089" t="s">
        <v>837</v>
      </c>
      <c r="W31" s="1089" t="s">
        <v>53</v>
      </c>
      <c r="X31" s="1089" t="s">
        <v>53</v>
      </c>
      <c r="Y31" s="1089" t="s">
        <v>53</v>
      </c>
      <c r="Z31" s="1089" t="s">
        <v>53</v>
      </c>
      <c r="AA31" s="1089" t="s">
        <v>116</v>
      </c>
      <c r="AB31" s="1089" t="s">
        <v>53</v>
      </c>
      <c r="AC31" s="1089" t="s">
        <v>53</v>
      </c>
      <c r="AD31" s="1089" t="s">
        <v>53</v>
      </c>
      <c r="AE31" s="1089" t="s">
        <v>53</v>
      </c>
      <c r="AF31" s="1089" t="s">
        <v>53</v>
      </c>
      <c r="AG31" s="1089" t="s">
        <v>53</v>
      </c>
      <c r="AH31" s="1089" t="s">
        <v>116</v>
      </c>
      <c r="AI31" s="1089" t="s">
        <v>53</v>
      </c>
      <c r="AJ31" s="773"/>
      <c r="AK31" s="1207">
        <f t="shared" si="3"/>
        <v>20</v>
      </c>
      <c r="AL31" s="1208">
        <f t="shared" si="4"/>
        <v>5</v>
      </c>
      <c r="AM31" s="1207">
        <f t="shared" si="5"/>
        <v>0</v>
      </c>
      <c r="AN31" s="1207">
        <f t="shared" si="6"/>
        <v>0</v>
      </c>
      <c r="AO31" s="1207">
        <f t="shared" si="7"/>
        <v>0</v>
      </c>
      <c r="AP31" s="1208">
        <f t="shared" si="9"/>
        <v>0</v>
      </c>
      <c r="AQ31" s="1209">
        <f t="shared" si="8"/>
        <v>25</v>
      </c>
      <c r="AR31" s="152"/>
      <c r="AS31" s="341" t="str">
        <f>'Mã số nhân viên'!I22</f>
        <v>03473</v>
      </c>
      <c r="AT31" s="1031">
        <f t="shared" si="2"/>
        <v>0</v>
      </c>
    </row>
    <row r="32" spans="1:46" ht="24.75" customHeight="1">
      <c r="A32" s="779">
        <v>20</v>
      </c>
      <c r="B32" s="779">
        <v>20</v>
      </c>
      <c r="C32" s="779" t="str">
        <f>VLOOKUP(D32,'Mã số nhân viên'!B22:I153,8,0)</f>
        <v>03473</v>
      </c>
      <c r="D32" s="416" t="s">
        <v>243</v>
      </c>
      <c r="E32" s="779"/>
      <c r="F32" s="1089" t="s">
        <v>116</v>
      </c>
      <c r="G32" s="1089" t="s">
        <v>53</v>
      </c>
      <c r="H32" s="1089" t="s">
        <v>53</v>
      </c>
      <c r="I32" s="1089" t="s">
        <v>53</v>
      </c>
      <c r="J32" s="1089" t="s">
        <v>53</v>
      </c>
      <c r="K32" s="1089" t="s">
        <v>53</v>
      </c>
      <c r="L32" s="1089" t="s">
        <v>53</v>
      </c>
      <c r="M32" s="1089" t="s">
        <v>116</v>
      </c>
      <c r="N32" s="1089" t="s">
        <v>53</v>
      </c>
      <c r="O32" s="1089" t="s">
        <v>53</v>
      </c>
      <c r="P32" s="1089" t="s">
        <v>53</v>
      </c>
      <c r="Q32" s="1089"/>
      <c r="R32" s="1089" t="s">
        <v>53</v>
      </c>
      <c r="S32" s="1089" t="s">
        <v>53</v>
      </c>
      <c r="T32" s="1089" t="s">
        <v>116</v>
      </c>
      <c r="U32" s="1089"/>
      <c r="V32" s="1089"/>
      <c r="W32" s="1089" t="s">
        <v>837</v>
      </c>
      <c r="X32" s="1089" t="s">
        <v>837</v>
      </c>
      <c r="Y32" s="1089" t="s">
        <v>837</v>
      </c>
      <c r="Z32" s="1089" t="s">
        <v>53</v>
      </c>
      <c r="AA32" s="1089" t="s">
        <v>116</v>
      </c>
      <c r="AB32" s="1089" t="s">
        <v>53</v>
      </c>
      <c r="AC32" s="1089" t="s">
        <v>53</v>
      </c>
      <c r="AD32" s="1089" t="s">
        <v>53</v>
      </c>
      <c r="AE32" s="1089" t="s">
        <v>53</v>
      </c>
      <c r="AF32" s="1089" t="s">
        <v>53</v>
      </c>
      <c r="AG32" s="1089" t="s">
        <v>53</v>
      </c>
      <c r="AH32" s="1089" t="s">
        <v>116</v>
      </c>
      <c r="AI32" s="1089" t="s">
        <v>53</v>
      </c>
      <c r="AJ32" s="773"/>
      <c r="AK32" s="1207">
        <f t="shared" si="3"/>
        <v>19</v>
      </c>
      <c r="AL32" s="1208">
        <f t="shared" si="4"/>
        <v>5</v>
      </c>
      <c r="AM32" s="1207">
        <f t="shared" si="5"/>
        <v>0</v>
      </c>
      <c r="AN32" s="1207">
        <f t="shared" si="6"/>
        <v>0</v>
      </c>
      <c r="AO32" s="1207">
        <f t="shared" si="7"/>
        <v>0</v>
      </c>
      <c r="AP32" s="1208">
        <f t="shared" si="9"/>
        <v>0</v>
      </c>
      <c r="AQ32" s="1209">
        <f t="shared" si="8"/>
        <v>24</v>
      </c>
      <c r="AR32" s="152"/>
      <c r="AS32" s="341" t="str">
        <f>'Mã số nhân viên'!I23</f>
        <v>03474</v>
      </c>
      <c r="AT32" s="1031">
        <f t="shared" si="2"/>
        <v>0</v>
      </c>
    </row>
    <row r="33" spans="1:46" ht="24.75" customHeight="1">
      <c r="A33" s="779">
        <v>21</v>
      </c>
      <c r="B33" s="779">
        <v>21</v>
      </c>
      <c r="C33" s="779" t="str">
        <f>VLOOKUP(D33,'Mã số nhân viên'!B23:I154,8,0)</f>
        <v>03474</v>
      </c>
      <c r="D33" s="115" t="s">
        <v>218</v>
      </c>
      <c r="E33" s="779"/>
      <c r="F33" s="1089" t="s">
        <v>116</v>
      </c>
      <c r="G33" s="1089" t="s">
        <v>53</v>
      </c>
      <c r="H33" s="1089" t="s">
        <v>53</v>
      </c>
      <c r="I33" s="1089" t="s">
        <v>53</v>
      </c>
      <c r="J33" s="1089" t="s">
        <v>53</v>
      </c>
      <c r="K33" s="1089" t="s">
        <v>53</v>
      </c>
      <c r="L33" s="1089" t="s">
        <v>53</v>
      </c>
      <c r="M33" s="1089" t="s">
        <v>116</v>
      </c>
      <c r="N33" s="1089" t="s">
        <v>53</v>
      </c>
      <c r="O33" s="1089" t="s">
        <v>53</v>
      </c>
      <c r="P33" s="1089" t="s">
        <v>53</v>
      </c>
      <c r="Q33" s="1089"/>
      <c r="R33" s="1089"/>
      <c r="S33" s="1089" t="s">
        <v>53</v>
      </c>
      <c r="T33" s="1089" t="s">
        <v>116</v>
      </c>
      <c r="U33" s="1089" t="s">
        <v>53</v>
      </c>
      <c r="V33" s="1089" t="s">
        <v>53</v>
      </c>
      <c r="W33" s="1089" t="s">
        <v>53</v>
      </c>
      <c r="X33" s="1089" t="s">
        <v>53</v>
      </c>
      <c r="Y33" s="1089" t="s">
        <v>53</v>
      </c>
      <c r="Z33" s="1089" t="s">
        <v>53</v>
      </c>
      <c r="AA33" s="1089" t="s">
        <v>116</v>
      </c>
      <c r="AB33" s="1089" t="s">
        <v>53</v>
      </c>
      <c r="AC33" s="1089" t="s">
        <v>53</v>
      </c>
      <c r="AD33" s="1089" t="s">
        <v>53</v>
      </c>
      <c r="AE33" s="1089" t="s">
        <v>53</v>
      </c>
      <c r="AF33" s="1089" t="s">
        <v>53</v>
      </c>
      <c r="AG33" s="1089" t="s">
        <v>837</v>
      </c>
      <c r="AH33" s="1089" t="s">
        <v>116</v>
      </c>
      <c r="AI33" s="1089" t="s">
        <v>53</v>
      </c>
      <c r="AJ33" s="773"/>
      <c r="AK33" s="1207">
        <f t="shared" si="3"/>
        <v>22</v>
      </c>
      <c r="AL33" s="1208">
        <f t="shared" si="4"/>
        <v>5</v>
      </c>
      <c r="AM33" s="1207">
        <f t="shared" si="5"/>
        <v>0</v>
      </c>
      <c r="AN33" s="1207">
        <f t="shared" si="6"/>
        <v>0</v>
      </c>
      <c r="AO33" s="1207">
        <f t="shared" si="7"/>
        <v>0</v>
      </c>
      <c r="AP33" s="1208">
        <f t="shared" si="9"/>
        <v>0</v>
      </c>
      <c r="AQ33" s="1209">
        <f t="shared" si="8"/>
        <v>27</v>
      </c>
      <c r="AR33" s="152"/>
      <c r="AS33" s="341" t="str">
        <f>'Mã số nhân viên'!I24</f>
        <v>04057</v>
      </c>
      <c r="AT33" s="1031">
        <f t="shared" si="2"/>
        <v>0</v>
      </c>
    </row>
    <row r="34" spans="1:46" ht="24.75" customHeight="1">
      <c r="A34" s="779">
        <v>22</v>
      </c>
      <c r="B34" s="779">
        <v>22</v>
      </c>
      <c r="C34" s="779" t="str">
        <f>VLOOKUP(D34,'Mã số nhân viên'!B24:I155,8,0)</f>
        <v>04057</v>
      </c>
      <c r="D34" s="650" t="s">
        <v>555</v>
      </c>
      <c r="E34" s="779"/>
      <c r="F34" s="1089" t="s">
        <v>116</v>
      </c>
      <c r="G34" s="1089" t="s">
        <v>53</v>
      </c>
      <c r="H34" s="1089" t="s">
        <v>53</v>
      </c>
      <c r="I34" s="1089" t="s">
        <v>53</v>
      </c>
      <c r="J34" s="1089" t="s">
        <v>53</v>
      </c>
      <c r="K34" s="1089" t="s">
        <v>53</v>
      </c>
      <c r="L34" s="1089" t="s">
        <v>53</v>
      </c>
      <c r="M34" s="1089" t="s">
        <v>116</v>
      </c>
      <c r="N34" s="1089" t="s">
        <v>53</v>
      </c>
      <c r="O34" s="1089" t="s">
        <v>53</v>
      </c>
      <c r="P34" s="1089" t="s">
        <v>53</v>
      </c>
      <c r="Q34" s="1089"/>
      <c r="R34" s="1089"/>
      <c r="S34" s="1089" t="s">
        <v>53</v>
      </c>
      <c r="T34" s="1089" t="s">
        <v>116</v>
      </c>
      <c r="U34" s="1089" t="s">
        <v>53</v>
      </c>
      <c r="V34" s="1089" t="s">
        <v>53</v>
      </c>
      <c r="W34" s="1089" t="s">
        <v>53</v>
      </c>
      <c r="X34" s="1089" t="s">
        <v>53</v>
      </c>
      <c r="Y34" s="1089" t="s">
        <v>53</v>
      </c>
      <c r="Z34" s="1089" t="s">
        <v>53</v>
      </c>
      <c r="AA34" s="1089" t="s">
        <v>116</v>
      </c>
      <c r="AB34" s="1089" t="s">
        <v>53</v>
      </c>
      <c r="AC34" s="1089" t="s">
        <v>53</v>
      </c>
      <c r="AD34" s="1089" t="s">
        <v>53</v>
      </c>
      <c r="AE34" s="1089" t="s">
        <v>53</v>
      </c>
      <c r="AF34" s="1089" t="s">
        <v>53</v>
      </c>
      <c r="AG34" s="1089" t="s">
        <v>53</v>
      </c>
      <c r="AH34" s="1089" t="s">
        <v>116</v>
      </c>
      <c r="AI34" s="1089" t="s">
        <v>53</v>
      </c>
      <c r="AJ34" s="773"/>
      <c r="AK34" s="1207">
        <f t="shared" si="3"/>
        <v>23</v>
      </c>
      <c r="AL34" s="1208">
        <f t="shared" si="4"/>
        <v>5</v>
      </c>
      <c r="AM34" s="1207">
        <f t="shared" si="5"/>
        <v>0</v>
      </c>
      <c r="AN34" s="1207">
        <f t="shared" si="6"/>
        <v>0</v>
      </c>
      <c r="AO34" s="1207">
        <f t="shared" si="7"/>
        <v>0</v>
      </c>
      <c r="AP34" s="1208">
        <f t="shared" si="9"/>
        <v>0</v>
      </c>
      <c r="AQ34" s="1209">
        <f t="shared" si="8"/>
        <v>28</v>
      </c>
      <c r="AR34" s="152"/>
      <c r="AS34" s="341" t="str">
        <f>'Mã số nhân viên'!I25</f>
        <v>03476</v>
      </c>
      <c r="AT34" s="1031">
        <f t="shared" si="2"/>
        <v>0</v>
      </c>
    </row>
    <row r="35" spans="1:46" ht="24.75" customHeight="1">
      <c r="A35" s="779">
        <v>23</v>
      </c>
      <c r="B35" s="779">
        <v>23</v>
      </c>
      <c r="C35" s="779" t="str">
        <f>VLOOKUP(D35,'Mã số nhân viên'!B25:I156,8,0)</f>
        <v>03476</v>
      </c>
      <c r="D35" s="650" t="s">
        <v>244</v>
      </c>
      <c r="E35" s="779"/>
      <c r="F35" s="1089" t="s">
        <v>116</v>
      </c>
      <c r="G35" s="1089" t="s">
        <v>53</v>
      </c>
      <c r="H35" s="1089" t="s">
        <v>53</v>
      </c>
      <c r="I35" s="1089" t="s">
        <v>53</v>
      </c>
      <c r="J35" s="1089" t="s">
        <v>53</v>
      </c>
      <c r="K35" s="1089" t="s">
        <v>53</v>
      </c>
      <c r="L35" s="1089" t="s">
        <v>53</v>
      </c>
      <c r="M35" s="1089" t="s">
        <v>116</v>
      </c>
      <c r="N35" s="1089" t="s">
        <v>53</v>
      </c>
      <c r="O35" s="1089" t="s">
        <v>53</v>
      </c>
      <c r="P35" s="1089" t="s">
        <v>53</v>
      </c>
      <c r="Q35" s="1089"/>
      <c r="R35" s="1089"/>
      <c r="S35" s="1089" t="s">
        <v>53</v>
      </c>
      <c r="T35" s="1089" t="s">
        <v>116</v>
      </c>
      <c r="U35" s="1089" t="s">
        <v>53</v>
      </c>
      <c r="V35" s="1089" t="s">
        <v>53</v>
      </c>
      <c r="W35" s="1089" t="s">
        <v>53</v>
      </c>
      <c r="X35" s="1089" t="s">
        <v>53</v>
      </c>
      <c r="Y35" s="1089" t="s">
        <v>53</v>
      </c>
      <c r="Z35" s="1089" t="s">
        <v>53</v>
      </c>
      <c r="AA35" s="1089" t="s">
        <v>116</v>
      </c>
      <c r="AB35" s="1089" t="s">
        <v>53</v>
      </c>
      <c r="AC35" s="1089" t="s">
        <v>53</v>
      </c>
      <c r="AD35" s="1089" t="s">
        <v>53</v>
      </c>
      <c r="AE35" s="1089" t="s">
        <v>53</v>
      </c>
      <c r="AF35" s="1089" t="s">
        <v>53</v>
      </c>
      <c r="AG35" s="1089" t="s">
        <v>837</v>
      </c>
      <c r="AH35" s="1089" t="s">
        <v>116</v>
      </c>
      <c r="AI35" s="1089"/>
      <c r="AJ35" s="773"/>
      <c r="AK35" s="1207">
        <f t="shared" si="3"/>
        <v>21</v>
      </c>
      <c r="AL35" s="1208">
        <f t="shared" si="4"/>
        <v>5</v>
      </c>
      <c r="AM35" s="1207">
        <f t="shared" si="5"/>
        <v>0</v>
      </c>
      <c r="AN35" s="1207">
        <f t="shared" si="6"/>
        <v>0</v>
      </c>
      <c r="AO35" s="1207">
        <f t="shared" si="7"/>
        <v>0</v>
      </c>
      <c r="AP35" s="1208">
        <f t="shared" si="9"/>
        <v>0</v>
      </c>
      <c r="AQ35" s="1209">
        <f t="shared" si="8"/>
        <v>26</v>
      </c>
      <c r="AR35" s="152"/>
      <c r="AS35" s="341" t="str">
        <f>'Mã số nhân viên'!I26</f>
        <v>03477</v>
      </c>
      <c r="AT35" s="1031">
        <f t="shared" si="2"/>
        <v>0</v>
      </c>
    </row>
    <row r="36" spans="1:46" ht="24.75" customHeight="1">
      <c r="A36" s="779">
        <v>24</v>
      </c>
      <c r="B36" s="779">
        <v>24</v>
      </c>
      <c r="C36" s="779" t="str">
        <f>VLOOKUP(D36,'Mã số nhân viên'!B26:I157,8,0)</f>
        <v>03477</v>
      </c>
      <c r="D36" s="416" t="s">
        <v>245</v>
      </c>
      <c r="E36" s="779"/>
      <c r="F36" s="1089" t="s">
        <v>116</v>
      </c>
      <c r="G36" s="1089" t="s">
        <v>53</v>
      </c>
      <c r="H36" s="1089" t="s">
        <v>53</v>
      </c>
      <c r="I36" s="1089" t="s">
        <v>53</v>
      </c>
      <c r="J36" s="1089" t="s">
        <v>53</v>
      </c>
      <c r="K36" s="1089" t="s">
        <v>53</v>
      </c>
      <c r="L36" s="1089" t="s">
        <v>53</v>
      </c>
      <c r="M36" s="1089" t="s">
        <v>116</v>
      </c>
      <c r="N36" s="1089" t="s">
        <v>53</v>
      </c>
      <c r="O36" s="1089" t="s">
        <v>53</v>
      </c>
      <c r="P36" s="1089" t="s">
        <v>53</v>
      </c>
      <c r="Q36" s="1089"/>
      <c r="R36" s="1089"/>
      <c r="S36" s="1089" t="s">
        <v>53</v>
      </c>
      <c r="T36" s="1089" t="s">
        <v>116</v>
      </c>
      <c r="U36" s="1089" t="s">
        <v>53</v>
      </c>
      <c r="V36" s="1089" t="s">
        <v>53</v>
      </c>
      <c r="W36" s="1089" t="s">
        <v>53</v>
      </c>
      <c r="X36" s="1089" t="s">
        <v>53</v>
      </c>
      <c r="Y36" s="1089" t="s">
        <v>53</v>
      </c>
      <c r="Z36" s="1089" t="s">
        <v>53</v>
      </c>
      <c r="AA36" s="1089" t="s">
        <v>116</v>
      </c>
      <c r="AB36" s="1089" t="s">
        <v>53</v>
      </c>
      <c r="AC36" s="1089" t="s">
        <v>53</v>
      </c>
      <c r="AD36" s="1089" t="s">
        <v>53</v>
      </c>
      <c r="AE36" s="1089" t="s">
        <v>53</v>
      </c>
      <c r="AF36" s="1089" t="s">
        <v>53</v>
      </c>
      <c r="AG36" s="1089" t="s">
        <v>53</v>
      </c>
      <c r="AH36" s="1089" t="s">
        <v>116</v>
      </c>
      <c r="AI36" s="1089" t="s">
        <v>53</v>
      </c>
      <c r="AJ36" s="773"/>
      <c r="AK36" s="1207">
        <f t="shared" si="3"/>
        <v>23</v>
      </c>
      <c r="AL36" s="1208">
        <f t="shared" si="4"/>
        <v>5</v>
      </c>
      <c r="AM36" s="1207">
        <f t="shared" si="5"/>
        <v>0</v>
      </c>
      <c r="AN36" s="1207">
        <f t="shared" si="6"/>
        <v>0</v>
      </c>
      <c r="AO36" s="1207">
        <f t="shared" si="7"/>
        <v>0</v>
      </c>
      <c r="AP36" s="1208">
        <f t="shared" si="9"/>
        <v>0</v>
      </c>
      <c r="AQ36" s="1209">
        <f t="shared" si="8"/>
        <v>28</v>
      </c>
      <c r="AR36" s="152"/>
      <c r="AS36" s="341" t="str">
        <f>'Mã số nhân viên'!I27</f>
        <v>03478</v>
      </c>
      <c r="AT36" s="1031">
        <f t="shared" si="2"/>
        <v>0</v>
      </c>
    </row>
    <row r="37" spans="1:46" ht="24.75" customHeight="1">
      <c r="A37" s="779">
        <v>25</v>
      </c>
      <c r="B37" s="779">
        <v>25</v>
      </c>
      <c r="C37" s="779" t="str">
        <f>VLOOKUP(D37,'Mã số nhân viên'!B27:I158,8,0)</f>
        <v>03478</v>
      </c>
      <c r="D37" s="749" t="s">
        <v>325</v>
      </c>
      <c r="E37" s="779"/>
      <c r="F37" s="1089" t="s">
        <v>116</v>
      </c>
      <c r="G37" s="1089" t="s">
        <v>53</v>
      </c>
      <c r="H37" s="1089" t="s">
        <v>53</v>
      </c>
      <c r="I37" s="1089" t="s">
        <v>53</v>
      </c>
      <c r="J37" s="1089" t="s">
        <v>53</v>
      </c>
      <c r="K37" s="1089" t="s">
        <v>53</v>
      </c>
      <c r="L37" s="1089" t="s">
        <v>53</v>
      </c>
      <c r="M37" s="1089" t="s">
        <v>116</v>
      </c>
      <c r="N37" s="1089" t="s">
        <v>53</v>
      </c>
      <c r="O37" s="1089" t="s">
        <v>53</v>
      </c>
      <c r="P37" s="1089" t="s">
        <v>53</v>
      </c>
      <c r="Q37" s="1089"/>
      <c r="R37" s="1089"/>
      <c r="S37" s="1089" t="s">
        <v>53</v>
      </c>
      <c r="T37" s="1089" t="s">
        <v>116</v>
      </c>
      <c r="U37" s="1089" t="s">
        <v>53</v>
      </c>
      <c r="V37" s="1089" t="s">
        <v>53</v>
      </c>
      <c r="W37" s="1089" t="s">
        <v>53</v>
      </c>
      <c r="X37" s="1089" t="s">
        <v>53</v>
      </c>
      <c r="Y37" s="1089" t="s">
        <v>53</v>
      </c>
      <c r="Z37" s="1089" t="s">
        <v>53</v>
      </c>
      <c r="AA37" s="1089" t="s">
        <v>116</v>
      </c>
      <c r="AB37" s="1089" t="s">
        <v>53</v>
      </c>
      <c r="AC37" s="1089" t="s">
        <v>53</v>
      </c>
      <c r="AD37" s="1089" t="s">
        <v>837</v>
      </c>
      <c r="AE37" s="1089" t="s">
        <v>53</v>
      </c>
      <c r="AF37" s="1089" t="s">
        <v>837</v>
      </c>
      <c r="AG37" s="1089"/>
      <c r="AH37" s="1089" t="s">
        <v>116</v>
      </c>
      <c r="AI37" s="1089" t="s">
        <v>53</v>
      </c>
      <c r="AJ37" s="773"/>
      <c r="AK37" s="1207">
        <f t="shared" si="3"/>
        <v>20</v>
      </c>
      <c r="AL37" s="1208">
        <f t="shared" si="4"/>
        <v>5</v>
      </c>
      <c r="AM37" s="1207">
        <f t="shared" si="5"/>
        <v>0</v>
      </c>
      <c r="AN37" s="1207">
        <f t="shared" si="6"/>
        <v>0</v>
      </c>
      <c r="AO37" s="1207">
        <f t="shared" si="7"/>
        <v>0</v>
      </c>
      <c r="AP37" s="1208">
        <f t="shared" si="9"/>
        <v>0</v>
      </c>
      <c r="AQ37" s="1209">
        <f t="shared" si="8"/>
        <v>25</v>
      </c>
      <c r="AR37" s="152"/>
      <c r="AS37" s="341" t="str">
        <f>'Mã số nhân viên'!I28</f>
        <v>03479</v>
      </c>
      <c r="AT37" s="1031">
        <f t="shared" si="2"/>
        <v>0</v>
      </c>
    </row>
    <row r="38" spans="1:46" ht="24.75" customHeight="1">
      <c r="A38" s="779">
        <v>26</v>
      </c>
      <c r="B38" s="779">
        <v>26</v>
      </c>
      <c r="C38" s="779" t="str">
        <f>VLOOKUP(D38,'Mã số nhân viên'!B28:I159,8,0)</f>
        <v>03479</v>
      </c>
      <c r="D38" s="416" t="s">
        <v>193</v>
      </c>
      <c r="E38" s="779"/>
      <c r="F38" s="1089" t="s">
        <v>116</v>
      </c>
      <c r="G38" s="1089" t="s">
        <v>53</v>
      </c>
      <c r="H38" s="1089" t="s">
        <v>53</v>
      </c>
      <c r="I38" s="1089" t="s">
        <v>837</v>
      </c>
      <c r="J38" s="1089" t="s">
        <v>837</v>
      </c>
      <c r="K38" s="1089" t="s">
        <v>837</v>
      </c>
      <c r="L38" s="1089" t="s">
        <v>53</v>
      </c>
      <c r="M38" s="1089" t="s">
        <v>116</v>
      </c>
      <c r="N38" s="1089" t="s">
        <v>53</v>
      </c>
      <c r="O38" s="1089" t="s">
        <v>53</v>
      </c>
      <c r="P38" s="1089" t="s">
        <v>53</v>
      </c>
      <c r="Q38" s="1089"/>
      <c r="R38" s="1089"/>
      <c r="S38" s="1089" t="s">
        <v>53</v>
      </c>
      <c r="T38" s="1089" t="s">
        <v>116</v>
      </c>
      <c r="U38" s="1089" t="s">
        <v>53</v>
      </c>
      <c r="V38" s="1089" t="s">
        <v>53</v>
      </c>
      <c r="W38" s="1089" t="s">
        <v>53</v>
      </c>
      <c r="X38" s="1089" t="s">
        <v>53</v>
      </c>
      <c r="Y38" s="1089" t="s">
        <v>53</v>
      </c>
      <c r="Z38" s="1089" t="s">
        <v>53</v>
      </c>
      <c r="AA38" s="1089" t="s">
        <v>116</v>
      </c>
      <c r="AB38" s="1089" t="s">
        <v>53</v>
      </c>
      <c r="AC38" s="1089" t="s">
        <v>53</v>
      </c>
      <c r="AD38" s="1089" t="s">
        <v>53</v>
      </c>
      <c r="AE38" s="1089" t="s">
        <v>53</v>
      </c>
      <c r="AF38" s="1089" t="s">
        <v>53</v>
      </c>
      <c r="AG38" s="1089" t="s">
        <v>53</v>
      </c>
      <c r="AH38" s="1089" t="s">
        <v>116</v>
      </c>
      <c r="AI38" s="1089" t="s">
        <v>53</v>
      </c>
      <c r="AJ38" s="773"/>
      <c r="AK38" s="1207">
        <f t="shared" si="3"/>
        <v>20</v>
      </c>
      <c r="AL38" s="1208">
        <f t="shared" si="4"/>
        <v>5</v>
      </c>
      <c r="AM38" s="1207">
        <f t="shared" si="5"/>
        <v>0</v>
      </c>
      <c r="AN38" s="1207">
        <f t="shared" si="6"/>
        <v>0</v>
      </c>
      <c r="AO38" s="1207">
        <f t="shared" si="7"/>
        <v>0</v>
      </c>
      <c r="AP38" s="1208">
        <f t="shared" si="9"/>
        <v>0</v>
      </c>
      <c r="AQ38" s="1209">
        <f t="shared" si="8"/>
        <v>25</v>
      </c>
      <c r="AR38" s="152"/>
      <c r="AS38" s="341" t="str">
        <f>'Mã số nhân viên'!I29</f>
        <v>03480</v>
      </c>
      <c r="AT38" s="1031">
        <f t="shared" si="2"/>
        <v>0</v>
      </c>
    </row>
    <row r="39" spans="1:46" ht="24.75" customHeight="1">
      <c r="A39" s="779">
        <v>27</v>
      </c>
      <c r="B39" s="779">
        <v>27</v>
      </c>
      <c r="C39" s="779" t="str">
        <f>VLOOKUP(D39,'Mã số nhân viên'!B29:I160,8,0)</f>
        <v>03480</v>
      </c>
      <c r="D39" s="416" t="s">
        <v>191</v>
      </c>
      <c r="E39" s="779"/>
      <c r="F39" s="1089" t="s">
        <v>116</v>
      </c>
      <c r="G39" s="1089" t="s">
        <v>53</v>
      </c>
      <c r="H39" s="1089" t="s">
        <v>53</v>
      </c>
      <c r="I39" s="1089" t="s">
        <v>837</v>
      </c>
      <c r="J39" s="1089" t="s">
        <v>837</v>
      </c>
      <c r="K39" s="1089" t="s">
        <v>837</v>
      </c>
      <c r="L39" s="1089" t="s">
        <v>53</v>
      </c>
      <c r="M39" s="1089" t="s">
        <v>116</v>
      </c>
      <c r="N39" s="1089" t="s">
        <v>53</v>
      </c>
      <c r="O39" s="1089" t="s">
        <v>53</v>
      </c>
      <c r="P39" s="1089" t="s">
        <v>53</v>
      </c>
      <c r="Q39" s="1089"/>
      <c r="R39" s="1089"/>
      <c r="S39" s="1089" t="s">
        <v>53</v>
      </c>
      <c r="T39" s="1089" t="s">
        <v>116</v>
      </c>
      <c r="U39" s="1089" t="s">
        <v>53</v>
      </c>
      <c r="V39" s="1089" t="s">
        <v>53</v>
      </c>
      <c r="W39" s="1089" t="s">
        <v>53</v>
      </c>
      <c r="X39" s="1089" t="s">
        <v>53</v>
      </c>
      <c r="Y39" s="1089" t="s">
        <v>53</v>
      </c>
      <c r="Z39" s="1089" t="s">
        <v>53</v>
      </c>
      <c r="AA39" s="1089" t="s">
        <v>116</v>
      </c>
      <c r="AB39" s="1089" t="s">
        <v>53</v>
      </c>
      <c r="AC39" s="1089" t="s">
        <v>53</v>
      </c>
      <c r="AD39" s="1089" t="s">
        <v>53</v>
      </c>
      <c r="AE39" s="1089" t="s">
        <v>53</v>
      </c>
      <c r="AF39" s="1089" t="s">
        <v>53</v>
      </c>
      <c r="AG39" s="1089" t="s">
        <v>53</v>
      </c>
      <c r="AH39" s="1089" t="s">
        <v>116</v>
      </c>
      <c r="AI39" s="1089" t="s">
        <v>53</v>
      </c>
      <c r="AJ39" s="773"/>
      <c r="AK39" s="1207">
        <f t="shared" si="3"/>
        <v>20</v>
      </c>
      <c r="AL39" s="1208">
        <f t="shared" si="4"/>
        <v>5</v>
      </c>
      <c r="AM39" s="1207">
        <f t="shared" si="5"/>
        <v>0</v>
      </c>
      <c r="AN39" s="1207">
        <f t="shared" si="6"/>
        <v>0</v>
      </c>
      <c r="AO39" s="1207">
        <f t="shared" si="7"/>
        <v>0</v>
      </c>
      <c r="AP39" s="1208">
        <f t="shared" si="9"/>
        <v>0</v>
      </c>
      <c r="AQ39" s="1209">
        <f t="shared" si="8"/>
        <v>25</v>
      </c>
      <c r="AR39" s="152"/>
      <c r="AS39" s="341" t="str">
        <f>'Mã số nhân viên'!I30</f>
        <v>03481</v>
      </c>
      <c r="AT39" s="1031">
        <f t="shared" si="2"/>
        <v>0</v>
      </c>
    </row>
    <row r="40" spans="1:46" ht="24.75" customHeight="1">
      <c r="A40" s="779">
        <v>28</v>
      </c>
      <c r="B40" s="779">
        <v>28</v>
      </c>
      <c r="C40" s="779" t="str">
        <f>VLOOKUP(D40,'Mã số nhân viên'!B30:I161,8,0)</f>
        <v>03481</v>
      </c>
      <c r="D40" s="115" t="s">
        <v>171</v>
      </c>
      <c r="E40" s="779"/>
      <c r="F40" s="1089" t="s">
        <v>116</v>
      </c>
      <c r="G40" s="1089" t="s">
        <v>53</v>
      </c>
      <c r="H40" s="1089" t="s">
        <v>53</v>
      </c>
      <c r="I40" s="1089" t="s">
        <v>53</v>
      </c>
      <c r="J40" s="1089" t="s">
        <v>53</v>
      </c>
      <c r="K40" s="1089" t="s">
        <v>53</v>
      </c>
      <c r="L40" s="1089" t="s">
        <v>53</v>
      </c>
      <c r="M40" s="1089" t="s">
        <v>116</v>
      </c>
      <c r="N40" s="1089" t="s">
        <v>53</v>
      </c>
      <c r="O40" s="1089" t="s">
        <v>53</v>
      </c>
      <c r="P40" s="1089"/>
      <c r="Q40" s="1089"/>
      <c r="R40" s="1089"/>
      <c r="S40" s="1089" t="s">
        <v>53</v>
      </c>
      <c r="T40" s="1089" t="s">
        <v>116</v>
      </c>
      <c r="U40" s="1089" t="s">
        <v>53</v>
      </c>
      <c r="V40" s="1089" t="s">
        <v>53</v>
      </c>
      <c r="W40" s="1089" t="s">
        <v>53</v>
      </c>
      <c r="X40" s="1089" t="s">
        <v>53</v>
      </c>
      <c r="Y40" s="1089" t="s">
        <v>53</v>
      </c>
      <c r="Z40" s="1089" t="s">
        <v>53</v>
      </c>
      <c r="AA40" s="1089" t="s">
        <v>116</v>
      </c>
      <c r="AB40" s="1089" t="s">
        <v>53</v>
      </c>
      <c r="AC40" s="1089" t="s">
        <v>53</v>
      </c>
      <c r="AD40" s="1089" t="s">
        <v>53</v>
      </c>
      <c r="AE40" s="1089" t="s">
        <v>53</v>
      </c>
      <c r="AF40" s="1089" t="s">
        <v>53</v>
      </c>
      <c r="AG40" s="1089" t="s">
        <v>53</v>
      </c>
      <c r="AH40" s="1089" t="s">
        <v>116</v>
      </c>
      <c r="AI40" s="1089" t="s">
        <v>53</v>
      </c>
      <c r="AJ40" s="773"/>
      <c r="AK40" s="1207">
        <f t="shared" si="3"/>
        <v>22</v>
      </c>
      <c r="AL40" s="1208">
        <f t="shared" si="4"/>
        <v>5</v>
      </c>
      <c r="AM40" s="1207">
        <f t="shared" si="5"/>
        <v>0</v>
      </c>
      <c r="AN40" s="1207">
        <f t="shared" si="6"/>
        <v>0</v>
      </c>
      <c r="AO40" s="1207">
        <f t="shared" si="7"/>
        <v>0</v>
      </c>
      <c r="AP40" s="1208">
        <f t="shared" si="9"/>
        <v>0</v>
      </c>
      <c r="AQ40" s="1209">
        <f t="shared" si="8"/>
        <v>27</v>
      </c>
      <c r="AR40" s="152"/>
      <c r="AS40" s="341" t="str">
        <f>'Mã số nhân viên'!I31</f>
        <v>03482</v>
      </c>
      <c r="AT40" s="1031">
        <f t="shared" si="2"/>
        <v>0</v>
      </c>
    </row>
    <row r="41" spans="1:46" ht="24.75" customHeight="1">
      <c r="A41" s="779">
        <v>29</v>
      </c>
      <c r="B41" s="779">
        <v>29</v>
      </c>
      <c r="C41" s="779" t="str">
        <f>VLOOKUP(D41,'Mã số nhân viên'!B31:I162,8,0)</f>
        <v>03482</v>
      </c>
      <c r="D41" s="416" t="s">
        <v>170</v>
      </c>
      <c r="E41" s="779"/>
      <c r="F41" s="1089" t="s">
        <v>116</v>
      </c>
      <c r="G41" s="1089" t="s">
        <v>53</v>
      </c>
      <c r="H41" s="1089" t="s">
        <v>53</v>
      </c>
      <c r="I41" s="1089" t="s">
        <v>53</v>
      </c>
      <c r="J41" s="1089" t="s">
        <v>53</v>
      </c>
      <c r="K41" s="1089" t="s">
        <v>53</v>
      </c>
      <c r="L41" s="1089" t="s">
        <v>53</v>
      </c>
      <c r="M41" s="1089" t="s">
        <v>116</v>
      </c>
      <c r="N41" s="1089" t="s">
        <v>53</v>
      </c>
      <c r="O41" s="1089" t="s">
        <v>53</v>
      </c>
      <c r="P41" s="1089"/>
      <c r="Q41" s="1089"/>
      <c r="R41" s="1089"/>
      <c r="S41" s="1089" t="s">
        <v>53</v>
      </c>
      <c r="T41" s="1089" t="s">
        <v>116</v>
      </c>
      <c r="U41" s="1089" t="s">
        <v>53</v>
      </c>
      <c r="V41" s="1089" t="s">
        <v>53</v>
      </c>
      <c r="W41" s="1089" t="s">
        <v>53</v>
      </c>
      <c r="X41" s="1089" t="s">
        <v>53</v>
      </c>
      <c r="Y41" s="1089" t="s">
        <v>53</v>
      </c>
      <c r="Z41" s="1089" t="s">
        <v>53</v>
      </c>
      <c r="AA41" s="1089" t="s">
        <v>116</v>
      </c>
      <c r="AB41" s="1089" t="s">
        <v>53</v>
      </c>
      <c r="AC41" s="1089" t="s">
        <v>53</v>
      </c>
      <c r="AD41" s="1089" t="s">
        <v>53</v>
      </c>
      <c r="AE41" s="1089" t="s">
        <v>53</v>
      </c>
      <c r="AF41" s="1089" t="s">
        <v>53</v>
      </c>
      <c r="AG41" s="1089" t="s">
        <v>53</v>
      </c>
      <c r="AH41" s="1089" t="s">
        <v>116</v>
      </c>
      <c r="AI41" s="1089" t="s">
        <v>53</v>
      </c>
      <c r="AJ41" s="773"/>
      <c r="AK41" s="1207">
        <f t="shared" si="3"/>
        <v>22</v>
      </c>
      <c r="AL41" s="1208">
        <f t="shared" si="4"/>
        <v>5</v>
      </c>
      <c r="AM41" s="1207">
        <f t="shared" si="5"/>
        <v>0</v>
      </c>
      <c r="AN41" s="1207">
        <f t="shared" si="6"/>
        <v>0</v>
      </c>
      <c r="AO41" s="1207">
        <f t="shared" si="7"/>
        <v>0</v>
      </c>
      <c r="AP41" s="1208">
        <f t="shared" si="9"/>
        <v>0</v>
      </c>
      <c r="AQ41" s="1209">
        <f t="shared" si="8"/>
        <v>27</v>
      </c>
      <c r="AR41" s="152"/>
      <c r="AS41" s="341" t="str">
        <f>'Mã số nhân viên'!I32</f>
        <v>03483</v>
      </c>
      <c r="AT41" s="1031">
        <f t="shared" si="2"/>
        <v>0</v>
      </c>
    </row>
    <row r="42" spans="1:46" ht="24.75" customHeight="1">
      <c r="A42" s="779">
        <v>30</v>
      </c>
      <c r="B42" s="779">
        <v>30</v>
      </c>
      <c r="C42" s="779" t="str">
        <f>VLOOKUP(D42,'Mã số nhân viên'!B32:I163,8,0)</f>
        <v>03483</v>
      </c>
      <c r="D42" s="248" t="s">
        <v>231</v>
      </c>
      <c r="E42" s="779"/>
      <c r="F42" s="1089" t="s">
        <v>116</v>
      </c>
      <c r="G42" s="1089" t="s">
        <v>53</v>
      </c>
      <c r="H42" s="1089" t="s">
        <v>53</v>
      </c>
      <c r="I42" s="1089" t="s">
        <v>53</v>
      </c>
      <c r="J42" s="1089" t="s">
        <v>53</v>
      </c>
      <c r="K42" s="1089" t="s">
        <v>53</v>
      </c>
      <c r="L42" s="1089" t="s">
        <v>53</v>
      </c>
      <c r="M42" s="1089" t="s">
        <v>116</v>
      </c>
      <c r="N42" s="1089" t="s">
        <v>53</v>
      </c>
      <c r="O42" s="1089" t="s">
        <v>53</v>
      </c>
      <c r="P42" s="1089" t="s">
        <v>53</v>
      </c>
      <c r="Q42" s="1089"/>
      <c r="R42" s="1089"/>
      <c r="S42" s="1089" t="s">
        <v>53</v>
      </c>
      <c r="T42" s="1089" t="s">
        <v>116</v>
      </c>
      <c r="U42" s="1089" t="s">
        <v>53</v>
      </c>
      <c r="V42" s="1089" t="s">
        <v>53</v>
      </c>
      <c r="W42" s="1089" t="s">
        <v>53</v>
      </c>
      <c r="X42" s="1089" t="s">
        <v>53</v>
      </c>
      <c r="Y42" s="1089" t="s">
        <v>53</v>
      </c>
      <c r="Z42" s="1089" t="s">
        <v>53</v>
      </c>
      <c r="AA42" s="1089" t="s">
        <v>116</v>
      </c>
      <c r="AB42" s="1089" t="s">
        <v>53</v>
      </c>
      <c r="AC42" s="1089" t="s">
        <v>53</v>
      </c>
      <c r="AD42" s="1089" t="s">
        <v>53</v>
      </c>
      <c r="AE42" s="1089" t="s">
        <v>53</v>
      </c>
      <c r="AF42" s="1089" t="s">
        <v>53</v>
      </c>
      <c r="AG42" s="1089" t="s">
        <v>837</v>
      </c>
      <c r="AH42" s="1089" t="s">
        <v>116</v>
      </c>
      <c r="AI42" s="1089" t="s">
        <v>53</v>
      </c>
      <c r="AJ42" s="773"/>
      <c r="AK42" s="1207">
        <f t="shared" si="3"/>
        <v>22</v>
      </c>
      <c r="AL42" s="1208">
        <f t="shared" si="4"/>
        <v>5</v>
      </c>
      <c r="AM42" s="1207">
        <f t="shared" si="5"/>
        <v>0</v>
      </c>
      <c r="AN42" s="1207">
        <f t="shared" si="6"/>
        <v>0</v>
      </c>
      <c r="AO42" s="1207">
        <f t="shared" si="7"/>
        <v>0</v>
      </c>
      <c r="AP42" s="1208">
        <f t="shared" si="9"/>
        <v>0</v>
      </c>
      <c r="AQ42" s="1209">
        <f t="shared" si="8"/>
        <v>27</v>
      </c>
      <c r="AR42" s="152"/>
      <c r="AS42" s="341" t="str">
        <f>'Mã số nhân viên'!I33</f>
        <v>03484</v>
      </c>
      <c r="AT42" s="1031">
        <f t="shared" si="2"/>
        <v>0</v>
      </c>
    </row>
    <row r="43" spans="1:46" ht="24.75" customHeight="1">
      <c r="A43" s="779">
        <v>31</v>
      </c>
      <c r="B43" s="779">
        <v>31</v>
      </c>
      <c r="C43" s="779" t="str">
        <f>VLOOKUP(D43,'Mã số nhân viên'!B33:I164,8,0)</f>
        <v>03484</v>
      </c>
      <c r="D43" s="650" t="s">
        <v>222</v>
      </c>
      <c r="E43" s="779"/>
      <c r="F43" s="1089" t="s">
        <v>116</v>
      </c>
      <c r="G43" s="1089" t="s">
        <v>53</v>
      </c>
      <c r="H43" s="1089" t="s">
        <v>53</v>
      </c>
      <c r="I43" s="1089" t="s">
        <v>53</v>
      </c>
      <c r="J43" s="1089" t="s">
        <v>53</v>
      </c>
      <c r="K43" s="1089" t="s">
        <v>53</v>
      </c>
      <c r="L43" s="1089" t="s">
        <v>53</v>
      </c>
      <c r="M43" s="1089" t="s">
        <v>116</v>
      </c>
      <c r="N43" s="1089" t="s">
        <v>53</v>
      </c>
      <c r="O43" s="1089" t="s">
        <v>53</v>
      </c>
      <c r="P43" s="1089" t="s">
        <v>53</v>
      </c>
      <c r="Q43" s="1089"/>
      <c r="R43" s="1089"/>
      <c r="S43" s="1089" t="s">
        <v>53</v>
      </c>
      <c r="T43" s="1089" t="s">
        <v>116</v>
      </c>
      <c r="U43" s="1089" t="s">
        <v>53</v>
      </c>
      <c r="V43" s="1089" t="s">
        <v>53</v>
      </c>
      <c r="W43" s="1089" t="s">
        <v>53</v>
      </c>
      <c r="X43" s="1089" t="s">
        <v>53</v>
      </c>
      <c r="Y43" s="1089" t="s">
        <v>53</v>
      </c>
      <c r="Z43" s="1089" t="s">
        <v>53</v>
      </c>
      <c r="AA43" s="1089" t="s">
        <v>116</v>
      </c>
      <c r="AB43" s="1089" t="s">
        <v>53</v>
      </c>
      <c r="AC43" s="1089" t="s">
        <v>53</v>
      </c>
      <c r="AD43" s="1089" t="s">
        <v>837</v>
      </c>
      <c r="AE43" s="1089" t="s">
        <v>837</v>
      </c>
      <c r="AF43" s="1089" t="s">
        <v>837</v>
      </c>
      <c r="AG43" s="1089" t="s">
        <v>837</v>
      </c>
      <c r="AH43" s="1089" t="s">
        <v>837</v>
      </c>
      <c r="AI43" s="1089" t="s">
        <v>837</v>
      </c>
      <c r="AJ43" s="773"/>
      <c r="AK43" s="1207">
        <f t="shared" si="3"/>
        <v>18</v>
      </c>
      <c r="AL43" s="1208">
        <f t="shared" si="4"/>
        <v>4</v>
      </c>
      <c r="AM43" s="1207">
        <f t="shared" si="5"/>
        <v>0</v>
      </c>
      <c r="AN43" s="1207">
        <f t="shared" si="6"/>
        <v>0</v>
      </c>
      <c r="AO43" s="1207">
        <f t="shared" si="7"/>
        <v>0</v>
      </c>
      <c r="AP43" s="1208">
        <f t="shared" si="9"/>
        <v>0</v>
      </c>
      <c r="AQ43" s="1209">
        <f t="shared" si="8"/>
        <v>22</v>
      </c>
      <c r="AR43" s="152"/>
      <c r="AS43" s="341" t="str">
        <f>'Mã số nhân viên'!I34</f>
        <v>03485</v>
      </c>
      <c r="AT43" s="1031">
        <f t="shared" si="2"/>
        <v>0</v>
      </c>
    </row>
    <row r="44" spans="1:46" ht="24.75" customHeight="1">
      <c r="A44" s="779">
        <v>32</v>
      </c>
      <c r="B44" s="779">
        <v>32</v>
      </c>
      <c r="C44" s="779" t="str">
        <f>VLOOKUP(D44,'Mã số nhân viên'!B34:I165,8,0)</f>
        <v>03485</v>
      </c>
      <c r="D44" s="650" t="s">
        <v>223</v>
      </c>
      <c r="E44" s="779"/>
      <c r="F44" s="1089" t="s">
        <v>116</v>
      </c>
      <c r="G44" s="1089" t="s">
        <v>53</v>
      </c>
      <c r="H44" s="1089" t="s">
        <v>53</v>
      </c>
      <c r="I44" s="1089" t="s">
        <v>53</v>
      </c>
      <c r="J44" s="1089" t="s">
        <v>53</v>
      </c>
      <c r="K44" s="1089" t="s">
        <v>53</v>
      </c>
      <c r="L44" s="1089" t="s">
        <v>53</v>
      </c>
      <c r="M44" s="1089" t="s">
        <v>116</v>
      </c>
      <c r="N44" s="1089" t="s">
        <v>53</v>
      </c>
      <c r="O44" s="1089" t="s">
        <v>53</v>
      </c>
      <c r="P44" s="1089" t="s">
        <v>53</v>
      </c>
      <c r="Q44" s="1089"/>
      <c r="R44" s="1089"/>
      <c r="S44" s="1089" t="s">
        <v>53</v>
      </c>
      <c r="T44" s="1089" t="s">
        <v>116</v>
      </c>
      <c r="U44" s="1089" t="s">
        <v>53</v>
      </c>
      <c r="V44" s="1089"/>
      <c r="W44" s="1089" t="s">
        <v>53</v>
      </c>
      <c r="X44" s="1089" t="s">
        <v>53</v>
      </c>
      <c r="Y44" s="1089" t="s">
        <v>53</v>
      </c>
      <c r="Z44" s="1089" t="s">
        <v>53</v>
      </c>
      <c r="AA44" s="1089" t="s">
        <v>116</v>
      </c>
      <c r="AB44" s="1089" t="s">
        <v>53</v>
      </c>
      <c r="AC44" s="1089" t="s">
        <v>53</v>
      </c>
      <c r="AD44" s="1089" t="s">
        <v>837</v>
      </c>
      <c r="AE44" s="1089" t="s">
        <v>837</v>
      </c>
      <c r="AF44" s="1089" t="s">
        <v>53</v>
      </c>
      <c r="AG44" s="1089" t="s">
        <v>53</v>
      </c>
      <c r="AH44" s="1089" t="s">
        <v>116</v>
      </c>
      <c r="AI44" s="1089" t="s">
        <v>53</v>
      </c>
      <c r="AJ44" s="773"/>
      <c r="AK44" s="1207">
        <f t="shared" si="3"/>
        <v>20</v>
      </c>
      <c r="AL44" s="1208">
        <f t="shared" si="4"/>
        <v>5</v>
      </c>
      <c r="AM44" s="1207">
        <f t="shared" si="5"/>
        <v>0</v>
      </c>
      <c r="AN44" s="1207">
        <f t="shared" si="6"/>
        <v>0</v>
      </c>
      <c r="AO44" s="1207">
        <f t="shared" si="7"/>
        <v>0</v>
      </c>
      <c r="AP44" s="1208">
        <f t="shared" si="9"/>
        <v>0</v>
      </c>
      <c r="AQ44" s="1209">
        <f t="shared" si="8"/>
        <v>25</v>
      </c>
      <c r="AR44" s="152"/>
      <c r="AS44" s="341" t="str">
        <f>'Mã số nhân viên'!I35</f>
        <v>02712</v>
      </c>
      <c r="AT44" s="1031">
        <f t="shared" ref="AT44:AT75" si="10">C45-AS44</f>
        <v>0</v>
      </c>
    </row>
    <row r="45" spans="1:46" ht="24.75" customHeight="1">
      <c r="A45" s="779">
        <v>33</v>
      </c>
      <c r="B45" s="779">
        <v>33</v>
      </c>
      <c r="C45" s="779" t="str">
        <f>VLOOKUP(D45,'Mã số nhân viên'!B35:I166,8,0)</f>
        <v>02712</v>
      </c>
      <c r="D45" s="417" t="s">
        <v>201</v>
      </c>
      <c r="E45" s="779"/>
      <c r="F45" s="1089" t="s">
        <v>116</v>
      </c>
      <c r="G45" s="1089" t="s">
        <v>53</v>
      </c>
      <c r="H45" s="1089" t="s">
        <v>53</v>
      </c>
      <c r="I45" s="1089" t="s">
        <v>53</v>
      </c>
      <c r="J45" s="1089" t="s">
        <v>53</v>
      </c>
      <c r="K45" s="1089" t="s">
        <v>53</v>
      </c>
      <c r="L45" s="1089" t="s">
        <v>53</v>
      </c>
      <c r="M45" s="1089" t="s">
        <v>116</v>
      </c>
      <c r="N45" s="1089" t="s">
        <v>53</v>
      </c>
      <c r="O45" s="1089" t="s">
        <v>53</v>
      </c>
      <c r="P45" s="1089" t="s">
        <v>53</v>
      </c>
      <c r="Q45" s="1089"/>
      <c r="R45" s="1089"/>
      <c r="S45" s="1089" t="s">
        <v>53</v>
      </c>
      <c r="T45" s="1089" t="s">
        <v>116</v>
      </c>
      <c r="U45" s="1089" t="s">
        <v>53</v>
      </c>
      <c r="V45" s="1089" t="s">
        <v>53</v>
      </c>
      <c r="W45" s="1089" t="s">
        <v>53</v>
      </c>
      <c r="X45" s="1089" t="s">
        <v>53</v>
      </c>
      <c r="Y45" s="1089" t="s">
        <v>53</v>
      </c>
      <c r="Z45" s="1089" t="s">
        <v>53</v>
      </c>
      <c r="AA45" s="1089" t="s">
        <v>116</v>
      </c>
      <c r="AB45" s="1089" t="s">
        <v>53</v>
      </c>
      <c r="AC45" s="1089" t="s">
        <v>53</v>
      </c>
      <c r="AD45" s="1089" t="s">
        <v>53</v>
      </c>
      <c r="AE45" s="1089" t="s">
        <v>53</v>
      </c>
      <c r="AF45" s="1089" t="s">
        <v>53</v>
      </c>
      <c r="AG45" s="1089" t="s">
        <v>53</v>
      </c>
      <c r="AH45" s="1089" t="s">
        <v>116</v>
      </c>
      <c r="AI45" s="1089" t="s">
        <v>53</v>
      </c>
      <c r="AJ45" s="773"/>
      <c r="AK45" s="1207">
        <f t="shared" si="3"/>
        <v>23</v>
      </c>
      <c r="AL45" s="1208">
        <f t="shared" si="4"/>
        <v>5</v>
      </c>
      <c r="AM45" s="1207">
        <f t="shared" si="5"/>
        <v>0</v>
      </c>
      <c r="AN45" s="1207">
        <f t="shared" si="6"/>
        <v>0</v>
      </c>
      <c r="AO45" s="1207">
        <f t="shared" si="7"/>
        <v>0</v>
      </c>
      <c r="AP45" s="1208">
        <f t="shared" si="9"/>
        <v>0</v>
      </c>
      <c r="AQ45" s="1209">
        <f t="shared" si="8"/>
        <v>28</v>
      </c>
      <c r="AR45" s="152"/>
      <c r="AS45" s="341" t="str">
        <f>'Mã số nhân viên'!I36</f>
        <v>02722</v>
      </c>
      <c r="AT45" s="1031">
        <f t="shared" si="10"/>
        <v>0</v>
      </c>
    </row>
    <row r="46" spans="1:46" ht="24.75" customHeight="1">
      <c r="A46" s="779">
        <v>34</v>
      </c>
      <c r="B46" s="779">
        <v>34</v>
      </c>
      <c r="C46" s="779" t="str">
        <f>VLOOKUP(D46,'Mã số nhân viên'!B36:I167,8,0)</f>
        <v>02722</v>
      </c>
      <c r="D46" s="416" t="s">
        <v>246</v>
      </c>
      <c r="E46" s="779"/>
      <c r="F46" s="1089" t="s">
        <v>116</v>
      </c>
      <c r="G46" s="1089" t="s">
        <v>53</v>
      </c>
      <c r="H46" s="1089" t="s">
        <v>53</v>
      </c>
      <c r="I46" s="1089" t="s">
        <v>53</v>
      </c>
      <c r="J46" s="1089" t="s">
        <v>53</v>
      </c>
      <c r="K46" s="1089" t="s">
        <v>53</v>
      </c>
      <c r="L46" s="1089" t="s">
        <v>53</v>
      </c>
      <c r="M46" s="1089" t="s">
        <v>116</v>
      </c>
      <c r="N46" s="1089" t="s">
        <v>53</v>
      </c>
      <c r="O46" s="1089" t="s">
        <v>53</v>
      </c>
      <c r="P46" s="1089" t="s">
        <v>53</v>
      </c>
      <c r="Q46" s="1089"/>
      <c r="R46" s="1089"/>
      <c r="S46" s="1089" t="s">
        <v>53</v>
      </c>
      <c r="T46" s="1089" t="s">
        <v>116</v>
      </c>
      <c r="U46" s="1089" t="s">
        <v>53</v>
      </c>
      <c r="V46" s="1089" t="s">
        <v>53</v>
      </c>
      <c r="W46" s="1089" t="s">
        <v>53</v>
      </c>
      <c r="X46" s="1089" t="s">
        <v>53</v>
      </c>
      <c r="Y46" s="1089" t="s">
        <v>53</v>
      </c>
      <c r="Z46" s="1089" t="s">
        <v>53</v>
      </c>
      <c r="AA46" s="1089" t="s">
        <v>116</v>
      </c>
      <c r="AB46" s="1089"/>
      <c r="AC46" s="1089" t="s">
        <v>53</v>
      </c>
      <c r="AD46" s="1089" t="s">
        <v>53</v>
      </c>
      <c r="AE46" s="1089" t="s">
        <v>53</v>
      </c>
      <c r="AF46" s="1089" t="s">
        <v>53</v>
      </c>
      <c r="AG46" s="1089" t="s">
        <v>53</v>
      </c>
      <c r="AH46" s="1089" t="s">
        <v>116</v>
      </c>
      <c r="AI46" s="1089" t="s">
        <v>53</v>
      </c>
      <c r="AJ46" s="773"/>
      <c r="AK46" s="1207">
        <f t="shared" si="3"/>
        <v>22</v>
      </c>
      <c r="AL46" s="1208">
        <f t="shared" si="4"/>
        <v>5</v>
      </c>
      <c r="AM46" s="1207">
        <f t="shared" si="5"/>
        <v>0</v>
      </c>
      <c r="AN46" s="1207">
        <f t="shared" si="6"/>
        <v>0</v>
      </c>
      <c r="AO46" s="1207">
        <f t="shared" si="7"/>
        <v>0</v>
      </c>
      <c r="AP46" s="1208">
        <f t="shared" si="9"/>
        <v>0</v>
      </c>
      <c r="AQ46" s="1209">
        <f t="shared" si="8"/>
        <v>27</v>
      </c>
      <c r="AR46" s="152"/>
      <c r="AS46" s="341" t="str">
        <f>'Mã số nhân viên'!I37</f>
        <v>02714</v>
      </c>
      <c r="AT46" s="1031">
        <f t="shared" si="10"/>
        <v>0</v>
      </c>
    </row>
    <row r="47" spans="1:46" ht="24.75" customHeight="1">
      <c r="A47" s="779">
        <v>35</v>
      </c>
      <c r="B47" s="779">
        <v>35</v>
      </c>
      <c r="C47" s="779" t="str">
        <f>VLOOKUP(D47,'Mã số nhân viên'!B37:I168,8,0)</f>
        <v>02714</v>
      </c>
      <c r="D47" s="416" t="s">
        <v>202</v>
      </c>
      <c r="E47" s="779"/>
      <c r="F47" s="1089" t="s">
        <v>116</v>
      </c>
      <c r="G47" s="1089" t="s">
        <v>53</v>
      </c>
      <c r="H47" s="1089" t="s">
        <v>53</v>
      </c>
      <c r="I47" s="1089" t="s">
        <v>53</v>
      </c>
      <c r="J47" s="1089" t="s">
        <v>53</v>
      </c>
      <c r="K47" s="1089" t="s">
        <v>53</v>
      </c>
      <c r="L47" s="1089" t="s">
        <v>53</v>
      </c>
      <c r="M47" s="1089" t="s">
        <v>116</v>
      </c>
      <c r="N47" s="1089" t="s">
        <v>53</v>
      </c>
      <c r="O47" s="1089" t="s">
        <v>53</v>
      </c>
      <c r="P47" s="1089" t="s">
        <v>53</v>
      </c>
      <c r="Q47" s="1089"/>
      <c r="R47" s="1089"/>
      <c r="S47" s="1089" t="s">
        <v>53</v>
      </c>
      <c r="T47" s="1089" t="s">
        <v>116</v>
      </c>
      <c r="U47" s="1089" t="s">
        <v>53</v>
      </c>
      <c r="V47" s="1089" t="s">
        <v>837</v>
      </c>
      <c r="W47" s="1089" t="s">
        <v>53</v>
      </c>
      <c r="X47" s="1089" t="s">
        <v>53</v>
      </c>
      <c r="Y47" s="1089" t="s">
        <v>53</v>
      </c>
      <c r="Z47" s="1089" t="s">
        <v>53</v>
      </c>
      <c r="AA47" s="1089" t="s">
        <v>116</v>
      </c>
      <c r="AB47" s="1089" t="s">
        <v>53</v>
      </c>
      <c r="AC47" s="1089" t="s">
        <v>53</v>
      </c>
      <c r="AD47" s="1089" t="s">
        <v>53</v>
      </c>
      <c r="AE47" s="1089" t="s">
        <v>53</v>
      </c>
      <c r="AF47" s="1089" t="s">
        <v>53</v>
      </c>
      <c r="AG47" s="1089"/>
      <c r="AH47" s="1089" t="s">
        <v>116</v>
      </c>
      <c r="AI47" s="1089" t="s">
        <v>53</v>
      </c>
      <c r="AJ47" s="773"/>
      <c r="AK47" s="1207">
        <f t="shared" si="3"/>
        <v>21</v>
      </c>
      <c r="AL47" s="1208">
        <f t="shared" si="4"/>
        <v>5</v>
      </c>
      <c r="AM47" s="1207">
        <f t="shared" si="5"/>
        <v>0</v>
      </c>
      <c r="AN47" s="1207">
        <f t="shared" si="6"/>
        <v>0</v>
      </c>
      <c r="AO47" s="1207">
        <f t="shared" si="7"/>
        <v>0</v>
      </c>
      <c r="AP47" s="1208">
        <f t="shared" si="9"/>
        <v>0</v>
      </c>
      <c r="AQ47" s="1209">
        <f t="shared" si="8"/>
        <v>26</v>
      </c>
      <c r="AR47" s="152"/>
      <c r="AS47" s="341" t="str">
        <f>'Mã số nhân viên'!I38</f>
        <v>02713</v>
      </c>
      <c r="AT47" s="1031">
        <f t="shared" si="10"/>
        <v>0</v>
      </c>
    </row>
    <row r="48" spans="1:46" ht="24.75" customHeight="1">
      <c r="A48" s="779">
        <v>36</v>
      </c>
      <c r="B48" s="779">
        <v>36</v>
      </c>
      <c r="C48" s="779" t="str">
        <f>VLOOKUP(D48,'Mã số nhân viên'!B38:I169,8,0)</f>
        <v>02713</v>
      </c>
      <c r="D48" s="650" t="s">
        <v>203</v>
      </c>
      <c r="E48" s="779"/>
      <c r="F48" s="1089" t="s">
        <v>116</v>
      </c>
      <c r="G48" s="1089" t="s">
        <v>53</v>
      </c>
      <c r="H48" s="1089" t="s">
        <v>53</v>
      </c>
      <c r="I48" s="1089" t="s">
        <v>53</v>
      </c>
      <c r="J48" s="1089" t="s">
        <v>53</v>
      </c>
      <c r="K48" s="1089" t="s">
        <v>53</v>
      </c>
      <c r="L48" s="1089" t="s">
        <v>53</v>
      </c>
      <c r="M48" s="1089" t="s">
        <v>116</v>
      </c>
      <c r="N48" s="1089" t="s">
        <v>53</v>
      </c>
      <c r="O48" s="1089" t="s">
        <v>53</v>
      </c>
      <c r="P48" s="1089" t="s">
        <v>53</v>
      </c>
      <c r="Q48" s="1089"/>
      <c r="R48" s="1089"/>
      <c r="S48" s="1089" t="s">
        <v>53</v>
      </c>
      <c r="T48" s="1089" t="s">
        <v>116</v>
      </c>
      <c r="U48" s="1089" t="s">
        <v>53</v>
      </c>
      <c r="V48" s="1089"/>
      <c r="W48" s="1089" t="s">
        <v>53</v>
      </c>
      <c r="X48" s="1089" t="s">
        <v>53</v>
      </c>
      <c r="Y48" s="1089" t="s">
        <v>53</v>
      </c>
      <c r="Z48" s="1089" t="s">
        <v>53</v>
      </c>
      <c r="AA48" s="1089" t="s">
        <v>116</v>
      </c>
      <c r="AB48" s="1089" t="s">
        <v>53</v>
      </c>
      <c r="AC48" s="1089" t="s">
        <v>53</v>
      </c>
      <c r="AD48" s="1089" t="s">
        <v>53</v>
      </c>
      <c r="AE48" s="1089" t="s">
        <v>53</v>
      </c>
      <c r="AF48" s="1089" t="s">
        <v>53</v>
      </c>
      <c r="AG48" s="1089"/>
      <c r="AH48" s="1089" t="s">
        <v>116</v>
      </c>
      <c r="AI48" s="1089" t="s">
        <v>53</v>
      </c>
      <c r="AJ48" s="773"/>
      <c r="AK48" s="1207">
        <f t="shared" si="3"/>
        <v>21</v>
      </c>
      <c r="AL48" s="1208">
        <f t="shared" si="4"/>
        <v>5</v>
      </c>
      <c r="AM48" s="1207">
        <f t="shared" si="5"/>
        <v>0</v>
      </c>
      <c r="AN48" s="1207">
        <f t="shared" si="6"/>
        <v>0</v>
      </c>
      <c r="AO48" s="1207">
        <f t="shared" si="7"/>
        <v>0</v>
      </c>
      <c r="AP48" s="1208">
        <f t="shared" si="9"/>
        <v>0</v>
      </c>
      <c r="AQ48" s="1209">
        <f t="shared" si="8"/>
        <v>26</v>
      </c>
      <c r="AR48" s="152"/>
      <c r="AS48" s="341" t="str">
        <f>'Mã số nhân viên'!I39</f>
        <v>04058</v>
      </c>
      <c r="AT48" s="1031">
        <f t="shared" si="10"/>
        <v>0</v>
      </c>
    </row>
    <row r="49" spans="1:46" ht="24.75" customHeight="1">
      <c r="A49" s="779">
        <v>37</v>
      </c>
      <c r="B49" s="779">
        <v>37</v>
      </c>
      <c r="C49" s="779" t="str">
        <f>VLOOKUP(D49,'Mã số nhân viên'!B39:I170,8,0)</f>
        <v>04058</v>
      </c>
      <c r="D49" s="416" t="s">
        <v>575</v>
      </c>
      <c r="E49" s="779"/>
      <c r="F49" s="1089" t="s">
        <v>116</v>
      </c>
      <c r="G49" s="1089" t="s">
        <v>53</v>
      </c>
      <c r="H49" s="1089" t="s">
        <v>53</v>
      </c>
      <c r="I49" s="1089" t="s">
        <v>53</v>
      </c>
      <c r="J49" s="1089" t="s">
        <v>53</v>
      </c>
      <c r="K49" s="1089" t="s">
        <v>53</v>
      </c>
      <c r="L49" s="1089" t="s">
        <v>53</v>
      </c>
      <c r="M49" s="1089" t="s">
        <v>116</v>
      </c>
      <c r="N49" s="1089" t="s">
        <v>53</v>
      </c>
      <c r="O49" s="1089" t="s">
        <v>53</v>
      </c>
      <c r="P49" s="1089" t="s">
        <v>53</v>
      </c>
      <c r="Q49" s="1089"/>
      <c r="R49" s="1089"/>
      <c r="S49" s="1089" t="s">
        <v>53</v>
      </c>
      <c r="T49" s="1089" t="s">
        <v>116</v>
      </c>
      <c r="U49" s="1089"/>
      <c r="V49" s="1089" t="s">
        <v>837</v>
      </c>
      <c r="W49" s="1089" t="s">
        <v>53</v>
      </c>
      <c r="X49" s="1089" t="s">
        <v>53</v>
      </c>
      <c r="Y49" s="1089" t="s">
        <v>53</v>
      </c>
      <c r="Z49" s="1089" t="s">
        <v>53</v>
      </c>
      <c r="AA49" s="1089" t="s">
        <v>116</v>
      </c>
      <c r="AB49" s="1089" t="s">
        <v>53</v>
      </c>
      <c r="AC49" s="1089" t="s">
        <v>53</v>
      </c>
      <c r="AD49" s="1089" t="s">
        <v>53</v>
      </c>
      <c r="AE49" s="1089" t="s">
        <v>53</v>
      </c>
      <c r="AF49" s="1089" t="s">
        <v>53</v>
      </c>
      <c r="AG49" s="1089" t="s">
        <v>53</v>
      </c>
      <c r="AH49" s="1089" t="s">
        <v>116</v>
      </c>
      <c r="AI49" s="1089" t="s">
        <v>53</v>
      </c>
      <c r="AJ49" s="773"/>
      <c r="AK49" s="1207">
        <f t="shared" si="3"/>
        <v>21</v>
      </c>
      <c r="AL49" s="1208">
        <f t="shared" si="4"/>
        <v>5</v>
      </c>
      <c r="AM49" s="1207">
        <f t="shared" si="5"/>
        <v>0</v>
      </c>
      <c r="AN49" s="1207">
        <f t="shared" si="6"/>
        <v>0</v>
      </c>
      <c r="AO49" s="1207">
        <f t="shared" si="7"/>
        <v>0</v>
      </c>
      <c r="AP49" s="1208">
        <f t="shared" si="9"/>
        <v>0</v>
      </c>
      <c r="AQ49" s="1209">
        <f t="shared" si="8"/>
        <v>26</v>
      </c>
      <c r="AR49" s="152"/>
      <c r="AS49" s="341" t="str">
        <f>'Mã số nhân viên'!I40</f>
        <v>03487</v>
      </c>
      <c r="AT49" s="1031">
        <f t="shared" si="10"/>
        <v>0</v>
      </c>
    </row>
    <row r="50" spans="1:46" ht="24.75" customHeight="1">
      <c r="A50" s="779">
        <v>38</v>
      </c>
      <c r="B50" s="779">
        <v>38</v>
      </c>
      <c r="C50" s="779" t="str">
        <f>VLOOKUP(D50,'Mã số nhân viên'!B40:I171,8,0)</f>
        <v>03487</v>
      </c>
      <c r="D50" s="248" t="s">
        <v>247</v>
      </c>
      <c r="E50" s="779"/>
      <c r="F50" s="1089" t="s">
        <v>116</v>
      </c>
      <c r="G50" s="1089" t="s">
        <v>53</v>
      </c>
      <c r="H50" s="1089" t="s">
        <v>53</v>
      </c>
      <c r="I50" s="1089" t="s">
        <v>53</v>
      </c>
      <c r="J50" s="1089" t="s">
        <v>53</v>
      </c>
      <c r="K50" s="1089" t="s">
        <v>53</v>
      </c>
      <c r="L50" s="1089" t="s">
        <v>53</v>
      </c>
      <c r="M50" s="1089" t="s">
        <v>116</v>
      </c>
      <c r="N50" s="1089" t="s">
        <v>53</v>
      </c>
      <c r="O50" s="1089" t="s">
        <v>53</v>
      </c>
      <c r="P50" s="1089" t="s">
        <v>53</v>
      </c>
      <c r="Q50" s="1089"/>
      <c r="R50" s="1089"/>
      <c r="S50" s="1089"/>
      <c r="T50" s="1089" t="s">
        <v>116</v>
      </c>
      <c r="U50" s="1089" t="s">
        <v>53</v>
      </c>
      <c r="V50" s="1089" t="s">
        <v>53</v>
      </c>
      <c r="W50" s="1089" t="s">
        <v>53</v>
      </c>
      <c r="X50" s="1089" t="s">
        <v>53</v>
      </c>
      <c r="Y50" s="1089" t="s">
        <v>53</v>
      </c>
      <c r="Z50" s="1089" t="s">
        <v>53</v>
      </c>
      <c r="AA50" s="1089" t="s">
        <v>116</v>
      </c>
      <c r="AB50" s="1089" t="s">
        <v>53</v>
      </c>
      <c r="AC50" s="1089" t="s">
        <v>53</v>
      </c>
      <c r="AD50" s="1089" t="s">
        <v>53</v>
      </c>
      <c r="AE50" s="1089" t="s">
        <v>53</v>
      </c>
      <c r="AF50" s="1089"/>
      <c r="AG50" s="1089" t="s">
        <v>53</v>
      </c>
      <c r="AH50" s="1089" t="s">
        <v>116</v>
      </c>
      <c r="AI50" s="1089" t="s">
        <v>53</v>
      </c>
      <c r="AJ50" s="773"/>
      <c r="AK50" s="1207">
        <f t="shared" si="3"/>
        <v>21</v>
      </c>
      <c r="AL50" s="1208">
        <f t="shared" si="4"/>
        <v>5</v>
      </c>
      <c r="AM50" s="1207">
        <f t="shared" si="5"/>
        <v>0</v>
      </c>
      <c r="AN50" s="1207">
        <f t="shared" si="6"/>
        <v>0</v>
      </c>
      <c r="AO50" s="1207">
        <f t="shared" si="7"/>
        <v>0</v>
      </c>
      <c r="AP50" s="1208">
        <f t="shared" si="9"/>
        <v>0</v>
      </c>
      <c r="AQ50" s="1209">
        <f t="shared" si="8"/>
        <v>26</v>
      </c>
      <c r="AR50" s="152"/>
      <c r="AS50" s="341" t="str">
        <f>'Mã số nhân viên'!I41</f>
        <v>03488</v>
      </c>
      <c r="AT50" s="1031">
        <f t="shared" si="10"/>
        <v>0</v>
      </c>
    </row>
    <row r="51" spans="1:46" ht="24.75" customHeight="1">
      <c r="A51" s="779">
        <v>39</v>
      </c>
      <c r="B51" s="779">
        <v>39</v>
      </c>
      <c r="C51" s="779" t="str">
        <f>VLOOKUP(D51,'Mã số nhân viên'!B41:I172,8,0)</f>
        <v>03488</v>
      </c>
      <c r="D51" s="416" t="s">
        <v>224</v>
      </c>
      <c r="E51" s="779"/>
      <c r="F51" s="1089" t="s">
        <v>116</v>
      </c>
      <c r="G51" s="1089" t="s">
        <v>53</v>
      </c>
      <c r="H51" s="1089" t="s">
        <v>53</v>
      </c>
      <c r="I51" s="1089" t="s">
        <v>53</v>
      </c>
      <c r="J51" s="1089" t="s">
        <v>53</v>
      </c>
      <c r="K51" s="1089" t="s">
        <v>53</v>
      </c>
      <c r="L51" s="1089" t="s">
        <v>53</v>
      </c>
      <c r="M51" s="1089" t="s">
        <v>116</v>
      </c>
      <c r="N51" s="1089" t="s">
        <v>53</v>
      </c>
      <c r="O51" s="1089" t="s">
        <v>837</v>
      </c>
      <c r="P51" s="1089"/>
      <c r="Q51" s="1089"/>
      <c r="R51" s="1089"/>
      <c r="S51" s="1089"/>
      <c r="T51" s="1089" t="s">
        <v>116</v>
      </c>
      <c r="U51" s="1089" t="s">
        <v>53</v>
      </c>
      <c r="V51" s="1089" t="s">
        <v>53</v>
      </c>
      <c r="W51" s="1089" t="s">
        <v>53</v>
      </c>
      <c r="X51" s="1089" t="s">
        <v>53</v>
      </c>
      <c r="Y51" s="1089" t="s">
        <v>53</v>
      </c>
      <c r="Z51" s="1089" t="s">
        <v>53</v>
      </c>
      <c r="AA51" s="1089" t="s">
        <v>116</v>
      </c>
      <c r="AB51" s="1089" t="s">
        <v>53</v>
      </c>
      <c r="AC51" s="1089" t="s">
        <v>53</v>
      </c>
      <c r="AD51" s="1089" t="s">
        <v>53</v>
      </c>
      <c r="AE51" s="1089" t="s">
        <v>53</v>
      </c>
      <c r="AF51" s="1089" t="s">
        <v>53</v>
      </c>
      <c r="AG51" s="1089" t="s">
        <v>53</v>
      </c>
      <c r="AH51" s="1089" t="s">
        <v>116</v>
      </c>
      <c r="AI51" s="1089" t="s">
        <v>53</v>
      </c>
      <c r="AJ51" s="773"/>
      <c r="AK51" s="1207">
        <f t="shared" si="3"/>
        <v>20</v>
      </c>
      <c r="AL51" s="1208">
        <f t="shared" si="4"/>
        <v>5</v>
      </c>
      <c r="AM51" s="1207">
        <f t="shared" si="5"/>
        <v>0</v>
      </c>
      <c r="AN51" s="1207">
        <f t="shared" si="6"/>
        <v>0</v>
      </c>
      <c r="AO51" s="1207">
        <f t="shared" si="7"/>
        <v>0</v>
      </c>
      <c r="AP51" s="1208">
        <f t="shared" si="9"/>
        <v>0</v>
      </c>
      <c r="AQ51" s="1209">
        <f t="shared" si="8"/>
        <v>25</v>
      </c>
      <c r="AR51" s="152"/>
      <c r="AS51" s="341" t="str">
        <f>'Mã số nhân viên'!I42</f>
        <v>03489</v>
      </c>
      <c r="AT51" s="1031">
        <f t="shared" si="10"/>
        <v>0</v>
      </c>
    </row>
    <row r="52" spans="1:46" ht="24.75" customHeight="1">
      <c r="A52" s="779">
        <v>40</v>
      </c>
      <c r="B52" s="779">
        <v>40</v>
      </c>
      <c r="C52" s="779" t="str">
        <f>VLOOKUP(D52,'Mã số nhân viên'!B42:I173,8,0)</f>
        <v>03489</v>
      </c>
      <c r="D52" s="650" t="s">
        <v>232</v>
      </c>
      <c r="E52" s="779"/>
      <c r="F52" s="1089" t="s">
        <v>116</v>
      </c>
      <c r="G52" s="1089" t="s">
        <v>53</v>
      </c>
      <c r="H52" s="1089" t="s">
        <v>53</v>
      </c>
      <c r="I52" s="1089" t="s">
        <v>53</v>
      </c>
      <c r="J52" s="1089" t="s">
        <v>53</v>
      </c>
      <c r="K52" s="1089" t="s">
        <v>53</v>
      </c>
      <c r="L52" s="1089" t="s">
        <v>53</v>
      </c>
      <c r="M52" s="1089" t="s">
        <v>116</v>
      </c>
      <c r="N52" s="1089" t="s">
        <v>53</v>
      </c>
      <c r="O52" s="1089" t="s">
        <v>53</v>
      </c>
      <c r="P52" s="1089" t="s">
        <v>53</v>
      </c>
      <c r="Q52" s="1089"/>
      <c r="R52" s="1089"/>
      <c r="S52" s="1089"/>
      <c r="T52" s="1089" t="s">
        <v>116</v>
      </c>
      <c r="U52" s="1089" t="s">
        <v>53</v>
      </c>
      <c r="V52" s="1089" t="s">
        <v>53</v>
      </c>
      <c r="W52" s="1089" t="s">
        <v>53</v>
      </c>
      <c r="X52" s="1089" t="s">
        <v>53</v>
      </c>
      <c r="Y52" s="1089" t="s">
        <v>53</v>
      </c>
      <c r="Z52" s="1089" t="s">
        <v>53</v>
      </c>
      <c r="AA52" s="1089" t="s">
        <v>116</v>
      </c>
      <c r="AB52" s="1089" t="s">
        <v>53</v>
      </c>
      <c r="AC52" s="1089" t="s">
        <v>53</v>
      </c>
      <c r="AD52" s="1089" t="s">
        <v>53</v>
      </c>
      <c r="AE52" s="1089" t="s">
        <v>53</v>
      </c>
      <c r="AF52" s="1089" t="s">
        <v>53</v>
      </c>
      <c r="AG52" s="1089" t="s">
        <v>53</v>
      </c>
      <c r="AH52" s="1089" t="s">
        <v>116</v>
      </c>
      <c r="AI52" s="1089" t="s">
        <v>53</v>
      </c>
      <c r="AJ52" s="773"/>
      <c r="AK52" s="1207">
        <f t="shared" si="3"/>
        <v>22</v>
      </c>
      <c r="AL52" s="1208">
        <f t="shared" si="4"/>
        <v>5</v>
      </c>
      <c r="AM52" s="1207">
        <f t="shared" si="5"/>
        <v>0</v>
      </c>
      <c r="AN52" s="1207">
        <f t="shared" si="6"/>
        <v>0</v>
      </c>
      <c r="AO52" s="1207">
        <f t="shared" si="7"/>
        <v>0</v>
      </c>
      <c r="AP52" s="1208">
        <f t="shared" si="9"/>
        <v>0</v>
      </c>
      <c r="AQ52" s="1209">
        <f t="shared" si="8"/>
        <v>27</v>
      </c>
      <c r="AR52" s="152"/>
      <c r="AS52" s="341" t="str">
        <f>'Mã số nhân viên'!I43</f>
        <v>04059</v>
      </c>
      <c r="AT52" s="1031">
        <f t="shared" si="10"/>
        <v>0</v>
      </c>
    </row>
    <row r="53" spans="1:46" ht="24.75" customHeight="1">
      <c r="A53" s="779">
        <v>41</v>
      </c>
      <c r="B53" s="779">
        <v>41</v>
      </c>
      <c r="C53" s="779" t="str">
        <f>VLOOKUP(D53,'Mã số nhân viên'!B43:I174,8,0)</f>
        <v>04059</v>
      </c>
      <c r="D53" s="651" t="s">
        <v>475</v>
      </c>
      <c r="E53" s="779"/>
      <c r="F53" s="1089" t="s">
        <v>116</v>
      </c>
      <c r="G53" s="1089" t="s">
        <v>53</v>
      </c>
      <c r="H53" s="1089" t="s">
        <v>53</v>
      </c>
      <c r="I53" s="1089" t="s">
        <v>53</v>
      </c>
      <c r="J53" s="1089" t="s">
        <v>53</v>
      </c>
      <c r="K53" s="1089" t="s">
        <v>53</v>
      </c>
      <c r="L53" s="1089" t="s">
        <v>53</v>
      </c>
      <c r="M53" s="1089" t="s">
        <v>116</v>
      </c>
      <c r="N53" s="1089" t="s">
        <v>53</v>
      </c>
      <c r="O53" s="1089" t="s">
        <v>53</v>
      </c>
      <c r="P53" s="1089" t="s">
        <v>53</v>
      </c>
      <c r="Q53" s="1089"/>
      <c r="R53" s="1089"/>
      <c r="S53" s="1089" t="s">
        <v>837</v>
      </c>
      <c r="T53" s="1089"/>
      <c r="U53" s="1089"/>
      <c r="V53" s="1089" t="s">
        <v>53</v>
      </c>
      <c r="W53" s="1089" t="s">
        <v>53</v>
      </c>
      <c r="X53" s="1089" t="s">
        <v>53</v>
      </c>
      <c r="Y53" s="1089" t="s">
        <v>53</v>
      </c>
      <c r="Z53" s="1089" t="s">
        <v>53</v>
      </c>
      <c r="AA53" s="1089" t="s">
        <v>116</v>
      </c>
      <c r="AB53" s="1089" t="s">
        <v>53</v>
      </c>
      <c r="AC53" s="1089" t="s">
        <v>53</v>
      </c>
      <c r="AD53" s="1089" t="s">
        <v>53</v>
      </c>
      <c r="AE53" s="1089" t="s">
        <v>53</v>
      </c>
      <c r="AF53" s="1089" t="s">
        <v>53</v>
      </c>
      <c r="AG53" s="1089" t="s">
        <v>53</v>
      </c>
      <c r="AH53" s="1089" t="s">
        <v>116</v>
      </c>
      <c r="AI53" s="1089" t="s">
        <v>53</v>
      </c>
      <c r="AJ53" s="773"/>
      <c r="AK53" s="1207">
        <f t="shared" si="3"/>
        <v>21</v>
      </c>
      <c r="AL53" s="1208">
        <f t="shared" si="4"/>
        <v>4</v>
      </c>
      <c r="AM53" s="1207">
        <f t="shared" si="5"/>
        <v>0</v>
      </c>
      <c r="AN53" s="1207">
        <f t="shared" si="6"/>
        <v>0</v>
      </c>
      <c r="AO53" s="1207">
        <f t="shared" si="7"/>
        <v>0</v>
      </c>
      <c r="AP53" s="1208">
        <f t="shared" si="9"/>
        <v>0</v>
      </c>
      <c r="AQ53" s="1209">
        <f t="shared" si="8"/>
        <v>25</v>
      </c>
      <c r="AR53" s="152"/>
      <c r="AS53" s="341" t="str">
        <f>'Mã số nhân viên'!I44</f>
        <v>03491</v>
      </c>
      <c r="AT53" s="1031">
        <f t="shared" si="10"/>
        <v>0</v>
      </c>
    </row>
    <row r="54" spans="1:46" ht="24.75" customHeight="1">
      <c r="A54" s="779">
        <v>42</v>
      </c>
      <c r="B54" s="779">
        <v>42</v>
      </c>
      <c r="C54" s="779" t="str">
        <f>VLOOKUP(D54,'Mã số nhân viên'!B44:I175,8,0)</f>
        <v>03491</v>
      </c>
      <c r="D54" s="115" t="s">
        <v>215</v>
      </c>
      <c r="E54" s="779"/>
      <c r="F54" s="1089" t="s">
        <v>116</v>
      </c>
      <c r="G54" s="1089" t="s">
        <v>53</v>
      </c>
      <c r="H54" s="1089" t="s">
        <v>53</v>
      </c>
      <c r="I54" s="1089" t="s">
        <v>53</v>
      </c>
      <c r="J54" s="1089" t="s">
        <v>53</v>
      </c>
      <c r="K54" s="1089" t="s">
        <v>53</v>
      </c>
      <c r="L54" s="1089" t="s">
        <v>53</v>
      </c>
      <c r="M54" s="1089" t="s">
        <v>116</v>
      </c>
      <c r="N54" s="1089" t="s">
        <v>53</v>
      </c>
      <c r="O54" s="1089" t="s">
        <v>837</v>
      </c>
      <c r="P54" s="1089"/>
      <c r="Q54" s="1089"/>
      <c r="R54" s="1089"/>
      <c r="S54" s="1089"/>
      <c r="T54" s="1089" t="s">
        <v>116</v>
      </c>
      <c r="U54" s="1089" t="s">
        <v>53</v>
      </c>
      <c r="V54" s="1089" t="s">
        <v>53</v>
      </c>
      <c r="W54" s="1089" t="s">
        <v>53</v>
      </c>
      <c r="X54" s="1089" t="s">
        <v>53</v>
      </c>
      <c r="Y54" s="1089" t="s">
        <v>53</v>
      </c>
      <c r="Z54" s="1089" t="s">
        <v>53</v>
      </c>
      <c r="AA54" s="1089" t="s">
        <v>116</v>
      </c>
      <c r="AB54" s="1089" t="s">
        <v>53</v>
      </c>
      <c r="AC54" s="1089" t="s">
        <v>53</v>
      </c>
      <c r="AD54" s="1089" t="s">
        <v>53</v>
      </c>
      <c r="AE54" s="1089" t="s">
        <v>53</v>
      </c>
      <c r="AF54" s="1089" t="s">
        <v>53</v>
      </c>
      <c r="AG54" s="1089" t="s">
        <v>53</v>
      </c>
      <c r="AH54" s="1089" t="s">
        <v>116</v>
      </c>
      <c r="AI54" s="1089" t="s">
        <v>53</v>
      </c>
      <c r="AJ54" s="773"/>
      <c r="AK54" s="1207">
        <f t="shared" si="3"/>
        <v>20</v>
      </c>
      <c r="AL54" s="1208">
        <f t="shared" si="4"/>
        <v>5</v>
      </c>
      <c r="AM54" s="1207">
        <f t="shared" si="5"/>
        <v>0</v>
      </c>
      <c r="AN54" s="1207">
        <f t="shared" si="6"/>
        <v>0</v>
      </c>
      <c r="AO54" s="1207">
        <f t="shared" si="7"/>
        <v>0</v>
      </c>
      <c r="AP54" s="1208">
        <f t="shared" si="9"/>
        <v>0</v>
      </c>
      <c r="AQ54" s="1209">
        <f t="shared" si="8"/>
        <v>25</v>
      </c>
      <c r="AR54" s="152"/>
      <c r="AS54" s="341" t="str">
        <f>'Mã số nhân viên'!I45</f>
        <v>04060</v>
      </c>
      <c r="AT54" s="1031">
        <f t="shared" si="10"/>
        <v>0</v>
      </c>
    </row>
    <row r="55" spans="1:46" ht="24.75" customHeight="1">
      <c r="A55" s="779">
        <v>43</v>
      </c>
      <c r="B55" s="779">
        <v>43</v>
      </c>
      <c r="C55" s="779" t="str">
        <f>VLOOKUP(D55,'Mã số nhân viên'!B45:I176,8,0)</f>
        <v>04060</v>
      </c>
      <c r="D55" s="650" t="s">
        <v>556</v>
      </c>
      <c r="E55" s="779"/>
      <c r="F55" s="1089" t="s">
        <v>116</v>
      </c>
      <c r="G55" s="1089" t="s">
        <v>53</v>
      </c>
      <c r="H55" s="1089" t="s">
        <v>53</v>
      </c>
      <c r="I55" s="1089" t="s">
        <v>53</v>
      </c>
      <c r="J55" s="1089" t="s">
        <v>53</v>
      </c>
      <c r="K55" s="1089" t="s">
        <v>53</v>
      </c>
      <c r="L55" s="1089" t="s">
        <v>53</v>
      </c>
      <c r="M55" s="1089" t="s">
        <v>116</v>
      </c>
      <c r="N55" s="1089" t="s">
        <v>53</v>
      </c>
      <c r="O55" s="1089" t="s">
        <v>53</v>
      </c>
      <c r="P55" s="1089" t="s">
        <v>53</v>
      </c>
      <c r="Q55" s="1089"/>
      <c r="R55" s="1089"/>
      <c r="S55" s="1089" t="s">
        <v>53</v>
      </c>
      <c r="T55" s="1089" t="s">
        <v>116</v>
      </c>
      <c r="U55" s="1089" t="s">
        <v>53</v>
      </c>
      <c r="V55" s="1089" t="s">
        <v>53</v>
      </c>
      <c r="W55" s="1089" t="s">
        <v>53</v>
      </c>
      <c r="X55" s="1089" t="s">
        <v>53</v>
      </c>
      <c r="Y55" s="1089" t="s">
        <v>53</v>
      </c>
      <c r="Z55" s="1089" t="s">
        <v>53</v>
      </c>
      <c r="AA55" s="1089" t="s">
        <v>116</v>
      </c>
      <c r="AB55" s="1089" t="s">
        <v>53</v>
      </c>
      <c r="AC55" s="1089" t="s">
        <v>53</v>
      </c>
      <c r="AD55" s="1089" t="s">
        <v>53</v>
      </c>
      <c r="AE55" s="1089" t="s">
        <v>53</v>
      </c>
      <c r="AF55" s="1089" t="s">
        <v>53</v>
      </c>
      <c r="AG55" s="1089" t="s">
        <v>53</v>
      </c>
      <c r="AH55" s="1089" t="s">
        <v>116</v>
      </c>
      <c r="AI55" s="1089" t="s">
        <v>53</v>
      </c>
      <c r="AJ55" s="773"/>
      <c r="AK55" s="1207">
        <f t="shared" si="3"/>
        <v>23</v>
      </c>
      <c r="AL55" s="1208">
        <f t="shared" si="4"/>
        <v>5</v>
      </c>
      <c r="AM55" s="1207">
        <f t="shared" si="5"/>
        <v>0</v>
      </c>
      <c r="AN55" s="1207">
        <f t="shared" si="6"/>
        <v>0</v>
      </c>
      <c r="AO55" s="1207">
        <f t="shared" si="7"/>
        <v>0</v>
      </c>
      <c r="AP55" s="1208">
        <f t="shared" si="9"/>
        <v>0</v>
      </c>
      <c r="AQ55" s="1209">
        <f t="shared" si="8"/>
        <v>28</v>
      </c>
      <c r="AR55" s="152"/>
      <c r="AS55" s="341" t="str">
        <f>'Mã số nhân viên'!I46</f>
        <v>03492</v>
      </c>
      <c r="AT55" s="1031">
        <f t="shared" si="10"/>
        <v>0</v>
      </c>
    </row>
    <row r="56" spans="1:46" ht="24.75" customHeight="1">
      <c r="A56" s="779">
        <v>44</v>
      </c>
      <c r="B56" s="779">
        <v>44</v>
      </c>
      <c r="C56" s="779" t="str">
        <f>VLOOKUP(D56,'Mã số nhân viên'!B46:I177,8,0)</f>
        <v>03492</v>
      </c>
      <c r="D56" s="650" t="s">
        <v>255</v>
      </c>
      <c r="E56" s="779"/>
      <c r="F56" s="1089" t="s">
        <v>116</v>
      </c>
      <c r="G56" s="1089" t="s">
        <v>53</v>
      </c>
      <c r="H56" s="1089" t="s">
        <v>53</v>
      </c>
      <c r="I56" s="1089" t="s">
        <v>53</v>
      </c>
      <c r="J56" s="1089" t="s">
        <v>53</v>
      </c>
      <c r="K56" s="1089" t="s">
        <v>53</v>
      </c>
      <c r="L56" s="1089" t="s">
        <v>53</v>
      </c>
      <c r="M56" s="1089" t="s">
        <v>116</v>
      </c>
      <c r="N56" s="1089" t="s">
        <v>53</v>
      </c>
      <c r="O56" s="1089" t="s">
        <v>53</v>
      </c>
      <c r="P56" s="1089" t="s">
        <v>53</v>
      </c>
      <c r="Q56" s="1089"/>
      <c r="R56" s="1089" t="s">
        <v>53</v>
      </c>
      <c r="S56" s="1089" t="s">
        <v>53</v>
      </c>
      <c r="T56" s="1089" t="s">
        <v>116</v>
      </c>
      <c r="U56" s="1089" t="s">
        <v>53</v>
      </c>
      <c r="V56" s="1089" t="s">
        <v>53</v>
      </c>
      <c r="W56" s="1089" t="s">
        <v>53</v>
      </c>
      <c r="X56" s="1089" t="s">
        <v>53</v>
      </c>
      <c r="Y56" s="1089" t="s">
        <v>53</v>
      </c>
      <c r="Z56" s="1089" t="s">
        <v>53</v>
      </c>
      <c r="AA56" s="1089" t="s">
        <v>116</v>
      </c>
      <c r="AB56" s="1089" t="s">
        <v>53</v>
      </c>
      <c r="AC56" s="1089" t="s">
        <v>53</v>
      </c>
      <c r="AD56" s="1089" t="s">
        <v>53</v>
      </c>
      <c r="AE56" s="1089" t="s">
        <v>53</v>
      </c>
      <c r="AF56" s="1089" t="s">
        <v>53</v>
      </c>
      <c r="AG56" s="1089" t="s">
        <v>837</v>
      </c>
      <c r="AH56" s="1089" t="s">
        <v>116</v>
      </c>
      <c r="AI56" s="1089" t="s">
        <v>837</v>
      </c>
      <c r="AJ56" s="773"/>
      <c r="AK56" s="1207">
        <f t="shared" si="3"/>
        <v>22</v>
      </c>
      <c r="AL56" s="1208">
        <f t="shared" si="4"/>
        <v>5</v>
      </c>
      <c r="AM56" s="1207">
        <f t="shared" si="5"/>
        <v>0</v>
      </c>
      <c r="AN56" s="1207">
        <f t="shared" si="6"/>
        <v>0</v>
      </c>
      <c r="AO56" s="1207">
        <f t="shared" si="7"/>
        <v>0</v>
      </c>
      <c r="AP56" s="1208">
        <f t="shared" si="9"/>
        <v>0</v>
      </c>
      <c r="AQ56" s="1209">
        <f t="shared" si="8"/>
        <v>27</v>
      </c>
      <c r="AR56" s="152"/>
      <c r="AS56" s="341" t="str">
        <f>'Mã số nhân viên'!I47</f>
        <v>03493</v>
      </c>
      <c r="AT56" s="1031">
        <f t="shared" si="10"/>
        <v>0</v>
      </c>
    </row>
    <row r="57" spans="1:46" ht="24.75" customHeight="1">
      <c r="A57" s="779">
        <v>45</v>
      </c>
      <c r="B57" s="779">
        <v>45</v>
      </c>
      <c r="C57" s="779" t="str">
        <f>VLOOKUP(D57,'Mã số nhân viên'!B47:I178,8,0)</f>
        <v>03493</v>
      </c>
      <c r="D57" s="416" t="s">
        <v>225</v>
      </c>
      <c r="E57" s="779"/>
      <c r="F57" s="1089" t="s">
        <v>116</v>
      </c>
      <c r="G57" s="1089" t="s">
        <v>53</v>
      </c>
      <c r="H57" s="1089" t="s">
        <v>53</v>
      </c>
      <c r="I57" s="1089" t="s">
        <v>53</v>
      </c>
      <c r="J57" s="1089" t="s">
        <v>53</v>
      </c>
      <c r="K57" s="1089" t="s">
        <v>53</v>
      </c>
      <c r="L57" s="1089" t="s">
        <v>53</v>
      </c>
      <c r="M57" s="1089" t="s">
        <v>116</v>
      </c>
      <c r="N57" s="1089" t="s">
        <v>53</v>
      </c>
      <c r="O57" s="1089" t="s">
        <v>53</v>
      </c>
      <c r="P57" s="1089" t="s">
        <v>53</v>
      </c>
      <c r="Q57" s="1089"/>
      <c r="R57" s="1089"/>
      <c r="S57" s="1089" t="s">
        <v>53</v>
      </c>
      <c r="T57" s="1089" t="s">
        <v>116</v>
      </c>
      <c r="U57" s="1089" t="s">
        <v>53</v>
      </c>
      <c r="V57" s="1089" t="s">
        <v>53</v>
      </c>
      <c r="W57" s="1089" t="s">
        <v>53</v>
      </c>
      <c r="X57" s="1089" t="s">
        <v>53</v>
      </c>
      <c r="Y57" s="1089" t="s">
        <v>53</v>
      </c>
      <c r="Z57" s="1089" t="s">
        <v>53</v>
      </c>
      <c r="AA57" s="1089" t="s">
        <v>116</v>
      </c>
      <c r="AB57" s="1089"/>
      <c r="AC57" s="1089" t="s">
        <v>53</v>
      </c>
      <c r="AD57" s="1089" t="s">
        <v>53</v>
      </c>
      <c r="AE57" s="1089" t="s">
        <v>53</v>
      </c>
      <c r="AF57" s="1089" t="s">
        <v>53</v>
      </c>
      <c r="AG57" s="1089" t="s">
        <v>53</v>
      </c>
      <c r="AH57" s="1089" t="s">
        <v>116</v>
      </c>
      <c r="AI57" s="1089" t="s">
        <v>53</v>
      </c>
      <c r="AJ57" s="773"/>
      <c r="AK57" s="1207">
        <f t="shared" si="3"/>
        <v>22</v>
      </c>
      <c r="AL57" s="1208">
        <f t="shared" si="4"/>
        <v>5</v>
      </c>
      <c r="AM57" s="1207">
        <f t="shared" si="5"/>
        <v>0</v>
      </c>
      <c r="AN57" s="1207">
        <f t="shared" si="6"/>
        <v>0</v>
      </c>
      <c r="AO57" s="1207">
        <f t="shared" si="7"/>
        <v>0</v>
      </c>
      <c r="AP57" s="1208">
        <f t="shared" si="9"/>
        <v>0</v>
      </c>
      <c r="AQ57" s="1209">
        <f t="shared" si="8"/>
        <v>27</v>
      </c>
      <c r="AR57" s="152"/>
      <c r="AS57" s="341" t="str">
        <f>'Mã số nhân viên'!I48</f>
        <v>03496</v>
      </c>
      <c r="AT57" s="1031">
        <f t="shared" si="10"/>
        <v>0</v>
      </c>
    </row>
    <row r="58" spans="1:46" ht="24.75" customHeight="1">
      <c r="A58" s="779">
        <v>46</v>
      </c>
      <c r="B58" s="779">
        <v>46</v>
      </c>
      <c r="C58" s="779" t="str">
        <f>VLOOKUP(D58,'Mã số nhân viên'!B48:I179,8,0)</f>
        <v>03496</v>
      </c>
      <c r="D58" s="416" t="s">
        <v>327</v>
      </c>
      <c r="E58" s="779"/>
      <c r="F58" s="1089" t="s">
        <v>116</v>
      </c>
      <c r="G58" s="1089" t="s">
        <v>53</v>
      </c>
      <c r="H58" s="1089" t="s">
        <v>53</v>
      </c>
      <c r="I58" s="1089" t="s">
        <v>53</v>
      </c>
      <c r="J58" s="1089" t="s">
        <v>53</v>
      </c>
      <c r="K58" s="1089" t="s">
        <v>53</v>
      </c>
      <c r="L58" s="1089" t="s">
        <v>53</v>
      </c>
      <c r="M58" s="1089" t="s">
        <v>116</v>
      </c>
      <c r="N58" s="1089" t="s">
        <v>53</v>
      </c>
      <c r="O58" s="1089" t="s">
        <v>53</v>
      </c>
      <c r="P58" s="1089" t="s">
        <v>53</v>
      </c>
      <c r="Q58" s="1089"/>
      <c r="R58" s="1089"/>
      <c r="S58" s="1089" t="s">
        <v>53</v>
      </c>
      <c r="T58" s="1089" t="s">
        <v>116</v>
      </c>
      <c r="U58" s="1089" t="s">
        <v>53</v>
      </c>
      <c r="V58" s="1089" t="s">
        <v>53</v>
      </c>
      <c r="W58" s="1089" t="s">
        <v>53</v>
      </c>
      <c r="X58" s="1089" t="s">
        <v>53</v>
      </c>
      <c r="Y58" s="1089" t="s">
        <v>53</v>
      </c>
      <c r="Z58" s="1089" t="s">
        <v>53</v>
      </c>
      <c r="AA58" s="1089" t="s">
        <v>116</v>
      </c>
      <c r="AB58" s="1089" t="s">
        <v>53</v>
      </c>
      <c r="AC58" s="1089" t="s">
        <v>53</v>
      </c>
      <c r="AD58" s="1089" t="s">
        <v>53</v>
      </c>
      <c r="AE58" s="1089" t="s">
        <v>53</v>
      </c>
      <c r="AF58" s="1089" t="s">
        <v>53</v>
      </c>
      <c r="AG58" s="1089" t="s">
        <v>53</v>
      </c>
      <c r="AH58" s="1089" t="s">
        <v>116</v>
      </c>
      <c r="AI58" s="1089" t="s">
        <v>53</v>
      </c>
      <c r="AJ58" s="773"/>
      <c r="AK58" s="1207">
        <f t="shared" si="3"/>
        <v>23</v>
      </c>
      <c r="AL58" s="1208">
        <f t="shared" si="4"/>
        <v>5</v>
      </c>
      <c r="AM58" s="1207">
        <f t="shared" si="5"/>
        <v>0</v>
      </c>
      <c r="AN58" s="1207">
        <f t="shared" si="6"/>
        <v>0</v>
      </c>
      <c r="AO58" s="1207">
        <f t="shared" si="7"/>
        <v>0</v>
      </c>
      <c r="AP58" s="1208">
        <f t="shared" si="9"/>
        <v>0</v>
      </c>
      <c r="AQ58" s="1209">
        <f t="shared" si="8"/>
        <v>28</v>
      </c>
      <c r="AR58" s="152"/>
      <c r="AS58" s="341" t="str">
        <f>'Mã số nhân viên'!I49</f>
        <v>04061</v>
      </c>
      <c r="AT58" s="1031">
        <f t="shared" si="10"/>
        <v>0</v>
      </c>
    </row>
    <row r="59" spans="1:46" ht="24.75" customHeight="1">
      <c r="A59" s="779">
        <v>47</v>
      </c>
      <c r="B59" s="779">
        <v>47</v>
      </c>
      <c r="C59" s="779" t="str">
        <f>VLOOKUP(D59,'Mã số nhân viên'!B49:I180,8,0)</f>
        <v>04061</v>
      </c>
      <c r="D59" s="650" t="s">
        <v>557</v>
      </c>
      <c r="E59" s="779"/>
      <c r="F59" s="1089" t="s">
        <v>116</v>
      </c>
      <c r="G59" s="1089" t="s">
        <v>53</v>
      </c>
      <c r="H59" s="1089" t="s">
        <v>53</v>
      </c>
      <c r="I59" s="1089" t="s">
        <v>53</v>
      </c>
      <c r="J59" s="1089" t="s">
        <v>53</v>
      </c>
      <c r="K59" s="1089" t="s">
        <v>53</v>
      </c>
      <c r="L59" s="1089" t="s">
        <v>53</v>
      </c>
      <c r="M59" s="1089" t="s">
        <v>116</v>
      </c>
      <c r="N59" s="1089" t="s">
        <v>53</v>
      </c>
      <c r="O59" s="1089" t="s">
        <v>53</v>
      </c>
      <c r="P59" s="1089" t="s">
        <v>53</v>
      </c>
      <c r="Q59" s="1089"/>
      <c r="R59" s="1089"/>
      <c r="S59" s="1089" t="s">
        <v>53</v>
      </c>
      <c r="T59" s="1089" t="s">
        <v>116</v>
      </c>
      <c r="U59" s="1089" t="s">
        <v>53</v>
      </c>
      <c r="V59" s="1089" t="s">
        <v>53</v>
      </c>
      <c r="W59" s="1089" t="s">
        <v>53</v>
      </c>
      <c r="X59" s="1089" t="s">
        <v>53</v>
      </c>
      <c r="Y59" s="1089" t="s">
        <v>53</v>
      </c>
      <c r="Z59" s="1089" t="s">
        <v>53</v>
      </c>
      <c r="AA59" s="1089" t="s">
        <v>116</v>
      </c>
      <c r="AB59" s="1089" t="s">
        <v>53</v>
      </c>
      <c r="AC59" s="1089" t="s">
        <v>53</v>
      </c>
      <c r="AD59" s="1089" t="s">
        <v>53</v>
      </c>
      <c r="AE59" s="1089" t="s">
        <v>53</v>
      </c>
      <c r="AF59" s="1089" t="s">
        <v>53</v>
      </c>
      <c r="AG59" s="1089" t="s">
        <v>53</v>
      </c>
      <c r="AH59" s="1089" t="s">
        <v>116</v>
      </c>
      <c r="AI59" s="1089" t="s">
        <v>53</v>
      </c>
      <c r="AJ59" s="773"/>
      <c r="AK59" s="1207">
        <f t="shared" si="3"/>
        <v>23</v>
      </c>
      <c r="AL59" s="1208">
        <f t="shared" si="4"/>
        <v>5</v>
      </c>
      <c r="AM59" s="1207">
        <f t="shared" si="5"/>
        <v>0</v>
      </c>
      <c r="AN59" s="1207">
        <f t="shared" si="6"/>
        <v>0</v>
      </c>
      <c r="AO59" s="1207">
        <f t="shared" si="7"/>
        <v>0</v>
      </c>
      <c r="AP59" s="1208">
        <f t="shared" si="9"/>
        <v>0</v>
      </c>
      <c r="AQ59" s="1209">
        <f t="shared" si="8"/>
        <v>28</v>
      </c>
      <c r="AR59" s="152"/>
      <c r="AS59" s="341" t="str">
        <f>'Mã số nhân viên'!I50</f>
        <v>03494</v>
      </c>
      <c r="AT59" s="1031">
        <f t="shared" si="10"/>
        <v>0</v>
      </c>
    </row>
    <row r="60" spans="1:46" ht="24.75" customHeight="1">
      <c r="A60" s="779">
        <v>48</v>
      </c>
      <c r="B60" s="779">
        <v>48</v>
      </c>
      <c r="C60" s="779" t="str">
        <f>VLOOKUP(D60,'Mã số nhân viên'!B50:I181,8,0)</f>
        <v>03494</v>
      </c>
      <c r="D60" s="416" t="s">
        <v>145</v>
      </c>
      <c r="E60" s="779"/>
      <c r="F60" s="1089" t="s">
        <v>116</v>
      </c>
      <c r="G60" s="1089" t="s">
        <v>837</v>
      </c>
      <c r="H60" s="1089" t="s">
        <v>53</v>
      </c>
      <c r="I60" s="1089" t="s">
        <v>53</v>
      </c>
      <c r="J60" s="1089" t="s">
        <v>53</v>
      </c>
      <c r="K60" s="1089" t="s">
        <v>53</v>
      </c>
      <c r="L60" s="1089" t="s">
        <v>53</v>
      </c>
      <c r="M60" s="1089" t="s">
        <v>116</v>
      </c>
      <c r="N60" s="1089" t="s">
        <v>53</v>
      </c>
      <c r="O60" s="1089" t="s">
        <v>53</v>
      </c>
      <c r="P60" s="1089" t="s">
        <v>53</v>
      </c>
      <c r="Q60" s="1089"/>
      <c r="R60" s="1089"/>
      <c r="S60" s="1089" t="s">
        <v>53</v>
      </c>
      <c r="T60" s="1089" t="s">
        <v>116</v>
      </c>
      <c r="U60" s="1089" t="s">
        <v>53</v>
      </c>
      <c r="V60" s="1089" t="s">
        <v>53</v>
      </c>
      <c r="W60" s="1089" t="s">
        <v>837</v>
      </c>
      <c r="X60" s="1089" t="s">
        <v>837</v>
      </c>
      <c r="Y60" s="1089" t="s">
        <v>837</v>
      </c>
      <c r="Z60" s="1089" t="s">
        <v>837</v>
      </c>
      <c r="AA60" s="1089" t="s">
        <v>837</v>
      </c>
      <c r="AB60" s="1089" t="s">
        <v>837</v>
      </c>
      <c r="AC60" s="1089" t="s">
        <v>837</v>
      </c>
      <c r="AD60" s="1089" t="s">
        <v>53</v>
      </c>
      <c r="AE60" s="1089" t="s">
        <v>53</v>
      </c>
      <c r="AF60" s="1089" t="s">
        <v>53</v>
      </c>
      <c r="AG60" s="1089" t="s">
        <v>53</v>
      </c>
      <c r="AH60" s="1089" t="s">
        <v>116</v>
      </c>
      <c r="AI60" s="1089" t="s">
        <v>53</v>
      </c>
      <c r="AJ60" s="773"/>
      <c r="AK60" s="1207">
        <f t="shared" si="3"/>
        <v>16</v>
      </c>
      <c r="AL60" s="1208">
        <f t="shared" si="4"/>
        <v>4</v>
      </c>
      <c r="AM60" s="1207">
        <f t="shared" si="5"/>
        <v>0</v>
      </c>
      <c r="AN60" s="1207">
        <f t="shared" si="6"/>
        <v>0</v>
      </c>
      <c r="AO60" s="1207">
        <f t="shared" si="7"/>
        <v>0</v>
      </c>
      <c r="AP60" s="1208">
        <f t="shared" si="9"/>
        <v>0</v>
      </c>
      <c r="AQ60" s="1209">
        <f t="shared" si="8"/>
        <v>20</v>
      </c>
      <c r="AR60" s="152"/>
      <c r="AS60" s="341" t="str">
        <f>'Mã số nhân viên'!I51</f>
        <v>03495</v>
      </c>
      <c r="AT60" s="1031">
        <f t="shared" si="10"/>
        <v>0</v>
      </c>
    </row>
    <row r="61" spans="1:46" ht="24.75" customHeight="1">
      <c r="A61" s="779">
        <v>49</v>
      </c>
      <c r="B61" s="779">
        <v>49</v>
      </c>
      <c r="C61" s="779" t="str">
        <f>VLOOKUP(D61,'Mã số nhân viên'!B51:I182,8,0)</f>
        <v>03495</v>
      </c>
      <c r="D61" s="416" t="s">
        <v>326</v>
      </c>
      <c r="E61" s="779"/>
      <c r="F61" s="1089" t="s">
        <v>116</v>
      </c>
      <c r="G61" s="1089" t="s">
        <v>53</v>
      </c>
      <c r="H61" s="1089" t="s">
        <v>53</v>
      </c>
      <c r="I61" s="1089" t="s">
        <v>53</v>
      </c>
      <c r="J61" s="1089" t="s">
        <v>53</v>
      </c>
      <c r="K61" s="1089" t="s">
        <v>53</v>
      </c>
      <c r="L61" s="1089" t="s">
        <v>53</v>
      </c>
      <c r="M61" s="1089" t="s">
        <v>116</v>
      </c>
      <c r="N61" s="1089" t="s">
        <v>53</v>
      </c>
      <c r="O61" s="1089" t="s">
        <v>53</v>
      </c>
      <c r="P61" s="1089" t="s">
        <v>53</v>
      </c>
      <c r="Q61" s="1089"/>
      <c r="R61" s="1089"/>
      <c r="S61" s="1089" t="s">
        <v>53</v>
      </c>
      <c r="T61" s="1089" t="s">
        <v>116</v>
      </c>
      <c r="U61" s="1089" t="s">
        <v>53</v>
      </c>
      <c r="V61" s="1089" t="s">
        <v>53</v>
      </c>
      <c r="W61" s="1089" t="s">
        <v>53</v>
      </c>
      <c r="X61" s="1089" t="s">
        <v>53</v>
      </c>
      <c r="Y61" s="1089" t="s">
        <v>53</v>
      </c>
      <c r="Z61" s="1089" t="s">
        <v>53</v>
      </c>
      <c r="AA61" s="1089" t="s">
        <v>116</v>
      </c>
      <c r="AB61" s="1089" t="s">
        <v>53</v>
      </c>
      <c r="AC61" s="1089" t="s">
        <v>53</v>
      </c>
      <c r="AD61" s="1089" t="s">
        <v>53</v>
      </c>
      <c r="AE61" s="1089" t="s">
        <v>53</v>
      </c>
      <c r="AF61" s="1089"/>
      <c r="AG61" s="1089" t="s">
        <v>837</v>
      </c>
      <c r="AH61" s="1089" t="s">
        <v>116</v>
      </c>
      <c r="AI61" s="1089" t="s">
        <v>53</v>
      </c>
      <c r="AJ61" s="773"/>
      <c r="AK61" s="1207">
        <f t="shared" si="3"/>
        <v>21</v>
      </c>
      <c r="AL61" s="1208">
        <f t="shared" si="4"/>
        <v>5</v>
      </c>
      <c r="AM61" s="1207">
        <f t="shared" si="5"/>
        <v>0</v>
      </c>
      <c r="AN61" s="1207">
        <f t="shared" si="6"/>
        <v>0</v>
      </c>
      <c r="AO61" s="1207">
        <f t="shared" si="7"/>
        <v>0</v>
      </c>
      <c r="AP61" s="1208">
        <f t="shared" si="9"/>
        <v>0</v>
      </c>
      <c r="AQ61" s="1209">
        <f t="shared" si="8"/>
        <v>26</v>
      </c>
      <c r="AR61" s="152"/>
      <c r="AS61" s="341" t="str">
        <f>'Mã số nhân viên'!I52</f>
        <v>04062</v>
      </c>
      <c r="AT61" s="1031">
        <f t="shared" si="10"/>
        <v>0</v>
      </c>
    </row>
    <row r="62" spans="1:46" ht="24.75" customHeight="1">
      <c r="A62" s="779">
        <v>50</v>
      </c>
      <c r="B62" s="779">
        <v>50</v>
      </c>
      <c r="C62" s="779" t="str">
        <f>VLOOKUP(D62,'Mã số nhân viên'!B52:I183,8,0)</f>
        <v>04062</v>
      </c>
      <c r="D62" s="416" t="s">
        <v>558</v>
      </c>
      <c r="E62" s="779"/>
      <c r="F62" s="1089" t="s">
        <v>116</v>
      </c>
      <c r="G62" s="1089" t="s">
        <v>53</v>
      </c>
      <c r="H62" s="1089" t="s">
        <v>53</v>
      </c>
      <c r="I62" s="1089" t="s">
        <v>53</v>
      </c>
      <c r="J62" s="1089" t="s">
        <v>53</v>
      </c>
      <c r="K62" s="1089" t="s">
        <v>53</v>
      </c>
      <c r="L62" s="1089" t="s">
        <v>53</v>
      </c>
      <c r="M62" s="1089" t="s">
        <v>116</v>
      </c>
      <c r="N62" s="1089" t="s">
        <v>53</v>
      </c>
      <c r="O62" s="1089" t="s">
        <v>53</v>
      </c>
      <c r="P62" s="1089" t="s">
        <v>53</v>
      </c>
      <c r="Q62" s="1089"/>
      <c r="R62" s="1089"/>
      <c r="S62" s="1089" t="s">
        <v>53</v>
      </c>
      <c r="T62" s="1089" t="s">
        <v>116</v>
      </c>
      <c r="U62" s="1089" t="s">
        <v>53</v>
      </c>
      <c r="V62" s="1089" t="s">
        <v>53</v>
      </c>
      <c r="W62" s="1089" t="s">
        <v>53</v>
      </c>
      <c r="X62" s="1089" t="s">
        <v>53</v>
      </c>
      <c r="Y62" s="1089" t="s">
        <v>53</v>
      </c>
      <c r="Z62" s="1089" t="s">
        <v>53</v>
      </c>
      <c r="AA62" s="1089" t="s">
        <v>116</v>
      </c>
      <c r="AB62" s="1089" t="s">
        <v>53</v>
      </c>
      <c r="AC62" s="1089" t="s">
        <v>53</v>
      </c>
      <c r="AD62" s="1089" t="s">
        <v>53</v>
      </c>
      <c r="AE62" s="1089" t="s">
        <v>53</v>
      </c>
      <c r="AF62" s="1089" t="s">
        <v>53</v>
      </c>
      <c r="AG62" s="1089" t="s">
        <v>53</v>
      </c>
      <c r="AH62" s="1089" t="s">
        <v>116</v>
      </c>
      <c r="AI62" s="1089" t="s">
        <v>53</v>
      </c>
      <c r="AJ62" s="773"/>
      <c r="AK62" s="1207">
        <f t="shared" si="3"/>
        <v>23</v>
      </c>
      <c r="AL62" s="1208">
        <f t="shared" si="4"/>
        <v>5</v>
      </c>
      <c r="AM62" s="1207">
        <f t="shared" si="5"/>
        <v>0</v>
      </c>
      <c r="AN62" s="1207">
        <f t="shared" si="6"/>
        <v>0</v>
      </c>
      <c r="AO62" s="1207">
        <f t="shared" si="7"/>
        <v>0</v>
      </c>
      <c r="AP62" s="1208">
        <f t="shared" si="9"/>
        <v>0</v>
      </c>
      <c r="AQ62" s="1209">
        <f t="shared" si="8"/>
        <v>28</v>
      </c>
      <c r="AR62" s="152"/>
      <c r="AS62" s="341" t="str">
        <f>'Mã số nhân viên'!I53</f>
        <v>03497</v>
      </c>
      <c r="AT62" s="1031">
        <f t="shared" si="10"/>
        <v>0</v>
      </c>
    </row>
    <row r="63" spans="1:46" ht="24.75" customHeight="1">
      <c r="A63" s="779">
        <v>51</v>
      </c>
      <c r="B63" s="779">
        <v>51</v>
      </c>
      <c r="C63" s="779" t="str">
        <f>VLOOKUP(D63,'Mã số nhân viên'!B53:I184,8,0)</f>
        <v>03497</v>
      </c>
      <c r="D63" s="416" t="s">
        <v>217</v>
      </c>
      <c r="E63" s="779"/>
      <c r="F63" s="1089" t="s">
        <v>116</v>
      </c>
      <c r="G63" s="1089" t="s">
        <v>53</v>
      </c>
      <c r="H63" s="1089" t="s">
        <v>53</v>
      </c>
      <c r="I63" s="1089" t="s">
        <v>53</v>
      </c>
      <c r="J63" s="1089" t="s">
        <v>53</v>
      </c>
      <c r="K63" s="1089" t="s">
        <v>53</v>
      </c>
      <c r="L63" s="1089" t="s">
        <v>53</v>
      </c>
      <c r="M63" s="1089" t="s">
        <v>116</v>
      </c>
      <c r="N63" s="1089" t="s">
        <v>53</v>
      </c>
      <c r="O63" s="1089" t="s">
        <v>53</v>
      </c>
      <c r="P63" s="1089" t="s">
        <v>53</v>
      </c>
      <c r="Q63" s="1089"/>
      <c r="R63" s="1089"/>
      <c r="S63" s="1089" t="s">
        <v>53</v>
      </c>
      <c r="T63" s="1089" t="s">
        <v>116</v>
      </c>
      <c r="U63" s="1089" t="s">
        <v>53</v>
      </c>
      <c r="V63" s="1089" t="s">
        <v>53</v>
      </c>
      <c r="W63" s="1089" t="s">
        <v>53</v>
      </c>
      <c r="X63" s="1089" t="s">
        <v>53</v>
      </c>
      <c r="Y63" s="1089" t="s">
        <v>53</v>
      </c>
      <c r="Z63" s="1089" t="s">
        <v>53</v>
      </c>
      <c r="AA63" s="1089" t="s">
        <v>116</v>
      </c>
      <c r="AB63" s="1089" t="s">
        <v>53</v>
      </c>
      <c r="AC63" s="1089" t="s">
        <v>53</v>
      </c>
      <c r="AD63" s="1089" t="s">
        <v>53</v>
      </c>
      <c r="AE63" s="1089" t="s">
        <v>837</v>
      </c>
      <c r="AF63" s="1089"/>
      <c r="AG63" s="1089"/>
      <c r="AH63" s="1089" t="s">
        <v>116</v>
      </c>
      <c r="AI63" s="1089" t="s">
        <v>53</v>
      </c>
      <c r="AJ63" s="773"/>
      <c r="AK63" s="1207">
        <f t="shared" si="3"/>
        <v>20</v>
      </c>
      <c r="AL63" s="1208">
        <f t="shared" si="4"/>
        <v>5</v>
      </c>
      <c r="AM63" s="1207">
        <f t="shared" si="5"/>
        <v>0</v>
      </c>
      <c r="AN63" s="1207">
        <f t="shared" si="6"/>
        <v>0</v>
      </c>
      <c r="AO63" s="1207">
        <f t="shared" si="7"/>
        <v>0</v>
      </c>
      <c r="AP63" s="1208">
        <f t="shared" si="9"/>
        <v>0</v>
      </c>
      <c r="AQ63" s="1209">
        <f t="shared" si="8"/>
        <v>25</v>
      </c>
      <c r="AR63" s="152"/>
      <c r="AS63" s="341" t="str">
        <f>'Mã số nhân viên'!I54</f>
        <v>03498</v>
      </c>
      <c r="AT63" s="1031">
        <f t="shared" si="10"/>
        <v>0</v>
      </c>
    </row>
    <row r="64" spans="1:46" ht="24.75" customHeight="1">
      <c r="A64" s="779">
        <v>52</v>
      </c>
      <c r="B64" s="779">
        <v>52</v>
      </c>
      <c r="C64" s="779" t="str">
        <f>VLOOKUP(D64,'Mã số nhân viên'!B54:I185,8,0)</f>
        <v>03498</v>
      </c>
      <c r="D64" s="650" t="s">
        <v>328</v>
      </c>
      <c r="E64" s="779"/>
      <c r="F64" s="1089" t="s">
        <v>116</v>
      </c>
      <c r="G64" s="1089" t="s">
        <v>53</v>
      </c>
      <c r="H64" s="1089" t="s">
        <v>53</v>
      </c>
      <c r="I64" s="1089" t="s">
        <v>53</v>
      </c>
      <c r="J64" s="1089" t="s">
        <v>53</v>
      </c>
      <c r="K64" s="1089" t="s">
        <v>53</v>
      </c>
      <c r="L64" s="1089" t="s">
        <v>53</v>
      </c>
      <c r="M64" s="1089" t="s">
        <v>116</v>
      </c>
      <c r="N64" s="1089" t="s">
        <v>53</v>
      </c>
      <c r="O64" s="1089" t="s">
        <v>53</v>
      </c>
      <c r="P64" s="1089" t="s">
        <v>53</v>
      </c>
      <c r="Q64" s="1089"/>
      <c r="R64" s="1089"/>
      <c r="S64" s="1089" t="s">
        <v>53</v>
      </c>
      <c r="T64" s="1089" t="s">
        <v>116</v>
      </c>
      <c r="U64" s="1089" t="s">
        <v>53</v>
      </c>
      <c r="V64" s="1089" t="s">
        <v>53</v>
      </c>
      <c r="W64" s="1089" t="s">
        <v>53</v>
      </c>
      <c r="X64" s="1089" t="s">
        <v>53</v>
      </c>
      <c r="Y64" s="1089" t="s">
        <v>53</v>
      </c>
      <c r="Z64" s="1089" t="s">
        <v>53</v>
      </c>
      <c r="AA64" s="1089" t="s">
        <v>116</v>
      </c>
      <c r="AB64" s="1089" t="s">
        <v>53</v>
      </c>
      <c r="AC64" s="1089" t="s">
        <v>53</v>
      </c>
      <c r="AD64" s="1089" t="s">
        <v>53</v>
      </c>
      <c r="AE64" s="1089" t="s">
        <v>837</v>
      </c>
      <c r="AF64" s="1089"/>
      <c r="AG64" s="1089" t="s">
        <v>53</v>
      </c>
      <c r="AH64" s="1089" t="s">
        <v>116</v>
      </c>
      <c r="AI64" s="1089" t="s">
        <v>53</v>
      </c>
      <c r="AJ64" s="773"/>
      <c r="AK64" s="1207">
        <f t="shared" si="3"/>
        <v>21</v>
      </c>
      <c r="AL64" s="1208">
        <f t="shared" si="4"/>
        <v>5</v>
      </c>
      <c r="AM64" s="1207">
        <f t="shared" si="5"/>
        <v>0</v>
      </c>
      <c r="AN64" s="1207">
        <f t="shared" si="6"/>
        <v>0</v>
      </c>
      <c r="AO64" s="1207">
        <f t="shared" si="7"/>
        <v>0</v>
      </c>
      <c r="AP64" s="1208">
        <f t="shared" si="9"/>
        <v>0</v>
      </c>
      <c r="AQ64" s="1209">
        <f t="shared" si="8"/>
        <v>26</v>
      </c>
      <c r="AR64" s="152"/>
      <c r="AS64" s="341" t="str">
        <f>'Mã số nhân viên'!I55</f>
        <v>02706</v>
      </c>
      <c r="AT64" s="1031">
        <f t="shared" si="10"/>
        <v>0</v>
      </c>
    </row>
    <row r="65" spans="1:46" ht="24.75" customHeight="1">
      <c r="A65" s="779">
        <v>53</v>
      </c>
      <c r="B65" s="779">
        <v>53</v>
      </c>
      <c r="C65" s="779" t="str">
        <f>VLOOKUP(D65,'Mã số nhân viên'!B55:I186,8,0)</f>
        <v>02706</v>
      </c>
      <c r="D65" s="650" t="s">
        <v>146</v>
      </c>
      <c r="E65" s="779"/>
      <c r="F65" s="1089" t="s">
        <v>116</v>
      </c>
      <c r="G65" s="1089" t="s">
        <v>53</v>
      </c>
      <c r="H65" s="1089" t="s">
        <v>53</v>
      </c>
      <c r="I65" s="1089" t="s">
        <v>53</v>
      </c>
      <c r="J65" s="1089" t="s">
        <v>53</v>
      </c>
      <c r="K65" s="1089" t="s">
        <v>53</v>
      </c>
      <c r="L65" s="1089" t="s">
        <v>53</v>
      </c>
      <c r="M65" s="1089" t="s">
        <v>116</v>
      </c>
      <c r="N65" s="1089" t="s">
        <v>53</v>
      </c>
      <c r="O65" s="1089" t="s">
        <v>53</v>
      </c>
      <c r="P65" s="1089" t="s">
        <v>53</v>
      </c>
      <c r="Q65" s="1089"/>
      <c r="R65" s="1089"/>
      <c r="S65" s="1089" t="s">
        <v>53</v>
      </c>
      <c r="T65" s="1089" t="s">
        <v>116</v>
      </c>
      <c r="U65" s="1089" t="s">
        <v>53</v>
      </c>
      <c r="V65" s="1089" t="s">
        <v>53</v>
      </c>
      <c r="W65" s="1089" t="s">
        <v>53</v>
      </c>
      <c r="X65" s="1089" t="s">
        <v>53</v>
      </c>
      <c r="Y65" s="1089" t="s">
        <v>53</v>
      </c>
      <c r="Z65" s="1089" t="s">
        <v>53</v>
      </c>
      <c r="AA65" s="1089" t="s">
        <v>116</v>
      </c>
      <c r="AB65" s="1089" t="s">
        <v>53</v>
      </c>
      <c r="AC65" s="1089" t="s">
        <v>837</v>
      </c>
      <c r="AD65" s="1089" t="s">
        <v>53</v>
      </c>
      <c r="AE65" s="1089" t="s">
        <v>53</v>
      </c>
      <c r="AF65" s="1089" t="s">
        <v>53</v>
      </c>
      <c r="AG65" s="1089" t="s">
        <v>53</v>
      </c>
      <c r="AH65" s="1089" t="s">
        <v>116</v>
      </c>
      <c r="AI65" s="1089" t="s">
        <v>53</v>
      </c>
      <c r="AJ65" s="773"/>
      <c r="AK65" s="1207">
        <f t="shared" si="3"/>
        <v>22</v>
      </c>
      <c r="AL65" s="1208">
        <f t="shared" si="4"/>
        <v>5</v>
      </c>
      <c r="AM65" s="1207">
        <f t="shared" si="5"/>
        <v>0</v>
      </c>
      <c r="AN65" s="1207">
        <f t="shared" si="6"/>
        <v>0</v>
      </c>
      <c r="AO65" s="1207">
        <f t="shared" si="7"/>
        <v>0</v>
      </c>
      <c r="AP65" s="1208">
        <f t="shared" si="9"/>
        <v>0</v>
      </c>
      <c r="AQ65" s="1209">
        <f t="shared" si="8"/>
        <v>27</v>
      </c>
      <c r="AR65" s="152"/>
      <c r="AS65" s="341" t="str">
        <f>'Mã số nhân viên'!I56</f>
        <v>04063</v>
      </c>
      <c r="AT65" s="1031">
        <f t="shared" si="10"/>
        <v>0</v>
      </c>
    </row>
    <row r="66" spans="1:46" ht="24.75" customHeight="1">
      <c r="A66" s="779">
        <v>54</v>
      </c>
      <c r="B66" s="779">
        <v>54</v>
      </c>
      <c r="C66" s="779" t="str">
        <f>VLOOKUP(D66,'Mã số nhân viên'!B56:I187,8,0)</f>
        <v>04063</v>
      </c>
      <c r="D66" s="416" t="s">
        <v>559</v>
      </c>
      <c r="E66" s="779"/>
      <c r="F66" s="1089" t="s">
        <v>116</v>
      </c>
      <c r="G66" s="1089" t="s">
        <v>53</v>
      </c>
      <c r="H66" s="1089" t="s">
        <v>53</v>
      </c>
      <c r="I66" s="1089" t="s">
        <v>53</v>
      </c>
      <c r="J66" s="1089" t="s">
        <v>53</v>
      </c>
      <c r="K66" s="1089" t="s">
        <v>53</v>
      </c>
      <c r="L66" s="1089" t="s">
        <v>53</v>
      </c>
      <c r="M66" s="1089" t="s">
        <v>116</v>
      </c>
      <c r="N66" s="1089" t="s">
        <v>53</v>
      </c>
      <c r="O66" s="1089" t="s">
        <v>53</v>
      </c>
      <c r="P66" s="1089" t="s">
        <v>53</v>
      </c>
      <c r="Q66" s="1089"/>
      <c r="R66" s="1089"/>
      <c r="S66" s="1089" t="s">
        <v>53</v>
      </c>
      <c r="T66" s="1089" t="s">
        <v>116</v>
      </c>
      <c r="U66" s="1089" t="s">
        <v>53</v>
      </c>
      <c r="V66" s="1089" t="s">
        <v>53</v>
      </c>
      <c r="W66" s="1089" t="s">
        <v>53</v>
      </c>
      <c r="X66" s="1089" t="s">
        <v>53</v>
      </c>
      <c r="Y66" s="1089" t="s">
        <v>53</v>
      </c>
      <c r="Z66" s="1089" t="s">
        <v>53</v>
      </c>
      <c r="AA66" s="1089" t="s">
        <v>837</v>
      </c>
      <c r="AB66" s="1089" t="s">
        <v>837</v>
      </c>
      <c r="AC66" s="1089" t="s">
        <v>837</v>
      </c>
      <c r="AD66" s="1089" t="s">
        <v>837</v>
      </c>
      <c r="AE66" s="1089" t="s">
        <v>53</v>
      </c>
      <c r="AF66" s="1089"/>
      <c r="AG66" s="1089" t="s">
        <v>837</v>
      </c>
      <c r="AH66" s="1089" t="s">
        <v>837</v>
      </c>
      <c r="AI66" s="1089" t="s">
        <v>53</v>
      </c>
      <c r="AJ66" s="773"/>
      <c r="AK66" s="1207">
        <f t="shared" si="3"/>
        <v>18</v>
      </c>
      <c r="AL66" s="1208">
        <f t="shared" si="4"/>
        <v>3</v>
      </c>
      <c r="AM66" s="1207">
        <f t="shared" si="5"/>
        <v>0</v>
      </c>
      <c r="AN66" s="1207">
        <f t="shared" si="6"/>
        <v>0</v>
      </c>
      <c r="AO66" s="1207">
        <f t="shared" si="7"/>
        <v>0</v>
      </c>
      <c r="AP66" s="1208">
        <f t="shared" si="9"/>
        <v>0</v>
      </c>
      <c r="AQ66" s="1209">
        <f t="shared" si="8"/>
        <v>21</v>
      </c>
      <c r="AR66" s="152"/>
      <c r="AS66" s="341" t="str">
        <f>'Mã số nhân viên'!I57</f>
        <v>04064</v>
      </c>
      <c r="AT66" s="1031">
        <f t="shared" si="10"/>
        <v>0</v>
      </c>
    </row>
    <row r="67" spans="1:46" ht="24.75" customHeight="1">
      <c r="A67" s="779">
        <v>55</v>
      </c>
      <c r="B67" s="779">
        <v>55</v>
      </c>
      <c r="C67" s="779" t="str">
        <f>VLOOKUP(D67,'Mã số nhân viên'!B57:I188,8,0)</f>
        <v>04064</v>
      </c>
      <c r="D67" s="416" t="s">
        <v>354</v>
      </c>
      <c r="E67" s="779"/>
      <c r="F67" s="1089" t="s">
        <v>116</v>
      </c>
      <c r="G67" s="1089" t="s">
        <v>53</v>
      </c>
      <c r="H67" s="1089" t="s">
        <v>53</v>
      </c>
      <c r="I67" s="1089" t="s">
        <v>53</v>
      </c>
      <c r="J67" s="1089" t="s">
        <v>53</v>
      </c>
      <c r="K67" s="1089" t="s">
        <v>53</v>
      </c>
      <c r="L67" s="1089" t="s">
        <v>53</v>
      </c>
      <c r="M67" s="1089" t="s">
        <v>116</v>
      </c>
      <c r="N67" s="1089" t="s">
        <v>53</v>
      </c>
      <c r="O67" s="1089" t="s">
        <v>53</v>
      </c>
      <c r="P67" s="1089" t="s">
        <v>53</v>
      </c>
      <c r="Q67" s="1089"/>
      <c r="R67" s="1089"/>
      <c r="S67" s="1089" t="s">
        <v>53</v>
      </c>
      <c r="T67" s="1089" t="s">
        <v>116</v>
      </c>
      <c r="U67" s="1089" t="s">
        <v>53</v>
      </c>
      <c r="V67" s="1089" t="s">
        <v>53</v>
      </c>
      <c r="W67" s="1089" t="s">
        <v>53</v>
      </c>
      <c r="X67" s="1089" t="s">
        <v>53</v>
      </c>
      <c r="Y67" s="1089" t="s">
        <v>53</v>
      </c>
      <c r="Z67" s="1089" t="s">
        <v>53</v>
      </c>
      <c r="AA67" s="1089" t="s">
        <v>116</v>
      </c>
      <c r="AB67" s="1089" t="s">
        <v>53</v>
      </c>
      <c r="AC67" s="1089" t="s">
        <v>53</v>
      </c>
      <c r="AD67" s="1089" t="s">
        <v>53</v>
      </c>
      <c r="AE67" s="1089" t="s">
        <v>53</v>
      </c>
      <c r="AF67" s="1089" t="s">
        <v>53</v>
      </c>
      <c r="AG67" s="1089" t="s">
        <v>53</v>
      </c>
      <c r="AH67" s="1089" t="s">
        <v>116</v>
      </c>
      <c r="AI67" s="1089" t="s">
        <v>53</v>
      </c>
      <c r="AJ67" s="773"/>
      <c r="AK67" s="1207">
        <f t="shared" si="3"/>
        <v>23</v>
      </c>
      <c r="AL67" s="1208">
        <f t="shared" si="4"/>
        <v>5</v>
      </c>
      <c r="AM67" s="1207">
        <f t="shared" si="5"/>
        <v>0</v>
      </c>
      <c r="AN67" s="1207">
        <f t="shared" si="6"/>
        <v>0</v>
      </c>
      <c r="AO67" s="1207">
        <f t="shared" si="7"/>
        <v>0</v>
      </c>
      <c r="AP67" s="1208">
        <f t="shared" si="9"/>
        <v>0</v>
      </c>
      <c r="AQ67" s="1209">
        <f t="shared" si="8"/>
        <v>28</v>
      </c>
      <c r="AR67" s="152"/>
      <c r="AS67" s="341" t="str">
        <f>'Mã số nhân viên'!I58</f>
        <v>03501</v>
      </c>
      <c r="AT67" s="1031">
        <f t="shared" si="10"/>
        <v>0</v>
      </c>
    </row>
    <row r="68" spans="1:46" ht="24.75" customHeight="1">
      <c r="A68" s="779">
        <v>56</v>
      </c>
      <c r="B68" s="779">
        <v>56</v>
      </c>
      <c r="C68" s="779" t="str">
        <f>VLOOKUP(D68,'Mã số nhân viên'!B58:I189,8,0)</f>
        <v>03501</v>
      </c>
      <c r="D68" s="416" t="s">
        <v>329</v>
      </c>
      <c r="E68" s="779"/>
      <c r="F68" s="1089" t="s">
        <v>116</v>
      </c>
      <c r="G68" s="1089" t="s">
        <v>53</v>
      </c>
      <c r="H68" s="1089" t="s">
        <v>53</v>
      </c>
      <c r="I68" s="1089" t="s">
        <v>53</v>
      </c>
      <c r="J68" s="1089" t="s">
        <v>53</v>
      </c>
      <c r="K68" s="1089" t="s">
        <v>53</v>
      </c>
      <c r="L68" s="1089" t="s">
        <v>837</v>
      </c>
      <c r="M68" s="1089" t="s">
        <v>116</v>
      </c>
      <c r="N68" s="1089" t="s">
        <v>53</v>
      </c>
      <c r="O68" s="1089" t="s">
        <v>53</v>
      </c>
      <c r="P68" s="1089" t="s">
        <v>53</v>
      </c>
      <c r="Q68" s="1089"/>
      <c r="R68" s="1089"/>
      <c r="S68" s="1089" t="s">
        <v>53</v>
      </c>
      <c r="T68" s="1089" t="s">
        <v>116</v>
      </c>
      <c r="U68" s="1089" t="s">
        <v>53</v>
      </c>
      <c r="V68" s="1089" t="s">
        <v>53</v>
      </c>
      <c r="W68" s="1089" t="s">
        <v>53</v>
      </c>
      <c r="X68" s="1089" t="s">
        <v>53</v>
      </c>
      <c r="Y68" s="1089" t="s">
        <v>53</v>
      </c>
      <c r="Z68" s="1089" t="s">
        <v>53</v>
      </c>
      <c r="AA68" s="1089" t="s">
        <v>116</v>
      </c>
      <c r="AB68" s="1089" t="s">
        <v>53</v>
      </c>
      <c r="AC68" s="1089" t="s">
        <v>53</v>
      </c>
      <c r="AD68" s="1089" t="s">
        <v>53</v>
      </c>
      <c r="AE68" s="1089" t="s">
        <v>53</v>
      </c>
      <c r="AF68" s="1089" t="s">
        <v>53</v>
      </c>
      <c r="AG68" s="1089" t="s">
        <v>53</v>
      </c>
      <c r="AH68" s="1089" t="s">
        <v>116</v>
      </c>
      <c r="AI68" s="1089" t="s">
        <v>53</v>
      </c>
      <c r="AJ68" s="773"/>
      <c r="AK68" s="1207">
        <f t="shared" si="3"/>
        <v>22</v>
      </c>
      <c r="AL68" s="1208">
        <f t="shared" si="4"/>
        <v>5</v>
      </c>
      <c r="AM68" s="1207">
        <f t="shared" si="5"/>
        <v>0</v>
      </c>
      <c r="AN68" s="1207">
        <f t="shared" si="6"/>
        <v>0</v>
      </c>
      <c r="AO68" s="1207">
        <f t="shared" si="7"/>
        <v>0</v>
      </c>
      <c r="AP68" s="1208">
        <f t="shared" si="9"/>
        <v>0</v>
      </c>
      <c r="AQ68" s="1209">
        <f t="shared" si="8"/>
        <v>27</v>
      </c>
      <c r="AR68" s="152"/>
      <c r="AS68" s="341" t="str">
        <f>'Mã số nhân viên'!I59</f>
        <v>03502</v>
      </c>
      <c r="AT68" s="1031">
        <f t="shared" si="10"/>
        <v>0</v>
      </c>
    </row>
    <row r="69" spans="1:46" ht="24.75" customHeight="1">
      <c r="A69" s="779">
        <v>57</v>
      </c>
      <c r="B69" s="779">
        <v>57</v>
      </c>
      <c r="C69" s="779" t="str">
        <f>VLOOKUP(D69,'Mã số nhân viên'!B59:I190,8,0)</f>
        <v>03502</v>
      </c>
      <c r="D69" s="650" t="s">
        <v>330</v>
      </c>
      <c r="E69" s="779"/>
      <c r="F69" s="1089" t="s">
        <v>116</v>
      </c>
      <c r="G69" s="1089" t="s">
        <v>53</v>
      </c>
      <c r="H69" s="1089" t="s">
        <v>53</v>
      </c>
      <c r="I69" s="1089" t="s">
        <v>53</v>
      </c>
      <c r="J69" s="1089" t="s">
        <v>53</v>
      </c>
      <c r="K69" s="1089" t="s">
        <v>53</v>
      </c>
      <c r="L69" s="1089" t="s">
        <v>53</v>
      </c>
      <c r="M69" s="1089" t="s">
        <v>116</v>
      </c>
      <c r="N69" s="1089" t="s">
        <v>53</v>
      </c>
      <c r="O69" s="1089" t="s">
        <v>53</v>
      </c>
      <c r="P69" s="1089" t="s">
        <v>53</v>
      </c>
      <c r="Q69" s="1089"/>
      <c r="R69" s="1089"/>
      <c r="S69" s="1089" t="s">
        <v>53</v>
      </c>
      <c r="T69" s="1089" t="s">
        <v>116</v>
      </c>
      <c r="U69" s="1089" t="s">
        <v>53</v>
      </c>
      <c r="V69" s="1089" t="s">
        <v>53</v>
      </c>
      <c r="W69" s="1089" t="s">
        <v>53</v>
      </c>
      <c r="X69" s="1089" t="s">
        <v>53</v>
      </c>
      <c r="Y69" s="1089" t="s">
        <v>53</v>
      </c>
      <c r="Z69" s="1089" t="s">
        <v>53</v>
      </c>
      <c r="AA69" s="1089" t="s">
        <v>116</v>
      </c>
      <c r="AB69" s="1089" t="s">
        <v>53</v>
      </c>
      <c r="AC69" s="1089" t="s">
        <v>53</v>
      </c>
      <c r="AD69" s="1089" t="s">
        <v>53</v>
      </c>
      <c r="AE69" s="1089" t="s">
        <v>53</v>
      </c>
      <c r="AF69" s="1089" t="s">
        <v>53</v>
      </c>
      <c r="AG69" s="1089" t="s">
        <v>53</v>
      </c>
      <c r="AH69" s="1089" t="s">
        <v>116</v>
      </c>
      <c r="AI69" s="1089" t="s">
        <v>53</v>
      </c>
      <c r="AJ69" s="773"/>
      <c r="AK69" s="1207">
        <f t="shared" si="3"/>
        <v>23</v>
      </c>
      <c r="AL69" s="1208">
        <f t="shared" si="4"/>
        <v>5</v>
      </c>
      <c r="AM69" s="1207">
        <f t="shared" si="5"/>
        <v>0</v>
      </c>
      <c r="AN69" s="1207">
        <f t="shared" si="6"/>
        <v>0</v>
      </c>
      <c r="AO69" s="1207">
        <f t="shared" si="7"/>
        <v>0</v>
      </c>
      <c r="AP69" s="1208">
        <f t="shared" si="9"/>
        <v>0</v>
      </c>
      <c r="AQ69" s="1209">
        <f t="shared" si="8"/>
        <v>28</v>
      </c>
      <c r="AR69" s="152"/>
      <c r="AS69" s="341" t="str">
        <f>'Mã số nhân viên'!I60</f>
        <v>04065</v>
      </c>
      <c r="AT69" s="1031">
        <f t="shared" si="10"/>
        <v>0</v>
      </c>
    </row>
    <row r="70" spans="1:46" ht="24.75" customHeight="1">
      <c r="A70" s="779">
        <v>58</v>
      </c>
      <c r="B70" s="779">
        <v>58</v>
      </c>
      <c r="C70" s="779" t="str">
        <f>VLOOKUP(D70,'Mã số nhân viên'!B60:I191,8,0)</f>
        <v>04065</v>
      </c>
      <c r="D70" s="248" t="s">
        <v>507</v>
      </c>
      <c r="E70" s="779"/>
      <c r="F70" s="1089" t="s">
        <v>116</v>
      </c>
      <c r="G70" s="1089" t="s">
        <v>53</v>
      </c>
      <c r="H70" s="1089" t="s">
        <v>53</v>
      </c>
      <c r="I70" s="1089" t="s">
        <v>53</v>
      </c>
      <c r="J70" s="1089" t="s">
        <v>53</v>
      </c>
      <c r="K70" s="1089" t="s">
        <v>53</v>
      </c>
      <c r="L70" s="1089" t="s">
        <v>53</v>
      </c>
      <c r="M70" s="1089" t="s">
        <v>116</v>
      </c>
      <c r="N70" s="1089" t="s">
        <v>53</v>
      </c>
      <c r="O70" s="1089" t="s">
        <v>53</v>
      </c>
      <c r="P70" s="1089" t="s">
        <v>53</v>
      </c>
      <c r="Q70" s="1089"/>
      <c r="R70" s="1089"/>
      <c r="S70" s="1089" t="s">
        <v>837</v>
      </c>
      <c r="T70" s="1089"/>
      <c r="U70" s="1089" t="s">
        <v>837</v>
      </c>
      <c r="V70" s="1089" t="s">
        <v>53</v>
      </c>
      <c r="W70" s="1089" t="s">
        <v>53</v>
      </c>
      <c r="X70" s="1089" t="s">
        <v>53</v>
      </c>
      <c r="Y70" s="1089" t="s">
        <v>53</v>
      </c>
      <c r="Z70" s="1089" t="s">
        <v>53</v>
      </c>
      <c r="AA70" s="1089" t="s">
        <v>116</v>
      </c>
      <c r="AB70" s="1089" t="s">
        <v>53</v>
      </c>
      <c r="AC70" s="1089" t="s">
        <v>53</v>
      </c>
      <c r="AD70" s="1089" t="s">
        <v>53</v>
      </c>
      <c r="AE70" s="1089" t="s">
        <v>53</v>
      </c>
      <c r="AF70" s="1089" t="s">
        <v>53</v>
      </c>
      <c r="AG70" s="1089" t="s">
        <v>53</v>
      </c>
      <c r="AH70" s="1089" t="s">
        <v>116</v>
      </c>
      <c r="AI70" s="1089" t="s">
        <v>53</v>
      </c>
      <c r="AJ70" s="773"/>
      <c r="AK70" s="1207">
        <f t="shared" si="3"/>
        <v>21</v>
      </c>
      <c r="AL70" s="1208">
        <f t="shared" si="4"/>
        <v>4</v>
      </c>
      <c r="AM70" s="1207">
        <f t="shared" si="5"/>
        <v>0</v>
      </c>
      <c r="AN70" s="1207">
        <f t="shared" si="6"/>
        <v>0</v>
      </c>
      <c r="AO70" s="1207">
        <f t="shared" si="7"/>
        <v>0</v>
      </c>
      <c r="AP70" s="1208">
        <f t="shared" si="9"/>
        <v>0</v>
      </c>
      <c r="AQ70" s="1209">
        <f t="shared" si="8"/>
        <v>25</v>
      </c>
      <c r="AR70" s="152"/>
      <c r="AS70" s="341" t="str">
        <f>'Mã số nhân viên'!I61</f>
        <v>03504</v>
      </c>
      <c r="AT70" s="1031">
        <f t="shared" si="10"/>
        <v>0</v>
      </c>
    </row>
    <row r="71" spans="1:46" ht="24.75" customHeight="1">
      <c r="A71" s="779">
        <v>59</v>
      </c>
      <c r="B71" s="779">
        <v>59</v>
      </c>
      <c r="C71" s="779" t="str">
        <f>VLOOKUP(D71,'Mã số nhân viên'!B61:I192,8,0)</f>
        <v>03504</v>
      </c>
      <c r="D71" s="416" t="s">
        <v>234</v>
      </c>
      <c r="E71" s="779"/>
      <c r="F71" s="1089" t="s">
        <v>116</v>
      </c>
      <c r="G71" s="1089" t="s">
        <v>53</v>
      </c>
      <c r="H71" s="1089" t="s">
        <v>53</v>
      </c>
      <c r="I71" s="1089" t="s">
        <v>53</v>
      </c>
      <c r="J71" s="1089" t="s">
        <v>53</v>
      </c>
      <c r="K71" s="1089" t="s">
        <v>53</v>
      </c>
      <c r="L71" s="1089" t="s">
        <v>53</v>
      </c>
      <c r="M71" s="1089" t="s">
        <v>116</v>
      </c>
      <c r="N71" s="1089" t="s">
        <v>53</v>
      </c>
      <c r="O71" s="1089" t="s">
        <v>53</v>
      </c>
      <c r="P71" s="1089" t="s">
        <v>53</v>
      </c>
      <c r="Q71" s="1089"/>
      <c r="R71" s="1089"/>
      <c r="S71" s="1089" t="s">
        <v>53</v>
      </c>
      <c r="T71" s="1089"/>
      <c r="U71" s="1089" t="s">
        <v>837</v>
      </c>
      <c r="V71" s="1089" t="s">
        <v>837</v>
      </c>
      <c r="W71" s="1089" t="s">
        <v>837</v>
      </c>
      <c r="X71" s="1089"/>
      <c r="Y71" s="1089" t="s">
        <v>53</v>
      </c>
      <c r="Z71" s="1089" t="s">
        <v>53</v>
      </c>
      <c r="AA71" s="1089" t="s">
        <v>116</v>
      </c>
      <c r="AB71" s="1089"/>
      <c r="AC71" s="1089" t="s">
        <v>53</v>
      </c>
      <c r="AD71" s="1089" t="s">
        <v>53</v>
      </c>
      <c r="AE71" s="1089" t="s">
        <v>53</v>
      </c>
      <c r="AF71" s="1089" t="s">
        <v>53</v>
      </c>
      <c r="AG71" s="1089" t="s">
        <v>53</v>
      </c>
      <c r="AH71" s="1089" t="s">
        <v>116</v>
      </c>
      <c r="AI71" s="1089" t="s">
        <v>53</v>
      </c>
      <c r="AJ71" s="773"/>
      <c r="AK71" s="1207">
        <f t="shared" si="3"/>
        <v>18</v>
      </c>
      <c r="AL71" s="1208">
        <f t="shared" si="4"/>
        <v>4</v>
      </c>
      <c r="AM71" s="1207">
        <f t="shared" si="5"/>
        <v>0</v>
      </c>
      <c r="AN71" s="1207">
        <f t="shared" si="6"/>
        <v>0</v>
      </c>
      <c r="AO71" s="1207">
        <f t="shared" si="7"/>
        <v>0</v>
      </c>
      <c r="AP71" s="1208">
        <f t="shared" si="9"/>
        <v>0</v>
      </c>
      <c r="AQ71" s="1209">
        <f t="shared" si="8"/>
        <v>22</v>
      </c>
      <c r="AR71" s="152"/>
      <c r="AS71" s="341" t="str">
        <f>'Mã số nhân viên'!I62</f>
        <v>04066</v>
      </c>
      <c r="AT71" s="1031">
        <f t="shared" si="10"/>
        <v>0</v>
      </c>
    </row>
    <row r="72" spans="1:46" ht="24.75" customHeight="1">
      <c r="A72" s="779">
        <v>60</v>
      </c>
      <c r="B72" s="779">
        <v>60</v>
      </c>
      <c r="C72" s="779" t="str">
        <f>VLOOKUP(D72,'Mã số nhân viên'!B62:I193,8,0)</f>
        <v>04066</v>
      </c>
      <c r="D72" s="416" t="s">
        <v>560</v>
      </c>
      <c r="E72" s="779"/>
      <c r="F72" s="1089" t="s">
        <v>116</v>
      </c>
      <c r="G72" s="1089" t="s">
        <v>53</v>
      </c>
      <c r="H72" s="1089" t="s">
        <v>53</v>
      </c>
      <c r="I72" s="1089" t="s">
        <v>53</v>
      </c>
      <c r="J72" s="1089" t="s">
        <v>53</v>
      </c>
      <c r="K72" s="1089" t="s">
        <v>53</v>
      </c>
      <c r="L72" s="1089" t="s">
        <v>53</v>
      </c>
      <c r="M72" s="1089" t="s">
        <v>116</v>
      </c>
      <c r="N72" s="1089" t="s">
        <v>53</v>
      </c>
      <c r="O72" s="1089" t="s">
        <v>53</v>
      </c>
      <c r="P72" s="1089" t="s">
        <v>53</v>
      </c>
      <c r="Q72" s="1089"/>
      <c r="R72" s="1089"/>
      <c r="S72" s="1089"/>
      <c r="T72" s="1089"/>
      <c r="U72" s="1089" t="s">
        <v>837</v>
      </c>
      <c r="V72" s="1089"/>
      <c r="W72" s="1089" t="s">
        <v>53</v>
      </c>
      <c r="X72" s="1089" t="s">
        <v>53</v>
      </c>
      <c r="Y72" s="1089" t="s">
        <v>53</v>
      </c>
      <c r="Z72" s="1089" t="s">
        <v>53</v>
      </c>
      <c r="AA72" s="1089" t="s">
        <v>116</v>
      </c>
      <c r="AB72" s="1089" t="s">
        <v>53</v>
      </c>
      <c r="AC72" s="1089" t="s">
        <v>53</v>
      </c>
      <c r="AD72" s="1089" t="s">
        <v>53</v>
      </c>
      <c r="AE72" s="1089" t="s">
        <v>53</v>
      </c>
      <c r="AF72" s="1089" t="s">
        <v>53</v>
      </c>
      <c r="AG72" s="1089" t="s">
        <v>53</v>
      </c>
      <c r="AH72" s="1089" t="s">
        <v>116</v>
      </c>
      <c r="AI72" s="1089" t="s">
        <v>53</v>
      </c>
      <c r="AJ72" s="773"/>
      <c r="AK72" s="1207">
        <f t="shared" si="3"/>
        <v>20</v>
      </c>
      <c r="AL72" s="1208">
        <f t="shared" si="4"/>
        <v>4</v>
      </c>
      <c r="AM72" s="1207">
        <f t="shared" si="5"/>
        <v>0</v>
      </c>
      <c r="AN72" s="1207">
        <f t="shared" si="6"/>
        <v>0</v>
      </c>
      <c r="AO72" s="1207">
        <f t="shared" si="7"/>
        <v>0</v>
      </c>
      <c r="AP72" s="1208">
        <f t="shared" si="9"/>
        <v>0</v>
      </c>
      <c r="AQ72" s="1209">
        <f t="shared" si="8"/>
        <v>24</v>
      </c>
      <c r="AR72" s="152"/>
      <c r="AS72" s="341" t="str">
        <f>'Mã số nhân viên'!I63</f>
        <v>03506</v>
      </c>
      <c r="AT72" s="1031">
        <f t="shared" si="10"/>
        <v>0</v>
      </c>
    </row>
    <row r="73" spans="1:46" ht="24.75" customHeight="1">
      <c r="A73" s="779">
        <v>61</v>
      </c>
      <c r="B73" s="779">
        <v>61</v>
      </c>
      <c r="C73" s="779" t="str">
        <f>VLOOKUP(D73,'Mã số nhân viên'!B63:I194,8,0)</f>
        <v>03506</v>
      </c>
      <c r="D73" s="115" t="s">
        <v>256</v>
      </c>
      <c r="E73" s="779"/>
      <c r="F73" s="1089" t="s">
        <v>116</v>
      </c>
      <c r="G73" s="1089" t="s">
        <v>53</v>
      </c>
      <c r="H73" s="1089" t="s">
        <v>53</v>
      </c>
      <c r="I73" s="1089" t="s">
        <v>53</v>
      </c>
      <c r="J73" s="1089" t="s">
        <v>53</v>
      </c>
      <c r="K73" s="1089" t="s">
        <v>53</v>
      </c>
      <c r="L73" s="1089" t="s">
        <v>53</v>
      </c>
      <c r="M73" s="1089" t="s">
        <v>116</v>
      </c>
      <c r="N73" s="1089" t="s">
        <v>53</v>
      </c>
      <c r="O73" s="1089" t="s">
        <v>53</v>
      </c>
      <c r="P73" s="1089" t="s">
        <v>53</v>
      </c>
      <c r="Q73" s="1089"/>
      <c r="R73" s="1089"/>
      <c r="S73" s="1089" t="s">
        <v>53</v>
      </c>
      <c r="T73" s="1089" t="s">
        <v>116</v>
      </c>
      <c r="U73" s="1089" t="s">
        <v>53</v>
      </c>
      <c r="V73" s="1089" t="s">
        <v>53</v>
      </c>
      <c r="W73" s="1089" t="s">
        <v>53</v>
      </c>
      <c r="X73" s="1089" t="s">
        <v>53</v>
      </c>
      <c r="Y73" s="1089" t="s">
        <v>53</v>
      </c>
      <c r="Z73" s="1089" t="s">
        <v>53</v>
      </c>
      <c r="AA73" s="1089" t="s">
        <v>116</v>
      </c>
      <c r="AB73" s="1089" t="s">
        <v>53</v>
      </c>
      <c r="AC73" s="1089" t="s">
        <v>837</v>
      </c>
      <c r="AD73" s="1089" t="s">
        <v>53</v>
      </c>
      <c r="AE73" s="1089" t="s">
        <v>53</v>
      </c>
      <c r="AF73" s="1089" t="s">
        <v>53</v>
      </c>
      <c r="AG73" s="1089" t="s">
        <v>53</v>
      </c>
      <c r="AH73" s="1089" t="s">
        <v>837</v>
      </c>
      <c r="AI73" s="1089" t="s">
        <v>53</v>
      </c>
      <c r="AJ73" s="773"/>
      <c r="AK73" s="1207">
        <f t="shared" si="3"/>
        <v>22</v>
      </c>
      <c r="AL73" s="1208">
        <f t="shared" si="4"/>
        <v>4</v>
      </c>
      <c r="AM73" s="1207">
        <f t="shared" si="5"/>
        <v>0</v>
      </c>
      <c r="AN73" s="1207">
        <f t="shared" si="6"/>
        <v>0</v>
      </c>
      <c r="AO73" s="1207">
        <f t="shared" si="7"/>
        <v>0</v>
      </c>
      <c r="AP73" s="1208">
        <f t="shared" si="9"/>
        <v>0</v>
      </c>
      <c r="AQ73" s="1209">
        <f t="shared" si="8"/>
        <v>26</v>
      </c>
      <c r="AR73" s="152"/>
      <c r="AS73" s="341" t="str">
        <f>'Mã số nhân viên'!I64</f>
        <v>04067</v>
      </c>
      <c r="AT73" s="1031">
        <f t="shared" si="10"/>
        <v>0</v>
      </c>
    </row>
    <row r="74" spans="1:46" ht="24.75" customHeight="1">
      <c r="A74" s="779">
        <v>62</v>
      </c>
      <c r="B74" s="779">
        <v>62</v>
      </c>
      <c r="C74" s="779" t="str">
        <f>VLOOKUP(D74,'Mã số nhân viên'!B64:I195,8,0)</f>
        <v>04067</v>
      </c>
      <c r="D74" s="115" t="s">
        <v>561</v>
      </c>
      <c r="E74" s="779"/>
      <c r="F74" s="1089" t="s">
        <v>116</v>
      </c>
      <c r="G74" s="1089" t="s">
        <v>53</v>
      </c>
      <c r="H74" s="1089" t="s">
        <v>53</v>
      </c>
      <c r="I74" s="1089" t="s">
        <v>53</v>
      </c>
      <c r="J74" s="1089" t="s">
        <v>53</v>
      </c>
      <c r="K74" s="1089" t="s">
        <v>53</v>
      </c>
      <c r="L74" s="1089" t="s">
        <v>53</v>
      </c>
      <c r="M74" s="1089" t="s">
        <v>116</v>
      </c>
      <c r="N74" s="1089" t="s">
        <v>53</v>
      </c>
      <c r="O74" s="1089" t="s">
        <v>53</v>
      </c>
      <c r="P74" s="1089" t="s">
        <v>53</v>
      </c>
      <c r="Q74" s="1089"/>
      <c r="R74" s="1089"/>
      <c r="S74" s="1089" t="s">
        <v>53</v>
      </c>
      <c r="T74" s="1089" t="s">
        <v>116</v>
      </c>
      <c r="U74" s="1089" t="s">
        <v>837</v>
      </c>
      <c r="V74" s="1089"/>
      <c r="W74" s="1089" t="s">
        <v>53</v>
      </c>
      <c r="X74" s="1089" t="s">
        <v>53</v>
      </c>
      <c r="Y74" s="1089" t="s">
        <v>53</v>
      </c>
      <c r="Z74" s="1089" t="s">
        <v>53</v>
      </c>
      <c r="AA74" s="1089" t="s">
        <v>116</v>
      </c>
      <c r="AB74" s="1089"/>
      <c r="AC74" s="1089" t="s">
        <v>53</v>
      </c>
      <c r="AD74" s="1089" t="s">
        <v>53</v>
      </c>
      <c r="AE74" s="1089" t="s">
        <v>53</v>
      </c>
      <c r="AF74" s="1089" t="s">
        <v>53</v>
      </c>
      <c r="AG74" s="1089" t="s">
        <v>53</v>
      </c>
      <c r="AH74" s="1089" t="s">
        <v>116</v>
      </c>
      <c r="AI74" s="1089" t="s">
        <v>53</v>
      </c>
      <c r="AJ74" s="773"/>
      <c r="AK74" s="1207">
        <f t="shared" si="3"/>
        <v>20</v>
      </c>
      <c r="AL74" s="1208">
        <f t="shared" si="4"/>
        <v>5</v>
      </c>
      <c r="AM74" s="1207">
        <f t="shared" si="5"/>
        <v>0</v>
      </c>
      <c r="AN74" s="1207">
        <f t="shared" si="6"/>
        <v>0</v>
      </c>
      <c r="AO74" s="1207">
        <f t="shared" si="7"/>
        <v>0</v>
      </c>
      <c r="AP74" s="1208">
        <f t="shared" si="9"/>
        <v>0</v>
      </c>
      <c r="AQ74" s="1209">
        <f t="shared" si="8"/>
        <v>25</v>
      </c>
      <c r="AR74" s="152"/>
      <c r="AS74" s="341" t="str">
        <f>'Mã số nhân viên'!I65</f>
        <v>03508</v>
      </c>
      <c r="AT74" s="1031">
        <f t="shared" si="10"/>
        <v>0</v>
      </c>
    </row>
    <row r="75" spans="1:46" ht="24.75" customHeight="1">
      <c r="A75" s="779">
        <v>63</v>
      </c>
      <c r="B75" s="779">
        <v>63</v>
      </c>
      <c r="C75" s="779" t="str">
        <f>VLOOKUP(D75,'Mã số nhân viên'!B65:I196,8,0)</f>
        <v>03508</v>
      </c>
      <c r="D75" s="248" t="s">
        <v>331</v>
      </c>
      <c r="E75" s="779"/>
      <c r="F75" s="1089" t="s">
        <v>116</v>
      </c>
      <c r="G75" s="1089" t="s">
        <v>53</v>
      </c>
      <c r="H75" s="1089" t="s">
        <v>53</v>
      </c>
      <c r="I75" s="1089" t="s">
        <v>53</v>
      </c>
      <c r="J75" s="1089" t="s">
        <v>53</v>
      </c>
      <c r="K75" s="1089" t="s">
        <v>53</v>
      </c>
      <c r="L75" s="1089" t="s">
        <v>53</v>
      </c>
      <c r="M75" s="1089" t="s">
        <v>116</v>
      </c>
      <c r="N75" s="1089" t="s">
        <v>53</v>
      </c>
      <c r="O75" s="1089" t="s">
        <v>53</v>
      </c>
      <c r="P75" s="1089" t="s">
        <v>53</v>
      </c>
      <c r="Q75" s="1089"/>
      <c r="R75" s="1089" t="s">
        <v>53</v>
      </c>
      <c r="S75" s="1089" t="s">
        <v>53</v>
      </c>
      <c r="T75" s="1089" t="s">
        <v>116</v>
      </c>
      <c r="U75" s="1089" t="s">
        <v>53</v>
      </c>
      <c r="V75" s="1089" t="s">
        <v>53</v>
      </c>
      <c r="W75" s="1089" t="s">
        <v>53</v>
      </c>
      <c r="X75" s="1089" t="s">
        <v>53</v>
      </c>
      <c r="Y75" s="1089" t="s">
        <v>53</v>
      </c>
      <c r="Z75" s="1089" t="s">
        <v>53</v>
      </c>
      <c r="AA75" s="1089" t="s">
        <v>116</v>
      </c>
      <c r="AB75" s="1089" t="s">
        <v>53</v>
      </c>
      <c r="AC75" s="1089" t="s">
        <v>53</v>
      </c>
      <c r="AD75" s="1089" t="s">
        <v>53</v>
      </c>
      <c r="AE75" s="1089" t="s">
        <v>53</v>
      </c>
      <c r="AF75" s="1089" t="s">
        <v>53</v>
      </c>
      <c r="AG75" s="1089" t="s">
        <v>53</v>
      </c>
      <c r="AH75" s="1089" t="s">
        <v>116</v>
      </c>
      <c r="AI75" s="1089" t="s">
        <v>53</v>
      </c>
      <c r="AJ75" s="773"/>
      <c r="AK75" s="1207">
        <f t="shared" si="3"/>
        <v>24</v>
      </c>
      <c r="AL75" s="1208">
        <f t="shared" si="4"/>
        <v>5</v>
      </c>
      <c r="AM75" s="1207">
        <f t="shared" si="5"/>
        <v>0</v>
      </c>
      <c r="AN75" s="1207">
        <f t="shared" si="6"/>
        <v>0</v>
      </c>
      <c r="AO75" s="1207">
        <f t="shared" si="7"/>
        <v>0</v>
      </c>
      <c r="AP75" s="1208">
        <f t="shared" si="9"/>
        <v>0</v>
      </c>
      <c r="AQ75" s="1209">
        <f t="shared" si="8"/>
        <v>29</v>
      </c>
      <c r="AR75" s="152"/>
      <c r="AS75" s="341" t="str">
        <f>'Mã số nhân viên'!I66</f>
        <v>03512</v>
      </c>
      <c r="AT75" s="1031">
        <f t="shared" si="10"/>
        <v>0</v>
      </c>
    </row>
    <row r="76" spans="1:46" ht="24.75" customHeight="1">
      <c r="A76" s="779">
        <v>64</v>
      </c>
      <c r="B76" s="779">
        <v>64</v>
      </c>
      <c r="C76" s="779" t="str">
        <f>VLOOKUP(D76,'Mã số nhân viên'!B66:I197,8,0)</f>
        <v>03512</v>
      </c>
      <c r="D76" s="416" t="s">
        <v>332</v>
      </c>
      <c r="E76" s="779"/>
      <c r="F76" s="1089" t="s">
        <v>116</v>
      </c>
      <c r="G76" s="1089" t="s">
        <v>53</v>
      </c>
      <c r="H76" s="1089" t="s">
        <v>53</v>
      </c>
      <c r="I76" s="1089" t="s">
        <v>53</v>
      </c>
      <c r="J76" s="1089" t="s">
        <v>53</v>
      </c>
      <c r="K76" s="1089" t="s">
        <v>53</v>
      </c>
      <c r="L76" s="1089" t="s">
        <v>53</v>
      </c>
      <c r="M76" s="1089" t="s">
        <v>116</v>
      </c>
      <c r="N76" s="1089" t="s">
        <v>53</v>
      </c>
      <c r="O76" s="1089" t="s">
        <v>53</v>
      </c>
      <c r="P76" s="1089" t="s">
        <v>53</v>
      </c>
      <c r="Q76" s="1089"/>
      <c r="R76" s="1089" t="s">
        <v>53</v>
      </c>
      <c r="S76" s="1089" t="s">
        <v>53</v>
      </c>
      <c r="T76" s="1089" t="s">
        <v>116</v>
      </c>
      <c r="U76" s="1089" t="s">
        <v>53</v>
      </c>
      <c r="V76" s="1089" t="s">
        <v>53</v>
      </c>
      <c r="W76" s="1089" t="s">
        <v>53</v>
      </c>
      <c r="X76" s="1089" t="s">
        <v>53</v>
      </c>
      <c r="Y76" s="1089" t="s">
        <v>53</v>
      </c>
      <c r="Z76" s="1089" t="s">
        <v>53</v>
      </c>
      <c r="AA76" s="1089" t="s">
        <v>116</v>
      </c>
      <c r="AB76" s="1089" t="s">
        <v>53</v>
      </c>
      <c r="AC76" s="1089" t="s">
        <v>53</v>
      </c>
      <c r="AD76" s="1089" t="s">
        <v>53</v>
      </c>
      <c r="AE76" s="1089" t="s">
        <v>53</v>
      </c>
      <c r="AF76" s="1089" t="s">
        <v>837</v>
      </c>
      <c r="AG76" s="1089" t="s">
        <v>53</v>
      </c>
      <c r="AH76" s="1089" t="s">
        <v>837</v>
      </c>
      <c r="AI76" s="1089"/>
      <c r="AJ76" s="773"/>
      <c r="AK76" s="1207">
        <f t="shared" si="3"/>
        <v>22</v>
      </c>
      <c r="AL76" s="1208">
        <f t="shared" si="4"/>
        <v>4</v>
      </c>
      <c r="AM76" s="1207">
        <f t="shared" si="5"/>
        <v>0</v>
      </c>
      <c r="AN76" s="1207">
        <f t="shared" si="6"/>
        <v>0</v>
      </c>
      <c r="AO76" s="1207">
        <f t="shared" si="7"/>
        <v>0</v>
      </c>
      <c r="AP76" s="1208">
        <f t="shared" si="9"/>
        <v>0</v>
      </c>
      <c r="AQ76" s="1209">
        <f t="shared" si="8"/>
        <v>26</v>
      </c>
      <c r="AR76" s="152"/>
      <c r="AS76" s="341" t="str">
        <f>'Mã số nhân viên'!I67</f>
        <v>04068</v>
      </c>
      <c r="AT76" s="1031">
        <f t="shared" ref="AT76:AT84" si="11">C77-AS76</f>
        <v>0</v>
      </c>
    </row>
    <row r="77" spans="1:46" ht="24.75" customHeight="1">
      <c r="A77" s="779">
        <v>65</v>
      </c>
      <c r="B77" s="779">
        <v>65</v>
      </c>
      <c r="C77" s="779" t="str">
        <f>VLOOKUP(D77,'Mã số nhân viên'!B67:I198,8,0)</f>
        <v>04068</v>
      </c>
      <c r="D77" s="416" t="s">
        <v>406</v>
      </c>
      <c r="E77" s="779"/>
      <c r="F77" s="1089" t="s">
        <v>116</v>
      </c>
      <c r="G77" s="1089" t="s">
        <v>53</v>
      </c>
      <c r="H77" s="1089" t="s">
        <v>53</v>
      </c>
      <c r="I77" s="1089" t="s">
        <v>53</v>
      </c>
      <c r="J77" s="1089" t="s">
        <v>53</v>
      </c>
      <c r="K77" s="1089" t="s">
        <v>53</v>
      </c>
      <c r="L77" s="1089" t="s">
        <v>53</v>
      </c>
      <c r="M77" s="1089" t="s">
        <v>116</v>
      </c>
      <c r="N77" s="1089" t="s">
        <v>53</v>
      </c>
      <c r="O77" s="1089"/>
      <c r="P77" s="1089" t="s">
        <v>53</v>
      </c>
      <c r="Q77" s="1089"/>
      <c r="R77" s="1089"/>
      <c r="S77" s="1089"/>
      <c r="T77" s="1089"/>
      <c r="U77" s="1089" t="s">
        <v>53</v>
      </c>
      <c r="V77" s="1089" t="s">
        <v>53</v>
      </c>
      <c r="W77" s="1089" t="s">
        <v>53</v>
      </c>
      <c r="X77" s="1089"/>
      <c r="Y77" s="1089" t="s">
        <v>53</v>
      </c>
      <c r="Z77" s="1089" t="s">
        <v>53</v>
      </c>
      <c r="AA77" s="1089" t="s">
        <v>116</v>
      </c>
      <c r="AB77" s="1089" t="s">
        <v>53</v>
      </c>
      <c r="AC77" s="1089" t="s">
        <v>53</v>
      </c>
      <c r="AD77" s="1089" t="s">
        <v>53</v>
      </c>
      <c r="AE77" s="1089" t="s">
        <v>53</v>
      </c>
      <c r="AF77" s="1089" t="s">
        <v>53</v>
      </c>
      <c r="AG77" s="1089" t="s">
        <v>53</v>
      </c>
      <c r="AH77" s="1089" t="s">
        <v>116</v>
      </c>
      <c r="AI77" s="1089" t="s">
        <v>53</v>
      </c>
      <c r="AJ77" s="773"/>
      <c r="AK77" s="1207">
        <f t="shared" si="3"/>
        <v>20</v>
      </c>
      <c r="AL77" s="1208">
        <f t="shared" si="4"/>
        <v>4</v>
      </c>
      <c r="AM77" s="1207">
        <f t="shared" si="5"/>
        <v>0</v>
      </c>
      <c r="AN77" s="1207">
        <f t="shared" si="6"/>
        <v>0</v>
      </c>
      <c r="AO77" s="1207">
        <f t="shared" si="7"/>
        <v>0</v>
      </c>
      <c r="AP77" s="1208">
        <f t="shared" si="9"/>
        <v>0</v>
      </c>
      <c r="AQ77" s="1209">
        <f t="shared" si="8"/>
        <v>24</v>
      </c>
      <c r="AR77" s="152"/>
      <c r="AS77" s="341" t="str">
        <f>'Mã số nhân viên'!I68</f>
        <v>04069</v>
      </c>
      <c r="AT77" s="1031">
        <f t="shared" si="11"/>
        <v>0</v>
      </c>
    </row>
    <row r="78" spans="1:46" ht="24.75" customHeight="1">
      <c r="A78" s="779">
        <v>66</v>
      </c>
      <c r="B78" s="779">
        <v>66</v>
      </c>
      <c r="C78" s="779" t="str">
        <f>VLOOKUP(D78,'Mã số nhân viên'!B68:I199,8,0)</f>
        <v>04069</v>
      </c>
      <c r="D78" s="416" t="s">
        <v>443</v>
      </c>
      <c r="E78" s="779"/>
      <c r="F78" s="1089" t="s">
        <v>116</v>
      </c>
      <c r="G78" s="1089" t="s">
        <v>53</v>
      </c>
      <c r="H78" s="1089" t="s">
        <v>53</v>
      </c>
      <c r="I78" s="1089" t="s">
        <v>53</v>
      </c>
      <c r="J78" s="1089" t="s">
        <v>53</v>
      </c>
      <c r="K78" s="1089" t="s">
        <v>53</v>
      </c>
      <c r="L78" s="1089" t="s">
        <v>53</v>
      </c>
      <c r="M78" s="1089" t="s">
        <v>116</v>
      </c>
      <c r="N78" s="1089" t="s">
        <v>53</v>
      </c>
      <c r="O78" s="1089" t="s">
        <v>53</v>
      </c>
      <c r="P78" s="1089" t="s">
        <v>53</v>
      </c>
      <c r="Q78" s="1089"/>
      <c r="R78" s="1089" t="s">
        <v>53</v>
      </c>
      <c r="S78" s="1089" t="s">
        <v>53</v>
      </c>
      <c r="T78" s="1089" t="s">
        <v>116</v>
      </c>
      <c r="U78" s="1089" t="s">
        <v>53</v>
      </c>
      <c r="V78" s="1089" t="s">
        <v>53</v>
      </c>
      <c r="W78" s="1089" t="s">
        <v>53</v>
      </c>
      <c r="X78" s="1089" t="s">
        <v>53</v>
      </c>
      <c r="Y78" s="1089" t="s">
        <v>53</v>
      </c>
      <c r="Z78" s="1089" t="s">
        <v>53</v>
      </c>
      <c r="AA78" s="1089" t="s">
        <v>116</v>
      </c>
      <c r="AB78" s="1089" t="s">
        <v>53</v>
      </c>
      <c r="AC78" s="1089" t="s">
        <v>53</v>
      </c>
      <c r="AD78" s="1089" t="s">
        <v>53</v>
      </c>
      <c r="AE78" s="1089" t="s">
        <v>53</v>
      </c>
      <c r="AF78" s="1089"/>
      <c r="AG78" s="1089" t="s">
        <v>53</v>
      </c>
      <c r="AH78" s="1089" t="s">
        <v>837</v>
      </c>
      <c r="AI78" s="1089"/>
      <c r="AJ78" s="773"/>
      <c r="AK78" s="1207">
        <f t="shared" ref="AK78:AK91" si="12">SUM(COUNTIF(F78:AJ78,"x"))</f>
        <v>22</v>
      </c>
      <c r="AL78" s="1208">
        <f t="shared" ref="AL78:AL91" si="13">SUM(COUNTIF(F78:AJ78,"cn"))</f>
        <v>4</v>
      </c>
      <c r="AM78" s="1207">
        <f t="shared" ref="AM78:AM91" si="14">SUM(COUNTIF(F78:AJ78,"đ"))</f>
        <v>0</v>
      </c>
      <c r="AN78" s="1207">
        <f t="shared" ref="AN78:AN91" si="15">SUM(COUNTIF(F78:AJ78,"đc"))</f>
        <v>0</v>
      </c>
      <c r="AO78" s="1207">
        <f t="shared" ref="AO78:AO91" si="16">SUM(COUNTIF(F78:AJ78,"gt"))</f>
        <v>0</v>
      </c>
      <c r="AP78" s="1208">
        <f t="shared" ref="AP78:AP91" si="17">SUM(COUNTIF(F78:AJ78,"ct"))</f>
        <v>0</v>
      </c>
      <c r="AQ78" s="1209">
        <f t="shared" ref="AQ78:AQ91" si="18">AK78+AL78+AM78+AN78+AO78+AP78</f>
        <v>26</v>
      </c>
      <c r="AR78" s="152"/>
      <c r="AS78" s="341" t="str">
        <f>'Mã số nhân viên'!I69</f>
        <v>03546</v>
      </c>
      <c r="AT78" s="1031">
        <f t="shared" si="11"/>
        <v>0</v>
      </c>
    </row>
    <row r="79" spans="1:46" ht="24.75" customHeight="1">
      <c r="A79" s="779">
        <v>67</v>
      </c>
      <c r="B79" s="779">
        <v>67</v>
      </c>
      <c r="C79" s="779" t="str">
        <f>VLOOKUP(D79,'Mã số nhân viên'!B69:I200,8,0)</f>
        <v>03546</v>
      </c>
      <c r="D79" s="416" t="s">
        <v>212</v>
      </c>
      <c r="E79" s="779"/>
      <c r="F79" s="1089" t="s">
        <v>116</v>
      </c>
      <c r="G79" s="1089" t="s">
        <v>53</v>
      </c>
      <c r="H79" s="1089" t="s">
        <v>53</v>
      </c>
      <c r="I79" s="1089" t="s">
        <v>53</v>
      </c>
      <c r="J79" s="1089" t="s">
        <v>53</v>
      </c>
      <c r="K79" s="1089" t="s">
        <v>53</v>
      </c>
      <c r="L79" s="1089" t="s">
        <v>53</v>
      </c>
      <c r="M79" s="1089" t="s">
        <v>116</v>
      </c>
      <c r="N79" s="1089" t="s">
        <v>53</v>
      </c>
      <c r="O79" s="1089" t="s">
        <v>53</v>
      </c>
      <c r="P79" s="1089" t="s">
        <v>53</v>
      </c>
      <c r="Q79" s="1089"/>
      <c r="R79" s="1089"/>
      <c r="S79" s="1089" t="s">
        <v>53</v>
      </c>
      <c r="T79" s="1089" t="s">
        <v>116</v>
      </c>
      <c r="U79" s="1089" t="s">
        <v>53</v>
      </c>
      <c r="V79" s="1089" t="s">
        <v>53</v>
      </c>
      <c r="W79" s="1089" t="s">
        <v>53</v>
      </c>
      <c r="X79" s="1089" t="s">
        <v>53</v>
      </c>
      <c r="Y79" s="1089" t="s">
        <v>53</v>
      </c>
      <c r="Z79" s="1089" t="s">
        <v>53</v>
      </c>
      <c r="AA79" s="1089" t="s">
        <v>116</v>
      </c>
      <c r="AB79" s="1089" t="s">
        <v>53</v>
      </c>
      <c r="AC79" s="1089" t="s">
        <v>53</v>
      </c>
      <c r="AD79" s="1089" t="s">
        <v>53</v>
      </c>
      <c r="AE79" s="1089" t="s">
        <v>53</v>
      </c>
      <c r="AF79" s="1089" t="s">
        <v>53</v>
      </c>
      <c r="AG79" s="1089" t="s">
        <v>53</v>
      </c>
      <c r="AH79" s="1089" t="s">
        <v>116</v>
      </c>
      <c r="AI79" s="1089" t="s">
        <v>53</v>
      </c>
      <c r="AJ79" s="773"/>
      <c r="AK79" s="1207">
        <f t="shared" si="12"/>
        <v>23</v>
      </c>
      <c r="AL79" s="1208">
        <f t="shared" si="13"/>
        <v>5</v>
      </c>
      <c r="AM79" s="1207">
        <f t="shared" si="14"/>
        <v>0</v>
      </c>
      <c r="AN79" s="1207">
        <f t="shared" si="15"/>
        <v>0</v>
      </c>
      <c r="AO79" s="1207">
        <f t="shared" si="16"/>
        <v>0</v>
      </c>
      <c r="AP79" s="1208">
        <f t="shared" si="17"/>
        <v>0</v>
      </c>
      <c r="AQ79" s="1209">
        <f t="shared" si="18"/>
        <v>28</v>
      </c>
      <c r="AR79" s="152"/>
      <c r="AS79" s="341" t="str">
        <f>'Mã số nhân viên'!I70</f>
        <v>03571</v>
      </c>
      <c r="AT79" s="1031">
        <f t="shared" si="11"/>
        <v>0</v>
      </c>
    </row>
    <row r="80" spans="1:46" ht="24.75" customHeight="1">
      <c r="A80" s="779">
        <v>68</v>
      </c>
      <c r="B80" s="779">
        <v>68</v>
      </c>
      <c r="C80" s="779" t="str">
        <f>VLOOKUP(D80,'Mã số nhân viên'!B70:I201,8,0)</f>
        <v>03571</v>
      </c>
      <c r="D80" s="416" t="s">
        <v>313</v>
      </c>
      <c r="E80" s="779"/>
      <c r="F80" s="1089" t="s">
        <v>116</v>
      </c>
      <c r="G80" s="1089" t="s">
        <v>53</v>
      </c>
      <c r="H80" s="1089" t="s">
        <v>53</v>
      </c>
      <c r="I80" s="1089" t="s">
        <v>53</v>
      </c>
      <c r="J80" s="1089" t="s">
        <v>53</v>
      </c>
      <c r="K80" s="1089" t="s">
        <v>53</v>
      </c>
      <c r="L80" s="1089" t="s">
        <v>53</v>
      </c>
      <c r="M80" s="1089" t="s">
        <v>116</v>
      </c>
      <c r="N80" s="1089" t="s">
        <v>53</v>
      </c>
      <c r="O80" s="1089" t="s">
        <v>53</v>
      </c>
      <c r="P80" s="1089" t="s">
        <v>53</v>
      </c>
      <c r="Q80" s="1089"/>
      <c r="R80" s="1089" t="s">
        <v>53</v>
      </c>
      <c r="S80" s="1089" t="s">
        <v>53</v>
      </c>
      <c r="T80" s="1089" t="s">
        <v>116</v>
      </c>
      <c r="U80" s="1089" t="s">
        <v>53</v>
      </c>
      <c r="V80" s="1089" t="s">
        <v>53</v>
      </c>
      <c r="W80" s="1089" t="s">
        <v>53</v>
      </c>
      <c r="X80" s="1089" t="s">
        <v>53</v>
      </c>
      <c r="Y80" s="1089" t="s">
        <v>53</v>
      </c>
      <c r="Z80" s="1089" t="s">
        <v>53</v>
      </c>
      <c r="AA80" s="1089" t="s">
        <v>116</v>
      </c>
      <c r="AB80" s="1089" t="s">
        <v>53</v>
      </c>
      <c r="AC80" s="1089" t="s">
        <v>53</v>
      </c>
      <c r="AD80" s="1089" t="s">
        <v>53</v>
      </c>
      <c r="AE80" s="1089" t="s">
        <v>53</v>
      </c>
      <c r="AF80" s="1089"/>
      <c r="AG80" s="1089"/>
      <c r="AH80" s="1089" t="s">
        <v>116</v>
      </c>
      <c r="AI80" s="1089" t="s">
        <v>53</v>
      </c>
      <c r="AJ80" s="773"/>
      <c r="AK80" s="1207">
        <f t="shared" si="12"/>
        <v>22</v>
      </c>
      <c r="AL80" s="1208">
        <f t="shared" si="13"/>
        <v>5</v>
      </c>
      <c r="AM80" s="1207">
        <f t="shared" si="14"/>
        <v>0</v>
      </c>
      <c r="AN80" s="1207">
        <f t="shared" si="15"/>
        <v>0</v>
      </c>
      <c r="AO80" s="1207">
        <f t="shared" si="16"/>
        <v>0</v>
      </c>
      <c r="AP80" s="1208">
        <f t="shared" si="17"/>
        <v>0</v>
      </c>
      <c r="AQ80" s="1209">
        <f t="shared" si="18"/>
        <v>27</v>
      </c>
      <c r="AR80" s="152"/>
      <c r="AS80" s="341" t="str">
        <f>'Mã số nhân viên'!I71</f>
        <v>04070</v>
      </c>
      <c r="AT80" s="1031">
        <f t="shared" si="11"/>
        <v>0</v>
      </c>
    </row>
    <row r="81" spans="1:47" ht="24.75" customHeight="1">
      <c r="A81" s="779">
        <v>69</v>
      </c>
      <c r="B81" s="779">
        <v>69</v>
      </c>
      <c r="C81" s="779" t="str">
        <f>VLOOKUP(D81,'Mã số nhân viên'!B71:I202,8,0)</f>
        <v>04070</v>
      </c>
      <c r="D81" s="416" t="s">
        <v>346</v>
      </c>
      <c r="E81" s="779"/>
      <c r="F81" s="1089" t="s">
        <v>116</v>
      </c>
      <c r="G81" s="1089" t="s">
        <v>837</v>
      </c>
      <c r="H81" s="1089" t="s">
        <v>837</v>
      </c>
      <c r="I81" s="1089" t="s">
        <v>53</v>
      </c>
      <c r="J81" s="1089" t="s">
        <v>53</v>
      </c>
      <c r="K81" s="1089" t="s">
        <v>53</v>
      </c>
      <c r="L81" s="1089" t="s">
        <v>53</v>
      </c>
      <c r="M81" s="1089" t="s">
        <v>116</v>
      </c>
      <c r="N81" s="1089" t="s">
        <v>53</v>
      </c>
      <c r="O81" s="1089"/>
      <c r="P81" s="1089"/>
      <c r="Q81" s="1089"/>
      <c r="R81" s="1089"/>
      <c r="S81" s="1089"/>
      <c r="T81" s="1089" t="s">
        <v>116</v>
      </c>
      <c r="U81" s="1089" t="s">
        <v>53</v>
      </c>
      <c r="V81" s="1089" t="s">
        <v>53</v>
      </c>
      <c r="W81" s="1089" t="s">
        <v>53</v>
      </c>
      <c r="X81" s="1089" t="s">
        <v>53</v>
      </c>
      <c r="Y81" s="1089" t="s">
        <v>53</v>
      </c>
      <c r="Z81" s="1089" t="s">
        <v>53</v>
      </c>
      <c r="AA81" s="1089" t="s">
        <v>116</v>
      </c>
      <c r="AB81" s="1089" t="s">
        <v>53</v>
      </c>
      <c r="AC81" s="1089" t="s">
        <v>53</v>
      </c>
      <c r="AD81" s="1089" t="s">
        <v>53</v>
      </c>
      <c r="AE81" s="1089" t="s">
        <v>53</v>
      </c>
      <c r="AF81" s="1089" t="s">
        <v>53</v>
      </c>
      <c r="AG81" s="1089" t="s">
        <v>53</v>
      </c>
      <c r="AH81" s="1089" t="s">
        <v>116</v>
      </c>
      <c r="AI81" s="1089" t="s">
        <v>53</v>
      </c>
      <c r="AJ81" s="773"/>
      <c r="AK81" s="1207">
        <f t="shared" si="12"/>
        <v>18</v>
      </c>
      <c r="AL81" s="1208">
        <f t="shared" si="13"/>
        <v>5</v>
      </c>
      <c r="AM81" s="1207">
        <f t="shared" si="14"/>
        <v>0</v>
      </c>
      <c r="AN81" s="1207">
        <f t="shared" si="15"/>
        <v>0</v>
      </c>
      <c r="AO81" s="1207">
        <f t="shared" si="16"/>
        <v>0</v>
      </c>
      <c r="AP81" s="1208">
        <f t="shared" si="17"/>
        <v>0</v>
      </c>
      <c r="AQ81" s="1209">
        <f t="shared" si="18"/>
        <v>23</v>
      </c>
      <c r="AR81" s="152"/>
      <c r="AS81" s="341" t="str">
        <f>'Mã số nhân viên'!I72</f>
        <v>03515</v>
      </c>
      <c r="AT81" s="1031">
        <f t="shared" si="11"/>
        <v>0</v>
      </c>
    </row>
    <row r="82" spans="1:47" ht="24.75" customHeight="1">
      <c r="A82" s="779">
        <v>70</v>
      </c>
      <c r="B82" s="779">
        <v>70</v>
      </c>
      <c r="C82" s="779" t="str">
        <f>VLOOKUP(D82,'Mã số nhân viên'!B72:I203,8,0)</f>
        <v>03515</v>
      </c>
      <c r="D82" s="416" t="s">
        <v>333</v>
      </c>
      <c r="E82" s="779"/>
      <c r="F82" s="1089" t="s">
        <v>116</v>
      </c>
      <c r="G82" s="1089" t="s">
        <v>53</v>
      </c>
      <c r="H82" s="1089" t="s">
        <v>53</v>
      </c>
      <c r="I82" s="1089" t="s">
        <v>53</v>
      </c>
      <c r="J82" s="1089" t="s">
        <v>53</v>
      </c>
      <c r="K82" s="1089" t="s">
        <v>53</v>
      </c>
      <c r="L82" s="1089" t="s">
        <v>53</v>
      </c>
      <c r="M82" s="1089" t="s">
        <v>116</v>
      </c>
      <c r="N82" s="1089" t="s">
        <v>53</v>
      </c>
      <c r="O82" s="1089" t="s">
        <v>53</v>
      </c>
      <c r="P82" s="1089" t="s">
        <v>53</v>
      </c>
      <c r="Q82" s="1089"/>
      <c r="R82" s="1089"/>
      <c r="S82" s="1089" t="s">
        <v>53</v>
      </c>
      <c r="T82" s="1089" t="s">
        <v>116</v>
      </c>
      <c r="U82" s="1089" t="s">
        <v>53</v>
      </c>
      <c r="V82" s="1089" t="s">
        <v>53</v>
      </c>
      <c r="W82" s="1089" t="s">
        <v>53</v>
      </c>
      <c r="X82" s="1089" t="s">
        <v>53</v>
      </c>
      <c r="Y82" s="1089" t="s">
        <v>53</v>
      </c>
      <c r="Z82" s="1089" t="s">
        <v>53</v>
      </c>
      <c r="AA82" s="1089" t="s">
        <v>116</v>
      </c>
      <c r="AB82" s="1089" t="s">
        <v>53</v>
      </c>
      <c r="AC82" s="1089" t="s">
        <v>53</v>
      </c>
      <c r="AD82" s="1089" t="s">
        <v>53</v>
      </c>
      <c r="AE82" s="1089" t="s">
        <v>53</v>
      </c>
      <c r="AF82" s="1089" t="s">
        <v>53</v>
      </c>
      <c r="AG82" s="1089" t="s">
        <v>53</v>
      </c>
      <c r="AH82" s="1089" t="s">
        <v>116</v>
      </c>
      <c r="AI82" s="1089" t="s">
        <v>53</v>
      </c>
      <c r="AJ82" s="773"/>
      <c r="AK82" s="1207">
        <f t="shared" si="12"/>
        <v>23</v>
      </c>
      <c r="AL82" s="1208">
        <f t="shared" si="13"/>
        <v>5</v>
      </c>
      <c r="AM82" s="1207">
        <f t="shared" si="14"/>
        <v>0</v>
      </c>
      <c r="AN82" s="1207">
        <f t="shared" si="15"/>
        <v>0</v>
      </c>
      <c r="AO82" s="1207">
        <f t="shared" si="16"/>
        <v>0</v>
      </c>
      <c r="AP82" s="1208">
        <f t="shared" si="17"/>
        <v>0</v>
      </c>
      <c r="AQ82" s="1209">
        <f t="shared" si="18"/>
        <v>28</v>
      </c>
      <c r="AR82" s="152"/>
      <c r="AS82" s="341" t="str">
        <f>'Mã số nhân viên'!I73</f>
        <v>03516</v>
      </c>
      <c r="AT82" s="1031">
        <f t="shared" si="11"/>
        <v>0</v>
      </c>
    </row>
    <row r="83" spans="1:47" ht="24.75" customHeight="1">
      <c r="A83" s="779">
        <v>71</v>
      </c>
      <c r="B83" s="779">
        <v>71</v>
      </c>
      <c r="C83" s="779" t="str">
        <f>VLOOKUP(D83,'Mã số nhân viên'!B73:I204,8,0)</f>
        <v>03516</v>
      </c>
      <c r="D83" s="416" t="s">
        <v>233</v>
      </c>
      <c r="E83" s="779"/>
      <c r="F83" s="1089" t="s">
        <v>116</v>
      </c>
      <c r="G83" s="1089" t="s">
        <v>837</v>
      </c>
      <c r="H83" s="1089" t="s">
        <v>53</v>
      </c>
      <c r="I83" s="1089" t="s">
        <v>53</v>
      </c>
      <c r="J83" s="1089" t="s">
        <v>53</v>
      </c>
      <c r="K83" s="1089" t="s">
        <v>53</v>
      </c>
      <c r="L83" s="1089" t="s">
        <v>53</v>
      </c>
      <c r="M83" s="1089" t="s">
        <v>116</v>
      </c>
      <c r="N83" s="1089" t="s">
        <v>53</v>
      </c>
      <c r="O83" s="1089" t="s">
        <v>53</v>
      </c>
      <c r="P83" s="1089" t="s">
        <v>53</v>
      </c>
      <c r="Q83" s="1089"/>
      <c r="R83" s="1089"/>
      <c r="S83" s="1089"/>
      <c r="T83" s="1089" t="s">
        <v>116</v>
      </c>
      <c r="U83" s="1089" t="s">
        <v>53</v>
      </c>
      <c r="V83" s="1089" t="s">
        <v>53</v>
      </c>
      <c r="W83" s="1089" t="s">
        <v>53</v>
      </c>
      <c r="X83" s="1089" t="s">
        <v>837</v>
      </c>
      <c r="Y83" s="1089" t="s">
        <v>837</v>
      </c>
      <c r="Z83" s="1089" t="s">
        <v>837</v>
      </c>
      <c r="AA83" s="1089" t="s">
        <v>837</v>
      </c>
      <c r="AB83" s="1089"/>
      <c r="AC83" s="1089" t="s">
        <v>53</v>
      </c>
      <c r="AD83" s="1089" t="s">
        <v>53</v>
      </c>
      <c r="AE83" s="1089" t="s">
        <v>53</v>
      </c>
      <c r="AF83" s="1089" t="s">
        <v>53</v>
      </c>
      <c r="AG83" s="1089" t="s">
        <v>53</v>
      </c>
      <c r="AH83" s="1089" t="s">
        <v>116</v>
      </c>
      <c r="AI83" s="1089" t="s">
        <v>53</v>
      </c>
      <c r="AJ83" s="773"/>
      <c r="AK83" s="1207">
        <f t="shared" si="12"/>
        <v>17</v>
      </c>
      <c r="AL83" s="1208">
        <f t="shared" si="13"/>
        <v>4</v>
      </c>
      <c r="AM83" s="1207">
        <f t="shared" si="14"/>
        <v>0</v>
      </c>
      <c r="AN83" s="1207">
        <f t="shared" si="15"/>
        <v>0</v>
      </c>
      <c r="AO83" s="1207">
        <f t="shared" si="16"/>
        <v>0</v>
      </c>
      <c r="AP83" s="1208">
        <f t="shared" si="17"/>
        <v>0</v>
      </c>
      <c r="AQ83" s="1209">
        <f t="shared" si="18"/>
        <v>21</v>
      </c>
      <c r="AR83" s="152"/>
      <c r="AS83" s="341" t="str">
        <f>'Mã số nhân viên'!I74</f>
        <v>03544</v>
      </c>
      <c r="AT83" s="1031">
        <f t="shared" si="11"/>
        <v>0</v>
      </c>
    </row>
    <row r="84" spans="1:47" ht="24.75" customHeight="1">
      <c r="A84" s="779">
        <v>72</v>
      </c>
      <c r="B84" s="779">
        <v>72</v>
      </c>
      <c r="C84" s="779" t="str">
        <f>VLOOKUP(D84,'Mã số nhân viên'!B74:I205,8,0)</f>
        <v>03544</v>
      </c>
      <c r="D84" s="416" t="s">
        <v>273</v>
      </c>
      <c r="E84" s="779"/>
      <c r="F84" s="1089" t="s">
        <v>116</v>
      </c>
      <c r="G84" s="1089" t="s">
        <v>53</v>
      </c>
      <c r="H84" s="1089" t="s">
        <v>53</v>
      </c>
      <c r="I84" s="1089" t="s">
        <v>53</v>
      </c>
      <c r="J84" s="1089" t="s">
        <v>53</v>
      </c>
      <c r="K84" s="1089" t="s">
        <v>53</v>
      </c>
      <c r="L84" s="1089" t="s">
        <v>53</v>
      </c>
      <c r="M84" s="1089" t="s">
        <v>116</v>
      </c>
      <c r="N84" s="1089" t="s">
        <v>53</v>
      </c>
      <c r="O84" s="1089" t="s">
        <v>53</v>
      </c>
      <c r="P84" s="1089" t="s">
        <v>53</v>
      </c>
      <c r="Q84" s="1089"/>
      <c r="R84" s="1089" t="s">
        <v>53</v>
      </c>
      <c r="S84" s="1089" t="s">
        <v>53</v>
      </c>
      <c r="T84" s="1089" t="s">
        <v>116</v>
      </c>
      <c r="U84" s="1089" t="s">
        <v>53</v>
      </c>
      <c r="V84" s="1089" t="s">
        <v>53</v>
      </c>
      <c r="W84" s="1089" t="s">
        <v>53</v>
      </c>
      <c r="X84" s="1089" t="s">
        <v>53</v>
      </c>
      <c r="Y84" s="1089" t="s">
        <v>53</v>
      </c>
      <c r="Z84" s="1089" t="s">
        <v>53</v>
      </c>
      <c r="AA84" s="1089" t="s">
        <v>116</v>
      </c>
      <c r="AB84" s="1089" t="s">
        <v>53</v>
      </c>
      <c r="AC84" s="1089" t="s">
        <v>53</v>
      </c>
      <c r="AD84" s="1089" t="s">
        <v>53</v>
      </c>
      <c r="AE84" s="1089" t="s">
        <v>53</v>
      </c>
      <c r="AF84" s="1089" t="s">
        <v>53</v>
      </c>
      <c r="AG84" s="1089"/>
      <c r="AH84" s="1089" t="s">
        <v>116</v>
      </c>
      <c r="AI84" s="1089" t="s">
        <v>53</v>
      </c>
      <c r="AJ84" s="773"/>
      <c r="AK84" s="1207">
        <f t="shared" si="12"/>
        <v>23</v>
      </c>
      <c r="AL84" s="1208">
        <f t="shared" si="13"/>
        <v>5</v>
      </c>
      <c r="AM84" s="1207">
        <f t="shared" si="14"/>
        <v>0</v>
      </c>
      <c r="AN84" s="1207">
        <f t="shared" si="15"/>
        <v>0</v>
      </c>
      <c r="AO84" s="1207">
        <f t="shared" si="16"/>
        <v>0</v>
      </c>
      <c r="AP84" s="1208">
        <f t="shared" si="17"/>
        <v>0</v>
      </c>
      <c r="AQ84" s="1209">
        <f t="shared" si="18"/>
        <v>28</v>
      </c>
      <c r="AR84" s="152"/>
      <c r="AS84" s="341" t="str">
        <f>'Mã số nhân viên'!I75</f>
        <v>04071</v>
      </c>
      <c r="AT84" s="1031">
        <f t="shared" si="11"/>
        <v>0</v>
      </c>
    </row>
    <row r="85" spans="1:47" ht="24.75" customHeight="1">
      <c r="A85" s="779">
        <v>73</v>
      </c>
      <c r="B85" s="779">
        <v>73</v>
      </c>
      <c r="C85" s="779" t="str">
        <f>VLOOKUP(D85,'Mã số nhân viên'!B75:I206,8,0)</f>
        <v>04071</v>
      </c>
      <c r="D85" s="416" t="s">
        <v>562</v>
      </c>
      <c r="E85" s="779"/>
      <c r="F85" s="1089" t="s">
        <v>116</v>
      </c>
      <c r="G85" s="1089" t="s">
        <v>53</v>
      </c>
      <c r="H85" s="1089" t="s">
        <v>53</v>
      </c>
      <c r="I85" s="1089" t="s">
        <v>53</v>
      </c>
      <c r="J85" s="1089" t="s">
        <v>53</v>
      </c>
      <c r="K85" s="1089" t="s">
        <v>53</v>
      </c>
      <c r="L85" s="1089" t="s">
        <v>53</v>
      </c>
      <c r="M85" s="1089" t="s">
        <v>116</v>
      </c>
      <c r="N85" s="1089" t="s">
        <v>53</v>
      </c>
      <c r="O85" s="1089" t="s">
        <v>53</v>
      </c>
      <c r="P85" s="1089" t="s">
        <v>53</v>
      </c>
      <c r="Q85" s="1089"/>
      <c r="R85" s="1089" t="s">
        <v>53</v>
      </c>
      <c r="S85" s="1089" t="s">
        <v>53</v>
      </c>
      <c r="T85" s="1089" t="s">
        <v>116</v>
      </c>
      <c r="U85" s="1089" t="s">
        <v>53</v>
      </c>
      <c r="V85" s="1089" t="s">
        <v>53</v>
      </c>
      <c r="W85" s="1089" t="s">
        <v>53</v>
      </c>
      <c r="X85" s="1089" t="s">
        <v>53</v>
      </c>
      <c r="Y85" s="1089" t="s">
        <v>53</v>
      </c>
      <c r="Z85" s="1089" t="s">
        <v>53</v>
      </c>
      <c r="AA85" s="1089" t="s">
        <v>116</v>
      </c>
      <c r="AB85" s="1089" t="s">
        <v>53</v>
      </c>
      <c r="AC85" s="1089" t="s">
        <v>53</v>
      </c>
      <c r="AD85" s="1089" t="s">
        <v>53</v>
      </c>
      <c r="AE85" s="1089" t="s">
        <v>53</v>
      </c>
      <c r="AF85" s="1089" t="s">
        <v>53</v>
      </c>
      <c r="AG85" s="1089"/>
      <c r="AH85" s="1089" t="s">
        <v>116</v>
      </c>
      <c r="AI85" s="1089" t="s">
        <v>53</v>
      </c>
      <c r="AJ85" s="773"/>
      <c r="AK85" s="1207">
        <f t="shared" si="12"/>
        <v>23</v>
      </c>
      <c r="AL85" s="1208">
        <f t="shared" si="13"/>
        <v>5</v>
      </c>
      <c r="AM85" s="1207">
        <f t="shared" si="14"/>
        <v>0</v>
      </c>
      <c r="AN85" s="1207">
        <f t="shared" si="15"/>
        <v>0</v>
      </c>
      <c r="AO85" s="1207">
        <f t="shared" si="16"/>
        <v>0</v>
      </c>
      <c r="AP85" s="1208">
        <f t="shared" si="17"/>
        <v>0</v>
      </c>
      <c r="AQ85" s="1209">
        <f t="shared" si="18"/>
        <v>28</v>
      </c>
      <c r="AR85" s="152"/>
      <c r="AS85" s="630">
        <f>'Mã số nhân viên'!I76</f>
        <v>0</v>
      </c>
      <c r="AT85" s="483">
        <f>E86-AS85</f>
        <v>0</v>
      </c>
    </row>
    <row r="86" spans="1:47" ht="24.75" customHeight="1">
      <c r="A86" s="779">
        <v>74</v>
      </c>
      <c r="B86" s="779">
        <v>74</v>
      </c>
      <c r="C86" s="779"/>
      <c r="D86" s="1093" t="s">
        <v>515</v>
      </c>
      <c r="E86" s="124"/>
      <c r="F86" s="1089"/>
      <c r="G86" s="1089"/>
      <c r="H86" s="1089"/>
      <c r="I86" s="1089"/>
      <c r="J86" s="1089"/>
      <c r="K86" s="1089"/>
      <c r="L86" s="1089"/>
      <c r="M86" s="1089"/>
      <c r="N86" s="1089"/>
      <c r="O86" s="1089"/>
      <c r="P86" s="1089"/>
      <c r="Q86" s="1089"/>
      <c r="R86" s="1089"/>
      <c r="S86" s="1089"/>
      <c r="T86" s="1089"/>
      <c r="U86" s="1089"/>
      <c r="V86" s="1089"/>
      <c r="W86" s="1089"/>
      <c r="X86" s="1089"/>
      <c r="Y86" s="1089"/>
      <c r="Z86" s="1089"/>
      <c r="AA86" s="1089"/>
      <c r="AB86" s="1089" t="s">
        <v>53</v>
      </c>
      <c r="AC86" s="1089" t="s">
        <v>53</v>
      </c>
      <c r="AD86" s="1089" t="s">
        <v>53</v>
      </c>
      <c r="AE86" s="1089" t="s">
        <v>53</v>
      </c>
      <c r="AF86" s="1089" t="s">
        <v>53</v>
      </c>
      <c r="AG86" s="1089" t="s">
        <v>53</v>
      </c>
      <c r="AH86" s="1089" t="s">
        <v>116</v>
      </c>
      <c r="AI86" s="1089" t="s">
        <v>53</v>
      </c>
      <c r="AJ86" s="773"/>
      <c r="AK86" s="1207">
        <f t="shared" si="12"/>
        <v>7</v>
      </c>
      <c r="AL86" s="1208">
        <f t="shared" si="13"/>
        <v>1</v>
      </c>
      <c r="AM86" s="1207">
        <f t="shared" si="14"/>
        <v>0</v>
      </c>
      <c r="AN86" s="1207">
        <f t="shared" si="15"/>
        <v>0</v>
      </c>
      <c r="AO86" s="1207">
        <f t="shared" si="16"/>
        <v>0</v>
      </c>
      <c r="AP86" s="1208">
        <f t="shared" si="17"/>
        <v>0</v>
      </c>
      <c r="AQ86" s="1209">
        <f t="shared" si="18"/>
        <v>8</v>
      </c>
      <c r="AR86" s="152"/>
    </row>
    <row r="87" spans="1:47" ht="24.75" customHeight="1">
      <c r="A87" s="779">
        <v>75</v>
      </c>
      <c r="B87" s="779">
        <v>75</v>
      </c>
      <c r="C87" s="779"/>
      <c r="D87" s="1093" t="s">
        <v>838</v>
      </c>
      <c r="E87" s="124"/>
      <c r="F87" s="1089"/>
      <c r="G87" s="1089" t="s">
        <v>53</v>
      </c>
      <c r="H87" s="1089" t="s">
        <v>53</v>
      </c>
      <c r="I87" s="1089" t="s">
        <v>53</v>
      </c>
      <c r="J87" s="1089" t="s">
        <v>53</v>
      </c>
      <c r="K87" s="1089" t="s">
        <v>53</v>
      </c>
      <c r="L87" s="1089" t="s">
        <v>53</v>
      </c>
      <c r="M87" s="1089"/>
      <c r="N87" s="1089" t="s">
        <v>53</v>
      </c>
      <c r="O87" s="1089" t="s">
        <v>53</v>
      </c>
      <c r="P87" s="1089"/>
      <c r="Q87" s="1089"/>
      <c r="R87" s="1089"/>
      <c r="S87" s="1089" t="s">
        <v>53</v>
      </c>
      <c r="T87" s="1089" t="s">
        <v>116</v>
      </c>
      <c r="U87" s="1089" t="s">
        <v>53</v>
      </c>
      <c r="V87" s="1089" t="s">
        <v>53</v>
      </c>
      <c r="W87" s="1089" t="s">
        <v>53</v>
      </c>
      <c r="X87" s="1089" t="s">
        <v>53</v>
      </c>
      <c r="Y87" s="1089" t="s">
        <v>53</v>
      </c>
      <c r="Z87" s="1089" t="s">
        <v>53</v>
      </c>
      <c r="AA87" s="1089" t="s">
        <v>116</v>
      </c>
      <c r="AB87" s="1089" t="s">
        <v>53</v>
      </c>
      <c r="AC87" s="1089" t="s">
        <v>53</v>
      </c>
      <c r="AD87" s="1089" t="s">
        <v>53</v>
      </c>
      <c r="AE87" s="1089" t="s">
        <v>53</v>
      </c>
      <c r="AF87" s="1089" t="s">
        <v>53</v>
      </c>
      <c r="AG87" s="1089" t="s">
        <v>53</v>
      </c>
      <c r="AH87" s="1089" t="s">
        <v>116</v>
      </c>
      <c r="AI87" s="1089" t="s">
        <v>53</v>
      </c>
      <c r="AJ87" s="773"/>
      <c r="AK87" s="1207">
        <f t="shared" si="12"/>
        <v>22</v>
      </c>
      <c r="AL87" s="1208">
        <f t="shared" si="13"/>
        <v>3</v>
      </c>
      <c r="AM87" s="1207">
        <f t="shared" si="14"/>
        <v>0</v>
      </c>
      <c r="AN87" s="1207">
        <f t="shared" si="15"/>
        <v>0</v>
      </c>
      <c r="AO87" s="1207">
        <f t="shared" si="16"/>
        <v>0</v>
      </c>
      <c r="AP87" s="1208">
        <f t="shared" si="17"/>
        <v>0</v>
      </c>
      <c r="AQ87" s="1209">
        <f t="shared" si="18"/>
        <v>25</v>
      </c>
      <c r="AR87" s="152"/>
    </row>
    <row r="88" spans="1:47" ht="24.75" customHeight="1">
      <c r="A88" s="779">
        <v>76</v>
      </c>
      <c r="B88" s="779">
        <v>76</v>
      </c>
      <c r="C88" s="779"/>
      <c r="D88" s="1093" t="s">
        <v>839</v>
      </c>
      <c r="E88" s="124"/>
      <c r="F88" s="1089"/>
      <c r="G88" s="1089" t="s">
        <v>53</v>
      </c>
      <c r="H88" s="1089"/>
      <c r="I88" s="1089" t="s">
        <v>53</v>
      </c>
      <c r="J88" s="1089" t="s">
        <v>53</v>
      </c>
      <c r="K88" s="1089" t="s">
        <v>53</v>
      </c>
      <c r="L88" s="1089"/>
      <c r="M88" s="1089"/>
      <c r="N88" s="1089" t="s">
        <v>53</v>
      </c>
      <c r="O88" s="1089" t="s">
        <v>53</v>
      </c>
      <c r="P88" s="1089"/>
      <c r="Q88" s="1089"/>
      <c r="R88" s="1089"/>
      <c r="S88" s="1089" t="s">
        <v>53</v>
      </c>
      <c r="T88" s="1089" t="s">
        <v>116</v>
      </c>
      <c r="U88" s="1089" t="s">
        <v>53</v>
      </c>
      <c r="V88" s="1089" t="s">
        <v>53</v>
      </c>
      <c r="W88" s="1089" t="s">
        <v>53</v>
      </c>
      <c r="X88" s="1089" t="s">
        <v>53</v>
      </c>
      <c r="Y88" s="1089" t="s">
        <v>53</v>
      </c>
      <c r="Z88" s="1089" t="s">
        <v>53</v>
      </c>
      <c r="AA88" s="1089" t="s">
        <v>116</v>
      </c>
      <c r="AB88" s="1089" t="s">
        <v>53</v>
      </c>
      <c r="AC88" s="1089" t="s">
        <v>53</v>
      </c>
      <c r="AD88" s="1089" t="s">
        <v>53</v>
      </c>
      <c r="AE88" s="1089" t="s">
        <v>53</v>
      </c>
      <c r="AF88" s="1089" t="s">
        <v>53</v>
      </c>
      <c r="AG88" s="1089" t="s">
        <v>53</v>
      </c>
      <c r="AH88" s="1089" t="s">
        <v>116</v>
      </c>
      <c r="AI88" s="1089" t="s">
        <v>53</v>
      </c>
      <c r="AJ88" s="773"/>
      <c r="AK88" s="1207">
        <f t="shared" si="12"/>
        <v>20</v>
      </c>
      <c r="AL88" s="1208">
        <f t="shared" si="13"/>
        <v>3</v>
      </c>
      <c r="AM88" s="1207">
        <f t="shared" si="14"/>
        <v>0</v>
      </c>
      <c r="AN88" s="1207">
        <f t="shared" si="15"/>
        <v>0</v>
      </c>
      <c r="AO88" s="1207">
        <f t="shared" si="16"/>
        <v>0</v>
      </c>
      <c r="AP88" s="1208">
        <f t="shared" si="17"/>
        <v>0</v>
      </c>
      <c r="AQ88" s="1209">
        <f t="shared" si="18"/>
        <v>23</v>
      </c>
      <c r="AR88" s="152"/>
    </row>
    <row r="89" spans="1:47" ht="24.75" customHeight="1">
      <c r="A89" s="779">
        <v>77</v>
      </c>
      <c r="B89" s="779">
        <v>77</v>
      </c>
      <c r="C89" s="779"/>
      <c r="D89" s="1093" t="s">
        <v>840</v>
      </c>
      <c r="E89" s="124"/>
      <c r="F89" s="1089"/>
      <c r="G89" s="1089" t="s">
        <v>53</v>
      </c>
      <c r="H89" s="1089"/>
      <c r="I89" s="1089"/>
      <c r="J89" s="1089"/>
      <c r="K89" s="1089"/>
      <c r="L89" s="1089"/>
      <c r="M89" s="1089"/>
      <c r="N89" s="1089" t="s">
        <v>53</v>
      </c>
      <c r="O89" s="1089" t="s">
        <v>53</v>
      </c>
      <c r="P89" s="1089"/>
      <c r="Q89" s="1089"/>
      <c r="R89" s="1089"/>
      <c r="S89" s="1089" t="s">
        <v>53</v>
      </c>
      <c r="T89" s="1089"/>
      <c r="U89" s="1089" t="s">
        <v>53</v>
      </c>
      <c r="V89" s="1089" t="s">
        <v>53</v>
      </c>
      <c r="W89" s="1089" t="s">
        <v>53</v>
      </c>
      <c r="X89" s="1089" t="s">
        <v>53</v>
      </c>
      <c r="Y89" s="1089" t="s">
        <v>53</v>
      </c>
      <c r="Z89" s="1089" t="s">
        <v>53</v>
      </c>
      <c r="AA89" s="1089" t="s">
        <v>116</v>
      </c>
      <c r="AB89" s="1089"/>
      <c r="AC89" s="1089" t="s">
        <v>53</v>
      </c>
      <c r="AD89" s="1089" t="s">
        <v>53</v>
      </c>
      <c r="AE89" s="1089" t="s">
        <v>53</v>
      </c>
      <c r="AF89" s="1089" t="s">
        <v>53</v>
      </c>
      <c r="AG89" s="1089" t="s">
        <v>53</v>
      </c>
      <c r="AH89" s="1089" t="s">
        <v>116</v>
      </c>
      <c r="AI89" s="1089"/>
      <c r="AJ89" s="773"/>
      <c r="AK89" s="1207">
        <f t="shared" si="12"/>
        <v>15</v>
      </c>
      <c r="AL89" s="1208">
        <f t="shared" si="13"/>
        <v>2</v>
      </c>
      <c r="AM89" s="1207">
        <f t="shared" si="14"/>
        <v>0</v>
      </c>
      <c r="AN89" s="1207">
        <f t="shared" si="15"/>
        <v>0</v>
      </c>
      <c r="AO89" s="1207">
        <f t="shared" si="16"/>
        <v>0</v>
      </c>
      <c r="AP89" s="1208">
        <f t="shared" si="17"/>
        <v>0</v>
      </c>
      <c r="AQ89" s="1209">
        <f t="shared" si="18"/>
        <v>17</v>
      </c>
      <c r="AR89" s="152"/>
    </row>
    <row r="90" spans="1:47" ht="24.75" customHeight="1">
      <c r="A90" s="779">
        <v>78</v>
      </c>
      <c r="B90" s="779">
        <v>78</v>
      </c>
      <c r="C90" s="779"/>
      <c r="D90" s="1094" t="s">
        <v>845</v>
      </c>
      <c r="E90" s="124"/>
      <c r="F90" s="1089"/>
      <c r="G90" s="1089"/>
      <c r="H90" s="1089"/>
      <c r="I90" s="1089"/>
      <c r="J90" s="1089"/>
      <c r="K90" s="1089"/>
      <c r="L90" s="1089"/>
      <c r="M90" s="1089"/>
      <c r="N90" s="1089"/>
      <c r="O90" s="1089" t="s">
        <v>53</v>
      </c>
      <c r="P90" s="1089"/>
      <c r="Q90" s="1089"/>
      <c r="R90" s="1089"/>
      <c r="S90" s="1089" t="s">
        <v>53</v>
      </c>
      <c r="T90" s="1089"/>
      <c r="U90" s="1089" t="s">
        <v>53</v>
      </c>
      <c r="V90" s="1089" t="s">
        <v>53</v>
      </c>
      <c r="W90" s="1089" t="s">
        <v>53</v>
      </c>
      <c r="X90" s="1089" t="s">
        <v>53</v>
      </c>
      <c r="Y90" s="1089" t="s">
        <v>53</v>
      </c>
      <c r="Z90" s="1089"/>
      <c r="AA90" s="1089" t="s">
        <v>116</v>
      </c>
      <c r="AB90" s="1089"/>
      <c r="AC90" s="1089" t="s">
        <v>53</v>
      </c>
      <c r="AD90" s="1089" t="s">
        <v>53</v>
      </c>
      <c r="AE90" s="1089" t="s">
        <v>53</v>
      </c>
      <c r="AF90" s="1089" t="s">
        <v>53</v>
      </c>
      <c r="AG90" s="1089" t="s">
        <v>53</v>
      </c>
      <c r="AH90" s="1089" t="s">
        <v>116</v>
      </c>
      <c r="AI90" s="1089"/>
      <c r="AJ90" s="773"/>
      <c r="AK90" s="1207">
        <f t="shared" si="12"/>
        <v>12</v>
      </c>
      <c r="AL90" s="1208">
        <f t="shared" si="13"/>
        <v>2</v>
      </c>
      <c r="AM90" s="1207">
        <f t="shared" si="14"/>
        <v>0</v>
      </c>
      <c r="AN90" s="1207">
        <f t="shared" si="15"/>
        <v>0</v>
      </c>
      <c r="AO90" s="1207">
        <f t="shared" si="16"/>
        <v>0</v>
      </c>
      <c r="AP90" s="1208">
        <f t="shared" si="17"/>
        <v>0</v>
      </c>
      <c r="AQ90" s="1209">
        <f t="shared" si="18"/>
        <v>14</v>
      </c>
      <c r="AR90" s="152"/>
    </row>
    <row r="91" spans="1:47" ht="24.75" customHeight="1">
      <c r="A91" s="779">
        <v>79</v>
      </c>
      <c r="B91" s="779">
        <v>79</v>
      </c>
      <c r="C91" s="779"/>
      <c r="D91" s="1094" t="s">
        <v>841</v>
      </c>
      <c r="E91" s="124"/>
      <c r="F91" s="1089"/>
      <c r="G91" s="1089"/>
      <c r="H91" s="1089"/>
      <c r="I91" s="1089"/>
      <c r="J91" s="1089"/>
      <c r="K91" s="1089"/>
      <c r="L91" s="1089"/>
      <c r="M91" s="1089"/>
      <c r="N91" s="1089"/>
      <c r="O91" s="1089"/>
      <c r="P91" s="1089"/>
      <c r="Q91" s="1089"/>
      <c r="R91" s="1089"/>
      <c r="S91" s="1089"/>
      <c r="T91" s="1089"/>
      <c r="U91" s="1089" t="s">
        <v>53</v>
      </c>
      <c r="V91" s="1089" t="s">
        <v>53</v>
      </c>
      <c r="W91" s="1089" t="s">
        <v>53</v>
      </c>
      <c r="X91" s="1089" t="s">
        <v>53</v>
      </c>
      <c r="Y91" s="1089" t="s">
        <v>53</v>
      </c>
      <c r="Z91" s="1089"/>
      <c r="AA91" s="1089"/>
      <c r="AB91" s="1089"/>
      <c r="AC91" s="1089"/>
      <c r="AD91" s="1089"/>
      <c r="AE91" s="1089"/>
      <c r="AF91" s="1089"/>
      <c r="AG91" s="1089" t="s">
        <v>53</v>
      </c>
      <c r="AH91" s="1089" t="s">
        <v>116</v>
      </c>
      <c r="AI91" s="1089"/>
      <c r="AJ91" s="773"/>
      <c r="AK91" s="1207">
        <f t="shared" si="12"/>
        <v>6</v>
      </c>
      <c r="AL91" s="1208">
        <f t="shared" si="13"/>
        <v>1</v>
      </c>
      <c r="AM91" s="1207">
        <f t="shared" si="14"/>
        <v>0</v>
      </c>
      <c r="AN91" s="1207">
        <f t="shared" si="15"/>
        <v>0</v>
      </c>
      <c r="AO91" s="1207">
        <f t="shared" si="16"/>
        <v>0</v>
      </c>
      <c r="AP91" s="1208">
        <f t="shared" si="17"/>
        <v>0</v>
      </c>
      <c r="AQ91" s="1209">
        <f t="shared" si="18"/>
        <v>7</v>
      </c>
      <c r="AR91" s="152"/>
    </row>
    <row r="92" spans="1:47" ht="24.75" customHeight="1">
      <c r="A92" s="779">
        <v>80</v>
      </c>
      <c r="B92" s="779">
        <v>80</v>
      </c>
      <c r="C92" s="779"/>
      <c r="D92" s="1094" t="s">
        <v>505</v>
      </c>
      <c r="E92" s="124"/>
      <c r="F92" s="1089"/>
      <c r="G92" s="1089"/>
      <c r="H92" s="1089"/>
      <c r="I92" s="1089"/>
      <c r="J92" s="1089"/>
      <c r="K92" s="1089"/>
      <c r="L92" s="1089"/>
      <c r="M92" s="1089"/>
      <c r="N92" s="1089"/>
      <c r="O92" s="1089"/>
      <c r="P92" s="1089"/>
      <c r="Q92" s="1089"/>
      <c r="R92" s="1089"/>
      <c r="S92" s="1089"/>
      <c r="T92" s="1089"/>
      <c r="U92" s="1089" t="s">
        <v>53</v>
      </c>
      <c r="V92" s="1089" t="s">
        <v>53</v>
      </c>
      <c r="W92" s="1089"/>
      <c r="X92" s="1089"/>
      <c r="Y92" s="1089"/>
      <c r="Z92" s="1089"/>
      <c r="AA92" s="1089"/>
      <c r="AB92" s="1089"/>
      <c r="AC92" s="1089"/>
      <c r="AD92" s="1089"/>
      <c r="AE92" s="1089"/>
      <c r="AF92" s="1089"/>
      <c r="AG92" s="1089" t="s">
        <v>53</v>
      </c>
      <c r="AH92" s="1089" t="s">
        <v>116</v>
      </c>
      <c r="AI92" s="1089"/>
      <c r="AJ92" s="773"/>
      <c r="AK92" s="1207">
        <f t="shared" ref="AK92" si="19">SUM(COUNTIF(F92:AJ92,"x"))</f>
        <v>3</v>
      </c>
      <c r="AL92" s="1208">
        <f t="shared" ref="AL92" si="20">SUM(COUNTIF(F92:AJ92,"cn"))</f>
        <v>1</v>
      </c>
      <c r="AM92" s="1207">
        <f t="shared" ref="AM92" si="21">SUM(COUNTIF(F92:AJ92,"đ"))</f>
        <v>0</v>
      </c>
      <c r="AN92" s="1207">
        <f t="shared" ref="AN92" si="22">SUM(COUNTIF(F92:AJ92,"đc"))</f>
        <v>0</v>
      </c>
      <c r="AO92" s="1207">
        <f t="shared" ref="AO92" si="23">SUM(COUNTIF(F92:AJ92,"gt"))</f>
        <v>0</v>
      </c>
      <c r="AP92" s="1208">
        <f t="shared" ref="AP92" si="24">SUM(COUNTIF(F92:AJ92,"ct"))</f>
        <v>0</v>
      </c>
      <c r="AQ92" s="1209">
        <f t="shared" ref="AQ92" si="25">AK92+AL92+AM92+AN92+AO92+AP92</f>
        <v>4</v>
      </c>
      <c r="AR92" s="152"/>
    </row>
    <row r="93" spans="1:47" ht="24.75" customHeight="1">
      <c r="A93" s="779">
        <v>81</v>
      </c>
      <c r="B93" s="779">
        <v>81</v>
      </c>
      <c r="C93" s="779"/>
      <c r="D93" s="1094" t="s">
        <v>842</v>
      </c>
      <c r="E93" s="124"/>
      <c r="F93" s="1089"/>
      <c r="G93" s="1089"/>
      <c r="H93" s="1089"/>
      <c r="I93" s="1089"/>
      <c r="J93" s="1089"/>
      <c r="K93" s="1089"/>
      <c r="L93" s="1089"/>
      <c r="M93" s="1089"/>
      <c r="N93" s="1089"/>
      <c r="O93" s="1089"/>
      <c r="P93" s="1089"/>
      <c r="Q93" s="1089"/>
      <c r="R93" s="1089"/>
      <c r="S93" s="1089"/>
      <c r="T93" s="1089"/>
      <c r="U93" s="1089" t="s">
        <v>53</v>
      </c>
      <c r="V93" s="1089" t="s">
        <v>53</v>
      </c>
      <c r="W93" s="1089"/>
      <c r="X93" s="1089"/>
      <c r="Y93" s="1089"/>
      <c r="Z93" s="1089"/>
      <c r="AA93" s="1089"/>
      <c r="AB93" s="1089"/>
      <c r="AC93" s="1089"/>
      <c r="AD93" s="1089"/>
      <c r="AE93" s="1089"/>
      <c r="AF93" s="1089"/>
      <c r="AG93" s="1089"/>
      <c r="AH93" s="1089"/>
      <c r="AI93" s="1089"/>
      <c r="AJ93" s="773"/>
      <c r="AK93" s="1207">
        <f t="shared" ref="AK93" si="26">SUM(COUNTIF(F93:AJ93,"x"))</f>
        <v>2</v>
      </c>
      <c r="AL93" s="1208">
        <f t="shared" ref="AL93" si="27">SUM(COUNTIF(F93:AJ93,"cn"))</f>
        <v>0</v>
      </c>
      <c r="AM93" s="1207">
        <f t="shared" ref="AM93" si="28">SUM(COUNTIF(F93:AJ93,"đ"))</f>
        <v>0</v>
      </c>
      <c r="AN93" s="1207">
        <f t="shared" ref="AN93" si="29">SUM(COUNTIF(F93:AJ93,"đc"))</f>
        <v>0</v>
      </c>
      <c r="AO93" s="1207">
        <f t="shared" ref="AO93" si="30">SUM(COUNTIF(F93:AJ93,"gt"))</f>
        <v>0</v>
      </c>
      <c r="AP93" s="1208">
        <f t="shared" ref="AP93" si="31">SUM(COUNTIF(F93:AJ93,"ct"))</f>
        <v>0</v>
      </c>
      <c r="AQ93" s="1209">
        <f t="shared" ref="AQ93" si="32">AK93+AL93+AM93+AN93+AO93+AP93</f>
        <v>2</v>
      </c>
      <c r="AR93" s="152"/>
    </row>
    <row r="94" spans="1:47" s="628" customFormat="1" ht="24.75" customHeight="1">
      <c r="A94" s="1304" t="s">
        <v>579</v>
      </c>
      <c r="B94" s="1304"/>
      <c r="C94" s="1304"/>
      <c r="D94" s="1304"/>
      <c r="E94" s="1304"/>
      <c r="F94" s="626">
        <f>SUM(COUNTIF(F95:F156,"x"))+(COUNTIF(F95:F156,"cn"))+(COUNTIF(F95:F156,"cnđ"))+(COUNTIF(F95:F156,"đ"))</f>
        <v>58</v>
      </c>
      <c r="G94" s="626">
        <f t="shared" ref="G94:AI94" si="33">SUM(COUNTIF(G95:G156,"x"))+(COUNTIF(G95:G156,"cn"))+(COUNTIF(G95:G156,"cnđ"))+(COUNTIF(G95:G156,"đ"))</f>
        <v>58</v>
      </c>
      <c r="H94" s="626">
        <f t="shared" si="33"/>
        <v>58</v>
      </c>
      <c r="I94" s="626">
        <f t="shared" si="33"/>
        <v>58</v>
      </c>
      <c r="J94" s="626">
        <f t="shared" si="33"/>
        <v>58</v>
      </c>
      <c r="K94" s="626">
        <f t="shared" si="33"/>
        <v>58</v>
      </c>
      <c r="L94" s="626">
        <f t="shared" si="33"/>
        <v>58</v>
      </c>
      <c r="M94" s="626">
        <f t="shared" si="33"/>
        <v>58</v>
      </c>
      <c r="N94" s="626">
        <f t="shared" si="33"/>
        <v>58</v>
      </c>
      <c r="O94" s="626">
        <f t="shared" si="33"/>
        <v>58</v>
      </c>
      <c r="P94" s="626">
        <f t="shared" si="33"/>
        <v>57</v>
      </c>
      <c r="Q94" s="626">
        <f t="shared" si="33"/>
        <v>7</v>
      </c>
      <c r="R94" s="626">
        <f t="shared" si="33"/>
        <v>49</v>
      </c>
      <c r="S94" s="626">
        <f t="shared" si="33"/>
        <v>57</v>
      </c>
      <c r="T94" s="626">
        <f t="shared" si="33"/>
        <v>58</v>
      </c>
      <c r="U94" s="626">
        <f t="shared" si="33"/>
        <v>58</v>
      </c>
      <c r="V94" s="626">
        <f t="shared" si="33"/>
        <v>58</v>
      </c>
      <c r="W94" s="626">
        <f t="shared" si="33"/>
        <v>58</v>
      </c>
      <c r="X94" s="626">
        <f t="shared" si="33"/>
        <v>58</v>
      </c>
      <c r="Y94" s="626">
        <f t="shared" si="33"/>
        <v>58</v>
      </c>
      <c r="Z94" s="626">
        <f t="shared" si="33"/>
        <v>58</v>
      </c>
      <c r="AA94" s="626">
        <f t="shared" si="33"/>
        <v>58</v>
      </c>
      <c r="AB94" s="626">
        <f t="shared" si="33"/>
        <v>58</v>
      </c>
      <c r="AC94" s="626">
        <f t="shared" si="33"/>
        <v>56</v>
      </c>
      <c r="AD94" s="626">
        <f t="shared" si="33"/>
        <v>58</v>
      </c>
      <c r="AE94" s="626">
        <f t="shared" si="33"/>
        <v>58</v>
      </c>
      <c r="AF94" s="626">
        <f t="shared" si="33"/>
        <v>58</v>
      </c>
      <c r="AG94" s="626">
        <f t="shared" si="33"/>
        <v>56</v>
      </c>
      <c r="AH94" s="626">
        <f t="shared" si="33"/>
        <v>57</v>
      </c>
      <c r="AI94" s="626">
        <f t="shared" si="33"/>
        <v>57</v>
      </c>
      <c r="AJ94" s="626">
        <f>SUM(COUNTIF(AJ95:AJ156,"x"))+(COUNTIF(AJ95:AJ156,"cn"))</f>
        <v>0</v>
      </c>
      <c r="AK94" s="528">
        <f>SUM(AK95:AK156)</f>
        <v>1383</v>
      </c>
      <c r="AL94" s="528">
        <f t="shared" ref="AL94:AQ94" si="34">SUM(AL95:AL156)</f>
        <v>289</v>
      </c>
      <c r="AM94" s="528">
        <f t="shared" si="34"/>
        <v>0</v>
      </c>
      <c r="AN94" s="528">
        <f t="shared" si="34"/>
        <v>0</v>
      </c>
      <c r="AO94" s="528">
        <f t="shared" si="34"/>
        <v>0</v>
      </c>
      <c r="AP94" s="528">
        <f t="shared" si="34"/>
        <v>0</v>
      </c>
      <c r="AQ94" s="528">
        <f t="shared" si="34"/>
        <v>1672</v>
      </c>
      <c r="AR94" s="627"/>
      <c r="AT94" s="629"/>
    </row>
    <row r="95" spans="1:47" ht="24.75" customHeight="1">
      <c r="A95" s="779">
        <v>82</v>
      </c>
      <c r="B95" s="539">
        <v>1</v>
      </c>
      <c r="C95" s="779" t="str">
        <f>VLOOKUP(D95,'Mã số nhân viên'!B77:I134,8,0)</f>
        <v>04072</v>
      </c>
      <c r="D95" s="115" t="s">
        <v>563</v>
      </c>
      <c r="E95" s="124"/>
      <c r="F95" s="861" t="s">
        <v>116</v>
      </c>
      <c r="G95" s="861" t="s">
        <v>53</v>
      </c>
      <c r="H95" s="861" t="s">
        <v>53</v>
      </c>
      <c r="I95" s="861" t="s">
        <v>53</v>
      </c>
      <c r="J95" s="861" t="s">
        <v>53</v>
      </c>
      <c r="K95" s="861" t="s">
        <v>53</v>
      </c>
      <c r="L95" s="861" t="s">
        <v>53</v>
      </c>
      <c r="M95" s="861" t="s">
        <v>116</v>
      </c>
      <c r="N95" s="861" t="s">
        <v>53</v>
      </c>
      <c r="O95" s="861" t="s">
        <v>53</v>
      </c>
      <c r="P95" s="861" t="s">
        <v>53</v>
      </c>
      <c r="Q95" s="861"/>
      <c r="R95" s="861" t="s">
        <v>53</v>
      </c>
      <c r="S95" s="861" t="s">
        <v>53</v>
      </c>
      <c r="T95" s="861" t="s">
        <v>116</v>
      </c>
      <c r="U95" s="861" t="s">
        <v>53</v>
      </c>
      <c r="V95" s="861" t="s">
        <v>53</v>
      </c>
      <c r="W95" s="861" t="s">
        <v>53</v>
      </c>
      <c r="X95" s="861" t="s">
        <v>53</v>
      </c>
      <c r="Y95" s="861" t="s">
        <v>53</v>
      </c>
      <c r="Z95" s="861" t="s">
        <v>53</v>
      </c>
      <c r="AA95" s="861" t="s">
        <v>116</v>
      </c>
      <c r="AB95" s="861" t="s">
        <v>53</v>
      </c>
      <c r="AC95" s="861" t="s">
        <v>53</v>
      </c>
      <c r="AD95" s="861" t="s">
        <v>53</v>
      </c>
      <c r="AE95" s="861" t="s">
        <v>53</v>
      </c>
      <c r="AF95" s="861" t="s">
        <v>53</v>
      </c>
      <c r="AG95" s="861" t="s">
        <v>53</v>
      </c>
      <c r="AH95" s="861" t="s">
        <v>116</v>
      </c>
      <c r="AI95" s="861" t="s">
        <v>53</v>
      </c>
      <c r="AJ95" s="1095"/>
      <c r="AK95" s="1207">
        <f>SUM(COUNTIF(F95:AJ95,"x"))</f>
        <v>24</v>
      </c>
      <c r="AL95" s="1208">
        <f t="shared" ref="AL95" si="35">SUM(COUNTIF(F95:AJ95,"cn"))</f>
        <v>5</v>
      </c>
      <c r="AM95" s="1207">
        <f t="shared" ref="AM95" si="36">SUM(COUNTIF(F95:AJ95,"đ"))</f>
        <v>0</v>
      </c>
      <c r="AN95" s="1207">
        <f>SUM(COUNTIF(F95:AJ95,"đc"))</f>
        <v>0</v>
      </c>
      <c r="AO95" s="1207">
        <f t="shared" ref="AO95" si="37">SUM(COUNTIF(F95:AJ95,"gt"))</f>
        <v>0</v>
      </c>
      <c r="AP95" s="1208">
        <f>SUM(COUNTIF(F95:AJ95,"ct"))</f>
        <v>0</v>
      </c>
      <c r="AQ95" s="1209">
        <f>AK95+AL95+AM95+AN95+AO95+AP95</f>
        <v>29</v>
      </c>
      <c r="AR95" s="152"/>
      <c r="AS95" s="155" t="str">
        <f>'Mã số nhân viên'!I77</f>
        <v>04072</v>
      </c>
      <c r="AT95" s="1032">
        <f t="shared" ref="AT95:AT126" si="38">C95-AS95</f>
        <v>0</v>
      </c>
      <c r="AU95" s="150">
        <v>129</v>
      </c>
    </row>
    <row r="96" spans="1:47" ht="24.75" customHeight="1">
      <c r="A96" s="779">
        <v>83</v>
      </c>
      <c r="B96" s="539">
        <v>2</v>
      </c>
      <c r="C96" s="779" t="str">
        <f>VLOOKUP(D96,'Mã số nhân viên'!B78:I135,8,0)</f>
        <v>03466</v>
      </c>
      <c r="D96" s="115" t="s">
        <v>249</v>
      </c>
      <c r="E96" s="124"/>
      <c r="F96" s="861" t="s">
        <v>116</v>
      </c>
      <c r="G96" s="861" t="s">
        <v>53</v>
      </c>
      <c r="H96" s="861" t="s">
        <v>53</v>
      </c>
      <c r="I96" s="861" t="s">
        <v>53</v>
      </c>
      <c r="J96" s="861" t="s">
        <v>837</v>
      </c>
      <c r="K96" s="861" t="s">
        <v>53</v>
      </c>
      <c r="L96" s="861" t="s">
        <v>53</v>
      </c>
      <c r="M96" s="861" t="s">
        <v>116</v>
      </c>
      <c r="N96" s="861" t="s">
        <v>53</v>
      </c>
      <c r="O96" s="861" t="s">
        <v>53</v>
      </c>
      <c r="P96" s="861" t="s">
        <v>53</v>
      </c>
      <c r="Q96" s="861"/>
      <c r="R96" s="861" t="s">
        <v>53</v>
      </c>
      <c r="S96" s="861" t="s">
        <v>53</v>
      </c>
      <c r="T96" s="861" t="s">
        <v>116</v>
      </c>
      <c r="U96" s="861" t="s">
        <v>53</v>
      </c>
      <c r="V96" s="861" t="s">
        <v>53</v>
      </c>
      <c r="W96" s="861" t="s">
        <v>53</v>
      </c>
      <c r="X96" s="861" t="s">
        <v>53</v>
      </c>
      <c r="Y96" s="861" t="s">
        <v>53</v>
      </c>
      <c r="Z96" s="861" t="s">
        <v>53</v>
      </c>
      <c r="AA96" s="861" t="s">
        <v>116</v>
      </c>
      <c r="AB96" s="861" t="s">
        <v>53</v>
      </c>
      <c r="AC96" s="861" t="s">
        <v>53</v>
      </c>
      <c r="AD96" s="861" t="s">
        <v>53</v>
      </c>
      <c r="AE96" s="861" t="s">
        <v>53</v>
      </c>
      <c r="AF96" s="861" t="s">
        <v>53</v>
      </c>
      <c r="AG96" s="861" t="s">
        <v>53</v>
      </c>
      <c r="AH96" s="861" t="s">
        <v>116</v>
      </c>
      <c r="AI96" s="861" t="s">
        <v>53</v>
      </c>
      <c r="AJ96" s="1095"/>
      <c r="AK96" s="1207">
        <f t="shared" ref="AK96:AK156" si="39">SUM(COUNTIF(F96:AJ96,"x"))</f>
        <v>23</v>
      </c>
      <c r="AL96" s="1208">
        <f t="shared" ref="AL96:AL156" si="40">SUM(COUNTIF(F96:AJ96,"cn"))</f>
        <v>5</v>
      </c>
      <c r="AM96" s="1207">
        <f t="shared" ref="AM96:AM156" si="41">SUM(COUNTIF(F96:AJ96,"đ"))</f>
        <v>0</v>
      </c>
      <c r="AN96" s="1207">
        <f t="shared" ref="AN96:AN156" si="42">SUM(COUNTIF(F96:AJ96,"đc"))</f>
        <v>0</v>
      </c>
      <c r="AO96" s="1207">
        <f t="shared" ref="AO96:AO156" si="43">SUM(COUNTIF(F96:AJ96,"gt"))</f>
        <v>0</v>
      </c>
      <c r="AP96" s="1208">
        <f t="shared" ref="AP96:AP156" si="44">SUM(COUNTIF(F96:AJ96,"ct"))</f>
        <v>0</v>
      </c>
      <c r="AQ96" s="1209">
        <f t="shared" ref="AQ96:AQ156" si="45">AK96+AL96+AM96+AN96+AO96+AP96</f>
        <v>28</v>
      </c>
      <c r="AR96" s="152"/>
      <c r="AS96" s="155" t="str">
        <f>'Mã số nhân viên'!I78</f>
        <v>03466</v>
      </c>
      <c r="AT96" s="1032">
        <f t="shared" si="38"/>
        <v>0</v>
      </c>
    </row>
    <row r="97" spans="1:46" ht="24.75" customHeight="1">
      <c r="A97" s="779">
        <v>84</v>
      </c>
      <c r="B97" s="539">
        <v>3</v>
      </c>
      <c r="C97" s="779" t="str">
        <f>VLOOKUP(D97,'Mã số nhân viên'!B79:I136,8,0)</f>
        <v>03590</v>
      </c>
      <c r="D97" s="417" t="s">
        <v>169</v>
      </c>
      <c r="E97" s="124"/>
      <c r="F97" s="861" t="s">
        <v>116</v>
      </c>
      <c r="G97" s="861" t="s">
        <v>53</v>
      </c>
      <c r="H97" s="861" t="s">
        <v>53</v>
      </c>
      <c r="I97" s="861" t="s">
        <v>53</v>
      </c>
      <c r="J97" s="861" t="s">
        <v>53</v>
      </c>
      <c r="K97" s="861" t="s">
        <v>53</v>
      </c>
      <c r="L97" s="861" t="s">
        <v>53</v>
      </c>
      <c r="M97" s="861" t="s">
        <v>116</v>
      </c>
      <c r="N97" s="861" t="s">
        <v>53</v>
      </c>
      <c r="O97" s="861" t="s">
        <v>53</v>
      </c>
      <c r="P97" s="861" t="s">
        <v>53</v>
      </c>
      <c r="Q97" s="861"/>
      <c r="R97" s="861" t="s">
        <v>53</v>
      </c>
      <c r="S97" s="861" t="s">
        <v>53</v>
      </c>
      <c r="T97" s="861" t="s">
        <v>116</v>
      </c>
      <c r="U97" s="861" t="s">
        <v>53</v>
      </c>
      <c r="V97" s="861" t="s">
        <v>53</v>
      </c>
      <c r="W97" s="861" t="s">
        <v>53</v>
      </c>
      <c r="X97" s="861" t="s">
        <v>53</v>
      </c>
      <c r="Y97" s="861" t="s">
        <v>53</v>
      </c>
      <c r="Z97" s="861" t="s">
        <v>53</v>
      </c>
      <c r="AA97" s="861" t="s">
        <v>116</v>
      </c>
      <c r="AB97" s="861" t="s">
        <v>53</v>
      </c>
      <c r="AC97" s="861" t="s">
        <v>53</v>
      </c>
      <c r="AD97" s="861" t="s">
        <v>53</v>
      </c>
      <c r="AE97" s="861" t="s">
        <v>53</v>
      </c>
      <c r="AF97" s="861" t="s">
        <v>53</v>
      </c>
      <c r="AG97" s="861" t="s">
        <v>53</v>
      </c>
      <c r="AH97" s="861" t="s">
        <v>116</v>
      </c>
      <c r="AI97" s="861" t="s">
        <v>53</v>
      </c>
      <c r="AJ97" s="1095"/>
      <c r="AK97" s="1207">
        <f t="shared" si="39"/>
        <v>24</v>
      </c>
      <c r="AL97" s="1208">
        <f t="shared" si="40"/>
        <v>5</v>
      </c>
      <c r="AM97" s="1207">
        <f t="shared" si="41"/>
        <v>0</v>
      </c>
      <c r="AN97" s="1207">
        <f t="shared" si="42"/>
        <v>0</v>
      </c>
      <c r="AO97" s="1207">
        <f t="shared" si="43"/>
        <v>0</v>
      </c>
      <c r="AP97" s="1208">
        <f t="shared" si="44"/>
        <v>0</v>
      </c>
      <c r="AQ97" s="1209">
        <f t="shared" si="45"/>
        <v>29</v>
      </c>
      <c r="AR97" s="152"/>
      <c r="AS97" s="155" t="str">
        <f>'Mã số nhân viên'!I79</f>
        <v>03590</v>
      </c>
      <c r="AT97" s="1032">
        <f t="shared" si="38"/>
        <v>0</v>
      </c>
    </row>
    <row r="98" spans="1:46" ht="24.75" customHeight="1">
      <c r="A98" s="779">
        <v>85</v>
      </c>
      <c r="B98" s="539">
        <v>4</v>
      </c>
      <c r="C98" s="779" t="str">
        <f>VLOOKUP(D98,'Mã số nhân viên'!B80:I137,8,0)</f>
        <v>03591</v>
      </c>
      <c r="D98" s="418" t="s">
        <v>250</v>
      </c>
      <c r="E98" s="124"/>
      <c r="F98" s="861" t="s">
        <v>116</v>
      </c>
      <c r="G98" s="861" t="s">
        <v>53</v>
      </c>
      <c r="H98" s="861" t="s">
        <v>53</v>
      </c>
      <c r="I98" s="861" t="s">
        <v>53</v>
      </c>
      <c r="J98" s="861" t="s">
        <v>53</v>
      </c>
      <c r="K98" s="861" t="s">
        <v>53</v>
      </c>
      <c r="L98" s="861" t="s">
        <v>53</v>
      </c>
      <c r="M98" s="861" t="s">
        <v>116</v>
      </c>
      <c r="N98" s="861" t="s">
        <v>53</v>
      </c>
      <c r="O98" s="861" t="s">
        <v>53</v>
      </c>
      <c r="P98" s="861" t="s">
        <v>53</v>
      </c>
      <c r="Q98" s="861"/>
      <c r="R98" s="861" t="s">
        <v>53</v>
      </c>
      <c r="S98" s="861" t="s">
        <v>53</v>
      </c>
      <c r="T98" s="861" t="s">
        <v>116</v>
      </c>
      <c r="U98" s="861" t="s">
        <v>53</v>
      </c>
      <c r="V98" s="861" t="s">
        <v>53</v>
      </c>
      <c r="W98" s="861" t="s">
        <v>53</v>
      </c>
      <c r="X98" s="861" t="s">
        <v>53</v>
      </c>
      <c r="Y98" s="861" t="s">
        <v>53</v>
      </c>
      <c r="Z98" s="861" t="s">
        <v>53</v>
      </c>
      <c r="AA98" s="861" t="s">
        <v>116</v>
      </c>
      <c r="AB98" s="861" t="s">
        <v>53</v>
      </c>
      <c r="AC98" s="861" t="s">
        <v>53</v>
      </c>
      <c r="AD98" s="861" t="s">
        <v>53</v>
      </c>
      <c r="AE98" s="861" t="s">
        <v>53</v>
      </c>
      <c r="AF98" s="861" t="s">
        <v>53</v>
      </c>
      <c r="AG98" s="861" t="s">
        <v>53</v>
      </c>
      <c r="AH98" s="861" t="s">
        <v>116</v>
      </c>
      <c r="AI98" s="861" t="s">
        <v>53</v>
      </c>
      <c r="AJ98" s="1095"/>
      <c r="AK98" s="1207">
        <f t="shared" si="39"/>
        <v>24</v>
      </c>
      <c r="AL98" s="1208">
        <f t="shared" si="40"/>
        <v>5</v>
      </c>
      <c r="AM98" s="1207">
        <f t="shared" si="41"/>
        <v>0</v>
      </c>
      <c r="AN98" s="1207">
        <f t="shared" si="42"/>
        <v>0</v>
      </c>
      <c r="AO98" s="1207">
        <f t="shared" si="43"/>
        <v>0</v>
      </c>
      <c r="AP98" s="1208">
        <f t="shared" si="44"/>
        <v>0</v>
      </c>
      <c r="AQ98" s="1209">
        <f t="shared" si="45"/>
        <v>29</v>
      </c>
      <c r="AR98" s="152"/>
      <c r="AS98" s="155" t="str">
        <f>'Mã số nhân viên'!I80</f>
        <v>03591</v>
      </c>
      <c r="AT98" s="1032">
        <f t="shared" si="38"/>
        <v>0</v>
      </c>
    </row>
    <row r="99" spans="1:46" ht="24.75" customHeight="1">
      <c r="A99" s="779">
        <v>86</v>
      </c>
      <c r="B99" s="539">
        <v>5</v>
      </c>
      <c r="C99" s="779" t="str">
        <f>VLOOKUP(D99,'Mã số nhân viên'!B81:I138,8,0)</f>
        <v>03592</v>
      </c>
      <c r="D99" s="115" t="s">
        <v>205</v>
      </c>
      <c r="E99" s="124"/>
      <c r="F99" s="861" t="s">
        <v>116</v>
      </c>
      <c r="G99" s="861" t="s">
        <v>53</v>
      </c>
      <c r="H99" s="861" t="s">
        <v>53</v>
      </c>
      <c r="I99" s="861" t="s">
        <v>53</v>
      </c>
      <c r="J99" s="861" t="s">
        <v>53</v>
      </c>
      <c r="K99" s="861" t="s">
        <v>53</v>
      </c>
      <c r="L99" s="861" t="s">
        <v>53</v>
      </c>
      <c r="M99" s="861" t="s">
        <v>116</v>
      </c>
      <c r="N99" s="861" t="s">
        <v>53</v>
      </c>
      <c r="O99" s="861" t="s">
        <v>53</v>
      </c>
      <c r="P99" s="861" t="s">
        <v>53</v>
      </c>
      <c r="Q99" s="861"/>
      <c r="R99" s="861" t="s">
        <v>53</v>
      </c>
      <c r="S99" s="861" t="s">
        <v>53</v>
      </c>
      <c r="T99" s="861" t="s">
        <v>116</v>
      </c>
      <c r="U99" s="861" t="s">
        <v>53</v>
      </c>
      <c r="V99" s="861" t="s">
        <v>53</v>
      </c>
      <c r="W99" s="861" t="s">
        <v>53</v>
      </c>
      <c r="X99" s="861" t="s">
        <v>53</v>
      </c>
      <c r="Y99" s="861" t="s">
        <v>53</v>
      </c>
      <c r="Z99" s="861" t="s">
        <v>53</v>
      </c>
      <c r="AA99" s="861" t="s">
        <v>116</v>
      </c>
      <c r="AB99" s="861" t="s">
        <v>53</v>
      </c>
      <c r="AC99" s="861" t="s">
        <v>53</v>
      </c>
      <c r="AD99" s="861" t="s">
        <v>53</v>
      </c>
      <c r="AE99" s="861" t="s">
        <v>53</v>
      </c>
      <c r="AF99" s="861" t="s">
        <v>53</v>
      </c>
      <c r="AG99" s="861" t="s">
        <v>53</v>
      </c>
      <c r="AH99" s="861" t="s">
        <v>116</v>
      </c>
      <c r="AI99" s="861" t="s">
        <v>53</v>
      </c>
      <c r="AJ99" s="1095"/>
      <c r="AK99" s="1207">
        <f t="shared" si="39"/>
        <v>24</v>
      </c>
      <c r="AL99" s="1208">
        <f t="shared" si="40"/>
        <v>5</v>
      </c>
      <c r="AM99" s="1207">
        <f t="shared" si="41"/>
        <v>0</v>
      </c>
      <c r="AN99" s="1207">
        <f t="shared" si="42"/>
        <v>0</v>
      </c>
      <c r="AO99" s="1207">
        <f t="shared" si="43"/>
        <v>0</v>
      </c>
      <c r="AP99" s="1208">
        <f t="shared" si="44"/>
        <v>0</v>
      </c>
      <c r="AQ99" s="1209">
        <f t="shared" si="45"/>
        <v>29</v>
      </c>
      <c r="AR99" s="152"/>
      <c r="AS99" s="155" t="str">
        <f>'Mã số nhân viên'!I81</f>
        <v>03592</v>
      </c>
      <c r="AT99" s="1032">
        <f t="shared" si="38"/>
        <v>0</v>
      </c>
    </row>
    <row r="100" spans="1:46" ht="24.75" customHeight="1">
      <c r="A100" s="779">
        <v>87</v>
      </c>
      <c r="B100" s="539">
        <v>6</v>
      </c>
      <c r="C100" s="779" t="str">
        <f>VLOOKUP(D100,'Mã số nhân viên'!B82:I139,8,0)</f>
        <v>03593</v>
      </c>
      <c r="D100" s="115" t="s">
        <v>347</v>
      </c>
      <c r="E100" s="124"/>
      <c r="F100" s="861" t="s">
        <v>837</v>
      </c>
      <c r="G100" s="861" t="s">
        <v>53</v>
      </c>
      <c r="H100" s="861" t="s">
        <v>53</v>
      </c>
      <c r="I100" s="861" t="s">
        <v>53</v>
      </c>
      <c r="J100" s="861" t="s">
        <v>53</v>
      </c>
      <c r="K100" s="861" t="s">
        <v>53</v>
      </c>
      <c r="L100" s="861" t="s">
        <v>53</v>
      </c>
      <c r="M100" s="861" t="s">
        <v>116</v>
      </c>
      <c r="N100" s="861" t="s">
        <v>53</v>
      </c>
      <c r="O100" s="861" t="s">
        <v>837</v>
      </c>
      <c r="P100" s="861" t="s">
        <v>837</v>
      </c>
      <c r="Q100" s="861"/>
      <c r="R100" s="861" t="s">
        <v>837</v>
      </c>
      <c r="S100" s="861" t="s">
        <v>53</v>
      </c>
      <c r="T100" s="861" t="s">
        <v>837</v>
      </c>
      <c r="U100" s="861" t="s">
        <v>837</v>
      </c>
      <c r="V100" s="861" t="s">
        <v>837</v>
      </c>
      <c r="W100" s="861" t="s">
        <v>53</v>
      </c>
      <c r="X100" s="861" t="s">
        <v>53</v>
      </c>
      <c r="Y100" s="861" t="s">
        <v>837</v>
      </c>
      <c r="Z100" s="861" t="s">
        <v>53</v>
      </c>
      <c r="AA100" s="861" t="s">
        <v>116</v>
      </c>
      <c r="AB100" s="861" t="s">
        <v>53</v>
      </c>
      <c r="AC100" s="861" t="s">
        <v>53</v>
      </c>
      <c r="AD100" s="861" t="s">
        <v>53</v>
      </c>
      <c r="AE100" s="861" t="s">
        <v>53</v>
      </c>
      <c r="AF100" s="861" t="s">
        <v>53</v>
      </c>
      <c r="AG100" s="861" t="s">
        <v>53</v>
      </c>
      <c r="AH100" s="861" t="s">
        <v>837</v>
      </c>
      <c r="AI100" s="861"/>
      <c r="AJ100" s="1095"/>
      <c r="AK100" s="1207">
        <f t="shared" si="39"/>
        <v>17</v>
      </c>
      <c r="AL100" s="1208">
        <f t="shared" si="40"/>
        <v>2</v>
      </c>
      <c r="AM100" s="1207">
        <f t="shared" si="41"/>
        <v>0</v>
      </c>
      <c r="AN100" s="1207">
        <f t="shared" si="42"/>
        <v>0</v>
      </c>
      <c r="AO100" s="1207">
        <f t="shared" si="43"/>
        <v>0</v>
      </c>
      <c r="AP100" s="1208">
        <f t="shared" si="44"/>
        <v>0</v>
      </c>
      <c r="AQ100" s="1209">
        <f t="shared" si="45"/>
        <v>19</v>
      </c>
      <c r="AR100" s="152"/>
      <c r="AS100" s="155" t="str">
        <f>'Mã số nhân viên'!I82</f>
        <v>03593</v>
      </c>
      <c r="AT100" s="1032">
        <f t="shared" si="38"/>
        <v>0</v>
      </c>
    </row>
    <row r="101" spans="1:46" ht="24.75" customHeight="1">
      <c r="A101" s="779">
        <v>88</v>
      </c>
      <c r="B101" s="539">
        <v>7</v>
      </c>
      <c r="C101" s="779" t="str">
        <f>VLOOKUP(D101,'Mã số nhân viên'!B83:I140,8,0)</f>
        <v>03594</v>
      </c>
      <c r="D101" s="115" t="s">
        <v>206</v>
      </c>
      <c r="E101" s="124"/>
      <c r="F101" s="861" t="s">
        <v>116</v>
      </c>
      <c r="G101" s="861" t="s">
        <v>53</v>
      </c>
      <c r="H101" s="861" t="s">
        <v>53</v>
      </c>
      <c r="I101" s="861" t="s">
        <v>53</v>
      </c>
      <c r="J101" s="861" t="s">
        <v>53</v>
      </c>
      <c r="K101" s="861" t="s">
        <v>53</v>
      </c>
      <c r="L101" s="861" t="s">
        <v>53</v>
      </c>
      <c r="M101" s="861" t="s">
        <v>116</v>
      </c>
      <c r="N101" s="861" t="s">
        <v>53</v>
      </c>
      <c r="O101" s="861" t="s">
        <v>53</v>
      </c>
      <c r="P101" s="861" t="s">
        <v>53</v>
      </c>
      <c r="Q101" s="861" t="s">
        <v>53</v>
      </c>
      <c r="R101" s="861" t="s">
        <v>53</v>
      </c>
      <c r="S101" s="861" t="s">
        <v>53</v>
      </c>
      <c r="T101" s="861" t="s">
        <v>116</v>
      </c>
      <c r="U101" s="861" t="s">
        <v>53</v>
      </c>
      <c r="V101" s="861" t="s">
        <v>53</v>
      </c>
      <c r="W101" s="861" t="s">
        <v>53</v>
      </c>
      <c r="X101" s="861" t="s">
        <v>53</v>
      </c>
      <c r="Y101" s="861" t="s">
        <v>53</v>
      </c>
      <c r="Z101" s="861" t="s">
        <v>53</v>
      </c>
      <c r="AA101" s="861" t="s">
        <v>116</v>
      </c>
      <c r="AB101" s="861" t="s">
        <v>53</v>
      </c>
      <c r="AC101" s="861" t="s">
        <v>53</v>
      </c>
      <c r="AD101" s="861" t="s">
        <v>53</v>
      </c>
      <c r="AE101" s="861" t="s">
        <v>53</v>
      </c>
      <c r="AF101" s="861" t="s">
        <v>53</v>
      </c>
      <c r="AG101" s="861" t="s">
        <v>53</v>
      </c>
      <c r="AH101" s="861" t="s">
        <v>116</v>
      </c>
      <c r="AI101" s="861" t="s">
        <v>53</v>
      </c>
      <c r="AJ101" s="1095"/>
      <c r="AK101" s="1207">
        <f t="shared" si="39"/>
        <v>25</v>
      </c>
      <c r="AL101" s="1208">
        <f t="shared" si="40"/>
        <v>5</v>
      </c>
      <c r="AM101" s="1207">
        <f t="shared" si="41"/>
        <v>0</v>
      </c>
      <c r="AN101" s="1207">
        <f t="shared" si="42"/>
        <v>0</v>
      </c>
      <c r="AO101" s="1207">
        <f t="shared" si="43"/>
        <v>0</v>
      </c>
      <c r="AP101" s="1208">
        <f t="shared" si="44"/>
        <v>0</v>
      </c>
      <c r="AQ101" s="1209">
        <f t="shared" si="45"/>
        <v>30</v>
      </c>
      <c r="AR101" s="152"/>
      <c r="AS101" s="155" t="str">
        <f>'Mã số nhân viên'!I83</f>
        <v>03594</v>
      </c>
      <c r="AT101" s="1032">
        <f t="shared" si="38"/>
        <v>0</v>
      </c>
    </row>
    <row r="102" spans="1:46" ht="24.75" customHeight="1">
      <c r="A102" s="779">
        <v>89</v>
      </c>
      <c r="B102" s="539">
        <v>8</v>
      </c>
      <c r="C102" s="779" t="str">
        <f>VLOOKUP(D102,'Mã số nhân viên'!B84:I141,8,0)</f>
        <v>04073</v>
      </c>
      <c r="D102" s="115" t="s">
        <v>564</v>
      </c>
      <c r="E102" s="124"/>
      <c r="F102" s="861" t="s">
        <v>116</v>
      </c>
      <c r="G102" s="861" t="s">
        <v>837</v>
      </c>
      <c r="H102" s="861" t="s">
        <v>53</v>
      </c>
      <c r="I102" s="861" t="s">
        <v>53</v>
      </c>
      <c r="J102" s="861" t="s">
        <v>53</v>
      </c>
      <c r="K102" s="861" t="s">
        <v>53</v>
      </c>
      <c r="L102" s="861" t="s">
        <v>53</v>
      </c>
      <c r="M102" s="861" t="s">
        <v>116</v>
      </c>
      <c r="N102" s="861" t="s">
        <v>53</v>
      </c>
      <c r="O102" s="861" t="s">
        <v>53</v>
      </c>
      <c r="P102" s="861" t="s">
        <v>53</v>
      </c>
      <c r="Q102" s="861"/>
      <c r="R102" s="861" t="s">
        <v>53</v>
      </c>
      <c r="S102" s="861" t="s">
        <v>837</v>
      </c>
      <c r="T102" s="861" t="s">
        <v>837</v>
      </c>
      <c r="U102" s="861" t="s">
        <v>53</v>
      </c>
      <c r="V102" s="861" t="s">
        <v>53</v>
      </c>
      <c r="W102" s="861" t="s">
        <v>53</v>
      </c>
      <c r="X102" s="861" t="s">
        <v>53</v>
      </c>
      <c r="Y102" s="861" t="s">
        <v>53</v>
      </c>
      <c r="Z102" s="861" t="s">
        <v>53</v>
      </c>
      <c r="AA102" s="861" t="s">
        <v>116</v>
      </c>
      <c r="AB102" s="861" t="s">
        <v>837</v>
      </c>
      <c r="AC102" s="861" t="s">
        <v>53</v>
      </c>
      <c r="AD102" s="861" t="s">
        <v>53</v>
      </c>
      <c r="AE102" s="861" t="s">
        <v>837</v>
      </c>
      <c r="AF102" s="861" t="s">
        <v>53</v>
      </c>
      <c r="AG102" s="861" t="s">
        <v>53</v>
      </c>
      <c r="AH102" s="861" t="s">
        <v>116</v>
      </c>
      <c r="AI102" s="861" t="s">
        <v>53</v>
      </c>
      <c r="AJ102" s="1095"/>
      <c r="AK102" s="1207">
        <f t="shared" si="39"/>
        <v>20</v>
      </c>
      <c r="AL102" s="1208">
        <f t="shared" si="40"/>
        <v>4</v>
      </c>
      <c r="AM102" s="1207">
        <f t="shared" si="41"/>
        <v>0</v>
      </c>
      <c r="AN102" s="1207">
        <f t="shared" si="42"/>
        <v>0</v>
      </c>
      <c r="AO102" s="1207">
        <f t="shared" si="43"/>
        <v>0</v>
      </c>
      <c r="AP102" s="1208">
        <f t="shared" si="44"/>
        <v>0</v>
      </c>
      <c r="AQ102" s="1209">
        <f t="shared" si="45"/>
        <v>24</v>
      </c>
      <c r="AR102" s="152"/>
      <c r="AS102" s="155" t="str">
        <f>'Mã số nhân viên'!I84</f>
        <v>04073</v>
      </c>
      <c r="AT102" s="1032">
        <f t="shared" si="38"/>
        <v>0</v>
      </c>
    </row>
    <row r="103" spans="1:46" ht="24.75" customHeight="1">
      <c r="A103" s="779">
        <v>90</v>
      </c>
      <c r="B103" s="539">
        <v>9</v>
      </c>
      <c r="C103" s="779" t="str">
        <f>VLOOKUP(D103,'Mã số nhân viên'!B85:I142,8,0)</f>
        <v>03596</v>
      </c>
      <c r="D103" s="115" t="s">
        <v>348</v>
      </c>
      <c r="E103" s="124"/>
      <c r="F103" s="861" t="s">
        <v>116</v>
      </c>
      <c r="G103" s="861" t="s">
        <v>53</v>
      </c>
      <c r="H103" s="861" t="s">
        <v>53</v>
      </c>
      <c r="I103" s="861" t="s">
        <v>53</v>
      </c>
      <c r="J103" s="861" t="s">
        <v>53</v>
      </c>
      <c r="K103" s="861" t="s">
        <v>53</v>
      </c>
      <c r="L103" s="861" t="s">
        <v>53</v>
      </c>
      <c r="M103" s="861" t="s">
        <v>116</v>
      </c>
      <c r="N103" s="861" t="s">
        <v>53</v>
      </c>
      <c r="O103" s="861" t="s">
        <v>53</v>
      </c>
      <c r="P103" s="861" t="s">
        <v>53</v>
      </c>
      <c r="Q103" s="861"/>
      <c r="R103" s="861" t="s">
        <v>53</v>
      </c>
      <c r="S103" s="861" t="s">
        <v>53</v>
      </c>
      <c r="T103" s="861" t="s">
        <v>116</v>
      </c>
      <c r="U103" s="861" t="s">
        <v>53</v>
      </c>
      <c r="V103" s="861" t="s">
        <v>53</v>
      </c>
      <c r="W103" s="861" t="s">
        <v>53</v>
      </c>
      <c r="X103" s="861" t="s">
        <v>53</v>
      </c>
      <c r="Y103" s="861" t="s">
        <v>53</v>
      </c>
      <c r="Z103" s="861" t="s">
        <v>53</v>
      </c>
      <c r="AA103" s="861" t="s">
        <v>116</v>
      </c>
      <c r="AB103" s="861" t="s">
        <v>53</v>
      </c>
      <c r="AC103" s="861" t="s">
        <v>53</v>
      </c>
      <c r="AD103" s="861" t="s">
        <v>837</v>
      </c>
      <c r="AE103" s="861" t="s">
        <v>53</v>
      </c>
      <c r="AF103" s="861" t="s">
        <v>53</v>
      </c>
      <c r="AG103" s="861" t="s">
        <v>53</v>
      </c>
      <c r="AH103" s="861" t="s">
        <v>116</v>
      </c>
      <c r="AI103" s="861" t="s">
        <v>53</v>
      </c>
      <c r="AJ103" s="1095"/>
      <c r="AK103" s="1207">
        <f t="shared" si="39"/>
        <v>23</v>
      </c>
      <c r="AL103" s="1208">
        <f t="shared" si="40"/>
        <v>5</v>
      </c>
      <c r="AM103" s="1207">
        <f t="shared" si="41"/>
        <v>0</v>
      </c>
      <c r="AN103" s="1207">
        <f t="shared" si="42"/>
        <v>0</v>
      </c>
      <c r="AO103" s="1207">
        <f t="shared" si="43"/>
        <v>0</v>
      </c>
      <c r="AP103" s="1208">
        <f t="shared" si="44"/>
        <v>0</v>
      </c>
      <c r="AQ103" s="1209">
        <f t="shared" si="45"/>
        <v>28</v>
      </c>
      <c r="AR103" s="152"/>
      <c r="AS103" s="155" t="str">
        <f>'Mã số nhân viên'!I85</f>
        <v>03596</v>
      </c>
      <c r="AT103" s="1032">
        <f t="shared" si="38"/>
        <v>0</v>
      </c>
    </row>
    <row r="104" spans="1:46" ht="24.75" customHeight="1">
      <c r="A104" s="779">
        <v>91</v>
      </c>
      <c r="B104" s="539">
        <v>10</v>
      </c>
      <c r="C104" s="779" t="str">
        <f>VLOOKUP(D104,'Mã số nhân viên'!B86:I143,8,0)</f>
        <v>03597</v>
      </c>
      <c r="D104" s="115" t="s">
        <v>226</v>
      </c>
      <c r="E104" s="124"/>
      <c r="F104" s="861" t="s">
        <v>116</v>
      </c>
      <c r="G104" s="861" t="s">
        <v>53</v>
      </c>
      <c r="H104" s="861" t="s">
        <v>53</v>
      </c>
      <c r="I104" s="861" t="s">
        <v>53</v>
      </c>
      <c r="J104" s="861" t="s">
        <v>53</v>
      </c>
      <c r="K104" s="861" t="s">
        <v>53</v>
      </c>
      <c r="L104" s="861" t="s">
        <v>53</v>
      </c>
      <c r="M104" s="861" t="s">
        <v>116</v>
      </c>
      <c r="N104" s="861" t="s">
        <v>53</v>
      </c>
      <c r="O104" s="861" t="s">
        <v>53</v>
      </c>
      <c r="P104" s="861" t="s">
        <v>53</v>
      </c>
      <c r="Q104" s="861"/>
      <c r="R104" s="861" t="s">
        <v>53</v>
      </c>
      <c r="S104" s="861" t="s">
        <v>53</v>
      </c>
      <c r="T104" s="861" t="s">
        <v>116</v>
      </c>
      <c r="U104" s="861" t="s">
        <v>53</v>
      </c>
      <c r="V104" s="861" t="s">
        <v>53</v>
      </c>
      <c r="W104" s="861" t="s">
        <v>53</v>
      </c>
      <c r="X104" s="861" t="s">
        <v>53</v>
      </c>
      <c r="Y104" s="861" t="s">
        <v>53</v>
      </c>
      <c r="Z104" s="861" t="s">
        <v>53</v>
      </c>
      <c r="AA104" s="861" t="s">
        <v>116</v>
      </c>
      <c r="AB104" s="861" t="s">
        <v>53</v>
      </c>
      <c r="AC104" s="861" t="s">
        <v>53</v>
      </c>
      <c r="AD104" s="861" t="s">
        <v>53</v>
      </c>
      <c r="AE104" s="861" t="s">
        <v>53</v>
      </c>
      <c r="AF104" s="861" t="s">
        <v>53</v>
      </c>
      <c r="AG104" s="861" t="s">
        <v>53</v>
      </c>
      <c r="AH104" s="861" t="s">
        <v>116</v>
      </c>
      <c r="AI104" s="861" t="s">
        <v>53</v>
      </c>
      <c r="AJ104" s="1095"/>
      <c r="AK104" s="1207">
        <f t="shared" si="39"/>
        <v>24</v>
      </c>
      <c r="AL104" s="1208">
        <f t="shared" si="40"/>
        <v>5</v>
      </c>
      <c r="AM104" s="1207">
        <f t="shared" si="41"/>
        <v>0</v>
      </c>
      <c r="AN104" s="1207">
        <f t="shared" si="42"/>
        <v>0</v>
      </c>
      <c r="AO104" s="1207">
        <f t="shared" si="43"/>
        <v>0</v>
      </c>
      <c r="AP104" s="1208">
        <f t="shared" si="44"/>
        <v>0</v>
      </c>
      <c r="AQ104" s="1209">
        <f t="shared" si="45"/>
        <v>29</v>
      </c>
      <c r="AR104" s="152"/>
      <c r="AS104" s="155" t="str">
        <f>'Mã số nhân viên'!I86</f>
        <v>03597</v>
      </c>
      <c r="AT104" s="1032">
        <f t="shared" si="38"/>
        <v>0</v>
      </c>
    </row>
    <row r="105" spans="1:46" ht="24.75" customHeight="1">
      <c r="A105" s="779">
        <v>92</v>
      </c>
      <c r="B105" s="539">
        <v>11</v>
      </c>
      <c r="C105" s="779" t="str">
        <f>VLOOKUP(D105,'Mã số nhân viên'!B87:I144,8,0)</f>
        <v>03598</v>
      </c>
      <c r="D105" s="115" t="s">
        <v>207</v>
      </c>
      <c r="E105" s="124"/>
      <c r="F105" s="861" t="s">
        <v>116</v>
      </c>
      <c r="G105" s="861" t="s">
        <v>53</v>
      </c>
      <c r="H105" s="861" t="s">
        <v>53</v>
      </c>
      <c r="I105" s="861" t="s">
        <v>53</v>
      </c>
      <c r="J105" s="861" t="s">
        <v>53</v>
      </c>
      <c r="K105" s="861" t="s">
        <v>53</v>
      </c>
      <c r="L105" s="861" t="s">
        <v>53</v>
      </c>
      <c r="M105" s="861" t="s">
        <v>116</v>
      </c>
      <c r="N105" s="861" t="s">
        <v>53</v>
      </c>
      <c r="O105" s="861" t="s">
        <v>53</v>
      </c>
      <c r="P105" s="861" t="s">
        <v>53</v>
      </c>
      <c r="Q105" s="861"/>
      <c r="R105" s="861" t="s">
        <v>53</v>
      </c>
      <c r="S105" s="861" t="s">
        <v>53</v>
      </c>
      <c r="T105" s="861" t="s">
        <v>116</v>
      </c>
      <c r="U105" s="861" t="s">
        <v>53</v>
      </c>
      <c r="V105" s="861" t="s">
        <v>53</v>
      </c>
      <c r="W105" s="861" t="s">
        <v>53</v>
      </c>
      <c r="X105" s="861" t="s">
        <v>53</v>
      </c>
      <c r="Y105" s="861" t="s">
        <v>53</v>
      </c>
      <c r="Z105" s="861" t="s">
        <v>53</v>
      </c>
      <c r="AA105" s="861" t="s">
        <v>116</v>
      </c>
      <c r="AB105" s="861" t="s">
        <v>53</v>
      </c>
      <c r="AC105" s="861" t="s">
        <v>53</v>
      </c>
      <c r="AD105" s="861" t="s">
        <v>53</v>
      </c>
      <c r="AE105" s="861" t="s">
        <v>53</v>
      </c>
      <c r="AF105" s="861" t="s">
        <v>53</v>
      </c>
      <c r="AG105" s="861" t="s">
        <v>53</v>
      </c>
      <c r="AH105" s="861" t="s">
        <v>116</v>
      </c>
      <c r="AI105" s="861" t="s">
        <v>53</v>
      </c>
      <c r="AJ105" s="1095"/>
      <c r="AK105" s="1207">
        <f t="shared" si="39"/>
        <v>24</v>
      </c>
      <c r="AL105" s="1208">
        <f t="shared" si="40"/>
        <v>5</v>
      </c>
      <c r="AM105" s="1207">
        <f t="shared" si="41"/>
        <v>0</v>
      </c>
      <c r="AN105" s="1207">
        <f t="shared" si="42"/>
        <v>0</v>
      </c>
      <c r="AO105" s="1207">
        <f t="shared" si="43"/>
        <v>0</v>
      </c>
      <c r="AP105" s="1208">
        <f t="shared" si="44"/>
        <v>0</v>
      </c>
      <c r="AQ105" s="1209">
        <f t="shared" si="45"/>
        <v>29</v>
      </c>
      <c r="AR105" s="152"/>
      <c r="AS105" s="155" t="str">
        <f>'Mã số nhân viên'!I87</f>
        <v>03598</v>
      </c>
      <c r="AT105" s="1032">
        <f t="shared" si="38"/>
        <v>0</v>
      </c>
    </row>
    <row r="106" spans="1:46" ht="24.75" customHeight="1">
      <c r="A106" s="779">
        <v>93</v>
      </c>
      <c r="B106" s="539">
        <v>12</v>
      </c>
      <c r="C106" s="779" t="str">
        <f>VLOOKUP(D106,'Mã số nhân viên'!B88:I145,8,0)</f>
        <v>03599</v>
      </c>
      <c r="D106" s="115" t="s">
        <v>208</v>
      </c>
      <c r="E106" s="124"/>
      <c r="F106" s="861" t="s">
        <v>116</v>
      </c>
      <c r="G106" s="861" t="s">
        <v>53</v>
      </c>
      <c r="H106" s="861" t="s">
        <v>53</v>
      </c>
      <c r="I106" s="861" t="s">
        <v>53</v>
      </c>
      <c r="J106" s="861" t="s">
        <v>53</v>
      </c>
      <c r="K106" s="861" t="s">
        <v>53</v>
      </c>
      <c r="L106" s="861" t="s">
        <v>53</v>
      </c>
      <c r="M106" s="861" t="s">
        <v>116</v>
      </c>
      <c r="N106" s="861" t="s">
        <v>53</v>
      </c>
      <c r="O106" s="861" t="s">
        <v>53</v>
      </c>
      <c r="P106" s="861" t="s">
        <v>53</v>
      </c>
      <c r="Q106" s="861"/>
      <c r="R106" s="861" t="s">
        <v>53</v>
      </c>
      <c r="S106" s="861" t="s">
        <v>53</v>
      </c>
      <c r="T106" s="861" t="s">
        <v>116</v>
      </c>
      <c r="U106" s="861" t="s">
        <v>53</v>
      </c>
      <c r="V106" s="861" t="s">
        <v>53</v>
      </c>
      <c r="W106" s="861" t="s">
        <v>53</v>
      </c>
      <c r="X106" s="861" t="s">
        <v>53</v>
      </c>
      <c r="Y106" s="861" t="s">
        <v>53</v>
      </c>
      <c r="Z106" s="861" t="s">
        <v>53</v>
      </c>
      <c r="AA106" s="861" t="s">
        <v>116</v>
      </c>
      <c r="AB106" s="861" t="s">
        <v>53</v>
      </c>
      <c r="AC106" s="861" t="s">
        <v>53</v>
      </c>
      <c r="AD106" s="861" t="s">
        <v>53</v>
      </c>
      <c r="AE106" s="861" t="s">
        <v>53</v>
      </c>
      <c r="AF106" s="861" t="s">
        <v>53</v>
      </c>
      <c r="AG106" s="861" t="s">
        <v>53</v>
      </c>
      <c r="AH106" s="861" t="s">
        <v>116</v>
      </c>
      <c r="AI106" s="861" t="s">
        <v>53</v>
      </c>
      <c r="AJ106" s="1095"/>
      <c r="AK106" s="1207">
        <f t="shared" si="39"/>
        <v>24</v>
      </c>
      <c r="AL106" s="1208">
        <f t="shared" si="40"/>
        <v>5</v>
      </c>
      <c r="AM106" s="1207">
        <f t="shared" si="41"/>
        <v>0</v>
      </c>
      <c r="AN106" s="1207">
        <f t="shared" si="42"/>
        <v>0</v>
      </c>
      <c r="AO106" s="1207">
        <f t="shared" si="43"/>
        <v>0</v>
      </c>
      <c r="AP106" s="1208">
        <f t="shared" si="44"/>
        <v>0</v>
      </c>
      <c r="AQ106" s="1209">
        <f t="shared" si="45"/>
        <v>29</v>
      </c>
      <c r="AR106" s="152"/>
      <c r="AS106" s="155" t="str">
        <f>'Mã số nhân viên'!I88</f>
        <v>03599</v>
      </c>
      <c r="AT106" s="1032">
        <f t="shared" si="38"/>
        <v>0</v>
      </c>
    </row>
    <row r="107" spans="1:46" ht="24.75" customHeight="1">
      <c r="A107" s="779">
        <v>94</v>
      </c>
      <c r="B107" s="539">
        <v>13</v>
      </c>
      <c r="C107" s="779" t="str">
        <f>VLOOKUP(D107,'Mã số nhân viên'!B89:I146,8,0)</f>
        <v>04074</v>
      </c>
      <c r="D107" s="115" t="s">
        <v>565</v>
      </c>
      <c r="E107" s="124"/>
      <c r="F107" s="861" t="s">
        <v>116</v>
      </c>
      <c r="G107" s="861" t="s">
        <v>53</v>
      </c>
      <c r="H107" s="861" t="s">
        <v>53</v>
      </c>
      <c r="I107" s="861" t="s">
        <v>53</v>
      </c>
      <c r="J107" s="861" t="s">
        <v>53</v>
      </c>
      <c r="K107" s="861" t="s">
        <v>53</v>
      </c>
      <c r="L107" s="861" t="s">
        <v>53</v>
      </c>
      <c r="M107" s="861" t="s">
        <v>116</v>
      </c>
      <c r="N107" s="861" t="s">
        <v>53</v>
      </c>
      <c r="O107" s="861" t="s">
        <v>53</v>
      </c>
      <c r="P107" s="861" t="s">
        <v>53</v>
      </c>
      <c r="Q107" s="861"/>
      <c r="R107" s="861" t="s">
        <v>53</v>
      </c>
      <c r="S107" s="861"/>
      <c r="T107" s="861" t="s">
        <v>837</v>
      </c>
      <c r="U107" s="861" t="s">
        <v>53</v>
      </c>
      <c r="V107" s="861" t="s">
        <v>53</v>
      </c>
      <c r="W107" s="861" t="s">
        <v>53</v>
      </c>
      <c r="X107" s="861" t="s">
        <v>53</v>
      </c>
      <c r="Y107" s="861" t="s">
        <v>53</v>
      </c>
      <c r="Z107" s="861" t="s">
        <v>53</v>
      </c>
      <c r="AA107" s="861" t="s">
        <v>116</v>
      </c>
      <c r="AB107" s="861" t="s">
        <v>837</v>
      </c>
      <c r="AC107" s="861" t="s">
        <v>53</v>
      </c>
      <c r="AD107" s="861" t="s">
        <v>53</v>
      </c>
      <c r="AE107" s="861" t="s">
        <v>837</v>
      </c>
      <c r="AF107" s="861" t="s">
        <v>53</v>
      </c>
      <c r="AG107" s="861" t="s">
        <v>53</v>
      </c>
      <c r="AH107" s="861" t="s">
        <v>116</v>
      </c>
      <c r="AI107" s="861" t="s">
        <v>53</v>
      </c>
      <c r="AJ107" s="1095"/>
      <c r="AK107" s="1207">
        <f t="shared" si="39"/>
        <v>21</v>
      </c>
      <c r="AL107" s="1208">
        <f t="shared" si="40"/>
        <v>4</v>
      </c>
      <c r="AM107" s="1207">
        <f t="shared" si="41"/>
        <v>0</v>
      </c>
      <c r="AN107" s="1207">
        <f t="shared" si="42"/>
        <v>0</v>
      </c>
      <c r="AO107" s="1207">
        <f t="shared" si="43"/>
        <v>0</v>
      </c>
      <c r="AP107" s="1208">
        <f t="shared" si="44"/>
        <v>0</v>
      </c>
      <c r="AQ107" s="1209">
        <f t="shared" si="45"/>
        <v>25</v>
      </c>
      <c r="AR107" s="152"/>
      <c r="AS107" s="155" t="str">
        <f>'Mã số nhân viên'!I89</f>
        <v>04074</v>
      </c>
      <c r="AT107" s="1032">
        <f t="shared" si="38"/>
        <v>0</v>
      </c>
    </row>
    <row r="108" spans="1:46" ht="24.75" customHeight="1">
      <c r="A108" s="779">
        <v>95</v>
      </c>
      <c r="B108" s="539">
        <v>14</v>
      </c>
      <c r="C108" s="779" t="str">
        <f>VLOOKUP(D108,'Mã số nhân viên'!B90:I147,8,0)</f>
        <v>03601</v>
      </c>
      <c r="D108" s="124" t="s">
        <v>251</v>
      </c>
      <c r="E108" s="124"/>
      <c r="F108" s="861" t="s">
        <v>116</v>
      </c>
      <c r="G108" s="861" t="s">
        <v>53</v>
      </c>
      <c r="H108" s="861" t="s">
        <v>53</v>
      </c>
      <c r="I108" s="861" t="s">
        <v>53</v>
      </c>
      <c r="J108" s="861" t="s">
        <v>53</v>
      </c>
      <c r="K108" s="861" t="s">
        <v>53</v>
      </c>
      <c r="L108" s="861" t="s">
        <v>53</v>
      </c>
      <c r="M108" s="861" t="s">
        <v>116</v>
      </c>
      <c r="N108" s="861" t="s">
        <v>53</v>
      </c>
      <c r="O108" s="861" t="s">
        <v>53</v>
      </c>
      <c r="P108" s="861" t="s">
        <v>53</v>
      </c>
      <c r="Q108" s="861"/>
      <c r="R108" s="861" t="s">
        <v>53</v>
      </c>
      <c r="S108" s="861" t="s">
        <v>53</v>
      </c>
      <c r="T108" s="861" t="s">
        <v>116</v>
      </c>
      <c r="U108" s="861" t="s">
        <v>53</v>
      </c>
      <c r="V108" s="861" t="s">
        <v>53</v>
      </c>
      <c r="W108" s="861" t="s">
        <v>53</v>
      </c>
      <c r="X108" s="861" t="s">
        <v>53</v>
      </c>
      <c r="Y108" s="861" t="s">
        <v>53</v>
      </c>
      <c r="Z108" s="861" t="s">
        <v>53</v>
      </c>
      <c r="AA108" s="861" t="s">
        <v>116</v>
      </c>
      <c r="AB108" s="861" t="s">
        <v>53</v>
      </c>
      <c r="AC108" s="861" t="s">
        <v>53</v>
      </c>
      <c r="AD108" s="861" t="s">
        <v>53</v>
      </c>
      <c r="AE108" s="861" t="s">
        <v>53</v>
      </c>
      <c r="AF108" s="861" t="s">
        <v>53</v>
      </c>
      <c r="AG108" s="861" t="s">
        <v>53</v>
      </c>
      <c r="AH108" s="861" t="s">
        <v>116</v>
      </c>
      <c r="AI108" s="861" t="s">
        <v>53</v>
      </c>
      <c r="AJ108" s="1095"/>
      <c r="AK108" s="1207">
        <f t="shared" si="39"/>
        <v>24</v>
      </c>
      <c r="AL108" s="1208">
        <f t="shared" si="40"/>
        <v>5</v>
      </c>
      <c r="AM108" s="1207">
        <f t="shared" si="41"/>
        <v>0</v>
      </c>
      <c r="AN108" s="1207">
        <f t="shared" si="42"/>
        <v>0</v>
      </c>
      <c r="AO108" s="1207">
        <f t="shared" si="43"/>
        <v>0</v>
      </c>
      <c r="AP108" s="1208">
        <f t="shared" si="44"/>
        <v>0</v>
      </c>
      <c r="AQ108" s="1209">
        <f t="shared" si="45"/>
        <v>29</v>
      </c>
      <c r="AR108" s="152"/>
      <c r="AS108" s="155" t="str">
        <f>'Mã số nhân viên'!I90</f>
        <v>03601</v>
      </c>
      <c r="AT108" s="1032">
        <f t="shared" si="38"/>
        <v>0</v>
      </c>
    </row>
    <row r="109" spans="1:46" ht="24.75" customHeight="1">
      <c r="A109" s="779">
        <v>96</v>
      </c>
      <c r="B109" s="539">
        <v>15</v>
      </c>
      <c r="C109" s="779" t="str">
        <f>VLOOKUP(D109,'Mã số nhân viên'!B91:I148,8,0)</f>
        <v>03602</v>
      </c>
      <c r="D109" s="115" t="s">
        <v>209</v>
      </c>
      <c r="E109" s="124"/>
      <c r="F109" s="861" t="s">
        <v>116</v>
      </c>
      <c r="G109" s="861" t="s">
        <v>53</v>
      </c>
      <c r="H109" s="861" t="s">
        <v>53</v>
      </c>
      <c r="I109" s="861" t="s">
        <v>53</v>
      </c>
      <c r="J109" s="861" t="s">
        <v>53</v>
      </c>
      <c r="K109" s="861" t="s">
        <v>53</v>
      </c>
      <c r="L109" s="861" t="s">
        <v>53</v>
      </c>
      <c r="M109" s="861" t="s">
        <v>116</v>
      </c>
      <c r="N109" s="861" t="s">
        <v>53</v>
      </c>
      <c r="O109" s="861" t="s">
        <v>53</v>
      </c>
      <c r="P109" s="861" t="s">
        <v>53</v>
      </c>
      <c r="Q109" s="861"/>
      <c r="R109" s="861" t="s">
        <v>53</v>
      </c>
      <c r="S109" s="861" t="s">
        <v>53</v>
      </c>
      <c r="T109" s="861" t="s">
        <v>116</v>
      </c>
      <c r="U109" s="861" t="s">
        <v>53</v>
      </c>
      <c r="V109" s="861" t="s">
        <v>53</v>
      </c>
      <c r="W109" s="861" t="s">
        <v>53</v>
      </c>
      <c r="X109" s="861" t="s">
        <v>53</v>
      </c>
      <c r="Y109" s="861" t="s">
        <v>53</v>
      </c>
      <c r="Z109" s="861" t="s">
        <v>53</v>
      </c>
      <c r="AA109" s="861" t="s">
        <v>116</v>
      </c>
      <c r="AB109" s="861" t="s">
        <v>53</v>
      </c>
      <c r="AC109" s="861" t="s">
        <v>53</v>
      </c>
      <c r="AD109" s="861" t="s">
        <v>53</v>
      </c>
      <c r="AE109" s="861" t="s">
        <v>53</v>
      </c>
      <c r="AF109" s="861" t="s">
        <v>53</v>
      </c>
      <c r="AG109" s="861" t="s">
        <v>53</v>
      </c>
      <c r="AH109" s="861" t="s">
        <v>116</v>
      </c>
      <c r="AI109" s="861" t="s">
        <v>53</v>
      </c>
      <c r="AJ109" s="1095"/>
      <c r="AK109" s="1207">
        <f t="shared" si="39"/>
        <v>24</v>
      </c>
      <c r="AL109" s="1208">
        <f t="shared" si="40"/>
        <v>5</v>
      </c>
      <c r="AM109" s="1207">
        <f t="shared" si="41"/>
        <v>0</v>
      </c>
      <c r="AN109" s="1207">
        <f t="shared" si="42"/>
        <v>0</v>
      </c>
      <c r="AO109" s="1207">
        <f t="shared" si="43"/>
        <v>0</v>
      </c>
      <c r="AP109" s="1208">
        <f t="shared" si="44"/>
        <v>0</v>
      </c>
      <c r="AQ109" s="1209">
        <f t="shared" si="45"/>
        <v>29</v>
      </c>
      <c r="AR109" s="152"/>
      <c r="AS109" s="155" t="str">
        <f>'Mã số nhân viên'!I91</f>
        <v>03602</v>
      </c>
      <c r="AT109" s="1032">
        <f t="shared" si="38"/>
        <v>0</v>
      </c>
    </row>
    <row r="110" spans="1:46" ht="24.75" customHeight="1">
      <c r="A110" s="779">
        <v>97</v>
      </c>
      <c r="B110" s="539">
        <v>16</v>
      </c>
      <c r="C110" s="779" t="str">
        <f>VLOOKUP(D110,'Mã số nhân viên'!B92:I149,8,0)</f>
        <v>03496</v>
      </c>
      <c r="D110" s="115" t="s">
        <v>327</v>
      </c>
      <c r="E110" s="124"/>
      <c r="F110" s="861" t="s">
        <v>116</v>
      </c>
      <c r="G110" s="861" t="s">
        <v>53</v>
      </c>
      <c r="H110" s="861" t="s">
        <v>53</v>
      </c>
      <c r="I110" s="861" t="s">
        <v>53</v>
      </c>
      <c r="J110" s="861" t="s">
        <v>53</v>
      </c>
      <c r="K110" s="861" t="s">
        <v>53</v>
      </c>
      <c r="L110" s="861" t="s">
        <v>53</v>
      </c>
      <c r="M110" s="861" t="s">
        <v>837</v>
      </c>
      <c r="N110" s="861" t="s">
        <v>837</v>
      </c>
      <c r="O110" s="861" t="s">
        <v>53</v>
      </c>
      <c r="P110" s="861" t="s">
        <v>53</v>
      </c>
      <c r="Q110" s="861"/>
      <c r="R110" s="861" t="s">
        <v>53</v>
      </c>
      <c r="S110" s="861" t="s">
        <v>53</v>
      </c>
      <c r="T110" s="861" t="s">
        <v>116</v>
      </c>
      <c r="U110" s="861" t="s">
        <v>53</v>
      </c>
      <c r="V110" s="861" t="s">
        <v>53</v>
      </c>
      <c r="W110" s="861" t="s">
        <v>53</v>
      </c>
      <c r="X110" s="861" t="s">
        <v>53</v>
      </c>
      <c r="Y110" s="861" t="s">
        <v>53</v>
      </c>
      <c r="Z110" s="861" t="s">
        <v>53</v>
      </c>
      <c r="AA110" s="861" t="s">
        <v>837</v>
      </c>
      <c r="AB110" s="861" t="s">
        <v>53</v>
      </c>
      <c r="AC110" s="861" t="s">
        <v>837</v>
      </c>
      <c r="AD110" s="861" t="s">
        <v>53</v>
      </c>
      <c r="AE110" s="861" t="s">
        <v>53</v>
      </c>
      <c r="AF110" s="861" t="s">
        <v>53</v>
      </c>
      <c r="AG110" s="861" t="s">
        <v>53</v>
      </c>
      <c r="AH110" s="861" t="s">
        <v>116</v>
      </c>
      <c r="AI110" s="861" t="s">
        <v>53</v>
      </c>
      <c r="AJ110" s="1095"/>
      <c r="AK110" s="1207">
        <f t="shared" si="39"/>
        <v>22</v>
      </c>
      <c r="AL110" s="1208">
        <f t="shared" si="40"/>
        <v>3</v>
      </c>
      <c r="AM110" s="1207">
        <f t="shared" si="41"/>
        <v>0</v>
      </c>
      <c r="AN110" s="1207">
        <f t="shared" si="42"/>
        <v>0</v>
      </c>
      <c r="AO110" s="1207">
        <f t="shared" si="43"/>
        <v>0</v>
      </c>
      <c r="AP110" s="1208">
        <f t="shared" si="44"/>
        <v>0</v>
      </c>
      <c r="AQ110" s="1209">
        <f t="shared" si="45"/>
        <v>25</v>
      </c>
      <c r="AR110" s="152"/>
      <c r="AS110" s="155" t="str">
        <f>'Mã số nhân viên'!I92</f>
        <v>03496</v>
      </c>
      <c r="AT110" s="1032">
        <f t="shared" si="38"/>
        <v>0</v>
      </c>
    </row>
    <row r="111" spans="1:46" ht="24.75" customHeight="1">
      <c r="A111" s="779">
        <v>98</v>
      </c>
      <c r="B111" s="539">
        <v>17</v>
      </c>
      <c r="C111" s="779" t="str">
        <f>VLOOKUP(D111,'Mã số nhân viên'!B93:I150,8,0)</f>
        <v>03604</v>
      </c>
      <c r="D111" s="115" t="s">
        <v>349</v>
      </c>
      <c r="E111" s="124"/>
      <c r="F111" s="861" t="s">
        <v>116</v>
      </c>
      <c r="G111" s="861" t="s">
        <v>53</v>
      </c>
      <c r="H111" s="861" t="s">
        <v>53</v>
      </c>
      <c r="I111" s="861" t="s">
        <v>53</v>
      </c>
      <c r="J111" s="861" t="s">
        <v>53</v>
      </c>
      <c r="K111" s="861" t="s">
        <v>53</v>
      </c>
      <c r="L111" s="861" t="s">
        <v>53</v>
      </c>
      <c r="M111" s="861" t="s">
        <v>116</v>
      </c>
      <c r="N111" s="861" t="s">
        <v>53</v>
      </c>
      <c r="O111" s="861" t="s">
        <v>53</v>
      </c>
      <c r="P111" s="861" t="s">
        <v>53</v>
      </c>
      <c r="Q111" s="861"/>
      <c r="R111" s="861"/>
      <c r="S111" s="861" t="s">
        <v>53</v>
      </c>
      <c r="T111" s="861" t="s">
        <v>116</v>
      </c>
      <c r="U111" s="861" t="s">
        <v>53</v>
      </c>
      <c r="V111" s="861" t="s">
        <v>53</v>
      </c>
      <c r="W111" s="861" t="s">
        <v>53</v>
      </c>
      <c r="X111" s="861" t="s">
        <v>53</v>
      </c>
      <c r="Y111" s="861" t="s">
        <v>53</v>
      </c>
      <c r="Z111" s="861" t="s">
        <v>53</v>
      </c>
      <c r="AA111" s="861" t="s">
        <v>116</v>
      </c>
      <c r="AB111" s="861" t="s">
        <v>53</v>
      </c>
      <c r="AC111" s="861" t="s">
        <v>53</v>
      </c>
      <c r="AD111" s="861" t="s">
        <v>53</v>
      </c>
      <c r="AE111" s="861" t="s">
        <v>53</v>
      </c>
      <c r="AF111" s="861" t="s">
        <v>53</v>
      </c>
      <c r="AG111" s="861" t="s">
        <v>53</v>
      </c>
      <c r="AH111" s="861" t="s">
        <v>116</v>
      </c>
      <c r="AI111" s="861" t="s">
        <v>53</v>
      </c>
      <c r="AJ111" s="1095"/>
      <c r="AK111" s="1207">
        <f t="shared" si="39"/>
        <v>23</v>
      </c>
      <c r="AL111" s="1208">
        <f t="shared" si="40"/>
        <v>5</v>
      </c>
      <c r="AM111" s="1207">
        <f t="shared" si="41"/>
        <v>0</v>
      </c>
      <c r="AN111" s="1207">
        <f t="shared" si="42"/>
        <v>0</v>
      </c>
      <c r="AO111" s="1207">
        <f t="shared" si="43"/>
        <v>0</v>
      </c>
      <c r="AP111" s="1208">
        <f t="shared" si="44"/>
        <v>0</v>
      </c>
      <c r="AQ111" s="1209">
        <f t="shared" si="45"/>
        <v>28</v>
      </c>
      <c r="AR111" s="152"/>
      <c r="AS111" s="155" t="str">
        <f>'Mã số nhân viên'!I93</f>
        <v>03604</v>
      </c>
      <c r="AT111" s="1032">
        <f t="shared" si="38"/>
        <v>0</v>
      </c>
    </row>
    <row r="112" spans="1:46" ht="24.75" customHeight="1">
      <c r="A112" s="779">
        <v>99</v>
      </c>
      <c r="B112" s="539">
        <v>18</v>
      </c>
      <c r="C112" s="779" t="str">
        <f>VLOOKUP(D112,'Mã số nhân viên'!B94:I151,8,0)</f>
        <v>04075</v>
      </c>
      <c r="D112" s="115" t="s">
        <v>276</v>
      </c>
      <c r="E112" s="124"/>
      <c r="F112" s="861" t="s">
        <v>116</v>
      </c>
      <c r="G112" s="861" t="s">
        <v>53</v>
      </c>
      <c r="H112" s="861" t="s">
        <v>53</v>
      </c>
      <c r="I112" s="861" t="s">
        <v>53</v>
      </c>
      <c r="J112" s="861" t="s">
        <v>53</v>
      </c>
      <c r="K112" s="861" t="s">
        <v>53</v>
      </c>
      <c r="L112" s="861" t="s">
        <v>53</v>
      </c>
      <c r="M112" s="861" t="s">
        <v>116</v>
      </c>
      <c r="N112" s="861" t="s">
        <v>53</v>
      </c>
      <c r="O112" s="861" t="s">
        <v>53</v>
      </c>
      <c r="P112" s="861" t="s">
        <v>53</v>
      </c>
      <c r="Q112" s="861"/>
      <c r="R112" s="861" t="s">
        <v>53</v>
      </c>
      <c r="S112" s="861" t="s">
        <v>53</v>
      </c>
      <c r="T112" s="861" t="s">
        <v>116</v>
      </c>
      <c r="U112" s="861" t="s">
        <v>53</v>
      </c>
      <c r="V112" s="861" t="s">
        <v>53</v>
      </c>
      <c r="W112" s="861" t="s">
        <v>53</v>
      </c>
      <c r="X112" s="861" t="s">
        <v>53</v>
      </c>
      <c r="Y112" s="861" t="s">
        <v>53</v>
      </c>
      <c r="Z112" s="861" t="s">
        <v>53</v>
      </c>
      <c r="AA112" s="861" t="s">
        <v>116</v>
      </c>
      <c r="AB112" s="861" t="s">
        <v>53</v>
      </c>
      <c r="AC112" s="861" t="s">
        <v>53</v>
      </c>
      <c r="AD112" s="861" t="s">
        <v>53</v>
      </c>
      <c r="AE112" s="861" t="s">
        <v>53</v>
      </c>
      <c r="AF112" s="861" t="s">
        <v>53</v>
      </c>
      <c r="AG112" s="861" t="s">
        <v>53</v>
      </c>
      <c r="AH112" s="861" t="s">
        <v>116</v>
      </c>
      <c r="AI112" s="861" t="s">
        <v>53</v>
      </c>
      <c r="AJ112" s="1095"/>
      <c r="AK112" s="1207">
        <f t="shared" si="39"/>
        <v>24</v>
      </c>
      <c r="AL112" s="1208">
        <f t="shared" si="40"/>
        <v>5</v>
      </c>
      <c r="AM112" s="1207">
        <f t="shared" si="41"/>
        <v>0</v>
      </c>
      <c r="AN112" s="1207">
        <f t="shared" si="42"/>
        <v>0</v>
      </c>
      <c r="AO112" s="1207">
        <f t="shared" si="43"/>
        <v>0</v>
      </c>
      <c r="AP112" s="1208">
        <f t="shared" si="44"/>
        <v>0</v>
      </c>
      <c r="AQ112" s="1209">
        <f t="shared" si="45"/>
        <v>29</v>
      </c>
      <c r="AR112" s="152"/>
      <c r="AS112" s="155" t="str">
        <f>'Mã số nhân viên'!I94</f>
        <v>04075</v>
      </c>
      <c r="AT112" s="1032">
        <f t="shared" si="38"/>
        <v>0</v>
      </c>
    </row>
    <row r="113" spans="1:46" ht="24.75" customHeight="1">
      <c r="A113" s="779">
        <v>100</v>
      </c>
      <c r="B113" s="539">
        <v>19</v>
      </c>
      <c r="C113" s="779" t="str">
        <f>VLOOKUP(D113,'Mã số nhân viên'!B95:I152,8,0)</f>
        <v>03509</v>
      </c>
      <c r="D113" s="115" t="s">
        <v>248</v>
      </c>
      <c r="E113" s="124"/>
      <c r="F113" s="861" t="s">
        <v>116</v>
      </c>
      <c r="G113" s="861" t="s">
        <v>53</v>
      </c>
      <c r="H113" s="861" t="s">
        <v>53</v>
      </c>
      <c r="I113" s="861" t="s">
        <v>53</v>
      </c>
      <c r="J113" s="861" t="s">
        <v>53</v>
      </c>
      <c r="K113" s="861" t="s">
        <v>53</v>
      </c>
      <c r="L113" s="861" t="s">
        <v>53</v>
      </c>
      <c r="M113" s="861" t="s">
        <v>116</v>
      </c>
      <c r="N113" s="861" t="s">
        <v>53</v>
      </c>
      <c r="O113" s="861" t="s">
        <v>53</v>
      </c>
      <c r="P113" s="861" t="s">
        <v>53</v>
      </c>
      <c r="Q113" s="861" t="s">
        <v>53</v>
      </c>
      <c r="R113" s="861" t="s">
        <v>53</v>
      </c>
      <c r="S113" s="861" t="s">
        <v>53</v>
      </c>
      <c r="T113" s="861" t="s">
        <v>116</v>
      </c>
      <c r="U113" s="861" t="s">
        <v>53</v>
      </c>
      <c r="V113" s="861" t="s">
        <v>53</v>
      </c>
      <c r="W113" s="861" t="s">
        <v>53</v>
      </c>
      <c r="X113" s="861" t="s">
        <v>53</v>
      </c>
      <c r="Y113" s="861" t="s">
        <v>53</v>
      </c>
      <c r="Z113" s="861" t="s">
        <v>53</v>
      </c>
      <c r="AA113" s="861" t="s">
        <v>116</v>
      </c>
      <c r="AB113" s="861" t="s">
        <v>53</v>
      </c>
      <c r="AC113" s="861" t="s">
        <v>53</v>
      </c>
      <c r="AD113" s="861" t="s">
        <v>53</v>
      </c>
      <c r="AE113" s="861" t="s">
        <v>53</v>
      </c>
      <c r="AF113" s="861" t="s">
        <v>53</v>
      </c>
      <c r="AG113" s="861" t="s">
        <v>53</v>
      </c>
      <c r="AH113" s="861" t="s">
        <v>116</v>
      </c>
      <c r="AI113" s="861" t="s">
        <v>53</v>
      </c>
      <c r="AJ113" s="1095"/>
      <c r="AK113" s="1207">
        <f t="shared" si="39"/>
        <v>25</v>
      </c>
      <c r="AL113" s="1208">
        <f t="shared" si="40"/>
        <v>5</v>
      </c>
      <c r="AM113" s="1207">
        <f t="shared" si="41"/>
        <v>0</v>
      </c>
      <c r="AN113" s="1207">
        <f t="shared" si="42"/>
        <v>0</v>
      </c>
      <c r="AO113" s="1207">
        <f t="shared" si="43"/>
        <v>0</v>
      </c>
      <c r="AP113" s="1208">
        <f t="shared" si="44"/>
        <v>0</v>
      </c>
      <c r="AQ113" s="1209">
        <f t="shared" si="45"/>
        <v>30</v>
      </c>
      <c r="AR113" s="152"/>
      <c r="AS113" s="155" t="str">
        <f>'Mã số nhân viên'!I95</f>
        <v>03509</v>
      </c>
      <c r="AT113" s="1032">
        <f t="shared" si="38"/>
        <v>0</v>
      </c>
    </row>
    <row r="114" spans="1:46" ht="24.75" customHeight="1">
      <c r="A114" s="779">
        <v>101</v>
      </c>
      <c r="B114" s="539">
        <v>20</v>
      </c>
      <c r="C114" s="779" t="str">
        <f>VLOOKUP(D114,'Mã số nhân viên'!B96:I153,8,0)</f>
        <v>03607</v>
      </c>
      <c r="D114" s="115" t="s">
        <v>265</v>
      </c>
      <c r="E114" s="124"/>
      <c r="F114" s="861" t="s">
        <v>116</v>
      </c>
      <c r="G114" s="861" t="s">
        <v>53</v>
      </c>
      <c r="H114" s="861" t="s">
        <v>53</v>
      </c>
      <c r="I114" s="861" t="s">
        <v>53</v>
      </c>
      <c r="J114" s="861" t="s">
        <v>53</v>
      </c>
      <c r="K114" s="861" t="s">
        <v>53</v>
      </c>
      <c r="L114" s="861" t="s">
        <v>53</v>
      </c>
      <c r="M114" s="861" t="s">
        <v>116</v>
      </c>
      <c r="N114" s="861" t="s">
        <v>53</v>
      </c>
      <c r="O114" s="861" t="s">
        <v>53</v>
      </c>
      <c r="P114" s="861" t="s">
        <v>53</v>
      </c>
      <c r="Q114" s="861" t="s">
        <v>53</v>
      </c>
      <c r="R114" s="861" t="s">
        <v>53</v>
      </c>
      <c r="S114" s="861" t="s">
        <v>53</v>
      </c>
      <c r="T114" s="861" t="s">
        <v>116</v>
      </c>
      <c r="U114" s="861" t="s">
        <v>53</v>
      </c>
      <c r="V114" s="861" t="s">
        <v>53</v>
      </c>
      <c r="W114" s="861" t="s">
        <v>53</v>
      </c>
      <c r="X114" s="861" t="s">
        <v>53</v>
      </c>
      <c r="Y114" s="861" t="s">
        <v>53</v>
      </c>
      <c r="Z114" s="861" t="s">
        <v>53</v>
      </c>
      <c r="AA114" s="861" t="s">
        <v>116</v>
      </c>
      <c r="AB114" s="861" t="s">
        <v>53</v>
      </c>
      <c r="AC114" s="861" t="s">
        <v>53</v>
      </c>
      <c r="AD114" s="861" t="s">
        <v>53</v>
      </c>
      <c r="AE114" s="861" t="s">
        <v>53</v>
      </c>
      <c r="AF114" s="861" t="s">
        <v>53</v>
      </c>
      <c r="AG114" s="861" t="s">
        <v>53</v>
      </c>
      <c r="AH114" s="861" t="s">
        <v>116</v>
      </c>
      <c r="AI114" s="861" t="s">
        <v>53</v>
      </c>
      <c r="AJ114" s="1095"/>
      <c r="AK114" s="1207">
        <f t="shared" si="39"/>
        <v>25</v>
      </c>
      <c r="AL114" s="1208">
        <f t="shared" si="40"/>
        <v>5</v>
      </c>
      <c r="AM114" s="1207">
        <f t="shared" si="41"/>
        <v>0</v>
      </c>
      <c r="AN114" s="1207">
        <f t="shared" si="42"/>
        <v>0</v>
      </c>
      <c r="AO114" s="1207">
        <f t="shared" si="43"/>
        <v>0</v>
      </c>
      <c r="AP114" s="1208">
        <f t="shared" si="44"/>
        <v>0</v>
      </c>
      <c r="AQ114" s="1209">
        <f t="shared" si="45"/>
        <v>30</v>
      </c>
      <c r="AR114" s="152"/>
      <c r="AS114" s="155" t="str">
        <f>'Mã số nhân viên'!I96</f>
        <v>03607</v>
      </c>
      <c r="AT114" s="1032">
        <f t="shared" si="38"/>
        <v>0</v>
      </c>
    </row>
    <row r="115" spans="1:46" ht="24.75" customHeight="1">
      <c r="A115" s="779">
        <v>102</v>
      </c>
      <c r="B115" s="539">
        <v>21</v>
      </c>
      <c r="C115" s="779" t="str">
        <f>VLOOKUP(D115,'Mã số nhân viên'!B97:I154,8,0)</f>
        <v>02729</v>
      </c>
      <c r="D115" s="115" t="s">
        <v>227</v>
      </c>
      <c r="E115" s="124"/>
      <c r="F115" s="861" t="s">
        <v>116</v>
      </c>
      <c r="G115" s="861" t="s">
        <v>53</v>
      </c>
      <c r="H115" s="861" t="s">
        <v>53</v>
      </c>
      <c r="I115" s="861" t="s">
        <v>53</v>
      </c>
      <c r="J115" s="861" t="s">
        <v>53</v>
      </c>
      <c r="K115" s="861" t="s">
        <v>53</v>
      </c>
      <c r="L115" s="861" t="s">
        <v>53</v>
      </c>
      <c r="M115" s="861" t="s">
        <v>116</v>
      </c>
      <c r="N115" s="861" t="s">
        <v>53</v>
      </c>
      <c r="O115" s="861" t="s">
        <v>53</v>
      </c>
      <c r="P115" s="861" t="s">
        <v>53</v>
      </c>
      <c r="Q115" s="861" t="s">
        <v>53</v>
      </c>
      <c r="R115" s="861" t="s">
        <v>53</v>
      </c>
      <c r="S115" s="861" t="s">
        <v>53</v>
      </c>
      <c r="T115" s="861" t="s">
        <v>116</v>
      </c>
      <c r="U115" s="861" t="s">
        <v>53</v>
      </c>
      <c r="V115" s="861" t="s">
        <v>53</v>
      </c>
      <c r="W115" s="861" t="s">
        <v>53</v>
      </c>
      <c r="X115" s="861" t="s">
        <v>53</v>
      </c>
      <c r="Y115" s="861" t="s">
        <v>53</v>
      </c>
      <c r="Z115" s="861" t="s">
        <v>53</v>
      </c>
      <c r="AA115" s="861" t="s">
        <v>116</v>
      </c>
      <c r="AB115" s="861" t="s">
        <v>53</v>
      </c>
      <c r="AC115" s="861" t="s">
        <v>53</v>
      </c>
      <c r="AD115" s="861" t="s">
        <v>53</v>
      </c>
      <c r="AE115" s="861" t="s">
        <v>53</v>
      </c>
      <c r="AF115" s="861" t="s">
        <v>53</v>
      </c>
      <c r="AG115" s="861" t="s">
        <v>53</v>
      </c>
      <c r="AH115" s="861" t="s">
        <v>116</v>
      </c>
      <c r="AI115" s="861" t="s">
        <v>53</v>
      </c>
      <c r="AJ115" s="1095"/>
      <c r="AK115" s="1207">
        <f t="shared" si="39"/>
        <v>25</v>
      </c>
      <c r="AL115" s="1208">
        <f t="shared" si="40"/>
        <v>5</v>
      </c>
      <c r="AM115" s="1207">
        <f t="shared" si="41"/>
        <v>0</v>
      </c>
      <c r="AN115" s="1207">
        <f t="shared" si="42"/>
        <v>0</v>
      </c>
      <c r="AO115" s="1207">
        <f t="shared" si="43"/>
        <v>0</v>
      </c>
      <c r="AP115" s="1208">
        <f t="shared" si="44"/>
        <v>0</v>
      </c>
      <c r="AQ115" s="1209">
        <f t="shared" si="45"/>
        <v>30</v>
      </c>
      <c r="AR115" s="152"/>
      <c r="AS115" s="155" t="str">
        <f>'Mã số nhân viên'!I97</f>
        <v>02729</v>
      </c>
      <c r="AT115" s="1032">
        <f t="shared" si="38"/>
        <v>0</v>
      </c>
    </row>
    <row r="116" spans="1:46" ht="24.75" customHeight="1">
      <c r="A116" s="779">
        <v>103</v>
      </c>
      <c r="B116" s="539">
        <v>22</v>
      </c>
      <c r="C116" s="779" t="str">
        <f>VLOOKUP(D116,'Mã số nhân viên'!B98:I155,8,0)</f>
        <v>03608</v>
      </c>
      <c r="D116" s="115" t="s">
        <v>271</v>
      </c>
      <c r="E116" s="124"/>
      <c r="F116" s="861" t="s">
        <v>116</v>
      </c>
      <c r="G116" s="861" t="s">
        <v>53</v>
      </c>
      <c r="H116" s="861" t="s">
        <v>53</v>
      </c>
      <c r="I116" s="861" t="s">
        <v>53</v>
      </c>
      <c r="J116" s="861" t="s">
        <v>53</v>
      </c>
      <c r="K116" s="861" t="s">
        <v>53</v>
      </c>
      <c r="L116" s="861" t="s">
        <v>53</v>
      </c>
      <c r="M116" s="861" t="s">
        <v>116</v>
      </c>
      <c r="N116" s="861" t="s">
        <v>837</v>
      </c>
      <c r="O116" s="861" t="s">
        <v>53</v>
      </c>
      <c r="P116" s="861" t="s">
        <v>53</v>
      </c>
      <c r="Q116" s="861"/>
      <c r="R116" s="861" t="s">
        <v>53</v>
      </c>
      <c r="S116" s="861" t="s">
        <v>53</v>
      </c>
      <c r="T116" s="861" t="s">
        <v>116</v>
      </c>
      <c r="U116" s="861" t="s">
        <v>53</v>
      </c>
      <c r="V116" s="861" t="s">
        <v>53</v>
      </c>
      <c r="W116" s="861" t="s">
        <v>53</v>
      </c>
      <c r="X116" s="861" t="s">
        <v>53</v>
      </c>
      <c r="Y116" s="861" t="s">
        <v>53</v>
      </c>
      <c r="Z116" s="861" t="s">
        <v>53</v>
      </c>
      <c r="AA116" s="861" t="s">
        <v>116</v>
      </c>
      <c r="AB116" s="861" t="s">
        <v>53</v>
      </c>
      <c r="AC116" s="861" t="s">
        <v>53</v>
      </c>
      <c r="AD116" s="861" t="s">
        <v>53</v>
      </c>
      <c r="AE116" s="861" t="s">
        <v>53</v>
      </c>
      <c r="AF116" s="861" t="s">
        <v>53</v>
      </c>
      <c r="AG116" s="861" t="s">
        <v>53</v>
      </c>
      <c r="AH116" s="861" t="s">
        <v>116</v>
      </c>
      <c r="AI116" s="861" t="s">
        <v>53</v>
      </c>
      <c r="AJ116" s="1095"/>
      <c r="AK116" s="1207">
        <f t="shared" si="39"/>
        <v>23</v>
      </c>
      <c r="AL116" s="1208">
        <f t="shared" si="40"/>
        <v>5</v>
      </c>
      <c r="AM116" s="1207">
        <f t="shared" si="41"/>
        <v>0</v>
      </c>
      <c r="AN116" s="1207">
        <f t="shared" si="42"/>
        <v>0</v>
      </c>
      <c r="AO116" s="1207">
        <f t="shared" si="43"/>
        <v>0</v>
      </c>
      <c r="AP116" s="1208">
        <f t="shared" si="44"/>
        <v>0</v>
      </c>
      <c r="AQ116" s="1209">
        <f t="shared" si="45"/>
        <v>28</v>
      </c>
      <c r="AR116" s="152"/>
      <c r="AS116" s="155" t="str">
        <f>'Mã số nhân viên'!I98</f>
        <v>03608</v>
      </c>
      <c r="AT116" s="1032">
        <f t="shared" si="38"/>
        <v>0</v>
      </c>
    </row>
    <row r="117" spans="1:46" ht="24.75" customHeight="1">
      <c r="A117" s="779">
        <v>104</v>
      </c>
      <c r="B117" s="539">
        <v>23</v>
      </c>
      <c r="C117" s="779" t="str">
        <f>VLOOKUP(D117,'Mã số nhân viên'!B99:I156,8,0)</f>
        <v>03609</v>
      </c>
      <c r="D117" s="115" t="s">
        <v>252</v>
      </c>
      <c r="E117" s="124"/>
      <c r="F117" s="861" t="s">
        <v>116</v>
      </c>
      <c r="G117" s="861" t="s">
        <v>53</v>
      </c>
      <c r="H117" s="861" t="s">
        <v>53</v>
      </c>
      <c r="I117" s="861" t="s">
        <v>53</v>
      </c>
      <c r="J117" s="861" t="s">
        <v>53</v>
      </c>
      <c r="K117" s="861" t="s">
        <v>53</v>
      </c>
      <c r="L117" s="861" t="s">
        <v>53</v>
      </c>
      <c r="M117" s="861" t="s">
        <v>116</v>
      </c>
      <c r="N117" s="861" t="s">
        <v>53</v>
      </c>
      <c r="O117" s="861" t="s">
        <v>53</v>
      </c>
      <c r="P117" s="861" t="s">
        <v>53</v>
      </c>
      <c r="Q117" s="861"/>
      <c r="R117" s="861" t="s">
        <v>53</v>
      </c>
      <c r="S117" s="861" t="s">
        <v>53</v>
      </c>
      <c r="T117" s="861" t="s">
        <v>116</v>
      </c>
      <c r="U117" s="861" t="s">
        <v>53</v>
      </c>
      <c r="V117" s="861" t="s">
        <v>53</v>
      </c>
      <c r="W117" s="861" t="s">
        <v>53</v>
      </c>
      <c r="X117" s="861" t="s">
        <v>53</v>
      </c>
      <c r="Y117" s="861" t="s">
        <v>53</v>
      </c>
      <c r="Z117" s="861" t="s">
        <v>53</v>
      </c>
      <c r="AA117" s="861" t="s">
        <v>116</v>
      </c>
      <c r="AB117" s="861" t="s">
        <v>53</v>
      </c>
      <c r="AC117" s="861" t="s">
        <v>53</v>
      </c>
      <c r="AD117" s="861" t="s">
        <v>53</v>
      </c>
      <c r="AE117" s="861" t="s">
        <v>53</v>
      </c>
      <c r="AF117" s="861" t="s">
        <v>53</v>
      </c>
      <c r="AG117" s="861" t="s">
        <v>53</v>
      </c>
      <c r="AH117" s="861" t="s">
        <v>116</v>
      </c>
      <c r="AI117" s="861" t="s">
        <v>53</v>
      </c>
      <c r="AJ117" s="1095"/>
      <c r="AK117" s="1207">
        <f t="shared" si="39"/>
        <v>24</v>
      </c>
      <c r="AL117" s="1208">
        <f t="shared" si="40"/>
        <v>5</v>
      </c>
      <c r="AM117" s="1207">
        <f t="shared" si="41"/>
        <v>0</v>
      </c>
      <c r="AN117" s="1207">
        <f t="shared" si="42"/>
        <v>0</v>
      </c>
      <c r="AO117" s="1207">
        <f t="shared" si="43"/>
        <v>0</v>
      </c>
      <c r="AP117" s="1208">
        <f t="shared" si="44"/>
        <v>0</v>
      </c>
      <c r="AQ117" s="1209">
        <f t="shared" si="45"/>
        <v>29</v>
      </c>
      <c r="AR117" s="152"/>
      <c r="AS117" s="155" t="str">
        <f>'Mã số nhân viên'!I99</f>
        <v>03609</v>
      </c>
      <c r="AT117" s="1032">
        <f t="shared" si="38"/>
        <v>0</v>
      </c>
    </row>
    <row r="118" spans="1:46" ht="24.75" customHeight="1">
      <c r="A118" s="779">
        <v>105</v>
      </c>
      <c r="B118" s="539">
        <v>24</v>
      </c>
      <c r="C118" s="779" t="str">
        <f>VLOOKUP(D118,'Mã số nhân viên'!B100:I157,8,0)</f>
        <v>03610</v>
      </c>
      <c r="D118" s="419" t="s">
        <v>253</v>
      </c>
      <c r="E118" s="124"/>
      <c r="F118" s="861" t="s">
        <v>116</v>
      </c>
      <c r="G118" s="861" t="s">
        <v>53</v>
      </c>
      <c r="H118" s="861" t="s">
        <v>53</v>
      </c>
      <c r="I118" s="861" t="s">
        <v>53</v>
      </c>
      <c r="J118" s="861" t="s">
        <v>53</v>
      </c>
      <c r="K118" s="861" t="s">
        <v>53</v>
      </c>
      <c r="L118" s="861" t="s">
        <v>53</v>
      </c>
      <c r="M118" s="861" t="s">
        <v>116</v>
      </c>
      <c r="N118" s="861" t="s">
        <v>53</v>
      </c>
      <c r="O118" s="861" t="s">
        <v>53</v>
      </c>
      <c r="P118" s="861" t="s">
        <v>53</v>
      </c>
      <c r="Q118" s="861"/>
      <c r="R118" s="861" t="s">
        <v>53</v>
      </c>
      <c r="S118" s="861" t="s">
        <v>53</v>
      </c>
      <c r="T118" s="861" t="s">
        <v>116</v>
      </c>
      <c r="U118" s="861" t="s">
        <v>53</v>
      </c>
      <c r="V118" s="861" t="s">
        <v>53</v>
      </c>
      <c r="W118" s="861" t="s">
        <v>53</v>
      </c>
      <c r="X118" s="861" t="s">
        <v>53</v>
      </c>
      <c r="Y118" s="861" t="s">
        <v>53</v>
      </c>
      <c r="Z118" s="861" t="s">
        <v>53</v>
      </c>
      <c r="AA118" s="861" t="s">
        <v>116</v>
      </c>
      <c r="AB118" s="861" t="s">
        <v>53</v>
      </c>
      <c r="AC118" s="861" t="s">
        <v>53</v>
      </c>
      <c r="AD118" s="861" t="s">
        <v>53</v>
      </c>
      <c r="AE118" s="861" t="s">
        <v>53</v>
      </c>
      <c r="AF118" s="861" t="s">
        <v>53</v>
      </c>
      <c r="AG118" s="861" t="s">
        <v>53</v>
      </c>
      <c r="AH118" s="861" t="s">
        <v>116</v>
      </c>
      <c r="AI118" s="861" t="s">
        <v>53</v>
      </c>
      <c r="AJ118" s="1095"/>
      <c r="AK118" s="1207">
        <f t="shared" si="39"/>
        <v>24</v>
      </c>
      <c r="AL118" s="1208">
        <f t="shared" si="40"/>
        <v>5</v>
      </c>
      <c r="AM118" s="1207">
        <f t="shared" si="41"/>
        <v>0</v>
      </c>
      <c r="AN118" s="1207">
        <f t="shared" si="42"/>
        <v>0</v>
      </c>
      <c r="AO118" s="1207">
        <f t="shared" si="43"/>
        <v>0</v>
      </c>
      <c r="AP118" s="1208">
        <f t="shared" si="44"/>
        <v>0</v>
      </c>
      <c r="AQ118" s="1209">
        <f t="shared" si="45"/>
        <v>29</v>
      </c>
      <c r="AR118" s="152"/>
      <c r="AS118" s="155" t="str">
        <f>'Mã số nhân viên'!I100</f>
        <v>03610</v>
      </c>
      <c r="AT118" s="1032">
        <f t="shared" si="38"/>
        <v>0</v>
      </c>
    </row>
    <row r="119" spans="1:46" ht="24.75" customHeight="1">
      <c r="A119" s="779">
        <v>106</v>
      </c>
      <c r="B119" s="539">
        <v>25</v>
      </c>
      <c r="C119" s="779" t="str">
        <f>VLOOKUP(D119,'Mã số nhân viên'!B101:I158,8,0)</f>
        <v>04076</v>
      </c>
      <c r="D119" s="419" t="s">
        <v>566</v>
      </c>
      <c r="E119" s="124"/>
      <c r="F119" s="861" t="s">
        <v>116</v>
      </c>
      <c r="G119" s="861" t="s">
        <v>53</v>
      </c>
      <c r="H119" s="861" t="s">
        <v>53</v>
      </c>
      <c r="I119" s="861" t="s">
        <v>53</v>
      </c>
      <c r="J119" s="861" t="s">
        <v>53</v>
      </c>
      <c r="K119" s="861" t="s">
        <v>53</v>
      </c>
      <c r="L119" s="861" t="s">
        <v>53</v>
      </c>
      <c r="M119" s="861" t="s">
        <v>116</v>
      </c>
      <c r="N119" s="861" t="s">
        <v>53</v>
      </c>
      <c r="O119" s="861" t="s">
        <v>53</v>
      </c>
      <c r="P119" s="861" t="s">
        <v>53</v>
      </c>
      <c r="Q119" s="861"/>
      <c r="R119" s="861" t="s">
        <v>53</v>
      </c>
      <c r="S119" s="861" t="s">
        <v>53</v>
      </c>
      <c r="T119" s="861" t="s">
        <v>116</v>
      </c>
      <c r="U119" s="861" t="s">
        <v>53</v>
      </c>
      <c r="V119" s="861" t="s">
        <v>53</v>
      </c>
      <c r="W119" s="861" t="s">
        <v>53</v>
      </c>
      <c r="X119" s="861" t="s">
        <v>53</v>
      </c>
      <c r="Y119" s="861" t="s">
        <v>53</v>
      </c>
      <c r="Z119" s="861" t="s">
        <v>53</v>
      </c>
      <c r="AA119" s="861" t="s">
        <v>116</v>
      </c>
      <c r="AB119" s="861" t="s">
        <v>53</v>
      </c>
      <c r="AC119" s="861" t="s">
        <v>53</v>
      </c>
      <c r="AD119" s="861" t="s">
        <v>53</v>
      </c>
      <c r="AE119" s="861" t="s">
        <v>53</v>
      </c>
      <c r="AF119" s="861" t="s">
        <v>53</v>
      </c>
      <c r="AG119" s="861" t="s">
        <v>53</v>
      </c>
      <c r="AH119" s="861"/>
      <c r="AI119" s="861" t="s">
        <v>53</v>
      </c>
      <c r="AJ119" s="1095"/>
      <c r="AK119" s="1207">
        <f t="shared" si="39"/>
        <v>24</v>
      </c>
      <c r="AL119" s="1208">
        <f t="shared" si="40"/>
        <v>4</v>
      </c>
      <c r="AM119" s="1207">
        <f t="shared" si="41"/>
        <v>0</v>
      </c>
      <c r="AN119" s="1207">
        <f t="shared" si="42"/>
        <v>0</v>
      </c>
      <c r="AO119" s="1207">
        <f t="shared" si="43"/>
        <v>0</v>
      </c>
      <c r="AP119" s="1208">
        <f t="shared" si="44"/>
        <v>0</v>
      </c>
      <c r="AQ119" s="1209">
        <f t="shared" si="45"/>
        <v>28</v>
      </c>
      <c r="AR119" s="152"/>
      <c r="AS119" s="155" t="str">
        <f>'Mã số nhân viên'!I101</f>
        <v>04076</v>
      </c>
      <c r="AT119" s="1032">
        <f t="shared" si="38"/>
        <v>0</v>
      </c>
    </row>
    <row r="120" spans="1:46" ht="24.75" customHeight="1">
      <c r="A120" s="779">
        <v>107</v>
      </c>
      <c r="B120" s="539">
        <v>26</v>
      </c>
      <c r="C120" s="779" t="str">
        <f>VLOOKUP(D120,'Mã số nhân viên'!B102:I159,8,0)</f>
        <v>03612</v>
      </c>
      <c r="D120" s="419" t="s">
        <v>297</v>
      </c>
      <c r="E120" s="124"/>
      <c r="F120" s="861" t="s">
        <v>116</v>
      </c>
      <c r="G120" s="861" t="s">
        <v>53</v>
      </c>
      <c r="H120" s="861" t="s">
        <v>53</v>
      </c>
      <c r="I120" s="861" t="s">
        <v>53</v>
      </c>
      <c r="J120" s="861" t="s">
        <v>53</v>
      </c>
      <c r="K120" s="861" t="s">
        <v>53</v>
      </c>
      <c r="L120" s="861" t="s">
        <v>53</v>
      </c>
      <c r="M120" s="861" t="s">
        <v>116</v>
      </c>
      <c r="N120" s="861" t="s">
        <v>53</v>
      </c>
      <c r="O120" s="861" t="s">
        <v>53</v>
      </c>
      <c r="P120" s="861" t="s">
        <v>53</v>
      </c>
      <c r="Q120" s="861"/>
      <c r="R120" s="861" t="s">
        <v>53</v>
      </c>
      <c r="S120" s="861" t="s">
        <v>53</v>
      </c>
      <c r="T120" s="861" t="s">
        <v>116</v>
      </c>
      <c r="U120" s="861" t="s">
        <v>53</v>
      </c>
      <c r="V120" s="861" t="s">
        <v>53</v>
      </c>
      <c r="W120" s="861" t="s">
        <v>53</v>
      </c>
      <c r="X120" s="861" t="s">
        <v>53</v>
      </c>
      <c r="Y120" s="861" t="s">
        <v>53</v>
      </c>
      <c r="Z120" s="861" t="s">
        <v>53</v>
      </c>
      <c r="AA120" s="861" t="s">
        <v>116</v>
      </c>
      <c r="AB120" s="861" t="s">
        <v>53</v>
      </c>
      <c r="AC120" s="861" t="s">
        <v>53</v>
      </c>
      <c r="AD120" s="861" t="s">
        <v>53</v>
      </c>
      <c r="AE120" s="861" t="s">
        <v>53</v>
      </c>
      <c r="AF120" s="861" t="s">
        <v>53</v>
      </c>
      <c r="AG120" s="861" t="s">
        <v>53</v>
      </c>
      <c r="AH120" s="861" t="s">
        <v>116</v>
      </c>
      <c r="AI120" s="861" t="s">
        <v>53</v>
      </c>
      <c r="AJ120" s="1095"/>
      <c r="AK120" s="1207">
        <f t="shared" si="39"/>
        <v>24</v>
      </c>
      <c r="AL120" s="1208">
        <f t="shared" si="40"/>
        <v>5</v>
      </c>
      <c r="AM120" s="1207">
        <f t="shared" si="41"/>
        <v>0</v>
      </c>
      <c r="AN120" s="1207">
        <f t="shared" si="42"/>
        <v>0</v>
      </c>
      <c r="AO120" s="1207">
        <f t="shared" si="43"/>
        <v>0</v>
      </c>
      <c r="AP120" s="1208">
        <f t="shared" si="44"/>
        <v>0</v>
      </c>
      <c r="AQ120" s="1209">
        <f t="shared" si="45"/>
        <v>29</v>
      </c>
      <c r="AR120" s="152"/>
      <c r="AS120" s="155" t="str">
        <f>'Mã số nhân viên'!I102</f>
        <v>03612</v>
      </c>
      <c r="AT120" s="1032">
        <f t="shared" si="38"/>
        <v>0</v>
      </c>
    </row>
    <row r="121" spans="1:46" ht="24.75" customHeight="1">
      <c r="A121" s="779">
        <v>108</v>
      </c>
      <c r="B121" s="539">
        <v>27</v>
      </c>
      <c r="C121" s="779" t="str">
        <f>VLOOKUP(D121,'Mã số nhân viên'!B103:I160,8,0)</f>
        <v>03613</v>
      </c>
      <c r="D121" s="419" t="s">
        <v>277</v>
      </c>
      <c r="E121" s="124"/>
      <c r="F121" s="861" t="s">
        <v>116</v>
      </c>
      <c r="G121" s="861" t="s">
        <v>53</v>
      </c>
      <c r="H121" s="861" t="s">
        <v>53</v>
      </c>
      <c r="I121" s="861" t="s">
        <v>53</v>
      </c>
      <c r="J121" s="861" t="s">
        <v>53</v>
      </c>
      <c r="K121" s="861" t="s">
        <v>53</v>
      </c>
      <c r="L121" s="861" t="s">
        <v>53</v>
      </c>
      <c r="M121" s="861" t="s">
        <v>116</v>
      </c>
      <c r="N121" s="861" t="s">
        <v>53</v>
      </c>
      <c r="O121" s="861" t="s">
        <v>53</v>
      </c>
      <c r="P121" s="861" t="s">
        <v>53</v>
      </c>
      <c r="Q121" s="861"/>
      <c r="R121" s="861" t="s">
        <v>53</v>
      </c>
      <c r="S121" s="861" t="s">
        <v>53</v>
      </c>
      <c r="T121" s="861" t="s">
        <v>116</v>
      </c>
      <c r="U121" s="861" t="s">
        <v>53</v>
      </c>
      <c r="V121" s="861" t="s">
        <v>53</v>
      </c>
      <c r="W121" s="861" t="s">
        <v>53</v>
      </c>
      <c r="X121" s="861" t="s">
        <v>53</v>
      </c>
      <c r="Y121" s="861" t="s">
        <v>53</v>
      </c>
      <c r="Z121" s="861" t="s">
        <v>53</v>
      </c>
      <c r="AA121" s="861" t="s">
        <v>116</v>
      </c>
      <c r="AB121" s="861" t="s">
        <v>53</v>
      </c>
      <c r="AC121" s="861" t="s">
        <v>53</v>
      </c>
      <c r="AD121" s="861" t="s">
        <v>53</v>
      </c>
      <c r="AE121" s="861" t="s">
        <v>53</v>
      </c>
      <c r="AF121" s="861" t="s">
        <v>53</v>
      </c>
      <c r="AG121" s="861" t="s">
        <v>53</v>
      </c>
      <c r="AH121" s="861" t="s">
        <v>116</v>
      </c>
      <c r="AI121" s="861" t="s">
        <v>53</v>
      </c>
      <c r="AJ121" s="1095"/>
      <c r="AK121" s="1207">
        <f t="shared" si="39"/>
        <v>24</v>
      </c>
      <c r="AL121" s="1208">
        <f t="shared" si="40"/>
        <v>5</v>
      </c>
      <c r="AM121" s="1207">
        <f t="shared" si="41"/>
        <v>0</v>
      </c>
      <c r="AN121" s="1207">
        <f t="shared" si="42"/>
        <v>0</v>
      </c>
      <c r="AO121" s="1207">
        <f t="shared" si="43"/>
        <v>0</v>
      </c>
      <c r="AP121" s="1208">
        <f t="shared" si="44"/>
        <v>0</v>
      </c>
      <c r="AQ121" s="1209">
        <f t="shared" si="45"/>
        <v>29</v>
      </c>
      <c r="AR121" s="152"/>
      <c r="AS121" s="155" t="str">
        <f>'Mã số nhân viên'!I103</f>
        <v>03613</v>
      </c>
      <c r="AT121" s="1032">
        <f t="shared" si="38"/>
        <v>0</v>
      </c>
    </row>
    <row r="122" spans="1:46" ht="24.75" customHeight="1">
      <c r="A122" s="779">
        <v>109</v>
      </c>
      <c r="B122" s="539">
        <v>28</v>
      </c>
      <c r="C122" s="779" t="str">
        <f>VLOOKUP(D122,'Mã số nhân viên'!B104:I161,8,0)</f>
        <v>04077</v>
      </c>
      <c r="D122" s="419" t="s">
        <v>567</v>
      </c>
      <c r="E122" s="124"/>
      <c r="F122" s="861" t="s">
        <v>116</v>
      </c>
      <c r="G122" s="861" t="s">
        <v>53</v>
      </c>
      <c r="H122" s="861" t="s">
        <v>53</v>
      </c>
      <c r="I122" s="861" t="s">
        <v>53</v>
      </c>
      <c r="J122" s="861" t="s">
        <v>53</v>
      </c>
      <c r="K122" s="861" t="s">
        <v>53</v>
      </c>
      <c r="L122" s="861" t="s">
        <v>53</v>
      </c>
      <c r="M122" s="861" t="s">
        <v>116</v>
      </c>
      <c r="N122" s="861" t="s">
        <v>53</v>
      </c>
      <c r="O122" s="861" t="s">
        <v>53</v>
      </c>
      <c r="P122" s="861" t="s">
        <v>53</v>
      </c>
      <c r="Q122" s="861"/>
      <c r="R122" s="861"/>
      <c r="S122" s="861" t="s">
        <v>53</v>
      </c>
      <c r="T122" s="861" t="s">
        <v>116</v>
      </c>
      <c r="U122" s="861" t="s">
        <v>53</v>
      </c>
      <c r="V122" s="861" t="s">
        <v>53</v>
      </c>
      <c r="W122" s="861" t="s">
        <v>53</v>
      </c>
      <c r="X122" s="861" t="s">
        <v>53</v>
      </c>
      <c r="Y122" s="861" t="s">
        <v>53</v>
      </c>
      <c r="Z122" s="861" t="s">
        <v>53</v>
      </c>
      <c r="AA122" s="861" t="s">
        <v>116</v>
      </c>
      <c r="AB122" s="861" t="s">
        <v>53</v>
      </c>
      <c r="AC122" s="861" t="s">
        <v>53</v>
      </c>
      <c r="AD122" s="861" t="s">
        <v>53</v>
      </c>
      <c r="AE122" s="861" t="s">
        <v>53</v>
      </c>
      <c r="AF122" s="861" t="s">
        <v>53</v>
      </c>
      <c r="AG122" s="861" t="s">
        <v>53</v>
      </c>
      <c r="AH122" s="861" t="s">
        <v>116</v>
      </c>
      <c r="AI122" s="861" t="s">
        <v>53</v>
      </c>
      <c r="AJ122" s="1095"/>
      <c r="AK122" s="1207">
        <f t="shared" si="39"/>
        <v>23</v>
      </c>
      <c r="AL122" s="1208">
        <f t="shared" si="40"/>
        <v>5</v>
      </c>
      <c r="AM122" s="1207">
        <f t="shared" si="41"/>
        <v>0</v>
      </c>
      <c r="AN122" s="1207">
        <f t="shared" si="42"/>
        <v>0</v>
      </c>
      <c r="AO122" s="1207">
        <f t="shared" si="43"/>
        <v>0</v>
      </c>
      <c r="AP122" s="1208">
        <f t="shared" si="44"/>
        <v>0</v>
      </c>
      <c r="AQ122" s="1209">
        <f t="shared" si="45"/>
        <v>28</v>
      </c>
      <c r="AR122" s="152"/>
      <c r="AS122" s="155" t="str">
        <f>'Mã số nhân viên'!I104</f>
        <v>04077</v>
      </c>
      <c r="AT122" s="1032">
        <f t="shared" si="38"/>
        <v>0</v>
      </c>
    </row>
    <row r="123" spans="1:46" ht="24.75" customHeight="1">
      <c r="A123" s="779">
        <v>110</v>
      </c>
      <c r="B123" s="539">
        <v>29</v>
      </c>
      <c r="C123" s="779" t="str">
        <f>VLOOKUP(D123,'Mã số nhân viên'!B105:I162,8,0)</f>
        <v>03615</v>
      </c>
      <c r="D123" s="417" t="s">
        <v>335</v>
      </c>
      <c r="E123" s="124"/>
      <c r="F123" s="861" t="s">
        <v>116</v>
      </c>
      <c r="G123" s="861" t="s">
        <v>53</v>
      </c>
      <c r="H123" s="861" t="s">
        <v>53</v>
      </c>
      <c r="I123" s="861" t="s">
        <v>53</v>
      </c>
      <c r="J123" s="861" t="s">
        <v>53</v>
      </c>
      <c r="K123" s="861" t="s">
        <v>837</v>
      </c>
      <c r="L123" s="861" t="s">
        <v>837</v>
      </c>
      <c r="M123" s="861" t="s">
        <v>837</v>
      </c>
      <c r="N123" s="861" t="s">
        <v>53</v>
      </c>
      <c r="O123" s="861" t="s">
        <v>53</v>
      </c>
      <c r="P123" s="861" t="s">
        <v>53</v>
      </c>
      <c r="Q123" s="861"/>
      <c r="R123" s="861" t="s">
        <v>53</v>
      </c>
      <c r="S123" s="861" t="s">
        <v>53</v>
      </c>
      <c r="T123" s="861" t="s">
        <v>116</v>
      </c>
      <c r="U123" s="861" t="s">
        <v>53</v>
      </c>
      <c r="V123" s="861" t="s">
        <v>53</v>
      </c>
      <c r="W123" s="861" t="s">
        <v>837</v>
      </c>
      <c r="X123" s="861" t="s">
        <v>53</v>
      </c>
      <c r="Y123" s="861" t="s">
        <v>53</v>
      </c>
      <c r="Z123" s="861" t="s">
        <v>53</v>
      </c>
      <c r="AA123" s="861" t="s">
        <v>116</v>
      </c>
      <c r="AB123" s="861" t="s">
        <v>53</v>
      </c>
      <c r="AC123" s="861" t="s">
        <v>53</v>
      </c>
      <c r="AD123" s="861" t="s">
        <v>53</v>
      </c>
      <c r="AE123" s="861" t="s">
        <v>53</v>
      </c>
      <c r="AF123" s="861" t="s">
        <v>53</v>
      </c>
      <c r="AG123" s="861" t="s">
        <v>837</v>
      </c>
      <c r="AH123" s="861" t="s">
        <v>116</v>
      </c>
      <c r="AI123" s="861" t="s">
        <v>53</v>
      </c>
      <c r="AJ123" s="1095"/>
      <c r="AK123" s="1207">
        <f t="shared" si="39"/>
        <v>20</v>
      </c>
      <c r="AL123" s="1208">
        <f t="shared" si="40"/>
        <v>4</v>
      </c>
      <c r="AM123" s="1207">
        <f t="shared" si="41"/>
        <v>0</v>
      </c>
      <c r="AN123" s="1207">
        <f t="shared" si="42"/>
        <v>0</v>
      </c>
      <c r="AO123" s="1207">
        <f t="shared" si="43"/>
        <v>0</v>
      </c>
      <c r="AP123" s="1208">
        <f t="shared" si="44"/>
        <v>0</v>
      </c>
      <c r="AQ123" s="1209">
        <f t="shared" si="45"/>
        <v>24</v>
      </c>
      <c r="AR123" s="152"/>
      <c r="AS123" s="155" t="str">
        <f>'Mã số nhân viên'!I105</f>
        <v>03615</v>
      </c>
      <c r="AT123" s="1032">
        <f t="shared" si="38"/>
        <v>0</v>
      </c>
    </row>
    <row r="124" spans="1:46" ht="24.75" customHeight="1">
      <c r="A124" s="779">
        <v>111</v>
      </c>
      <c r="B124" s="539">
        <v>30</v>
      </c>
      <c r="C124" s="779" t="str">
        <f>VLOOKUP(D124,'Mã số nhân viên'!B106:I163,8,0)</f>
        <v>03616</v>
      </c>
      <c r="D124" s="419" t="s">
        <v>254</v>
      </c>
      <c r="E124" s="124"/>
      <c r="F124" s="861" t="s">
        <v>116</v>
      </c>
      <c r="G124" s="861" t="s">
        <v>53</v>
      </c>
      <c r="H124" s="861" t="s">
        <v>53</v>
      </c>
      <c r="I124" s="861" t="s">
        <v>53</v>
      </c>
      <c r="J124" s="861" t="s">
        <v>53</v>
      </c>
      <c r="K124" s="861" t="s">
        <v>53</v>
      </c>
      <c r="L124" s="861" t="s">
        <v>53</v>
      </c>
      <c r="M124" s="861" t="s">
        <v>116</v>
      </c>
      <c r="N124" s="861" t="s">
        <v>53</v>
      </c>
      <c r="O124" s="861" t="s">
        <v>53</v>
      </c>
      <c r="P124" s="861" t="s">
        <v>53</v>
      </c>
      <c r="Q124" s="861"/>
      <c r="R124" s="861" t="s">
        <v>53</v>
      </c>
      <c r="S124" s="861" t="s">
        <v>53</v>
      </c>
      <c r="T124" s="861" t="s">
        <v>116</v>
      </c>
      <c r="U124" s="861" t="s">
        <v>53</v>
      </c>
      <c r="V124" s="861" t="s">
        <v>53</v>
      </c>
      <c r="W124" s="861" t="s">
        <v>53</v>
      </c>
      <c r="X124" s="861" t="s">
        <v>53</v>
      </c>
      <c r="Y124" s="861" t="s">
        <v>53</v>
      </c>
      <c r="Z124" s="861" t="s">
        <v>53</v>
      </c>
      <c r="AA124" s="861" t="s">
        <v>116</v>
      </c>
      <c r="AB124" s="861" t="s">
        <v>53</v>
      </c>
      <c r="AC124" s="861" t="s">
        <v>53</v>
      </c>
      <c r="AD124" s="861" t="s">
        <v>53</v>
      </c>
      <c r="AE124" s="861" t="s">
        <v>53</v>
      </c>
      <c r="AF124" s="861" t="s">
        <v>53</v>
      </c>
      <c r="AG124" s="861" t="s">
        <v>53</v>
      </c>
      <c r="AH124" s="861" t="s">
        <v>116</v>
      </c>
      <c r="AI124" s="861" t="s">
        <v>53</v>
      </c>
      <c r="AJ124" s="1095"/>
      <c r="AK124" s="1207">
        <f t="shared" si="39"/>
        <v>24</v>
      </c>
      <c r="AL124" s="1208">
        <f t="shared" si="40"/>
        <v>5</v>
      </c>
      <c r="AM124" s="1207">
        <f t="shared" si="41"/>
        <v>0</v>
      </c>
      <c r="AN124" s="1207">
        <f t="shared" si="42"/>
        <v>0</v>
      </c>
      <c r="AO124" s="1207">
        <f t="shared" si="43"/>
        <v>0</v>
      </c>
      <c r="AP124" s="1208">
        <f t="shared" si="44"/>
        <v>0</v>
      </c>
      <c r="AQ124" s="1209">
        <f t="shared" si="45"/>
        <v>29</v>
      </c>
      <c r="AR124" s="152"/>
      <c r="AS124" s="155" t="str">
        <f>'Mã số nhân viên'!I106</f>
        <v>03616</v>
      </c>
      <c r="AT124" s="1032">
        <f t="shared" si="38"/>
        <v>0</v>
      </c>
    </row>
    <row r="125" spans="1:46" ht="24.75" customHeight="1">
      <c r="A125" s="779">
        <v>112</v>
      </c>
      <c r="B125" s="539">
        <v>31</v>
      </c>
      <c r="C125" s="779" t="str">
        <f>VLOOKUP(D125,'Mã số nhân viên'!B107:I164,8,0)</f>
        <v>03617</v>
      </c>
      <c r="D125" s="419" t="s">
        <v>336</v>
      </c>
      <c r="E125" s="124"/>
      <c r="F125" s="861" t="s">
        <v>116</v>
      </c>
      <c r="G125" s="861" t="s">
        <v>53</v>
      </c>
      <c r="H125" s="861" t="s">
        <v>53</v>
      </c>
      <c r="I125" s="861" t="s">
        <v>53</v>
      </c>
      <c r="J125" s="861" t="s">
        <v>53</v>
      </c>
      <c r="K125" s="861" t="s">
        <v>53</v>
      </c>
      <c r="L125" s="861" t="s">
        <v>53</v>
      </c>
      <c r="M125" s="861" t="s">
        <v>116</v>
      </c>
      <c r="N125" s="861" t="s">
        <v>53</v>
      </c>
      <c r="O125" s="861" t="s">
        <v>53</v>
      </c>
      <c r="P125" s="861" t="s">
        <v>53</v>
      </c>
      <c r="Q125" s="861"/>
      <c r="R125" s="861" t="s">
        <v>53</v>
      </c>
      <c r="S125" s="861" t="s">
        <v>53</v>
      </c>
      <c r="T125" s="861" t="s">
        <v>116</v>
      </c>
      <c r="U125" s="861" t="s">
        <v>53</v>
      </c>
      <c r="V125" s="861" t="s">
        <v>53</v>
      </c>
      <c r="W125" s="861" t="s">
        <v>53</v>
      </c>
      <c r="X125" s="861" t="s">
        <v>53</v>
      </c>
      <c r="Y125" s="861" t="s">
        <v>53</v>
      </c>
      <c r="Z125" s="861" t="s">
        <v>53</v>
      </c>
      <c r="AA125" s="861" t="s">
        <v>116</v>
      </c>
      <c r="AB125" s="861" t="s">
        <v>53</v>
      </c>
      <c r="AC125" s="861" t="s">
        <v>53</v>
      </c>
      <c r="AD125" s="861" t="s">
        <v>53</v>
      </c>
      <c r="AE125" s="861" t="s">
        <v>53</v>
      </c>
      <c r="AF125" s="861" t="s">
        <v>53</v>
      </c>
      <c r="AG125" s="861" t="s">
        <v>53</v>
      </c>
      <c r="AH125" s="861" t="s">
        <v>116</v>
      </c>
      <c r="AI125" s="861" t="s">
        <v>53</v>
      </c>
      <c r="AJ125" s="1095"/>
      <c r="AK125" s="1207">
        <f t="shared" si="39"/>
        <v>24</v>
      </c>
      <c r="AL125" s="1208">
        <f t="shared" si="40"/>
        <v>5</v>
      </c>
      <c r="AM125" s="1207">
        <f t="shared" si="41"/>
        <v>0</v>
      </c>
      <c r="AN125" s="1207">
        <f t="shared" si="42"/>
        <v>0</v>
      </c>
      <c r="AO125" s="1207">
        <f t="shared" si="43"/>
        <v>0</v>
      </c>
      <c r="AP125" s="1208">
        <f t="shared" si="44"/>
        <v>0</v>
      </c>
      <c r="AQ125" s="1209">
        <f t="shared" si="45"/>
        <v>29</v>
      </c>
      <c r="AR125" s="152"/>
      <c r="AS125" s="155" t="str">
        <f>'Mã số nhân viên'!I107</f>
        <v>03617</v>
      </c>
      <c r="AT125" s="1032">
        <f t="shared" si="38"/>
        <v>0</v>
      </c>
    </row>
    <row r="126" spans="1:46" ht="24.75" customHeight="1">
      <c r="A126" s="779">
        <v>113</v>
      </c>
      <c r="B126" s="539">
        <v>32</v>
      </c>
      <c r="C126" s="779" t="str">
        <f>VLOOKUP(D126,'Mã số nhân viên'!B108:I165,8,0)</f>
        <v>03618</v>
      </c>
      <c r="D126" s="419" t="s">
        <v>260</v>
      </c>
      <c r="E126" s="124"/>
      <c r="F126" s="861" t="s">
        <v>116</v>
      </c>
      <c r="G126" s="861" t="s">
        <v>53</v>
      </c>
      <c r="H126" s="861" t="s">
        <v>53</v>
      </c>
      <c r="I126" s="861" t="s">
        <v>53</v>
      </c>
      <c r="J126" s="861" t="s">
        <v>53</v>
      </c>
      <c r="K126" s="861" t="s">
        <v>53</v>
      </c>
      <c r="L126" s="861" t="s">
        <v>53</v>
      </c>
      <c r="M126" s="861" t="s">
        <v>116</v>
      </c>
      <c r="N126" s="861" t="s">
        <v>53</v>
      </c>
      <c r="O126" s="861" t="s">
        <v>53</v>
      </c>
      <c r="P126" s="861" t="s">
        <v>53</v>
      </c>
      <c r="Q126" s="861"/>
      <c r="R126" s="861" t="s">
        <v>53</v>
      </c>
      <c r="S126" s="861" t="s">
        <v>53</v>
      </c>
      <c r="T126" s="861" t="s">
        <v>116</v>
      </c>
      <c r="U126" s="861" t="s">
        <v>53</v>
      </c>
      <c r="V126" s="861" t="s">
        <v>53</v>
      </c>
      <c r="W126" s="861" t="s">
        <v>53</v>
      </c>
      <c r="X126" s="861" t="s">
        <v>53</v>
      </c>
      <c r="Y126" s="861" t="s">
        <v>53</v>
      </c>
      <c r="Z126" s="861" t="s">
        <v>53</v>
      </c>
      <c r="AA126" s="861" t="s">
        <v>116</v>
      </c>
      <c r="AB126" s="861" t="s">
        <v>53</v>
      </c>
      <c r="AC126" s="861" t="s">
        <v>53</v>
      </c>
      <c r="AD126" s="861" t="s">
        <v>53</v>
      </c>
      <c r="AE126" s="861" t="s">
        <v>53</v>
      </c>
      <c r="AF126" s="861" t="s">
        <v>53</v>
      </c>
      <c r="AG126" s="861" t="s">
        <v>53</v>
      </c>
      <c r="AH126" s="861" t="s">
        <v>116</v>
      </c>
      <c r="AI126" s="861" t="s">
        <v>53</v>
      </c>
      <c r="AJ126" s="1095"/>
      <c r="AK126" s="1207">
        <f t="shared" si="39"/>
        <v>24</v>
      </c>
      <c r="AL126" s="1208">
        <f t="shared" si="40"/>
        <v>5</v>
      </c>
      <c r="AM126" s="1207">
        <f t="shared" si="41"/>
        <v>0</v>
      </c>
      <c r="AN126" s="1207">
        <f t="shared" si="42"/>
        <v>0</v>
      </c>
      <c r="AO126" s="1207">
        <f t="shared" si="43"/>
        <v>0</v>
      </c>
      <c r="AP126" s="1208">
        <f t="shared" si="44"/>
        <v>0</v>
      </c>
      <c r="AQ126" s="1209">
        <f t="shared" si="45"/>
        <v>29</v>
      </c>
      <c r="AR126" s="152"/>
      <c r="AS126" s="155" t="str">
        <f>'Mã số nhân viên'!I108</f>
        <v>03618</v>
      </c>
      <c r="AT126" s="1032">
        <f t="shared" si="38"/>
        <v>0</v>
      </c>
    </row>
    <row r="127" spans="1:46" ht="24.75" customHeight="1">
      <c r="A127" s="779">
        <v>114</v>
      </c>
      <c r="B127" s="539">
        <v>33</v>
      </c>
      <c r="C127" s="779" t="str">
        <f>VLOOKUP(D127,'Mã số nhân viên'!B109:I166,8,0)</f>
        <v>03619</v>
      </c>
      <c r="D127" s="419" t="s">
        <v>272</v>
      </c>
      <c r="E127" s="124"/>
      <c r="F127" s="861" t="s">
        <v>116</v>
      </c>
      <c r="G127" s="861" t="s">
        <v>53</v>
      </c>
      <c r="H127" s="861" t="s">
        <v>53</v>
      </c>
      <c r="I127" s="861" t="s">
        <v>53</v>
      </c>
      <c r="J127" s="861" t="s">
        <v>53</v>
      </c>
      <c r="K127" s="861" t="s">
        <v>53</v>
      </c>
      <c r="L127" s="861" t="s">
        <v>53</v>
      </c>
      <c r="M127" s="861" t="s">
        <v>116</v>
      </c>
      <c r="N127" s="861" t="s">
        <v>53</v>
      </c>
      <c r="O127" s="861" t="s">
        <v>53</v>
      </c>
      <c r="P127" s="861" t="s">
        <v>53</v>
      </c>
      <c r="Q127" s="861"/>
      <c r="R127" s="861" t="s">
        <v>53</v>
      </c>
      <c r="S127" s="861" t="s">
        <v>53</v>
      </c>
      <c r="T127" s="861" t="s">
        <v>116</v>
      </c>
      <c r="U127" s="861" t="s">
        <v>53</v>
      </c>
      <c r="V127" s="861" t="s">
        <v>53</v>
      </c>
      <c r="W127" s="861" t="s">
        <v>53</v>
      </c>
      <c r="X127" s="861" t="s">
        <v>53</v>
      </c>
      <c r="Y127" s="861" t="s">
        <v>53</v>
      </c>
      <c r="Z127" s="861" t="s">
        <v>53</v>
      </c>
      <c r="AA127" s="861" t="s">
        <v>116</v>
      </c>
      <c r="AB127" s="861" t="s">
        <v>53</v>
      </c>
      <c r="AC127" s="861" t="s">
        <v>53</v>
      </c>
      <c r="AD127" s="861" t="s">
        <v>53</v>
      </c>
      <c r="AE127" s="861" t="s">
        <v>53</v>
      </c>
      <c r="AF127" s="861" t="s">
        <v>53</v>
      </c>
      <c r="AG127" s="861" t="s">
        <v>53</v>
      </c>
      <c r="AH127" s="861" t="s">
        <v>116</v>
      </c>
      <c r="AI127" s="861" t="s">
        <v>53</v>
      </c>
      <c r="AJ127" s="1095"/>
      <c r="AK127" s="1207">
        <f t="shared" si="39"/>
        <v>24</v>
      </c>
      <c r="AL127" s="1208">
        <f t="shared" si="40"/>
        <v>5</v>
      </c>
      <c r="AM127" s="1207">
        <f t="shared" si="41"/>
        <v>0</v>
      </c>
      <c r="AN127" s="1207">
        <f t="shared" si="42"/>
        <v>0</v>
      </c>
      <c r="AO127" s="1207">
        <f t="shared" si="43"/>
        <v>0</v>
      </c>
      <c r="AP127" s="1208">
        <f t="shared" si="44"/>
        <v>0</v>
      </c>
      <c r="AQ127" s="1209">
        <f t="shared" si="45"/>
        <v>29</v>
      </c>
      <c r="AR127" s="152"/>
      <c r="AS127" s="155" t="str">
        <f>'Mã số nhân viên'!I109</f>
        <v>03619</v>
      </c>
      <c r="AT127" s="1032">
        <f t="shared" ref="AT127:AT156" si="46">C127-AS127</f>
        <v>0</v>
      </c>
    </row>
    <row r="128" spans="1:46" ht="24.75" customHeight="1">
      <c r="A128" s="779">
        <v>115</v>
      </c>
      <c r="B128" s="539">
        <v>34</v>
      </c>
      <c r="C128" s="779" t="str">
        <f>VLOOKUP(D128,'Mã số nhân viên'!B110:I167,8,0)</f>
        <v>03620</v>
      </c>
      <c r="D128" s="419" t="s">
        <v>337</v>
      </c>
      <c r="E128" s="124"/>
      <c r="F128" s="861" t="s">
        <v>837</v>
      </c>
      <c r="G128" s="861" t="s">
        <v>53</v>
      </c>
      <c r="H128" s="861" t="s">
        <v>53</v>
      </c>
      <c r="I128" s="861" t="s">
        <v>53</v>
      </c>
      <c r="J128" s="861" t="s">
        <v>53</v>
      </c>
      <c r="K128" s="861" t="s">
        <v>53</v>
      </c>
      <c r="L128" s="861" t="s">
        <v>837</v>
      </c>
      <c r="M128" s="861" t="s">
        <v>116</v>
      </c>
      <c r="N128" s="861" t="s">
        <v>53</v>
      </c>
      <c r="O128" s="861" t="s">
        <v>53</v>
      </c>
      <c r="P128" s="861" t="s">
        <v>53</v>
      </c>
      <c r="Q128" s="861"/>
      <c r="R128" s="861" t="s">
        <v>53</v>
      </c>
      <c r="S128" s="861" t="s">
        <v>53</v>
      </c>
      <c r="T128" s="861" t="s">
        <v>116</v>
      </c>
      <c r="U128" s="861" t="s">
        <v>53</v>
      </c>
      <c r="V128" s="861" t="s">
        <v>53</v>
      </c>
      <c r="W128" s="861" t="s">
        <v>53</v>
      </c>
      <c r="X128" s="861" t="s">
        <v>837</v>
      </c>
      <c r="Y128" s="861" t="s">
        <v>837</v>
      </c>
      <c r="Z128" s="861" t="s">
        <v>837</v>
      </c>
      <c r="AA128" s="861" t="s">
        <v>116</v>
      </c>
      <c r="AB128" s="861" t="s">
        <v>53</v>
      </c>
      <c r="AC128" s="861" t="s">
        <v>53</v>
      </c>
      <c r="AD128" s="861" t="s">
        <v>53</v>
      </c>
      <c r="AE128" s="861" t="s">
        <v>53</v>
      </c>
      <c r="AF128" s="861" t="s">
        <v>53</v>
      </c>
      <c r="AG128" s="861" t="s">
        <v>53</v>
      </c>
      <c r="AH128" s="861" t="s">
        <v>116</v>
      </c>
      <c r="AI128" s="861" t="s">
        <v>53</v>
      </c>
      <c r="AJ128" s="1095"/>
      <c r="AK128" s="1207">
        <f t="shared" si="39"/>
        <v>20</v>
      </c>
      <c r="AL128" s="1208">
        <f t="shared" si="40"/>
        <v>4</v>
      </c>
      <c r="AM128" s="1207">
        <f t="shared" si="41"/>
        <v>0</v>
      </c>
      <c r="AN128" s="1207">
        <f t="shared" si="42"/>
        <v>0</v>
      </c>
      <c r="AO128" s="1207">
        <f t="shared" si="43"/>
        <v>0</v>
      </c>
      <c r="AP128" s="1208">
        <f t="shared" si="44"/>
        <v>0</v>
      </c>
      <c r="AQ128" s="1209">
        <f t="shared" si="45"/>
        <v>24</v>
      </c>
      <c r="AR128" s="152"/>
      <c r="AS128" s="155" t="str">
        <f>'Mã số nhân viên'!I110</f>
        <v>03620</v>
      </c>
      <c r="AT128" s="1032">
        <f t="shared" si="46"/>
        <v>0</v>
      </c>
    </row>
    <row r="129" spans="1:46" ht="24.75" customHeight="1">
      <c r="A129" s="779">
        <v>116</v>
      </c>
      <c r="B129" s="539">
        <v>35</v>
      </c>
      <c r="C129" s="779" t="str">
        <f>VLOOKUP(D129,'Mã số nhân viên'!B111:I168,8,0)</f>
        <v>04078</v>
      </c>
      <c r="D129" s="419" t="s">
        <v>568</v>
      </c>
      <c r="E129" s="124"/>
      <c r="F129" s="861" t="s">
        <v>116</v>
      </c>
      <c r="G129" s="861" t="s">
        <v>53</v>
      </c>
      <c r="H129" s="861" t="s">
        <v>53</v>
      </c>
      <c r="I129" s="861" t="s">
        <v>53</v>
      </c>
      <c r="J129" s="861" t="s">
        <v>53</v>
      </c>
      <c r="K129" s="861" t="s">
        <v>53</v>
      </c>
      <c r="L129" s="861" t="s">
        <v>53</v>
      </c>
      <c r="M129" s="861" t="s">
        <v>116</v>
      </c>
      <c r="N129" s="861" t="s">
        <v>53</v>
      </c>
      <c r="O129" s="861" t="s">
        <v>53</v>
      </c>
      <c r="P129" s="861" t="s">
        <v>53</v>
      </c>
      <c r="Q129" s="861"/>
      <c r="R129" s="861"/>
      <c r="S129" s="861" t="s">
        <v>53</v>
      </c>
      <c r="T129" s="861" t="s">
        <v>116</v>
      </c>
      <c r="U129" s="861" t="s">
        <v>53</v>
      </c>
      <c r="V129" s="861" t="s">
        <v>53</v>
      </c>
      <c r="W129" s="861" t="s">
        <v>53</v>
      </c>
      <c r="X129" s="861" t="s">
        <v>53</v>
      </c>
      <c r="Y129" s="861" t="s">
        <v>53</v>
      </c>
      <c r="Z129" s="861" t="s">
        <v>53</v>
      </c>
      <c r="AA129" s="861" t="s">
        <v>837</v>
      </c>
      <c r="AB129" s="861" t="s">
        <v>53</v>
      </c>
      <c r="AC129" s="861" t="s">
        <v>53</v>
      </c>
      <c r="AD129" s="861" t="s">
        <v>53</v>
      </c>
      <c r="AE129" s="861" t="s">
        <v>53</v>
      </c>
      <c r="AF129" s="861" t="s">
        <v>837</v>
      </c>
      <c r="AG129" s="861" t="s">
        <v>53</v>
      </c>
      <c r="AH129" s="861" t="s">
        <v>116</v>
      </c>
      <c r="AI129" s="861" t="s">
        <v>53</v>
      </c>
      <c r="AJ129" s="1095"/>
      <c r="AK129" s="1207">
        <f t="shared" si="39"/>
        <v>22</v>
      </c>
      <c r="AL129" s="1208">
        <f t="shared" si="40"/>
        <v>4</v>
      </c>
      <c r="AM129" s="1207">
        <f t="shared" si="41"/>
        <v>0</v>
      </c>
      <c r="AN129" s="1207">
        <f t="shared" si="42"/>
        <v>0</v>
      </c>
      <c r="AO129" s="1207">
        <f t="shared" si="43"/>
        <v>0</v>
      </c>
      <c r="AP129" s="1208">
        <f t="shared" si="44"/>
        <v>0</v>
      </c>
      <c r="AQ129" s="1209">
        <f t="shared" si="45"/>
        <v>26</v>
      </c>
      <c r="AR129" s="152"/>
      <c r="AS129" s="155" t="str">
        <f>'Mã số nhân viên'!I111</f>
        <v>04078</v>
      </c>
      <c r="AT129" s="1032">
        <f t="shared" si="46"/>
        <v>0</v>
      </c>
    </row>
    <row r="130" spans="1:46" ht="24.75" customHeight="1">
      <c r="A130" s="779">
        <v>117</v>
      </c>
      <c r="B130" s="539">
        <v>36</v>
      </c>
      <c r="C130" s="779" t="str">
        <f>VLOOKUP(D130,'Mã số nhân viên'!B112:I169,8,0)</f>
        <v>03622</v>
      </c>
      <c r="D130" s="419" t="s">
        <v>338</v>
      </c>
      <c r="E130" s="124"/>
      <c r="F130" s="861" t="s">
        <v>116</v>
      </c>
      <c r="G130" s="861" t="s">
        <v>53</v>
      </c>
      <c r="H130" s="861" t="s">
        <v>53</v>
      </c>
      <c r="I130" s="861" t="s">
        <v>53</v>
      </c>
      <c r="J130" s="861" t="s">
        <v>53</v>
      </c>
      <c r="K130" s="861" t="s">
        <v>53</v>
      </c>
      <c r="L130" s="861" t="s">
        <v>53</v>
      </c>
      <c r="M130" s="861" t="s">
        <v>116</v>
      </c>
      <c r="N130" s="861" t="s">
        <v>53</v>
      </c>
      <c r="O130" s="861" t="s">
        <v>53</v>
      </c>
      <c r="P130" s="861" t="s">
        <v>53</v>
      </c>
      <c r="Q130" s="861"/>
      <c r="R130" s="861" t="s">
        <v>53</v>
      </c>
      <c r="S130" s="861" t="s">
        <v>53</v>
      </c>
      <c r="T130" s="861" t="s">
        <v>116</v>
      </c>
      <c r="U130" s="861" t="s">
        <v>53</v>
      </c>
      <c r="V130" s="861" t="s">
        <v>53</v>
      </c>
      <c r="W130" s="861" t="s">
        <v>53</v>
      </c>
      <c r="X130" s="861" t="s">
        <v>53</v>
      </c>
      <c r="Y130" s="861" t="s">
        <v>53</v>
      </c>
      <c r="Z130" s="861" t="s">
        <v>53</v>
      </c>
      <c r="AA130" s="861" t="s">
        <v>116</v>
      </c>
      <c r="AB130" s="861" t="s">
        <v>53</v>
      </c>
      <c r="AC130" s="861" t="s">
        <v>53</v>
      </c>
      <c r="AD130" s="861" t="s">
        <v>53</v>
      </c>
      <c r="AE130" s="861" t="s">
        <v>53</v>
      </c>
      <c r="AF130" s="861" t="s">
        <v>53</v>
      </c>
      <c r="AG130" s="861" t="s">
        <v>53</v>
      </c>
      <c r="AH130" s="861" t="s">
        <v>116</v>
      </c>
      <c r="AI130" s="861" t="s">
        <v>53</v>
      </c>
      <c r="AJ130" s="1095"/>
      <c r="AK130" s="1207">
        <f t="shared" si="39"/>
        <v>24</v>
      </c>
      <c r="AL130" s="1208">
        <f t="shared" si="40"/>
        <v>5</v>
      </c>
      <c r="AM130" s="1207">
        <f t="shared" si="41"/>
        <v>0</v>
      </c>
      <c r="AN130" s="1207">
        <f t="shared" si="42"/>
        <v>0</v>
      </c>
      <c r="AO130" s="1207">
        <f t="shared" si="43"/>
        <v>0</v>
      </c>
      <c r="AP130" s="1208">
        <f t="shared" si="44"/>
        <v>0</v>
      </c>
      <c r="AQ130" s="1209">
        <f t="shared" si="45"/>
        <v>29</v>
      </c>
      <c r="AR130" s="152"/>
      <c r="AS130" s="155" t="str">
        <f>'Mã số nhân viên'!I112</f>
        <v>03622</v>
      </c>
      <c r="AT130" s="1032">
        <f t="shared" si="46"/>
        <v>0</v>
      </c>
    </row>
    <row r="131" spans="1:46" ht="24.75" customHeight="1">
      <c r="A131" s="779">
        <v>118</v>
      </c>
      <c r="B131" s="539">
        <v>37</v>
      </c>
      <c r="C131" s="779" t="str">
        <f>VLOOKUP(D131,'Mã số nhân viên'!B113:I170,8,0)</f>
        <v>03623</v>
      </c>
      <c r="D131" s="419" t="s">
        <v>261</v>
      </c>
      <c r="E131" s="124"/>
      <c r="F131" s="861" t="s">
        <v>116</v>
      </c>
      <c r="G131" s="861" t="s">
        <v>53</v>
      </c>
      <c r="H131" s="861" t="s">
        <v>53</v>
      </c>
      <c r="I131" s="861" t="s">
        <v>53</v>
      </c>
      <c r="J131" s="861" t="s">
        <v>53</v>
      </c>
      <c r="K131" s="861" t="s">
        <v>53</v>
      </c>
      <c r="L131" s="861" t="s">
        <v>53</v>
      </c>
      <c r="M131" s="861" t="s">
        <v>116</v>
      </c>
      <c r="N131" s="861" t="s">
        <v>53</v>
      </c>
      <c r="O131" s="861" t="s">
        <v>53</v>
      </c>
      <c r="P131" s="861" t="s">
        <v>53</v>
      </c>
      <c r="Q131" s="861"/>
      <c r="R131" s="861" t="s">
        <v>53</v>
      </c>
      <c r="S131" s="861" t="s">
        <v>53</v>
      </c>
      <c r="T131" s="861" t="s">
        <v>116</v>
      </c>
      <c r="U131" s="861" t="s">
        <v>53</v>
      </c>
      <c r="V131" s="861" t="s">
        <v>53</v>
      </c>
      <c r="W131" s="861" t="s">
        <v>53</v>
      </c>
      <c r="X131" s="861" t="s">
        <v>53</v>
      </c>
      <c r="Y131" s="861" t="s">
        <v>53</v>
      </c>
      <c r="Z131" s="861" t="s">
        <v>53</v>
      </c>
      <c r="AA131" s="861" t="s">
        <v>116</v>
      </c>
      <c r="AB131" s="861" t="s">
        <v>53</v>
      </c>
      <c r="AC131" s="861" t="s">
        <v>53</v>
      </c>
      <c r="AD131" s="861" t="s">
        <v>53</v>
      </c>
      <c r="AE131" s="861" t="s">
        <v>53</v>
      </c>
      <c r="AF131" s="861" t="s">
        <v>53</v>
      </c>
      <c r="AG131" s="861" t="s">
        <v>53</v>
      </c>
      <c r="AH131" s="861" t="s">
        <v>116</v>
      </c>
      <c r="AI131" s="861" t="s">
        <v>53</v>
      </c>
      <c r="AJ131" s="1095"/>
      <c r="AK131" s="1207">
        <f t="shared" si="39"/>
        <v>24</v>
      </c>
      <c r="AL131" s="1208">
        <f t="shared" si="40"/>
        <v>5</v>
      </c>
      <c r="AM131" s="1207">
        <f t="shared" si="41"/>
        <v>0</v>
      </c>
      <c r="AN131" s="1207">
        <f t="shared" si="42"/>
        <v>0</v>
      </c>
      <c r="AO131" s="1207">
        <f t="shared" si="43"/>
        <v>0</v>
      </c>
      <c r="AP131" s="1208">
        <f t="shared" si="44"/>
        <v>0</v>
      </c>
      <c r="AQ131" s="1209">
        <f t="shared" si="45"/>
        <v>29</v>
      </c>
      <c r="AR131" s="152"/>
      <c r="AS131" s="155" t="str">
        <f>'Mã số nhân viên'!I113</f>
        <v>03623</v>
      </c>
      <c r="AT131" s="1032">
        <f t="shared" si="46"/>
        <v>0</v>
      </c>
    </row>
    <row r="132" spans="1:46" ht="24.75" customHeight="1">
      <c r="A132" s="779">
        <v>119</v>
      </c>
      <c r="B132" s="539">
        <v>38</v>
      </c>
      <c r="C132" s="779" t="str">
        <f>VLOOKUP(D132,'Mã số nhân viên'!B114:I171,8,0)</f>
        <v>03532</v>
      </c>
      <c r="D132" s="419" t="s">
        <v>334</v>
      </c>
      <c r="E132" s="124"/>
      <c r="F132" s="861" t="s">
        <v>116</v>
      </c>
      <c r="G132" s="861" t="s">
        <v>53</v>
      </c>
      <c r="H132" s="861" t="s">
        <v>53</v>
      </c>
      <c r="I132" s="861" t="s">
        <v>53</v>
      </c>
      <c r="J132" s="861" t="s">
        <v>53</v>
      </c>
      <c r="K132" s="861" t="s">
        <v>53</v>
      </c>
      <c r="L132" s="861" t="s">
        <v>53</v>
      </c>
      <c r="M132" s="861" t="s">
        <v>116</v>
      </c>
      <c r="N132" s="861" t="s">
        <v>53</v>
      </c>
      <c r="O132" s="861" t="s">
        <v>53</v>
      </c>
      <c r="P132" s="861" t="s">
        <v>53</v>
      </c>
      <c r="Q132" s="861"/>
      <c r="R132" s="861" t="s">
        <v>53</v>
      </c>
      <c r="S132" s="861" t="s">
        <v>53</v>
      </c>
      <c r="T132" s="861" t="s">
        <v>116</v>
      </c>
      <c r="U132" s="861" t="s">
        <v>53</v>
      </c>
      <c r="V132" s="861" t="s">
        <v>53</v>
      </c>
      <c r="W132" s="861" t="s">
        <v>53</v>
      </c>
      <c r="X132" s="861" t="s">
        <v>53</v>
      </c>
      <c r="Y132" s="861" t="s">
        <v>53</v>
      </c>
      <c r="Z132" s="861" t="s">
        <v>53</v>
      </c>
      <c r="AA132" s="861" t="s">
        <v>116</v>
      </c>
      <c r="AB132" s="861" t="s">
        <v>53</v>
      </c>
      <c r="AC132" s="861" t="s">
        <v>53</v>
      </c>
      <c r="AD132" s="861" t="s">
        <v>53</v>
      </c>
      <c r="AE132" s="861" t="s">
        <v>53</v>
      </c>
      <c r="AF132" s="861" t="s">
        <v>53</v>
      </c>
      <c r="AG132" s="861" t="s">
        <v>53</v>
      </c>
      <c r="AH132" s="861" t="s">
        <v>116</v>
      </c>
      <c r="AI132" s="861" t="s">
        <v>53</v>
      </c>
      <c r="AJ132" s="1095"/>
      <c r="AK132" s="1207">
        <f t="shared" si="39"/>
        <v>24</v>
      </c>
      <c r="AL132" s="1208">
        <f t="shared" si="40"/>
        <v>5</v>
      </c>
      <c r="AM132" s="1207">
        <f t="shared" si="41"/>
        <v>0</v>
      </c>
      <c r="AN132" s="1207">
        <f t="shared" si="42"/>
        <v>0</v>
      </c>
      <c r="AO132" s="1207">
        <f t="shared" si="43"/>
        <v>0</v>
      </c>
      <c r="AP132" s="1208">
        <f t="shared" si="44"/>
        <v>0</v>
      </c>
      <c r="AQ132" s="1209">
        <f t="shared" si="45"/>
        <v>29</v>
      </c>
      <c r="AR132" s="152"/>
      <c r="AS132" s="155" t="str">
        <f>'Mã số nhân viên'!I114</f>
        <v>03532</v>
      </c>
      <c r="AT132" s="1032">
        <f t="shared" si="46"/>
        <v>0</v>
      </c>
    </row>
    <row r="133" spans="1:46" ht="24.75" customHeight="1">
      <c r="A133" s="779">
        <v>120</v>
      </c>
      <c r="B133" s="539">
        <v>39</v>
      </c>
      <c r="C133" s="779" t="str">
        <f>VLOOKUP(D133,'Mã số nhân viên'!B115:I172,8,0)</f>
        <v>03625</v>
      </c>
      <c r="D133" s="419" t="s">
        <v>262</v>
      </c>
      <c r="E133" s="124"/>
      <c r="F133" s="861" t="s">
        <v>116</v>
      </c>
      <c r="G133" s="861" t="s">
        <v>53</v>
      </c>
      <c r="H133" s="861" t="s">
        <v>53</v>
      </c>
      <c r="I133" s="861" t="s">
        <v>53</v>
      </c>
      <c r="J133" s="861" t="s">
        <v>53</v>
      </c>
      <c r="K133" s="861" t="s">
        <v>53</v>
      </c>
      <c r="L133" s="861" t="s">
        <v>53</v>
      </c>
      <c r="M133" s="861" t="s">
        <v>116</v>
      </c>
      <c r="N133" s="861" t="s">
        <v>53</v>
      </c>
      <c r="O133" s="861" t="s">
        <v>53</v>
      </c>
      <c r="P133" s="861" t="s">
        <v>53</v>
      </c>
      <c r="Q133" s="861"/>
      <c r="R133" s="861" t="s">
        <v>53</v>
      </c>
      <c r="S133" s="861" t="s">
        <v>53</v>
      </c>
      <c r="T133" s="861" t="s">
        <v>116</v>
      </c>
      <c r="U133" s="861" t="s">
        <v>53</v>
      </c>
      <c r="V133" s="861" t="s">
        <v>53</v>
      </c>
      <c r="W133" s="861" t="s">
        <v>53</v>
      </c>
      <c r="X133" s="861" t="s">
        <v>53</v>
      </c>
      <c r="Y133" s="861" t="s">
        <v>53</v>
      </c>
      <c r="Z133" s="861" t="s">
        <v>53</v>
      </c>
      <c r="AA133" s="861" t="s">
        <v>116</v>
      </c>
      <c r="AB133" s="861" t="s">
        <v>53</v>
      </c>
      <c r="AC133" s="861" t="s">
        <v>53</v>
      </c>
      <c r="AD133" s="861" t="s">
        <v>53</v>
      </c>
      <c r="AE133" s="861" t="s">
        <v>53</v>
      </c>
      <c r="AF133" s="861" t="s">
        <v>53</v>
      </c>
      <c r="AG133" s="861" t="s">
        <v>53</v>
      </c>
      <c r="AH133" s="861" t="s">
        <v>116</v>
      </c>
      <c r="AI133" s="861" t="s">
        <v>53</v>
      </c>
      <c r="AJ133" s="1095"/>
      <c r="AK133" s="1207">
        <f t="shared" si="39"/>
        <v>24</v>
      </c>
      <c r="AL133" s="1208">
        <f t="shared" si="40"/>
        <v>5</v>
      </c>
      <c r="AM133" s="1207">
        <f t="shared" si="41"/>
        <v>0</v>
      </c>
      <c r="AN133" s="1207">
        <f t="shared" si="42"/>
        <v>0</v>
      </c>
      <c r="AO133" s="1207">
        <f t="shared" si="43"/>
        <v>0</v>
      </c>
      <c r="AP133" s="1208">
        <f t="shared" si="44"/>
        <v>0</v>
      </c>
      <c r="AQ133" s="1209">
        <f t="shared" si="45"/>
        <v>29</v>
      </c>
      <c r="AR133" s="152"/>
      <c r="AS133" s="155" t="str">
        <f>'Mã số nhân viên'!I115</f>
        <v>03625</v>
      </c>
      <c r="AT133" s="1032">
        <f t="shared" si="46"/>
        <v>0</v>
      </c>
    </row>
    <row r="134" spans="1:46" ht="24.75" customHeight="1">
      <c r="A134" s="779">
        <v>121</v>
      </c>
      <c r="B134" s="539">
        <v>40</v>
      </c>
      <c r="C134" s="779" t="str">
        <f>VLOOKUP(D134,'Mã số nhân viên'!B116:I173,8,0)</f>
        <v>03587</v>
      </c>
      <c r="D134" s="417" t="s">
        <v>204</v>
      </c>
      <c r="E134" s="124"/>
      <c r="F134" s="861" t="s">
        <v>116</v>
      </c>
      <c r="G134" s="861" t="s">
        <v>53</v>
      </c>
      <c r="H134" s="861" t="s">
        <v>53</v>
      </c>
      <c r="I134" s="861" t="s">
        <v>53</v>
      </c>
      <c r="J134" s="861" t="s">
        <v>53</v>
      </c>
      <c r="K134" s="861" t="s">
        <v>53</v>
      </c>
      <c r="L134" s="861" t="s">
        <v>53</v>
      </c>
      <c r="M134" s="861" t="s">
        <v>116</v>
      </c>
      <c r="N134" s="861" t="s">
        <v>53</v>
      </c>
      <c r="O134" s="861" t="s">
        <v>53</v>
      </c>
      <c r="P134" s="861" t="s">
        <v>53</v>
      </c>
      <c r="Q134" s="861"/>
      <c r="R134" s="861" t="s">
        <v>53</v>
      </c>
      <c r="S134" s="861" t="s">
        <v>53</v>
      </c>
      <c r="T134" s="861" t="s">
        <v>116</v>
      </c>
      <c r="U134" s="861" t="s">
        <v>53</v>
      </c>
      <c r="V134" s="861" t="s">
        <v>53</v>
      </c>
      <c r="W134" s="861" t="s">
        <v>53</v>
      </c>
      <c r="X134" s="861" t="s">
        <v>53</v>
      </c>
      <c r="Y134" s="861" t="s">
        <v>53</v>
      </c>
      <c r="Z134" s="861" t="s">
        <v>53</v>
      </c>
      <c r="AA134" s="861" t="s">
        <v>116</v>
      </c>
      <c r="AB134" s="861" t="s">
        <v>53</v>
      </c>
      <c r="AC134" s="861" t="s">
        <v>53</v>
      </c>
      <c r="AD134" s="861" t="s">
        <v>53</v>
      </c>
      <c r="AE134" s="861" t="s">
        <v>53</v>
      </c>
      <c r="AF134" s="861" t="s">
        <v>53</v>
      </c>
      <c r="AG134" s="861" t="s">
        <v>53</v>
      </c>
      <c r="AH134" s="861" t="s">
        <v>116</v>
      </c>
      <c r="AI134" s="861" t="s">
        <v>53</v>
      </c>
      <c r="AJ134" s="1095"/>
      <c r="AK134" s="1207">
        <f t="shared" si="39"/>
        <v>24</v>
      </c>
      <c r="AL134" s="1208">
        <f t="shared" si="40"/>
        <v>5</v>
      </c>
      <c r="AM134" s="1207">
        <f t="shared" si="41"/>
        <v>0</v>
      </c>
      <c r="AN134" s="1207">
        <f t="shared" si="42"/>
        <v>0</v>
      </c>
      <c r="AO134" s="1207">
        <f t="shared" si="43"/>
        <v>0</v>
      </c>
      <c r="AP134" s="1208">
        <f t="shared" si="44"/>
        <v>0</v>
      </c>
      <c r="AQ134" s="1209">
        <f t="shared" si="45"/>
        <v>29</v>
      </c>
      <c r="AR134" s="152"/>
      <c r="AS134" s="155" t="str">
        <f>'Mã số nhân viên'!I116</f>
        <v>03587</v>
      </c>
      <c r="AT134" s="1032">
        <f t="shared" si="46"/>
        <v>0</v>
      </c>
    </row>
    <row r="135" spans="1:46" ht="24.75" customHeight="1">
      <c r="A135" s="779">
        <v>122</v>
      </c>
      <c r="B135" s="539">
        <v>41</v>
      </c>
      <c r="C135" s="779" t="str">
        <f>VLOOKUP(D135,'Mã số nhân viên'!B117:I174,8,0)</f>
        <v>04079</v>
      </c>
      <c r="D135" s="124" t="s">
        <v>569</v>
      </c>
      <c r="E135" s="124"/>
      <c r="F135" s="861" t="s">
        <v>116</v>
      </c>
      <c r="G135" s="861" t="s">
        <v>53</v>
      </c>
      <c r="H135" s="861" t="s">
        <v>53</v>
      </c>
      <c r="I135" s="861" t="s">
        <v>53</v>
      </c>
      <c r="J135" s="861" t="s">
        <v>53</v>
      </c>
      <c r="K135" s="861" t="s">
        <v>53</v>
      </c>
      <c r="L135" s="861" t="s">
        <v>53</v>
      </c>
      <c r="M135" s="861" t="s">
        <v>116</v>
      </c>
      <c r="N135" s="861" t="s">
        <v>53</v>
      </c>
      <c r="O135" s="861" t="s">
        <v>53</v>
      </c>
      <c r="P135" s="861" t="s">
        <v>53</v>
      </c>
      <c r="Q135" s="861"/>
      <c r="R135" s="861"/>
      <c r="S135" s="861" t="s">
        <v>53</v>
      </c>
      <c r="T135" s="861" t="s">
        <v>116</v>
      </c>
      <c r="U135" s="861" t="s">
        <v>53</v>
      </c>
      <c r="V135" s="861" t="s">
        <v>53</v>
      </c>
      <c r="W135" s="861" t="s">
        <v>837</v>
      </c>
      <c r="X135" s="861" t="s">
        <v>53</v>
      </c>
      <c r="Y135" s="861" t="s">
        <v>837</v>
      </c>
      <c r="Z135" s="861" t="s">
        <v>53</v>
      </c>
      <c r="AA135" s="861" t="s">
        <v>116</v>
      </c>
      <c r="AB135" s="861" t="s">
        <v>53</v>
      </c>
      <c r="AC135" s="861" t="s">
        <v>53</v>
      </c>
      <c r="AD135" s="861" t="s">
        <v>53</v>
      </c>
      <c r="AE135" s="861" t="s">
        <v>53</v>
      </c>
      <c r="AF135" s="861" t="s">
        <v>53</v>
      </c>
      <c r="AG135" s="861" t="s">
        <v>53</v>
      </c>
      <c r="AH135" s="861" t="s">
        <v>116</v>
      </c>
      <c r="AI135" s="861" t="s">
        <v>53</v>
      </c>
      <c r="AJ135" s="1095"/>
      <c r="AK135" s="1207">
        <f t="shared" si="39"/>
        <v>21</v>
      </c>
      <c r="AL135" s="1208">
        <f t="shared" si="40"/>
        <v>5</v>
      </c>
      <c r="AM135" s="1207">
        <f t="shared" si="41"/>
        <v>0</v>
      </c>
      <c r="AN135" s="1207">
        <f t="shared" si="42"/>
        <v>0</v>
      </c>
      <c r="AO135" s="1207">
        <f t="shared" si="43"/>
        <v>0</v>
      </c>
      <c r="AP135" s="1208">
        <f t="shared" si="44"/>
        <v>0</v>
      </c>
      <c r="AQ135" s="1209">
        <f t="shared" si="45"/>
        <v>26</v>
      </c>
      <c r="AR135" s="152"/>
      <c r="AS135" s="155" t="str">
        <f>'Mã số nhân viên'!I117</f>
        <v>04079</v>
      </c>
      <c r="AT135" s="1032">
        <f t="shared" si="46"/>
        <v>0</v>
      </c>
    </row>
    <row r="136" spans="1:46" ht="24.75" customHeight="1">
      <c r="A136" s="779">
        <v>123</v>
      </c>
      <c r="B136" s="539">
        <v>42</v>
      </c>
      <c r="C136" s="779" t="str">
        <f>VLOOKUP(D136,'Mã số nhân viên'!B118:I175,8,0)</f>
        <v>03628</v>
      </c>
      <c r="D136" s="419" t="s">
        <v>101</v>
      </c>
      <c r="E136" s="124"/>
      <c r="F136" s="861" t="s">
        <v>116</v>
      </c>
      <c r="G136" s="861" t="s">
        <v>53</v>
      </c>
      <c r="H136" s="861" t="s">
        <v>53</v>
      </c>
      <c r="I136" s="861" t="s">
        <v>53</v>
      </c>
      <c r="J136" s="861" t="s">
        <v>837</v>
      </c>
      <c r="K136" s="861" t="s">
        <v>53</v>
      </c>
      <c r="L136" s="861" t="s">
        <v>53</v>
      </c>
      <c r="M136" s="861" t="s">
        <v>116</v>
      </c>
      <c r="N136" s="861" t="s">
        <v>53</v>
      </c>
      <c r="O136" s="861" t="s">
        <v>53</v>
      </c>
      <c r="P136" s="861" t="s">
        <v>53</v>
      </c>
      <c r="Q136" s="861"/>
      <c r="R136" s="861" t="s">
        <v>53</v>
      </c>
      <c r="S136" s="861" t="s">
        <v>53</v>
      </c>
      <c r="T136" s="861" t="s">
        <v>116</v>
      </c>
      <c r="U136" s="861" t="s">
        <v>53</v>
      </c>
      <c r="V136" s="861" t="s">
        <v>53</v>
      </c>
      <c r="W136" s="861" t="s">
        <v>53</v>
      </c>
      <c r="X136" s="861" t="s">
        <v>53</v>
      </c>
      <c r="Y136" s="861" t="s">
        <v>53</v>
      </c>
      <c r="Z136" s="861" t="s">
        <v>53</v>
      </c>
      <c r="AA136" s="861" t="s">
        <v>116</v>
      </c>
      <c r="AB136" s="861" t="s">
        <v>53</v>
      </c>
      <c r="AC136" s="861" t="s">
        <v>53</v>
      </c>
      <c r="AD136" s="861" t="s">
        <v>53</v>
      </c>
      <c r="AE136" s="861" t="s">
        <v>53</v>
      </c>
      <c r="AF136" s="861" t="s">
        <v>53</v>
      </c>
      <c r="AG136" s="861" t="s">
        <v>837</v>
      </c>
      <c r="AH136" s="861" t="s">
        <v>116</v>
      </c>
      <c r="AI136" s="861" t="s">
        <v>53</v>
      </c>
      <c r="AJ136" s="1095"/>
      <c r="AK136" s="1207">
        <f t="shared" si="39"/>
        <v>22</v>
      </c>
      <c r="AL136" s="1208">
        <f t="shared" si="40"/>
        <v>5</v>
      </c>
      <c r="AM136" s="1207">
        <f t="shared" si="41"/>
        <v>0</v>
      </c>
      <c r="AN136" s="1207">
        <f t="shared" si="42"/>
        <v>0</v>
      </c>
      <c r="AO136" s="1207">
        <f t="shared" si="43"/>
        <v>0</v>
      </c>
      <c r="AP136" s="1208">
        <f t="shared" si="44"/>
        <v>0</v>
      </c>
      <c r="AQ136" s="1209">
        <f t="shared" si="45"/>
        <v>27</v>
      </c>
      <c r="AR136" s="152"/>
      <c r="AS136" s="155" t="str">
        <f>'Mã số nhân viên'!I118</f>
        <v>03628</v>
      </c>
      <c r="AT136" s="1032">
        <f t="shared" si="46"/>
        <v>0</v>
      </c>
    </row>
    <row r="137" spans="1:46" ht="24.75" customHeight="1">
      <c r="A137" s="779">
        <v>124</v>
      </c>
      <c r="B137" s="539">
        <v>43</v>
      </c>
      <c r="C137" s="779" t="str">
        <f>VLOOKUP(D137,'Mã số nhân viên'!B119:I176,8,0)</f>
        <v>03629</v>
      </c>
      <c r="D137" s="419" t="s">
        <v>343</v>
      </c>
      <c r="E137" s="124"/>
      <c r="F137" s="861" t="s">
        <v>116</v>
      </c>
      <c r="G137" s="861" t="s">
        <v>53</v>
      </c>
      <c r="H137" s="861" t="s">
        <v>837</v>
      </c>
      <c r="I137" s="861" t="s">
        <v>53</v>
      </c>
      <c r="J137" s="861" t="s">
        <v>53</v>
      </c>
      <c r="K137" s="861" t="s">
        <v>53</v>
      </c>
      <c r="L137" s="861" t="s">
        <v>53</v>
      </c>
      <c r="M137" s="861" t="s">
        <v>116</v>
      </c>
      <c r="N137" s="861" t="s">
        <v>53</v>
      </c>
      <c r="O137" s="861" t="s">
        <v>53</v>
      </c>
      <c r="P137" s="861" t="s">
        <v>53</v>
      </c>
      <c r="Q137" s="861"/>
      <c r="R137" s="861"/>
      <c r="S137" s="861" t="s">
        <v>53</v>
      </c>
      <c r="T137" s="861" t="s">
        <v>116</v>
      </c>
      <c r="U137" s="861" t="s">
        <v>53</v>
      </c>
      <c r="V137" s="861" t="s">
        <v>53</v>
      </c>
      <c r="W137" s="861" t="s">
        <v>53</v>
      </c>
      <c r="X137" s="861" t="s">
        <v>53</v>
      </c>
      <c r="Y137" s="861" t="s">
        <v>53</v>
      </c>
      <c r="Z137" s="861" t="s">
        <v>53</v>
      </c>
      <c r="AA137" s="861" t="s">
        <v>116</v>
      </c>
      <c r="AB137" s="861" t="s">
        <v>53</v>
      </c>
      <c r="AC137" s="861" t="s">
        <v>53</v>
      </c>
      <c r="AD137" s="861" t="s">
        <v>53</v>
      </c>
      <c r="AE137" s="861" t="s">
        <v>53</v>
      </c>
      <c r="AF137" s="861" t="s">
        <v>53</v>
      </c>
      <c r="AG137" s="861" t="s">
        <v>53</v>
      </c>
      <c r="AH137" s="861" t="s">
        <v>116</v>
      </c>
      <c r="AI137" s="861" t="s">
        <v>53</v>
      </c>
      <c r="AJ137" s="1095"/>
      <c r="AK137" s="1207">
        <f t="shared" si="39"/>
        <v>22</v>
      </c>
      <c r="AL137" s="1208">
        <f t="shared" si="40"/>
        <v>5</v>
      </c>
      <c r="AM137" s="1207">
        <f t="shared" si="41"/>
        <v>0</v>
      </c>
      <c r="AN137" s="1207">
        <f t="shared" si="42"/>
        <v>0</v>
      </c>
      <c r="AO137" s="1207">
        <f t="shared" si="43"/>
        <v>0</v>
      </c>
      <c r="AP137" s="1208">
        <f t="shared" si="44"/>
        <v>0</v>
      </c>
      <c r="AQ137" s="1209">
        <f t="shared" si="45"/>
        <v>27</v>
      </c>
      <c r="AR137" s="152"/>
      <c r="AS137" s="155" t="str">
        <f>'Mã số nhân viên'!I119</f>
        <v>03629</v>
      </c>
      <c r="AT137" s="1032">
        <f t="shared" si="46"/>
        <v>0</v>
      </c>
    </row>
    <row r="138" spans="1:46" ht="24.75" customHeight="1">
      <c r="A138" s="779">
        <v>125</v>
      </c>
      <c r="B138" s="539">
        <v>44</v>
      </c>
      <c r="C138" s="779" t="str">
        <f>VLOOKUP(D138,'Mã số nhân viên'!B120:I177,8,0)</f>
        <v>03630</v>
      </c>
      <c r="D138" s="419" t="s">
        <v>210</v>
      </c>
      <c r="E138" s="124"/>
      <c r="F138" s="861" t="s">
        <v>116</v>
      </c>
      <c r="G138" s="861" t="s">
        <v>53</v>
      </c>
      <c r="H138" s="861" t="s">
        <v>53</v>
      </c>
      <c r="I138" s="861" t="s">
        <v>53</v>
      </c>
      <c r="J138" s="861" t="s">
        <v>837</v>
      </c>
      <c r="K138" s="861" t="s">
        <v>53</v>
      </c>
      <c r="L138" s="861" t="s">
        <v>53</v>
      </c>
      <c r="M138" s="861" t="s">
        <v>116</v>
      </c>
      <c r="N138" s="861" t="s">
        <v>53</v>
      </c>
      <c r="O138" s="861" t="s">
        <v>53</v>
      </c>
      <c r="P138" s="861" t="s">
        <v>53</v>
      </c>
      <c r="Q138" s="861"/>
      <c r="R138" s="861" t="s">
        <v>53</v>
      </c>
      <c r="S138" s="861" t="s">
        <v>53</v>
      </c>
      <c r="T138" s="861" t="s">
        <v>116</v>
      </c>
      <c r="U138" s="861" t="s">
        <v>53</v>
      </c>
      <c r="V138" s="861" t="s">
        <v>53</v>
      </c>
      <c r="W138" s="861" t="s">
        <v>53</v>
      </c>
      <c r="X138" s="861" t="s">
        <v>53</v>
      </c>
      <c r="Y138" s="861" t="s">
        <v>53</v>
      </c>
      <c r="Z138" s="861" t="s">
        <v>53</v>
      </c>
      <c r="AA138" s="861" t="s">
        <v>116</v>
      </c>
      <c r="AB138" s="861" t="s">
        <v>53</v>
      </c>
      <c r="AC138" s="861" t="s">
        <v>53</v>
      </c>
      <c r="AD138" s="861" t="s">
        <v>53</v>
      </c>
      <c r="AE138" s="861" t="s">
        <v>53</v>
      </c>
      <c r="AF138" s="861" t="s">
        <v>53</v>
      </c>
      <c r="AG138" s="861" t="s">
        <v>837</v>
      </c>
      <c r="AH138" s="861" t="s">
        <v>116</v>
      </c>
      <c r="AI138" s="861" t="s">
        <v>53</v>
      </c>
      <c r="AJ138" s="1095"/>
      <c r="AK138" s="1207">
        <f t="shared" si="39"/>
        <v>22</v>
      </c>
      <c r="AL138" s="1208">
        <f t="shared" si="40"/>
        <v>5</v>
      </c>
      <c r="AM138" s="1207">
        <f t="shared" si="41"/>
        <v>0</v>
      </c>
      <c r="AN138" s="1207">
        <f t="shared" si="42"/>
        <v>0</v>
      </c>
      <c r="AO138" s="1207">
        <f t="shared" si="43"/>
        <v>0</v>
      </c>
      <c r="AP138" s="1208">
        <f t="shared" si="44"/>
        <v>0</v>
      </c>
      <c r="AQ138" s="1209">
        <f t="shared" si="45"/>
        <v>27</v>
      </c>
      <c r="AR138" s="152"/>
      <c r="AS138" s="155" t="str">
        <f>'Mã số nhân viên'!I120</f>
        <v>03630</v>
      </c>
      <c r="AT138" s="1032">
        <f t="shared" si="46"/>
        <v>0</v>
      </c>
    </row>
    <row r="139" spans="1:46" ht="24.75" customHeight="1">
      <c r="A139" s="779">
        <v>126</v>
      </c>
      <c r="B139" s="539">
        <v>45</v>
      </c>
      <c r="C139" s="779" t="str">
        <f>VLOOKUP(D139,'Mã số nhân viên'!B121:I178,8,0)</f>
        <v>03631</v>
      </c>
      <c r="D139" s="419" t="s">
        <v>339</v>
      </c>
      <c r="E139" s="124"/>
      <c r="F139" s="861" t="s">
        <v>116</v>
      </c>
      <c r="G139" s="861" t="s">
        <v>53</v>
      </c>
      <c r="H139" s="861" t="s">
        <v>837</v>
      </c>
      <c r="I139" s="861" t="s">
        <v>53</v>
      </c>
      <c r="J139" s="861" t="s">
        <v>53</v>
      </c>
      <c r="K139" s="861" t="s">
        <v>53</v>
      </c>
      <c r="L139" s="861" t="s">
        <v>53</v>
      </c>
      <c r="M139" s="861" t="s">
        <v>116</v>
      </c>
      <c r="N139" s="861" t="s">
        <v>53</v>
      </c>
      <c r="O139" s="861" t="s">
        <v>53</v>
      </c>
      <c r="P139" s="861" t="s">
        <v>53</v>
      </c>
      <c r="Q139" s="861"/>
      <c r="R139" s="861"/>
      <c r="S139" s="861" t="s">
        <v>53</v>
      </c>
      <c r="T139" s="861" t="s">
        <v>116</v>
      </c>
      <c r="U139" s="861" t="s">
        <v>53</v>
      </c>
      <c r="V139" s="861" t="s">
        <v>53</v>
      </c>
      <c r="W139" s="861" t="s">
        <v>53</v>
      </c>
      <c r="X139" s="861" t="s">
        <v>53</v>
      </c>
      <c r="Y139" s="861" t="s">
        <v>53</v>
      </c>
      <c r="Z139" s="861" t="s">
        <v>53</v>
      </c>
      <c r="AA139" s="861" t="s">
        <v>116</v>
      </c>
      <c r="AB139" s="861" t="s">
        <v>53</v>
      </c>
      <c r="AC139" s="861" t="s">
        <v>53</v>
      </c>
      <c r="AD139" s="861" t="s">
        <v>53</v>
      </c>
      <c r="AE139" s="861" t="s">
        <v>53</v>
      </c>
      <c r="AF139" s="861" t="s">
        <v>53</v>
      </c>
      <c r="AG139" s="861" t="s">
        <v>53</v>
      </c>
      <c r="AH139" s="861" t="s">
        <v>116</v>
      </c>
      <c r="AI139" s="861" t="s">
        <v>53</v>
      </c>
      <c r="AJ139" s="1095"/>
      <c r="AK139" s="1207">
        <f t="shared" si="39"/>
        <v>22</v>
      </c>
      <c r="AL139" s="1208">
        <f t="shared" si="40"/>
        <v>5</v>
      </c>
      <c r="AM139" s="1207">
        <f t="shared" si="41"/>
        <v>0</v>
      </c>
      <c r="AN139" s="1207">
        <f t="shared" si="42"/>
        <v>0</v>
      </c>
      <c r="AO139" s="1207">
        <f t="shared" si="43"/>
        <v>0</v>
      </c>
      <c r="AP139" s="1208">
        <f t="shared" si="44"/>
        <v>0</v>
      </c>
      <c r="AQ139" s="1209">
        <f t="shared" si="45"/>
        <v>27</v>
      </c>
      <c r="AR139" s="152"/>
      <c r="AS139" s="155" t="str">
        <f>'Mã số nhân viên'!I121</f>
        <v>03631</v>
      </c>
      <c r="AT139" s="1032">
        <f t="shared" si="46"/>
        <v>0</v>
      </c>
    </row>
    <row r="140" spans="1:46" ht="24.75" customHeight="1">
      <c r="A140" s="779">
        <v>127</v>
      </c>
      <c r="B140" s="539">
        <v>46</v>
      </c>
      <c r="C140" s="779" t="str">
        <f>VLOOKUP(D140,'Mã số nhân viên'!B122:I179,8,0)</f>
        <v>03632</v>
      </c>
      <c r="D140" s="419" t="s">
        <v>263</v>
      </c>
      <c r="E140" s="124"/>
      <c r="F140" s="861" t="s">
        <v>116</v>
      </c>
      <c r="G140" s="861" t="s">
        <v>53</v>
      </c>
      <c r="H140" s="861" t="s">
        <v>53</v>
      </c>
      <c r="I140" s="861" t="s">
        <v>53</v>
      </c>
      <c r="J140" s="861" t="s">
        <v>53</v>
      </c>
      <c r="K140" s="861" t="s">
        <v>53</v>
      </c>
      <c r="L140" s="861" t="s">
        <v>53</v>
      </c>
      <c r="M140" s="861" t="s">
        <v>116</v>
      </c>
      <c r="N140" s="861" t="s">
        <v>53</v>
      </c>
      <c r="O140" s="861" t="s">
        <v>53</v>
      </c>
      <c r="P140" s="861"/>
      <c r="Q140" s="861"/>
      <c r="R140" s="861"/>
      <c r="S140" s="861" t="s">
        <v>53</v>
      </c>
      <c r="T140" s="861" t="s">
        <v>116</v>
      </c>
      <c r="U140" s="861" t="s">
        <v>53</v>
      </c>
      <c r="V140" s="861" t="s">
        <v>53</v>
      </c>
      <c r="W140" s="861" t="s">
        <v>53</v>
      </c>
      <c r="X140" s="861" t="s">
        <v>837</v>
      </c>
      <c r="Y140" s="861" t="s">
        <v>53</v>
      </c>
      <c r="Z140" s="861" t="s">
        <v>53</v>
      </c>
      <c r="AA140" s="861" t="s">
        <v>116</v>
      </c>
      <c r="AB140" s="861" t="s">
        <v>53</v>
      </c>
      <c r="AC140" s="861" t="s">
        <v>837</v>
      </c>
      <c r="AD140" s="861" t="s">
        <v>837</v>
      </c>
      <c r="AE140" s="861" t="s">
        <v>53</v>
      </c>
      <c r="AF140" s="861" t="s">
        <v>53</v>
      </c>
      <c r="AG140" s="861"/>
      <c r="AH140" s="861" t="s">
        <v>837</v>
      </c>
      <c r="AI140" s="861" t="s">
        <v>53</v>
      </c>
      <c r="AJ140" s="1095"/>
      <c r="AK140" s="1207">
        <f t="shared" si="39"/>
        <v>18</v>
      </c>
      <c r="AL140" s="1208">
        <f t="shared" si="40"/>
        <v>4</v>
      </c>
      <c r="AM140" s="1207">
        <f t="shared" si="41"/>
        <v>0</v>
      </c>
      <c r="AN140" s="1207">
        <f t="shared" si="42"/>
        <v>0</v>
      </c>
      <c r="AO140" s="1207">
        <f t="shared" si="43"/>
        <v>0</v>
      </c>
      <c r="AP140" s="1208">
        <f t="shared" si="44"/>
        <v>0</v>
      </c>
      <c r="AQ140" s="1209">
        <f t="shared" si="45"/>
        <v>22</v>
      </c>
      <c r="AR140" s="152"/>
      <c r="AS140" s="155" t="str">
        <f>'Mã số nhân viên'!I122</f>
        <v>03632</v>
      </c>
      <c r="AT140" s="1032">
        <f t="shared" si="46"/>
        <v>0</v>
      </c>
    </row>
    <row r="141" spans="1:46" ht="24.75" customHeight="1">
      <c r="A141" s="779">
        <v>128</v>
      </c>
      <c r="B141" s="539">
        <v>47</v>
      </c>
      <c r="C141" s="779" t="str">
        <f>VLOOKUP(D141,'Mã số nhân viên'!B123:I180,8,0)</f>
        <v>04080</v>
      </c>
      <c r="D141" s="419" t="s">
        <v>570</v>
      </c>
      <c r="E141" s="124"/>
      <c r="F141" s="861" t="s">
        <v>116</v>
      </c>
      <c r="G141" s="861" t="s">
        <v>53</v>
      </c>
      <c r="H141" s="861" t="s">
        <v>53</v>
      </c>
      <c r="I141" s="861" t="s">
        <v>53</v>
      </c>
      <c r="J141" s="861" t="s">
        <v>53</v>
      </c>
      <c r="K141" s="861" t="s">
        <v>53</v>
      </c>
      <c r="L141" s="861" t="s">
        <v>53</v>
      </c>
      <c r="M141" s="861" t="s">
        <v>116</v>
      </c>
      <c r="N141" s="861" t="s">
        <v>53</v>
      </c>
      <c r="O141" s="861" t="s">
        <v>53</v>
      </c>
      <c r="P141" s="861" t="s">
        <v>53</v>
      </c>
      <c r="Q141" s="861" t="s">
        <v>53</v>
      </c>
      <c r="R141" s="861" t="s">
        <v>53</v>
      </c>
      <c r="S141" s="861" t="s">
        <v>53</v>
      </c>
      <c r="T141" s="861" t="s">
        <v>116</v>
      </c>
      <c r="U141" s="861" t="s">
        <v>53</v>
      </c>
      <c r="V141" s="861" t="s">
        <v>53</v>
      </c>
      <c r="W141" s="861" t="s">
        <v>53</v>
      </c>
      <c r="X141" s="861" t="s">
        <v>53</v>
      </c>
      <c r="Y141" s="861" t="s">
        <v>53</v>
      </c>
      <c r="Z141" s="861" t="s">
        <v>53</v>
      </c>
      <c r="AA141" s="861" t="s">
        <v>116</v>
      </c>
      <c r="AB141" s="861" t="s">
        <v>53</v>
      </c>
      <c r="AC141" s="861" t="s">
        <v>53</v>
      </c>
      <c r="AD141" s="861" t="s">
        <v>53</v>
      </c>
      <c r="AE141" s="861" t="s">
        <v>53</v>
      </c>
      <c r="AF141" s="861" t="s">
        <v>53</v>
      </c>
      <c r="AG141" s="861" t="s">
        <v>53</v>
      </c>
      <c r="AH141" s="861" t="s">
        <v>116</v>
      </c>
      <c r="AI141" s="861" t="s">
        <v>53</v>
      </c>
      <c r="AJ141" s="1095"/>
      <c r="AK141" s="1207">
        <f t="shared" si="39"/>
        <v>25</v>
      </c>
      <c r="AL141" s="1208">
        <f t="shared" si="40"/>
        <v>5</v>
      </c>
      <c r="AM141" s="1207">
        <f t="shared" si="41"/>
        <v>0</v>
      </c>
      <c r="AN141" s="1207">
        <f t="shared" si="42"/>
        <v>0</v>
      </c>
      <c r="AO141" s="1207">
        <f t="shared" si="43"/>
        <v>0</v>
      </c>
      <c r="AP141" s="1208">
        <f t="shared" si="44"/>
        <v>0</v>
      </c>
      <c r="AQ141" s="1209">
        <f t="shared" si="45"/>
        <v>30</v>
      </c>
      <c r="AR141" s="152"/>
      <c r="AS141" s="155" t="str">
        <f>'Mã số nhân viên'!I123</f>
        <v>04080</v>
      </c>
      <c r="AT141" s="1032">
        <f t="shared" si="46"/>
        <v>0</v>
      </c>
    </row>
    <row r="142" spans="1:46" ht="24.75" customHeight="1">
      <c r="A142" s="779">
        <v>129</v>
      </c>
      <c r="B142" s="539">
        <v>48</v>
      </c>
      <c r="C142" s="779" t="str">
        <f>VLOOKUP(D142,'Mã số nhân viên'!B124:I181,8,0)</f>
        <v>03634</v>
      </c>
      <c r="D142" s="419" t="s">
        <v>211</v>
      </c>
      <c r="E142" s="124"/>
      <c r="F142" s="861" t="s">
        <v>837</v>
      </c>
      <c r="G142" s="861" t="s">
        <v>53</v>
      </c>
      <c r="H142" s="861" t="s">
        <v>53</v>
      </c>
      <c r="I142" s="861" t="s">
        <v>53</v>
      </c>
      <c r="J142" s="861" t="s">
        <v>53</v>
      </c>
      <c r="K142" s="861" t="s">
        <v>837</v>
      </c>
      <c r="L142" s="861" t="s">
        <v>53</v>
      </c>
      <c r="M142" s="861" t="s">
        <v>837</v>
      </c>
      <c r="N142" s="861" t="s">
        <v>53</v>
      </c>
      <c r="O142" s="861" t="s">
        <v>53</v>
      </c>
      <c r="P142" s="861" t="s">
        <v>53</v>
      </c>
      <c r="Q142" s="861"/>
      <c r="R142" s="861" t="s">
        <v>53</v>
      </c>
      <c r="S142" s="861" t="s">
        <v>837</v>
      </c>
      <c r="T142" s="861" t="s">
        <v>116</v>
      </c>
      <c r="U142" s="861" t="s">
        <v>837</v>
      </c>
      <c r="V142" s="861" t="s">
        <v>837</v>
      </c>
      <c r="W142" s="861" t="s">
        <v>53</v>
      </c>
      <c r="X142" s="861" t="s">
        <v>837</v>
      </c>
      <c r="Y142" s="861" t="s">
        <v>53</v>
      </c>
      <c r="Z142" s="861" t="s">
        <v>837</v>
      </c>
      <c r="AA142" s="861" t="s">
        <v>837</v>
      </c>
      <c r="AB142" s="861" t="s">
        <v>53</v>
      </c>
      <c r="AC142" s="861"/>
      <c r="AD142" s="861" t="s">
        <v>53</v>
      </c>
      <c r="AE142" s="861" t="s">
        <v>53</v>
      </c>
      <c r="AF142" s="861" t="s">
        <v>837</v>
      </c>
      <c r="AG142" s="861" t="s">
        <v>53</v>
      </c>
      <c r="AH142" s="861" t="s">
        <v>116</v>
      </c>
      <c r="AI142" s="861" t="s">
        <v>837</v>
      </c>
      <c r="AJ142" s="1095"/>
      <c r="AK142" s="1207">
        <f t="shared" si="39"/>
        <v>15</v>
      </c>
      <c r="AL142" s="1208">
        <f t="shared" si="40"/>
        <v>2</v>
      </c>
      <c r="AM142" s="1207">
        <f t="shared" si="41"/>
        <v>0</v>
      </c>
      <c r="AN142" s="1207">
        <f t="shared" si="42"/>
        <v>0</v>
      </c>
      <c r="AO142" s="1207">
        <f t="shared" si="43"/>
        <v>0</v>
      </c>
      <c r="AP142" s="1208">
        <f t="shared" si="44"/>
        <v>0</v>
      </c>
      <c r="AQ142" s="1209">
        <f t="shared" si="45"/>
        <v>17</v>
      </c>
      <c r="AR142" s="152"/>
      <c r="AS142" s="155" t="str">
        <f>'Mã số nhân viên'!I124</f>
        <v>03634</v>
      </c>
      <c r="AT142" s="1032">
        <f t="shared" si="46"/>
        <v>0</v>
      </c>
    </row>
    <row r="143" spans="1:46" ht="24.75" customHeight="1">
      <c r="A143" s="779">
        <v>130</v>
      </c>
      <c r="B143" s="539">
        <v>49</v>
      </c>
      <c r="C143" s="779" t="str">
        <f>VLOOKUP(D143,'Mã số nhân viên'!B125:I182,8,0)</f>
        <v>03635</v>
      </c>
      <c r="D143" s="419" t="s">
        <v>264</v>
      </c>
      <c r="E143" s="124"/>
      <c r="F143" s="861" t="s">
        <v>116</v>
      </c>
      <c r="G143" s="861" t="s">
        <v>53</v>
      </c>
      <c r="H143" s="861" t="s">
        <v>53</v>
      </c>
      <c r="I143" s="861" t="s">
        <v>53</v>
      </c>
      <c r="J143" s="861" t="s">
        <v>53</v>
      </c>
      <c r="K143" s="861" t="s">
        <v>53</v>
      </c>
      <c r="L143" s="861" t="s">
        <v>53</v>
      </c>
      <c r="M143" s="861" t="s">
        <v>116</v>
      </c>
      <c r="N143" s="861" t="s">
        <v>53</v>
      </c>
      <c r="O143" s="861" t="s">
        <v>837</v>
      </c>
      <c r="P143" s="861" t="s">
        <v>53</v>
      </c>
      <c r="Q143" s="861"/>
      <c r="R143" s="861" t="s">
        <v>53</v>
      </c>
      <c r="S143" s="861" t="s">
        <v>53</v>
      </c>
      <c r="T143" s="861" t="s">
        <v>116</v>
      </c>
      <c r="U143" s="861" t="s">
        <v>53</v>
      </c>
      <c r="V143" s="861" t="s">
        <v>837</v>
      </c>
      <c r="W143" s="861" t="s">
        <v>53</v>
      </c>
      <c r="X143" s="861" t="s">
        <v>53</v>
      </c>
      <c r="Y143" s="861" t="s">
        <v>53</v>
      </c>
      <c r="Z143" s="861" t="s">
        <v>837</v>
      </c>
      <c r="AA143" s="861" t="s">
        <v>116</v>
      </c>
      <c r="AB143" s="861" t="s">
        <v>837</v>
      </c>
      <c r="AC143" s="861"/>
      <c r="AD143" s="861" t="s">
        <v>53</v>
      </c>
      <c r="AE143" s="861" t="s">
        <v>837</v>
      </c>
      <c r="AF143" s="861" t="s">
        <v>53</v>
      </c>
      <c r="AG143" s="861" t="s">
        <v>53</v>
      </c>
      <c r="AH143" s="861" t="s">
        <v>116</v>
      </c>
      <c r="AI143" s="861" t="s">
        <v>53</v>
      </c>
      <c r="AJ143" s="1095"/>
      <c r="AK143" s="1207">
        <f t="shared" si="39"/>
        <v>18</v>
      </c>
      <c r="AL143" s="1208">
        <f t="shared" si="40"/>
        <v>5</v>
      </c>
      <c r="AM143" s="1207">
        <f t="shared" si="41"/>
        <v>0</v>
      </c>
      <c r="AN143" s="1207">
        <f t="shared" si="42"/>
        <v>0</v>
      </c>
      <c r="AO143" s="1207">
        <f t="shared" si="43"/>
        <v>0</v>
      </c>
      <c r="AP143" s="1208">
        <f t="shared" si="44"/>
        <v>0</v>
      </c>
      <c r="AQ143" s="1209">
        <f t="shared" si="45"/>
        <v>23</v>
      </c>
      <c r="AR143" s="152"/>
      <c r="AS143" s="155" t="str">
        <f>'Mã số nhân viên'!I125</f>
        <v>03635</v>
      </c>
      <c r="AT143" s="1032">
        <f t="shared" si="46"/>
        <v>0</v>
      </c>
    </row>
    <row r="144" spans="1:46" ht="24.75" customHeight="1">
      <c r="A144" s="779">
        <v>131</v>
      </c>
      <c r="B144" s="539">
        <v>50</v>
      </c>
      <c r="C144" s="779" t="str">
        <f>VLOOKUP(D144,'Mã số nhân viên'!B126:I183,8,0)</f>
        <v>03636</v>
      </c>
      <c r="D144" s="419" t="s">
        <v>340</v>
      </c>
      <c r="E144" s="124"/>
      <c r="F144" s="861" t="s">
        <v>116</v>
      </c>
      <c r="G144" s="861" t="s">
        <v>53</v>
      </c>
      <c r="H144" s="861" t="s">
        <v>53</v>
      </c>
      <c r="I144" s="861" t="s">
        <v>53</v>
      </c>
      <c r="J144" s="861" t="s">
        <v>53</v>
      </c>
      <c r="K144" s="861" t="s">
        <v>53</v>
      </c>
      <c r="L144" s="861" t="s">
        <v>53</v>
      </c>
      <c r="M144" s="861" t="s">
        <v>116</v>
      </c>
      <c r="N144" s="861" t="s">
        <v>53</v>
      </c>
      <c r="O144" s="861" t="s">
        <v>53</v>
      </c>
      <c r="P144" s="861" t="s">
        <v>53</v>
      </c>
      <c r="Q144" s="861"/>
      <c r="R144" s="861" t="s">
        <v>837</v>
      </c>
      <c r="S144" s="861" t="s">
        <v>53</v>
      </c>
      <c r="T144" s="861" t="s">
        <v>116</v>
      </c>
      <c r="U144" s="861" t="s">
        <v>53</v>
      </c>
      <c r="V144" s="861" t="s">
        <v>53</v>
      </c>
      <c r="W144" s="861" t="s">
        <v>53</v>
      </c>
      <c r="X144" s="861" t="s">
        <v>53</v>
      </c>
      <c r="Y144" s="861" t="s">
        <v>53</v>
      </c>
      <c r="Z144" s="861" t="s">
        <v>53</v>
      </c>
      <c r="AA144" s="861" t="s">
        <v>116</v>
      </c>
      <c r="AB144" s="861" t="s">
        <v>53</v>
      </c>
      <c r="AC144" s="861" t="s">
        <v>53</v>
      </c>
      <c r="AD144" s="861" t="s">
        <v>53</v>
      </c>
      <c r="AE144" s="861" t="s">
        <v>53</v>
      </c>
      <c r="AF144" s="861" t="s">
        <v>53</v>
      </c>
      <c r="AG144" s="861"/>
      <c r="AH144" s="861" t="s">
        <v>116</v>
      </c>
      <c r="AI144" s="861" t="s">
        <v>53</v>
      </c>
      <c r="AJ144" s="1095"/>
      <c r="AK144" s="1207">
        <f t="shared" si="39"/>
        <v>22</v>
      </c>
      <c r="AL144" s="1208">
        <f t="shared" si="40"/>
        <v>5</v>
      </c>
      <c r="AM144" s="1207">
        <f t="shared" si="41"/>
        <v>0</v>
      </c>
      <c r="AN144" s="1207">
        <f t="shared" si="42"/>
        <v>0</v>
      </c>
      <c r="AO144" s="1207">
        <f t="shared" si="43"/>
        <v>0</v>
      </c>
      <c r="AP144" s="1208">
        <f t="shared" si="44"/>
        <v>0</v>
      </c>
      <c r="AQ144" s="1209">
        <f t="shared" si="45"/>
        <v>27</v>
      </c>
      <c r="AR144" s="152"/>
      <c r="AS144" s="155" t="str">
        <f>'Mã số nhân viên'!I126</f>
        <v>03636</v>
      </c>
      <c r="AT144" s="1032">
        <f t="shared" si="46"/>
        <v>0</v>
      </c>
    </row>
    <row r="145" spans="1:50" ht="24.75" customHeight="1">
      <c r="A145" s="779">
        <v>132</v>
      </c>
      <c r="B145" s="539">
        <v>51</v>
      </c>
      <c r="C145" s="779" t="str">
        <f>VLOOKUP(D145,'Mã số nhân viên'!B127:I184,8,0)</f>
        <v>03637</v>
      </c>
      <c r="D145" s="419" t="s">
        <v>341</v>
      </c>
      <c r="E145" s="124"/>
      <c r="F145" s="861" t="s">
        <v>116</v>
      </c>
      <c r="G145" s="861" t="s">
        <v>837</v>
      </c>
      <c r="H145" s="861" t="s">
        <v>53</v>
      </c>
      <c r="I145" s="861" t="s">
        <v>53</v>
      </c>
      <c r="J145" s="861" t="s">
        <v>53</v>
      </c>
      <c r="K145" s="861" t="s">
        <v>53</v>
      </c>
      <c r="L145" s="861" t="s">
        <v>53</v>
      </c>
      <c r="M145" s="861" t="s">
        <v>116</v>
      </c>
      <c r="N145" s="861" t="s">
        <v>53</v>
      </c>
      <c r="O145" s="861" t="s">
        <v>53</v>
      </c>
      <c r="P145" s="861" t="s">
        <v>53</v>
      </c>
      <c r="Q145" s="861"/>
      <c r="R145" s="861"/>
      <c r="S145" s="861" t="s">
        <v>837</v>
      </c>
      <c r="T145" s="861" t="s">
        <v>116</v>
      </c>
      <c r="U145" s="861" t="s">
        <v>53</v>
      </c>
      <c r="V145" s="861" t="s">
        <v>53</v>
      </c>
      <c r="W145" s="861" t="s">
        <v>53</v>
      </c>
      <c r="X145" s="861" t="s">
        <v>53</v>
      </c>
      <c r="Y145" s="861" t="s">
        <v>53</v>
      </c>
      <c r="Z145" s="861" t="s">
        <v>53</v>
      </c>
      <c r="AA145" s="861" t="s">
        <v>837</v>
      </c>
      <c r="AB145" s="861" t="s">
        <v>53</v>
      </c>
      <c r="AC145" s="861" t="s">
        <v>53</v>
      </c>
      <c r="AD145" s="861" t="s">
        <v>53</v>
      </c>
      <c r="AE145" s="861" t="s">
        <v>53</v>
      </c>
      <c r="AF145" s="861" t="s">
        <v>53</v>
      </c>
      <c r="AG145" s="861" t="s">
        <v>837</v>
      </c>
      <c r="AH145" s="861" t="s">
        <v>837</v>
      </c>
      <c r="AI145" s="861" t="s">
        <v>837</v>
      </c>
      <c r="AJ145" s="1095"/>
      <c r="AK145" s="1207">
        <f t="shared" si="39"/>
        <v>19</v>
      </c>
      <c r="AL145" s="1208">
        <f t="shared" si="40"/>
        <v>3</v>
      </c>
      <c r="AM145" s="1207">
        <f t="shared" si="41"/>
        <v>0</v>
      </c>
      <c r="AN145" s="1207">
        <f t="shared" si="42"/>
        <v>0</v>
      </c>
      <c r="AO145" s="1207">
        <f t="shared" si="43"/>
        <v>0</v>
      </c>
      <c r="AP145" s="1208">
        <f t="shared" si="44"/>
        <v>0</v>
      </c>
      <c r="AQ145" s="1209">
        <f t="shared" si="45"/>
        <v>22</v>
      </c>
      <c r="AR145" s="152"/>
      <c r="AS145" s="155" t="str">
        <f>'Mã số nhân viên'!I127</f>
        <v>03637</v>
      </c>
      <c r="AT145" s="1032">
        <f t="shared" si="46"/>
        <v>0</v>
      </c>
    </row>
    <row r="146" spans="1:50" ht="24.75" customHeight="1">
      <c r="A146" s="779">
        <v>133</v>
      </c>
      <c r="B146" s="539">
        <v>52</v>
      </c>
      <c r="C146" s="779" t="str">
        <f>VLOOKUP(D146,'Mã số nhân viên'!B128:I185,8,0)</f>
        <v>03638</v>
      </c>
      <c r="D146" s="419" t="s">
        <v>342</v>
      </c>
      <c r="E146" s="124"/>
      <c r="F146" s="861" t="s">
        <v>116</v>
      </c>
      <c r="G146" s="861" t="s">
        <v>53</v>
      </c>
      <c r="H146" s="861" t="s">
        <v>53</v>
      </c>
      <c r="I146" s="861" t="s">
        <v>53</v>
      </c>
      <c r="J146" s="861" t="s">
        <v>53</v>
      </c>
      <c r="K146" s="861" t="s">
        <v>53</v>
      </c>
      <c r="L146" s="861" t="s">
        <v>53</v>
      </c>
      <c r="M146" s="861" t="s">
        <v>116</v>
      </c>
      <c r="N146" s="861" t="s">
        <v>53</v>
      </c>
      <c r="O146" s="861" t="s">
        <v>53</v>
      </c>
      <c r="P146" s="861" t="s">
        <v>53</v>
      </c>
      <c r="Q146" s="861"/>
      <c r="R146" s="861" t="s">
        <v>53</v>
      </c>
      <c r="S146" s="861" t="s">
        <v>53</v>
      </c>
      <c r="T146" s="861" t="s">
        <v>116</v>
      </c>
      <c r="U146" s="861" t="s">
        <v>53</v>
      </c>
      <c r="V146" s="861" t="s">
        <v>53</v>
      </c>
      <c r="W146" s="861" t="s">
        <v>53</v>
      </c>
      <c r="X146" s="861" t="s">
        <v>53</v>
      </c>
      <c r="Y146" s="861" t="s">
        <v>53</v>
      </c>
      <c r="Z146" s="861" t="s">
        <v>53</v>
      </c>
      <c r="AA146" s="861" t="s">
        <v>116</v>
      </c>
      <c r="AB146" s="861" t="s">
        <v>53</v>
      </c>
      <c r="AC146" s="861" t="s">
        <v>53</v>
      </c>
      <c r="AD146" s="861" t="s">
        <v>53</v>
      </c>
      <c r="AE146" s="861" t="s">
        <v>53</v>
      </c>
      <c r="AF146" s="861" t="s">
        <v>53</v>
      </c>
      <c r="AG146" s="861" t="s">
        <v>53</v>
      </c>
      <c r="AH146" s="861" t="s">
        <v>116</v>
      </c>
      <c r="AI146" s="861" t="s">
        <v>53</v>
      </c>
      <c r="AJ146" s="1095"/>
      <c r="AK146" s="1207">
        <f t="shared" si="39"/>
        <v>24</v>
      </c>
      <c r="AL146" s="1208">
        <f t="shared" si="40"/>
        <v>5</v>
      </c>
      <c r="AM146" s="1207">
        <f t="shared" si="41"/>
        <v>0</v>
      </c>
      <c r="AN146" s="1207">
        <f t="shared" si="42"/>
        <v>0</v>
      </c>
      <c r="AO146" s="1207">
        <f t="shared" si="43"/>
        <v>0</v>
      </c>
      <c r="AP146" s="1208">
        <f t="shared" si="44"/>
        <v>0</v>
      </c>
      <c r="AQ146" s="1209">
        <f t="shared" si="45"/>
        <v>29</v>
      </c>
      <c r="AR146" s="152"/>
      <c r="AS146" s="155" t="str">
        <f>'Mã số nhân viên'!I128</f>
        <v>03638</v>
      </c>
      <c r="AT146" s="1032">
        <f t="shared" si="46"/>
        <v>0</v>
      </c>
    </row>
    <row r="147" spans="1:50" ht="24.75" customHeight="1">
      <c r="A147" s="779">
        <v>134</v>
      </c>
      <c r="B147" s="539">
        <v>53</v>
      </c>
      <c r="C147" s="779" t="str">
        <f>VLOOKUP(D147,'Mã số nhân viên'!B129:I186,8,0)</f>
        <v>04081</v>
      </c>
      <c r="D147" s="419" t="s">
        <v>571</v>
      </c>
      <c r="E147" s="124"/>
      <c r="F147" s="861" t="s">
        <v>116</v>
      </c>
      <c r="G147" s="861" t="s">
        <v>53</v>
      </c>
      <c r="H147" s="861" t="s">
        <v>53</v>
      </c>
      <c r="I147" s="861" t="s">
        <v>53</v>
      </c>
      <c r="J147" s="861" t="s">
        <v>53</v>
      </c>
      <c r="K147" s="861" t="s">
        <v>53</v>
      </c>
      <c r="L147" s="861" t="s">
        <v>53</v>
      </c>
      <c r="M147" s="861" t="s">
        <v>116</v>
      </c>
      <c r="N147" s="861" t="s">
        <v>53</v>
      </c>
      <c r="O147" s="861" t="s">
        <v>53</v>
      </c>
      <c r="P147" s="861" t="s">
        <v>53</v>
      </c>
      <c r="Q147" s="861"/>
      <c r="R147" s="861" t="s">
        <v>53</v>
      </c>
      <c r="S147" s="861" t="s">
        <v>53</v>
      </c>
      <c r="T147" s="861" t="s">
        <v>116</v>
      </c>
      <c r="U147" s="861" t="s">
        <v>53</v>
      </c>
      <c r="V147" s="861" t="s">
        <v>53</v>
      </c>
      <c r="W147" s="861" t="s">
        <v>53</v>
      </c>
      <c r="X147" s="861" t="s">
        <v>53</v>
      </c>
      <c r="Y147" s="861" t="s">
        <v>53</v>
      </c>
      <c r="Z147" s="861" t="s">
        <v>53</v>
      </c>
      <c r="AA147" s="861" t="s">
        <v>116</v>
      </c>
      <c r="AB147" s="861" t="s">
        <v>53</v>
      </c>
      <c r="AC147" s="861" t="s">
        <v>53</v>
      </c>
      <c r="AD147" s="861" t="s">
        <v>53</v>
      </c>
      <c r="AE147" s="861" t="s">
        <v>53</v>
      </c>
      <c r="AF147" s="861" t="s">
        <v>53</v>
      </c>
      <c r="AG147" s="861" t="s">
        <v>53</v>
      </c>
      <c r="AH147" s="861" t="s">
        <v>116</v>
      </c>
      <c r="AI147" s="861" t="s">
        <v>53</v>
      </c>
      <c r="AJ147" s="1095"/>
      <c r="AK147" s="1207">
        <f t="shared" si="39"/>
        <v>24</v>
      </c>
      <c r="AL147" s="1208">
        <f t="shared" si="40"/>
        <v>5</v>
      </c>
      <c r="AM147" s="1207">
        <f t="shared" si="41"/>
        <v>0</v>
      </c>
      <c r="AN147" s="1207">
        <f t="shared" si="42"/>
        <v>0</v>
      </c>
      <c r="AO147" s="1207">
        <f t="shared" si="43"/>
        <v>0</v>
      </c>
      <c r="AP147" s="1208">
        <f t="shared" si="44"/>
        <v>0</v>
      </c>
      <c r="AQ147" s="1209">
        <f t="shared" si="45"/>
        <v>29</v>
      </c>
      <c r="AR147" s="152"/>
      <c r="AS147" s="155" t="str">
        <f>'Mã số nhân viên'!I129</f>
        <v>04081</v>
      </c>
      <c r="AT147" s="1032">
        <f t="shared" si="46"/>
        <v>0</v>
      </c>
    </row>
    <row r="148" spans="1:50" ht="24.75" customHeight="1">
      <c r="A148" s="779">
        <v>135</v>
      </c>
      <c r="B148" s="539">
        <v>54</v>
      </c>
      <c r="C148" s="779" t="str">
        <f>VLOOKUP(D148,'Mã số nhân viên'!B130:I187,8,0)</f>
        <v>04082</v>
      </c>
      <c r="D148" s="419" t="s">
        <v>350</v>
      </c>
      <c r="E148" s="124"/>
      <c r="F148" s="861" t="s">
        <v>116</v>
      </c>
      <c r="G148" s="861" t="s">
        <v>53</v>
      </c>
      <c r="H148" s="861" t="s">
        <v>53</v>
      </c>
      <c r="I148" s="861" t="s">
        <v>53</v>
      </c>
      <c r="J148" s="861" t="s">
        <v>53</v>
      </c>
      <c r="K148" s="861" t="s">
        <v>53</v>
      </c>
      <c r="L148" s="861" t="s">
        <v>53</v>
      </c>
      <c r="M148" s="861" t="s">
        <v>116</v>
      </c>
      <c r="N148" s="861" t="s">
        <v>53</v>
      </c>
      <c r="O148" s="861" t="s">
        <v>53</v>
      </c>
      <c r="P148" s="861" t="s">
        <v>53</v>
      </c>
      <c r="Q148" s="861"/>
      <c r="R148" s="861" t="s">
        <v>53</v>
      </c>
      <c r="S148" s="861" t="s">
        <v>53</v>
      </c>
      <c r="T148" s="861" t="s">
        <v>116</v>
      </c>
      <c r="U148" s="861" t="s">
        <v>53</v>
      </c>
      <c r="V148" s="861" t="s">
        <v>53</v>
      </c>
      <c r="W148" s="861" t="s">
        <v>53</v>
      </c>
      <c r="X148" s="861" t="s">
        <v>53</v>
      </c>
      <c r="Y148" s="861" t="s">
        <v>53</v>
      </c>
      <c r="Z148" s="861" t="s">
        <v>53</v>
      </c>
      <c r="AA148" s="861" t="s">
        <v>116</v>
      </c>
      <c r="AB148" s="861" t="s">
        <v>53</v>
      </c>
      <c r="AC148" s="861" t="s">
        <v>837</v>
      </c>
      <c r="AD148" s="861" t="s">
        <v>53</v>
      </c>
      <c r="AE148" s="861" t="s">
        <v>53</v>
      </c>
      <c r="AF148" s="861" t="s">
        <v>53</v>
      </c>
      <c r="AG148" s="861" t="s">
        <v>53</v>
      </c>
      <c r="AH148" s="861" t="s">
        <v>116</v>
      </c>
      <c r="AI148" s="861" t="s">
        <v>53</v>
      </c>
      <c r="AJ148" s="1095"/>
      <c r="AK148" s="1207">
        <f t="shared" si="39"/>
        <v>23</v>
      </c>
      <c r="AL148" s="1208">
        <f t="shared" si="40"/>
        <v>5</v>
      </c>
      <c r="AM148" s="1207">
        <f t="shared" si="41"/>
        <v>0</v>
      </c>
      <c r="AN148" s="1207">
        <f t="shared" si="42"/>
        <v>0</v>
      </c>
      <c r="AO148" s="1207">
        <f t="shared" si="43"/>
        <v>0</v>
      </c>
      <c r="AP148" s="1208">
        <f t="shared" si="44"/>
        <v>0</v>
      </c>
      <c r="AQ148" s="1209">
        <f t="shared" si="45"/>
        <v>28</v>
      </c>
      <c r="AR148" s="152"/>
      <c r="AS148" s="155" t="str">
        <f>'Mã số nhân viên'!I130</f>
        <v>04082</v>
      </c>
      <c r="AT148" s="1032">
        <f t="shared" si="46"/>
        <v>0</v>
      </c>
    </row>
    <row r="149" spans="1:50" ht="24.75" customHeight="1">
      <c r="A149" s="779">
        <v>136</v>
      </c>
      <c r="B149" s="539">
        <v>55</v>
      </c>
      <c r="C149" s="779" t="str">
        <f>VLOOKUP(D149,'Mã số nhân viên'!B131:I188,8,0)</f>
        <v>04083</v>
      </c>
      <c r="D149" s="419" t="s">
        <v>572</v>
      </c>
      <c r="E149" s="124"/>
      <c r="F149" s="861" t="s">
        <v>116</v>
      </c>
      <c r="G149" s="861" t="s">
        <v>53</v>
      </c>
      <c r="H149" s="861" t="s">
        <v>53</v>
      </c>
      <c r="I149" s="861" t="s">
        <v>53</v>
      </c>
      <c r="J149" s="861" t="s">
        <v>53</v>
      </c>
      <c r="K149" s="861" t="s">
        <v>53</v>
      </c>
      <c r="L149" s="861" t="s">
        <v>53</v>
      </c>
      <c r="M149" s="861" t="s">
        <v>116</v>
      </c>
      <c r="N149" s="861" t="s">
        <v>53</v>
      </c>
      <c r="O149" s="861" t="s">
        <v>53</v>
      </c>
      <c r="P149" s="861" t="s">
        <v>53</v>
      </c>
      <c r="Q149" s="861"/>
      <c r="R149" s="861"/>
      <c r="S149" s="861" t="s">
        <v>53</v>
      </c>
      <c r="T149" s="861" t="s">
        <v>116</v>
      </c>
      <c r="U149" s="861" t="s">
        <v>53</v>
      </c>
      <c r="V149" s="861" t="s">
        <v>53</v>
      </c>
      <c r="W149" s="861" t="s">
        <v>53</v>
      </c>
      <c r="X149" s="861" t="s">
        <v>53</v>
      </c>
      <c r="Y149" s="861" t="s">
        <v>53</v>
      </c>
      <c r="Z149" s="861" t="s">
        <v>53</v>
      </c>
      <c r="AA149" s="861" t="s">
        <v>116</v>
      </c>
      <c r="AB149" s="861" t="s">
        <v>53</v>
      </c>
      <c r="AC149" s="861" t="s">
        <v>53</v>
      </c>
      <c r="AD149" s="861" t="s">
        <v>53</v>
      </c>
      <c r="AE149" s="861" t="s">
        <v>53</v>
      </c>
      <c r="AF149" s="861" t="s">
        <v>837</v>
      </c>
      <c r="AG149" s="861" t="s">
        <v>53</v>
      </c>
      <c r="AH149" s="861"/>
      <c r="AI149" s="861" t="s">
        <v>53</v>
      </c>
      <c r="AJ149" s="1095"/>
      <c r="AK149" s="1207">
        <f t="shared" si="39"/>
        <v>22</v>
      </c>
      <c r="AL149" s="1208">
        <f t="shared" si="40"/>
        <v>4</v>
      </c>
      <c r="AM149" s="1207">
        <f t="shared" si="41"/>
        <v>0</v>
      </c>
      <c r="AN149" s="1207">
        <f t="shared" si="42"/>
        <v>0</v>
      </c>
      <c r="AO149" s="1207">
        <f t="shared" si="43"/>
        <v>0</v>
      </c>
      <c r="AP149" s="1208">
        <f t="shared" si="44"/>
        <v>0</v>
      </c>
      <c r="AQ149" s="1209">
        <f t="shared" si="45"/>
        <v>26</v>
      </c>
      <c r="AR149" s="152"/>
      <c r="AS149" s="155" t="str">
        <f>'Mã số nhân viên'!I131</f>
        <v>04083</v>
      </c>
      <c r="AT149" s="1032">
        <f t="shared" si="46"/>
        <v>0</v>
      </c>
    </row>
    <row r="150" spans="1:50" ht="24.75" customHeight="1">
      <c r="A150" s="779">
        <v>137</v>
      </c>
      <c r="B150" s="539">
        <v>56</v>
      </c>
      <c r="C150" s="779" t="str">
        <f>VLOOKUP(D150,'Mã số nhân viên'!B132:I189,8,0)</f>
        <v>03642</v>
      </c>
      <c r="D150" s="419" t="s">
        <v>274</v>
      </c>
      <c r="E150" s="124"/>
      <c r="F150" s="861" t="s">
        <v>116</v>
      </c>
      <c r="G150" s="861" t="s">
        <v>53</v>
      </c>
      <c r="H150" s="861" t="s">
        <v>53</v>
      </c>
      <c r="I150" s="861" t="s">
        <v>53</v>
      </c>
      <c r="J150" s="861" t="s">
        <v>53</v>
      </c>
      <c r="K150" s="861" t="s">
        <v>53</v>
      </c>
      <c r="L150" s="861" t="s">
        <v>53</v>
      </c>
      <c r="M150" s="861" t="s">
        <v>116</v>
      </c>
      <c r="N150" s="861" t="s">
        <v>53</v>
      </c>
      <c r="O150" s="861" t="s">
        <v>53</v>
      </c>
      <c r="P150" s="861" t="s">
        <v>53</v>
      </c>
      <c r="Q150" s="861"/>
      <c r="R150" s="861" t="s">
        <v>53</v>
      </c>
      <c r="S150" s="861" t="s">
        <v>53</v>
      </c>
      <c r="T150" s="861" t="s">
        <v>116</v>
      </c>
      <c r="U150" s="861" t="s">
        <v>53</v>
      </c>
      <c r="V150" s="861" t="s">
        <v>53</v>
      </c>
      <c r="W150" s="861" t="s">
        <v>53</v>
      </c>
      <c r="X150" s="861" t="s">
        <v>53</v>
      </c>
      <c r="Y150" s="861" t="s">
        <v>53</v>
      </c>
      <c r="Z150" s="861" t="s">
        <v>53</v>
      </c>
      <c r="AA150" s="861" t="s">
        <v>116</v>
      </c>
      <c r="AB150" s="861" t="s">
        <v>53</v>
      </c>
      <c r="AC150" s="861" t="s">
        <v>837</v>
      </c>
      <c r="AD150" s="861" t="s">
        <v>53</v>
      </c>
      <c r="AE150" s="861" t="s">
        <v>53</v>
      </c>
      <c r="AF150" s="861" t="s">
        <v>53</v>
      </c>
      <c r="AG150" s="861" t="s">
        <v>53</v>
      </c>
      <c r="AH150" s="861" t="s">
        <v>116</v>
      </c>
      <c r="AI150" s="861" t="s">
        <v>53</v>
      </c>
      <c r="AJ150" s="1095"/>
      <c r="AK150" s="1207">
        <f t="shared" si="39"/>
        <v>23</v>
      </c>
      <c r="AL150" s="1208">
        <f t="shared" si="40"/>
        <v>5</v>
      </c>
      <c r="AM150" s="1207">
        <f t="shared" si="41"/>
        <v>0</v>
      </c>
      <c r="AN150" s="1207">
        <f t="shared" si="42"/>
        <v>0</v>
      </c>
      <c r="AO150" s="1207">
        <f t="shared" si="43"/>
        <v>0</v>
      </c>
      <c r="AP150" s="1208">
        <f t="shared" si="44"/>
        <v>0</v>
      </c>
      <c r="AQ150" s="1209">
        <f t="shared" si="45"/>
        <v>28</v>
      </c>
      <c r="AR150" s="152"/>
      <c r="AS150" s="155" t="str">
        <f>'Mã số nhân viên'!I132</f>
        <v>03642</v>
      </c>
      <c r="AT150" s="1032">
        <f t="shared" si="46"/>
        <v>0</v>
      </c>
    </row>
    <row r="151" spans="1:50" ht="24.75" customHeight="1">
      <c r="A151" s="779">
        <v>138</v>
      </c>
      <c r="B151" s="539">
        <v>57</v>
      </c>
      <c r="C151" s="779" t="str">
        <f>VLOOKUP(D151,'Mã số nhân viên'!B133:I190,8,0)</f>
        <v>04084</v>
      </c>
      <c r="D151" s="419" t="s">
        <v>573</v>
      </c>
      <c r="E151" s="124"/>
      <c r="F151" s="861" t="s">
        <v>116</v>
      </c>
      <c r="G151" s="861" t="s">
        <v>53</v>
      </c>
      <c r="H151" s="861" t="s">
        <v>53</v>
      </c>
      <c r="I151" s="861" t="s">
        <v>53</v>
      </c>
      <c r="J151" s="861" t="s">
        <v>53</v>
      </c>
      <c r="K151" s="861" t="s">
        <v>53</v>
      </c>
      <c r="L151" s="861" t="s">
        <v>53</v>
      </c>
      <c r="M151" s="861" t="s">
        <v>116</v>
      </c>
      <c r="N151" s="861" t="s">
        <v>53</v>
      </c>
      <c r="O151" s="861" t="s">
        <v>53</v>
      </c>
      <c r="P151" s="861" t="s">
        <v>53</v>
      </c>
      <c r="Q151" s="861" t="s">
        <v>53</v>
      </c>
      <c r="R151" s="861" t="s">
        <v>53</v>
      </c>
      <c r="S151" s="861" t="s">
        <v>53</v>
      </c>
      <c r="T151" s="861" t="s">
        <v>116</v>
      </c>
      <c r="U151" s="861" t="s">
        <v>53</v>
      </c>
      <c r="V151" s="861" t="s">
        <v>53</v>
      </c>
      <c r="W151" s="861" t="s">
        <v>53</v>
      </c>
      <c r="X151" s="861" t="s">
        <v>53</v>
      </c>
      <c r="Y151" s="861" t="s">
        <v>53</v>
      </c>
      <c r="Z151" s="861" t="s">
        <v>53</v>
      </c>
      <c r="AA151" s="861" t="s">
        <v>116</v>
      </c>
      <c r="AB151" s="861" t="s">
        <v>53</v>
      </c>
      <c r="AC151" s="861" t="s">
        <v>53</v>
      </c>
      <c r="AD151" s="861" t="s">
        <v>53</v>
      </c>
      <c r="AE151" s="861" t="s">
        <v>53</v>
      </c>
      <c r="AF151" s="861" t="s">
        <v>53</v>
      </c>
      <c r="AG151" s="861" t="s">
        <v>53</v>
      </c>
      <c r="AH151" s="861" t="s">
        <v>116</v>
      </c>
      <c r="AI151" s="861" t="s">
        <v>53</v>
      </c>
      <c r="AJ151" s="1095"/>
      <c r="AK151" s="1207">
        <f t="shared" si="39"/>
        <v>25</v>
      </c>
      <c r="AL151" s="1208">
        <f t="shared" si="40"/>
        <v>5</v>
      </c>
      <c r="AM151" s="1207">
        <f t="shared" si="41"/>
        <v>0</v>
      </c>
      <c r="AN151" s="1207">
        <f t="shared" si="42"/>
        <v>0</v>
      </c>
      <c r="AO151" s="1207">
        <f t="shared" si="43"/>
        <v>0</v>
      </c>
      <c r="AP151" s="1208">
        <f t="shared" si="44"/>
        <v>0</v>
      </c>
      <c r="AQ151" s="1209">
        <f t="shared" si="45"/>
        <v>30</v>
      </c>
      <c r="AR151" s="152"/>
      <c r="AS151" s="155" t="str">
        <f>'Mã số nhân viên'!I133</f>
        <v>04084</v>
      </c>
      <c r="AT151" s="1032">
        <f t="shared" si="46"/>
        <v>0</v>
      </c>
    </row>
    <row r="152" spans="1:50" ht="24.75" customHeight="1">
      <c r="A152" s="779">
        <v>139</v>
      </c>
      <c r="B152" s="539">
        <v>58</v>
      </c>
      <c r="C152" s="779" t="str">
        <f>VLOOKUP(D152,'Mã số nhân viên'!B134:I191,8,0)</f>
        <v>04085</v>
      </c>
      <c r="D152" s="419" t="s">
        <v>574</v>
      </c>
      <c r="E152" s="124"/>
      <c r="F152" s="861" t="s">
        <v>116</v>
      </c>
      <c r="G152" s="861" t="s">
        <v>53</v>
      </c>
      <c r="H152" s="861" t="s">
        <v>53</v>
      </c>
      <c r="I152" s="861" t="s">
        <v>53</v>
      </c>
      <c r="J152" s="861" t="s">
        <v>53</v>
      </c>
      <c r="K152" s="861" t="s">
        <v>53</v>
      </c>
      <c r="L152" s="861" t="s">
        <v>53</v>
      </c>
      <c r="M152" s="861" t="s">
        <v>116</v>
      </c>
      <c r="N152" s="861" t="s">
        <v>53</v>
      </c>
      <c r="O152" s="861" t="s">
        <v>53</v>
      </c>
      <c r="P152" s="861" t="s">
        <v>53</v>
      </c>
      <c r="Q152" s="861" t="s">
        <v>53</v>
      </c>
      <c r="R152" s="861" t="s">
        <v>53</v>
      </c>
      <c r="S152" s="861" t="s">
        <v>53</v>
      </c>
      <c r="T152" s="861" t="s">
        <v>116</v>
      </c>
      <c r="U152" s="861" t="s">
        <v>53</v>
      </c>
      <c r="V152" s="861" t="s">
        <v>53</v>
      </c>
      <c r="W152" s="861" t="s">
        <v>53</v>
      </c>
      <c r="X152" s="861" t="s">
        <v>53</v>
      </c>
      <c r="Y152" s="861" t="s">
        <v>53</v>
      </c>
      <c r="Z152" s="861" t="s">
        <v>53</v>
      </c>
      <c r="AA152" s="861" t="s">
        <v>116</v>
      </c>
      <c r="AB152" s="861" t="s">
        <v>53</v>
      </c>
      <c r="AC152" s="861" t="s">
        <v>53</v>
      </c>
      <c r="AD152" s="861" t="s">
        <v>53</v>
      </c>
      <c r="AE152" s="861" t="s">
        <v>53</v>
      </c>
      <c r="AF152" s="861" t="s">
        <v>53</v>
      </c>
      <c r="AG152" s="861" t="s">
        <v>53</v>
      </c>
      <c r="AH152" s="861" t="s">
        <v>116</v>
      </c>
      <c r="AI152" s="861" t="s">
        <v>53</v>
      </c>
      <c r="AJ152" s="1095"/>
      <c r="AK152" s="1207">
        <f t="shared" si="39"/>
        <v>25</v>
      </c>
      <c r="AL152" s="1208">
        <f t="shared" si="40"/>
        <v>5</v>
      </c>
      <c r="AM152" s="1207">
        <f t="shared" si="41"/>
        <v>0</v>
      </c>
      <c r="AN152" s="1207">
        <f t="shared" si="42"/>
        <v>0</v>
      </c>
      <c r="AO152" s="1207">
        <f t="shared" si="43"/>
        <v>0</v>
      </c>
      <c r="AP152" s="1208">
        <f t="shared" si="44"/>
        <v>0</v>
      </c>
      <c r="AQ152" s="1209">
        <f t="shared" si="45"/>
        <v>30</v>
      </c>
      <c r="AR152" s="152"/>
      <c r="AS152" s="155" t="str">
        <f>'Mã số nhân viên'!I134</f>
        <v>04085</v>
      </c>
      <c r="AT152" s="1032">
        <f t="shared" si="46"/>
        <v>0</v>
      </c>
    </row>
    <row r="153" spans="1:50" ht="24.75" customHeight="1">
      <c r="A153" s="779">
        <v>140</v>
      </c>
      <c r="B153" s="539">
        <v>59</v>
      </c>
      <c r="C153" s="539"/>
      <c r="D153" s="1101" t="s">
        <v>291</v>
      </c>
      <c r="E153" s="124"/>
      <c r="F153" s="861" t="s">
        <v>116</v>
      </c>
      <c r="G153" s="861" t="s">
        <v>53</v>
      </c>
      <c r="H153" s="861" t="s">
        <v>53</v>
      </c>
      <c r="I153" s="861"/>
      <c r="J153" s="861" t="s">
        <v>53</v>
      </c>
      <c r="K153" s="861" t="s">
        <v>53</v>
      </c>
      <c r="L153" s="861" t="s">
        <v>53</v>
      </c>
      <c r="M153" s="861" t="s">
        <v>116</v>
      </c>
      <c r="N153" s="861" t="s">
        <v>53</v>
      </c>
      <c r="O153" s="861" t="s">
        <v>53</v>
      </c>
      <c r="P153" s="861" t="s">
        <v>53</v>
      </c>
      <c r="Q153" s="861"/>
      <c r="R153" s="861" t="s">
        <v>53</v>
      </c>
      <c r="S153" s="861" t="s">
        <v>53</v>
      </c>
      <c r="T153" s="861" t="s">
        <v>116</v>
      </c>
      <c r="U153" s="861" t="s">
        <v>53</v>
      </c>
      <c r="V153" s="861" t="s">
        <v>53</v>
      </c>
      <c r="W153" s="861" t="s">
        <v>53</v>
      </c>
      <c r="X153" s="861" t="s">
        <v>53</v>
      </c>
      <c r="Y153" s="861" t="s">
        <v>53</v>
      </c>
      <c r="Z153" s="861" t="s">
        <v>53</v>
      </c>
      <c r="AA153" s="861" t="s">
        <v>116</v>
      </c>
      <c r="AB153" s="861" t="s">
        <v>53</v>
      </c>
      <c r="AC153" s="861" t="s">
        <v>53</v>
      </c>
      <c r="AD153" s="861" t="s">
        <v>53</v>
      </c>
      <c r="AE153" s="861" t="s">
        <v>53</v>
      </c>
      <c r="AF153" s="861" t="s">
        <v>53</v>
      </c>
      <c r="AG153" s="861" t="s">
        <v>53</v>
      </c>
      <c r="AH153" s="1095" t="s">
        <v>116</v>
      </c>
      <c r="AI153" s="1095" t="s">
        <v>53</v>
      </c>
      <c r="AJ153" s="1095"/>
      <c r="AK153" s="1207">
        <f t="shared" si="39"/>
        <v>23</v>
      </c>
      <c r="AL153" s="1208">
        <f t="shared" si="40"/>
        <v>5</v>
      </c>
      <c r="AM153" s="1207">
        <f t="shared" si="41"/>
        <v>0</v>
      </c>
      <c r="AN153" s="1207">
        <f t="shared" si="42"/>
        <v>0</v>
      </c>
      <c r="AO153" s="1207">
        <f t="shared" si="43"/>
        <v>0</v>
      </c>
      <c r="AP153" s="1208">
        <f t="shared" si="44"/>
        <v>0</v>
      </c>
      <c r="AQ153" s="1209">
        <f t="shared" si="45"/>
        <v>28</v>
      </c>
      <c r="AR153" s="152"/>
      <c r="AS153" s="155">
        <f>'Mã số nhân viên'!I135</f>
        <v>0</v>
      </c>
      <c r="AT153" s="1032">
        <f t="shared" si="46"/>
        <v>0</v>
      </c>
    </row>
    <row r="154" spans="1:50" ht="24.75" customHeight="1">
      <c r="A154" s="779">
        <v>141</v>
      </c>
      <c r="B154" s="539">
        <v>60</v>
      </c>
      <c r="C154" s="539"/>
      <c r="D154" s="1102" t="s">
        <v>355</v>
      </c>
      <c r="E154" s="124"/>
      <c r="F154" s="861" t="s">
        <v>116</v>
      </c>
      <c r="G154" s="861" t="s">
        <v>53</v>
      </c>
      <c r="H154" s="861" t="s">
        <v>53</v>
      </c>
      <c r="I154" s="861"/>
      <c r="J154" s="861" t="s">
        <v>53</v>
      </c>
      <c r="K154" s="861" t="s">
        <v>53</v>
      </c>
      <c r="L154" s="861" t="s">
        <v>53</v>
      </c>
      <c r="M154" s="861" t="s">
        <v>116</v>
      </c>
      <c r="N154" s="861" t="s">
        <v>53</v>
      </c>
      <c r="O154" s="861" t="s">
        <v>53</v>
      </c>
      <c r="P154" s="861"/>
      <c r="Q154" s="861"/>
      <c r="R154" s="861" t="s">
        <v>53</v>
      </c>
      <c r="S154" s="861" t="s">
        <v>53</v>
      </c>
      <c r="T154" s="861" t="s">
        <v>116</v>
      </c>
      <c r="U154" s="861" t="s">
        <v>53</v>
      </c>
      <c r="V154" s="861" t="s">
        <v>53</v>
      </c>
      <c r="W154" s="861" t="s">
        <v>53</v>
      </c>
      <c r="X154" s="861" t="s">
        <v>53</v>
      </c>
      <c r="Y154" s="861" t="s">
        <v>53</v>
      </c>
      <c r="Z154" s="861" t="s">
        <v>53</v>
      </c>
      <c r="AA154" s="861" t="s">
        <v>116</v>
      </c>
      <c r="AB154" s="861" t="s">
        <v>53</v>
      </c>
      <c r="AC154" s="861" t="s">
        <v>53</v>
      </c>
      <c r="AD154" s="861" t="s">
        <v>53</v>
      </c>
      <c r="AE154" s="861" t="s">
        <v>53</v>
      </c>
      <c r="AF154" s="861" t="s">
        <v>53</v>
      </c>
      <c r="AG154" s="861" t="s">
        <v>53</v>
      </c>
      <c r="AH154" s="1095" t="s">
        <v>116</v>
      </c>
      <c r="AI154" s="1095" t="s">
        <v>53</v>
      </c>
      <c r="AJ154" s="1095"/>
      <c r="AK154" s="1207">
        <f t="shared" si="39"/>
        <v>22</v>
      </c>
      <c r="AL154" s="1208">
        <f t="shared" si="40"/>
        <v>5</v>
      </c>
      <c r="AM154" s="1207">
        <f t="shared" si="41"/>
        <v>0</v>
      </c>
      <c r="AN154" s="1207">
        <f t="shared" si="42"/>
        <v>0</v>
      </c>
      <c r="AO154" s="1207">
        <f t="shared" si="43"/>
        <v>0</v>
      </c>
      <c r="AP154" s="1208">
        <f t="shared" si="44"/>
        <v>0</v>
      </c>
      <c r="AQ154" s="1209">
        <f t="shared" si="45"/>
        <v>27</v>
      </c>
      <c r="AR154" s="152"/>
      <c r="AS154" s="155">
        <f>'Mã số nhân viên'!I136</f>
        <v>0</v>
      </c>
      <c r="AT154" s="1032">
        <f t="shared" si="46"/>
        <v>0</v>
      </c>
    </row>
    <row r="155" spans="1:50" ht="24.75" customHeight="1">
      <c r="A155" s="779">
        <v>142</v>
      </c>
      <c r="B155" s="539">
        <v>61</v>
      </c>
      <c r="C155" s="539"/>
      <c r="D155" s="1103" t="s">
        <v>368</v>
      </c>
      <c r="E155" s="124"/>
      <c r="F155" s="861" t="s">
        <v>116</v>
      </c>
      <c r="G155" s="861"/>
      <c r="H155" s="861"/>
      <c r="I155" s="861"/>
      <c r="J155" s="861" t="s">
        <v>53</v>
      </c>
      <c r="K155" s="861"/>
      <c r="L155" s="861"/>
      <c r="M155" s="861" t="s">
        <v>116</v>
      </c>
      <c r="N155" s="861"/>
      <c r="O155" s="861"/>
      <c r="P155" s="861"/>
      <c r="Q155" s="861"/>
      <c r="R155" s="861"/>
      <c r="S155" s="861" t="s">
        <v>53</v>
      </c>
      <c r="T155" s="861" t="s">
        <v>116</v>
      </c>
      <c r="U155" s="861"/>
      <c r="V155" s="861" t="s">
        <v>53</v>
      </c>
      <c r="W155" s="861"/>
      <c r="X155" s="861" t="s">
        <v>53</v>
      </c>
      <c r="Y155" s="861" t="s">
        <v>53</v>
      </c>
      <c r="Z155" s="861" t="s">
        <v>53</v>
      </c>
      <c r="AA155" s="861" t="s">
        <v>116</v>
      </c>
      <c r="AB155" s="861" t="s">
        <v>53</v>
      </c>
      <c r="AC155" s="861" t="s">
        <v>53</v>
      </c>
      <c r="AD155" s="861"/>
      <c r="AE155" s="861" t="s">
        <v>53</v>
      </c>
      <c r="AF155" s="861" t="s">
        <v>53</v>
      </c>
      <c r="AG155" s="861" t="s">
        <v>53</v>
      </c>
      <c r="AH155" s="1095" t="s">
        <v>116</v>
      </c>
      <c r="AI155" s="1095"/>
      <c r="AJ155" s="1095"/>
      <c r="AK155" s="1207">
        <f t="shared" si="39"/>
        <v>11</v>
      </c>
      <c r="AL155" s="1208">
        <f t="shared" si="40"/>
        <v>5</v>
      </c>
      <c r="AM155" s="1207">
        <f t="shared" si="41"/>
        <v>0</v>
      </c>
      <c r="AN155" s="1207">
        <f t="shared" si="42"/>
        <v>0</v>
      </c>
      <c r="AO155" s="1207">
        <f t="shared" si="43"/>
        <v>0</v>
      </c>
      <c r="AP155" s="1208">
        <f t="shared" si="44"/>
        <v>0</v>
      </c>
      <c r="AQ155" s="1209">
        <f t="shared" si="45"/>
        <v>16</v>
      </c>
      <c r="AR155" s="152"/>
      <c r="AS155" s="155">
        <f>'Mã số nhân viên'!I137</f>
        <v>0</v>
      </c>
      <c r="AT155" s="1032">
        <f t="shared" si="46"/>
        <v>0</v>
      </c>
    </row>
    <row r="156" spans="1:50" ht="24.75" customHeight="1">
      <c r="A156" s="779">
        <v>143</v>
      </c>
      <c r="B156" s="539">
        <v>62</v>
      </c>
      <c r="C156" s="539"/>
      <c r="D156" s="1103" t="s">
        <v>369</v>
      </c>
      <c r="E156" s="124"/>
      <c r="F156" s="861"/>
      <c r="G156" s="861"/>
      <c r="H156" s="861"/>
      <c r="I156" s="861"/>
      <c r="J156" s="861"/>
      <c r="K156" s="861"/>
      <c r="L156" s="861"/>
      <c r="M156" s="861"/>
      <c r="N156" s="861"/>
      <c r="O156" s="861"/>
      <c r="P156" s="861"/>
      <c r="Q156" s="861"/>
      <c r="R156" s="861"/>
      <c r="S156" s="861"/>
      <c r="T156" s="861"/>
      <c r="U156" s="861"/>
      <c r="V156" s="861"/>
      <c r="W156" s="861"/>
      <c r="X156" s="861"/>
      <c r="Y156" s="861"/>
      <c r="Z156" s="861"/>
      <c r="AA156" s="861" t="s">
        <v>116</v>
      </c>
      <c r="AB156" s="861"/>
      <c r="AC156" s="861" t="s">
        <v>53</v>
      </c>
      <c r="AD156" s="861"/>
      <c r="AE156" s="861"/>
      <c r="AF156" s="861"/>
      <c r="AG156" s="861" t="s">
        <v>53</v>
      </c>
      <c r="AH156" s="1095" t="s">
        <v>116</v>
      </c>
      <c r="AI156" s="1095"/>
      <c r="AJ156" s="1095"/>
      <c r="AK156" s="1207">
        <f t="shared" si="39"/>
        <v>2</v>
      </c>
      <c r="AL156" s="1208">
        <f t="shared" si="40"/>
        <v>2</v>
      </c>
      <c r="AM156" s="1207">
        <f t="shared" si="41"/>
        <v>0</v>
      </c>
      <c r="AN156" s="1207">
        <f t="shared" si="42"/>
        <v>0</v>
      </c>
      <c r="AO156" s="1207">
        <f t="shared" si="43"/>
        <v>0</v>
      </c>
      <c r="AP156" s="1208">
        <f t="shared" si="44"/>
        <v>0</v>
      </c>
      <c r="AQ156" s="1209">
        <f t="shared" si="45"/>
        <v>4</v>
      </c>
      <c r="AR156" s="152"/>
      <c r="AS156" s="155">
        <f>'Mã số nhân viên'!I138</f>
        <v>0</v>
      </c>
      <c r="AT156" s="1032">
        <f t="shared" si="46"/>
        <v>0</v>
      </c>
    </row>
    <row r="157" spans="1:50" ht="24.75" customHeight="1">
      <c r="A157" s="1297" t="s">
        <v>58</v>
      </c>
      <c r="B157" s="1297"/>
      <c r="C157" s="1297"/>
      <c r="D157" s="1297"/>
      <c r="E157" s="1297"/>
      <c r="F157" s="649">
        <f t="shared" ref="F157:AJ157" si="47">F94+F12</f>
        <v>131</v>
      </c>
      <c r="G157" s="649">
        <f t="shared" si="47"/>
        <v>131</v>
      </c>
      <c r="H157" s="649">
        <f t="shared" si="47"/>
        <v>131</v>
      </c>
      <c r="I157" s="649">
        <f t="shared" si="47"/>
        <v>131</v>
      </c>
      <c r="J157" s="649">
        <f t="shared" si="47"/>
        <v>131</v>
      </c>
      <c r="K157" s="649">
        <f t="shared" si="47"/>
        <v>131</v>
      </c>
      <c r="L157" s="649">
        <f t="shared" si="47"/>
        <v>131</v>
      </c>
      <c r="M157" s="649">
        <f t="shared" si="47"/>
        <v>131</v>
      </c>
      <c r="N157" s="649">
        <f t="shared" si="47"/>
        <v>131</v>
      </c>
      <c r="O157" s="649">
        <f t="shared" si="47"/>
        <v>128</v>
      </c>
      <c r="P157" s="649">
        <f t="shared" si="47"/>
        <v>122</v>
      </c>
      <c r="Q157" s="649">
        <f t="shared" si="47"/>
        <v>7</v>
      </c>
      <c r="R157" s="649">
        <f t="shared" si="47"/>
        <v>58</v>
      </c>
      <c r="S157" s="649">
        <f t="shared" si="47"/>
        <v>119</v>
      </c>
      <c r="T157" s="649">
        <f t="shared" si="47"/>
        <v>123</v>
      </c>
      <c r="U157" s="649">
        <f t="shared" si="47"/>
        <v>126</v>
      </c>
      <c r="V157" s="649">
        <f t="shared" si="47"/>
        <v>125</v>
      </c>
      <c r="W157" s="649">
        <f t="shared" si="47"/>
        <v>131</v>
      </c>
      <c r="X157" s="649">
        <f t="shared" si="47"/>
        <v>128</v>
      </c>
      <c r="Y157" s="649">
        <f t="shared" si="47"/>
        <v>131</v>
      </c>
      <c r="Z157" s="649">
        <f t="shared" si="47"/>
        <v>131</v>
      </c>
      <c r="AA157" s="649">
        <f t="shared" si="47"/>
        <v>131</v>
      </c>
      <c r="AB157" s="649">
        <f t="shared" si="47"/>
        <v>124</v>
      </c>
      <c r="AC157" s="649">
        <f t="shared" si="47"/>
        <v>129</v>
      </c>
      <c r="AD157" s="649">
        <f t="shared" si="47"/>
        <v>130</v>
      </c>
      <c r="AE157" s="649">
        <f t="shared" si="47"/>
        <v>131</v>
      </c>
      <c r="AF157" s="649">
        <f t="shared" si="47"/>
        <v>124</v>
      </c>
      <c r="AG157" s="649">
        <f t="shared" si="47"/>
        <v>118</v>
      </c>
      <c r="AH157" s="649">
        <f t="shared" si="47"/>
        <v>130</v>
      </c>
      <c r="AI157" s="649">
        <f t="shared" si="47"/>
        <v>127</v>
      </c>
      <c r="AJ157" s="649">
        <f t="shared" si="47"/>
        <v>0</v>
      </c>
      <c r="AK157" s="238">
        <f>SUM(AK12+AK94)</f>
        <v>3006</v>
      </c>
      <c r="AL157" s="238">
        <f t="shared" ref="AL157:AQ157" si="48">SUM(AL12+AL94)</f>
        <v>646</v>
      </c>
      <c r="AM157" s="238">
        <f t="shared" si="48"/>
        <v>0</v>
      </c>
      <c r="AN157" s="238">
        <f t="shared" si="48"/>
        <v>0</v>
      </c>
      <c r="AO157" s="238">
        <f t="shared" si="48"/>
        <v>0</v>
      </c>
      <c r="AP157" s="238">
        <f t="shared" si="48"/>
        <v>0</v>
      </c>
      <c r="AQ157" s="238">
        <f t="shared" si="48"/>
        <v>3652</v>
      </c>
    </row>
    <row r="158" spans="1:50" ht="16.5">
      <c r="B158" s="151"/>
      <c r="C158" s="1295" t="s">
        <v>457</v>
      </c>
      <c r="D158" s="1295"/>
      <c r="E158" s="28"/>
      <c r="F158" s="156"/>
      <c r="G158" s="156"/>
      <c r="H158" s="156"/>
      <c r="I158" s="156"/>
      <c r="J158" s="156"/>
      <c r="K158" s="156"/>
      <c r="L158" s="156"/>
      <c r="M158" s="156"/>
      <c r="N158" s="156"/>
      <c r="O158" s="156"/>
      <c r="P158" s="156"/>
      <c r="Q158" s="156"/>
      <c r="R158" s="156"/>
      <c r="S158" s="156"/>
      <c r="T158" s="156"/>
      <c r="U158" s="156"/>
      <c r="V158" s="156"/>
      <c r="W158" s="156"/>
      <c r="X158" s="156"/>
      <c r="Y158" s="1294"/>
      <c r="Z158" s="1294"/>
      <c r="AA158" s="1294"/>
      <c r="AB158" s="1294"/>
      <c r="AC158" s="1294"/>
      <c r="AD158" s="1294"/>
      <c r="AE158" s="1294"/>
      <c r="AF158" s="1294"/>
      <c r="AG158" s="1294"/>
      <c r="AH158" s="1294"/>
      <c r="AI158" s="1294"/>
      <c r="AJ158" s="1294"/>
      <c r="AK158" s="1294"/>
      <c r="AL158" s="1294"/>
      <c r="AM158" s="1294"/>
      <c r="AN158" s="1294"/>
      <c r="AO158" s="1294"/>
      <c r="AP158" s="1294"/>
      <c r="AQ158" s="1294"/>
      <c r="AX158" s="150">
        <f t="shared" ref="AX158" si="49">SUM(AT158:AW158)</f>
        <v>0</v>
      </c>
    </row>
    <row r="159" spans="1:50" ht="16.5">
      <c r="B159" s="151"/>
      <c r="C159" s="652" t="s">
        <v>458</v>
      </c>
      <c r="D159" s="563"/>
      <c r="E159" s="28"/>
      <c r="F159" s="156"/>
      <c r="G159" s="156"/>
      <c r="H159" s="156"/>
      <c r="I159" s="156"/>
      <c r="J159" s="156"/>
      <c r="K159" s="156"/>
      <c r="L159" s="156"/>
      <c r="M159" s="156"/>
      <c r="N159" s="156"/>
      <c r="O159" s="156"/>
      <c r="P159" s="156"/>
      <c r="Q159" s="156"/>
      <c r="R159" s="156"/>
      <c r="S159" s="156"/>
      <c r="T159" s="156"/>
      <c r="U159" s="156"/>
      <c r="V159" s="156"/>
      <c r="W159" s="156"/>
      <c r="X159" s="156"/>
      <c r="Y159" s="1059"/>
      <c r="Z159" s="1059"/>
      <c r="AA159" s="1059"/>
      <c r="AB159" s="1059"/>
      <c r="AC159" s="1059"/>
      <c r="AD159" s="1059"/>
      <c r="AE159" s="1059"/>
      <c r="AF159" s="1059"/>
      <c r="AG159" s="1059"/>
      <c r="AH159" s="1059"/>
      <c r="AI159" s="1059"/>
      <c r="AJ159" s="1059"/>
      <c r="AK159" s="1059"/>
      <c r="AL159" s="1059"/>
      <c r="AM159" s="1059"/>
      <c r="AN159" s="1059"/>
      <c r="AO159" s="1059"/>
      <c r="AP159" s="1059"/>
      <c r="AQ159" s="1059"/>
    </row>
    <row r="160" spans="1:50" ht="16.5">
      <c r="B160" s="151"/>
      <c r="C160" s="652" t="s">
        <v>459</v>
      </c>
      <c r="D160" s="563"/>
      <c r="E160" s="28"/>
      <c r="F160" s="156"/>
      <c r="G160" s="156"/>
      <c r="H160" s="156"/>
      <c r="I160" s="156"/>
      <c r="J160" s="156"/>
      <c r="K160" s="156"/>
      <c r="L160" s="156"/>
      <c r="M160" s="156"/>
      <c r="N160" s="156"/>
      <c r="O160" s="156"/>
      <c r="P160" s="156"/>
      <c r="Q160" s="156"/>
      <c r="R160" s="156"/>
      <c r="S160" s="156"/>
      <c r="T160" s="156"/>
      <c r="U160" s="156"/>
      <c r="V160" s="156"/>
      <c r="W160" s="156"/>
      <c r="X160" s="156"/>
      <c r="Y160" s="1059"/>
      <c r="Z160" s="1059"/>
      <c r="AA160" s="1059"/>
      <c r="AB160" s="1059"/>
      <c r="AC160" s="1059"/>
      <c r="AD160" s="1059"/>
      <c r="AE160" s="1059"/>
      <c r="AF160" s="1059"/>
      <c r="AG160" s="1059"/>
      <c r="AH160" s="1059"/>
      <c r="AI160" s="1059"/>
      <c r="AJ160" s="1059"/>
      <c r="AK160" s="1059"/>
      <c r="AL160" s="1059"/>
      <c r="AM160" s="1059"/>
      <c r="AN160" s="1059"/>
      <c r="AO160" s="1059"/>
      <c r="AP160" s="1059"/>
      <c r="AQ160" s="1059"/>
    </row>
    <row r="161" spans="1:45" ht="16.5">
      <c r="B161" s="151"/>
      <c r="C161" s="151"/>
      <c r="D161" s="863"/>
      <c r="E161" s="28"/>
      <c r="F161" s="156"/>
      <c r="G161" s="156"/>
      <c r="H161" s="156"/>
      <c r="I161" s="156"/>
      <c r="J161" s="156"/>
      <c r="K161" s="156"/>
      <c r="L161" s="156"/>
      <c r="M161" s="156"/>
      <c r="N161" s="156"/>
      <c r="O161" s="156"/>
      <c r="P161" s="156"/>
      <c r="Q161" s="156"/>
      <c r="R161" s="156"/>
      <c r="S161" s="156"/>
      <c r="T161" s="156"/>
      <c r="U161" s="156"/>
      <c r="V161" s="156"/>
      <c r="W161" s="156"/>
      <c r="X161" s="156"/>
      <c r="Y161" s="1294" t="s">
        <v>594</v>
      </c>
      <c r="Z161" s="1294"/>
      <c r="AA161" s="1294"/>
      <c r="AB161" s="1294"/>
      <c r="AC161" s="1294"/>
      <c r="AD161" s="1294"/>
      <c r="AE161" s="1294"/>
      <c r="AF161" s="1294"/>
      <c r="AG161" s="1294"/>
      <c r="AH161" s="1294"/>
      <c r="AI161" s="1294"/>
      <c r="AJ161" s="1294"/>
      <c r="AK161" s="1294"/>
      <c r="AL161" s="1294"/>
      <c r="AM161" s="1294"/>
      <c r="AN161" s="1294"/>
      <c r="AO161" s="1294"/>
      <c r="AP161" s="1294"/>
      <c r="AQ161" s="1294"/>
    </row>
    <row r="162" spans="1:45" ht="16.5">
      <c r="A162" s="1296" t="s">
        <v>581</v>
      </c>
      <c r="B162" s="1296"/>
      <c r="C162" s="1296"/>
      <c r="D162" s="1296"/>
      <c r="E162" s="1296"/>
      <c r="F162" s="1296"/>
      <c r="G162" s="1296"/>
      <c r="H162" s="1296"/>
      <c r="I162" s="1296"/>
      <c r="J162" s="1296"/>
      <c r="K162" s="1296"/>
      <c r="L162" s="1296"/>
      <c r="M162" s="1296"/>
      <c r="N162" s="1296"/>
      <c r="O162" s="1296"/>
      <c r="P162" s="1296"/>
      <c r="Q162" s="1296"/>
      <c r="R162" s="1296"/>
      <c r="S162" s="1296"/>
      <c r="T162" s="1296"/>
      <c r="U162" s="1296"/>
      <c r="V162" s="1296"/>
      <c r="W162" s="1296"/>
      <c r="X162" s="1296"/>
      <c r="Y162" s="1296"/>
      <c r="Z162" s="1296"/>
      <c r="AA162" s="1296"/>
      <c r="AB162" s="1296"/>
      <c r="AC162" s="1296"/>
      <c r="AD162" s="1296"/>
      <c r="AE162" s="1296"/>
      <c r="AF162" s="1296"/>
      <c r="AG162" s="1296"/>
      <c r="AH162" s="1296"/>
      <c r="AI162" s="1296"/>
      <c r="AJ162" s="1296"/>
      <c r="AK162" s="1296"/>
      <c r="AL162" s="1296"/>
      <c r="AM162" s="1296"/>
      <c r="AN162" s="1296"/>
      <c r="AO162" s="1296"/>
      <c r="AP162" s="1296"/>
      <c r="AQ162" s="1296"/>
    </row>
    <row r="163" spans="1:45" ht="16.5">
      <c r="B163" s="151"/>
      <c r="C163" s="151"/>
      <c r="D163" s="155"/>
      <c r="F163" s="155"/>
      <c r="G163" s="155"/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  <c r="T163" s="155"/>
      <c r="U163" s="155"/>
      <c r="V163" s="155"/>
      <c r="W163" s="155"/>
      <c r="X163" s="155"/>
      <c r="Y163" s="155"/>
      <c r="Z163" s="155"/>
      <c r="AA163" s="155"/>
      <c r="AB163" s="155"/>
      <c r="AC163" s="155"/>
      <c r="AD163" s="155"/>
      <c r="AE163" s="155"/>
      <c r="AF163" s="155"/>
      <c r="AG163" s="155"/>
      <c r="AH163" s="155"/>
      <c r="AI163" s="155"/>
      <c r="AJ163" s="155"/>
      <c r="AK163" s="155"/>
      <c r="AL163" s="155"/>
      <c r="AM163" s="155"/>
      <c r="AN163" s="155"/>
      <c r="AO163" s="155"/>
      <c r="AP163" s="155"/>
      <c r="AQ163" s="157"/>
    </row>
    <row r="164" spans="1:45" ht="15.75" customHeight="1">
      <c r="D164" s="155"/>
      <c r="F164" s="155"/>
      <c r="G164" s="155"/>
      <c r="H164" s="155"/>
      <c r="I164" s="155"/>
      <c r="J164" s="158"/>
      <c r="K164" s="158"/>
      <c r="L164" s="155"/>
      <c r="M164" s="155"/>
      <c r="N164" s="158"/>
      <c r="O164" s="158"/>
      <c r="P164" s="155"/>
      <c r="Q164" s="155"/>
      <c r="R164" s="158"/>
      <c r="S164" s="155"/>
      <c r="T164" s="155"/>
      <c r="U164" s="157"/>
      <c r="V164" s="155"/>
      <c r="W164" s="155"/>
      <c r="X164" s="155"/>
      <c r="Y164" s="155"/>
      <c r="Z164" s="155"/>
      <c r="AA164" s="155"/>
      <c r="AB164" s="155"/>
      <c r="AC164" s="155"/>
      <c r="AD164" s="155"/>
      <c r="AE164" s="155"/>
      <c r="AF164" s="155"/>
      <c r="AG164" s="155"/>
      <c r="AH164" s="155"/>
      <c r="AI164" s="155"/>
      <c r="AJ164" s="155"/>
      <c r="AK164" s="155"/>
      <c r="AL164" s="155"/>
      <c r="AM164" s="155"/>
      <c r="AN164" s="155"/>
      <c r="AO164" s="155"/>
      <c r="AP164" s="155"/>
      <c r="AQ164" s="155"/>
      <c r="AS164" s="1062"/>
    </row>
    <row r="165" spans="1:45" ht="16.5">
      <c r="D165" s="155"/>
      <c r="F165" s="155"/>
      <c r="G165" s="155"/>
      <c r="H165" s="155"/>
      <c r="I165" s="155"/>
      <c r="J165" s="158"/>
      <c r="K165" s="158"/>
      <c r="L165" s="158"/>
      <c r="M165" s="155"/>
      <c r="N165" s="155"/>
      <c r="O165" s="155"/>
      <c r="P165" s="155"/>
      <c r="Q165" s="155"/>
      <c r="R165" s="158"/>
      <c r="S165" s="155"/>
      <c r="T165" s="155"/>
      <c r="U165" s="157"/>
      <c r="V165" s="155"/>
      <c r="W165" s="155"/>
      <c r="X165" s="155"/>
      <c r="Y165" s="155"/>
      <c r="Z165" s="155"/>
      <c r="AA165" s="155"/>
      <c r="AB165" s="155"/>
      <c r="AC165" s="155"/>
      <c r="AD165" s="155"/>
      <c r="AE165" s="155"/>
      <c r="AF165" s="155"/>
      <c r="AG165" s="155"/>
      <c r="AH165" s="155"/>
      <c r="AI165" s="155"/>
      <c r="AJ165" s="155"/>
      <c r="AK165" s="155"/>
      <c r="AL165" s="155"/>
      <c r="AM165" s="155"/>
      <c r="AN165" s="155"/>
      <c r="AO165" s="155"/>
      <c r="AP165" s="155"/>
      <c r="AQ165" s="155"/>
    </row>
    <row r="166" spans="1:45" ht="16.5">
      <c r="D166" s="155"/>
      <c r="E166" s="155"/>
      <c r="F166" s="155"/>
      <c r="G166" s="155"/>
      <c r="H166" s="155"/>
      <c r="I166" s="155"/>
      <c r="J166" s="158"/>
      <c r="K166" s="158"/>
      <c r="L166" s="158"/>
      <c r="M166" s="155"/>
      <c r="N166" s="155"/>
      <c r="O166" s="155"/>
      <c r="P166" s="155"/>
      <c r="Q166" s="155"/>
      <c r="R166" s="155"/>
      <c r="S166" s="155"/>
      <c r="T166" s="155"/>
      <c r="U166" s="157"/>
      <c r="V166" s="155"/>
      <c r="W166" s="155"/>
      <c r="X166" s="155"/>
      <c r="Y166" s="155"/>
      <c r="Z166" s="155"/>
      <c r="AA166" s="155"/>
      <c r="AB166" s="155"/>
      <c r="AC166" s="155"/>
      <c r="AD166" s="155"/>
      <c r="AF166" s="155"/>
      <c r="AQ166" s="155"/>
    </row>
    <row r="167" spans="1:45">
      <c r="J167" s="154"/>
      <c r="K167" s="154"/>
      <c r="L167" s="154"/>
      <c r="M167" s="151"/>
      <c r="N167" s="151"/>
      <c r="O167" s="151"/>
      <c r="P167" s="151"/>
      <c r="Q167" s="151"/>
      <c r="U167" s="153"/>
    </row>
    <row r="168" spans="1:45" ht="16.5">
      <c r="AG168" s="155"/>
      <c r="AH168" s="155"/>
      <c r="AI168" s="155"/>
      <c r="AJ168" s="155"/>
      <c r="AK168" s="155"/>
      <c r="AL168" s="155"/>
      <c r="AM168" s="155"/>
      <c r="AN168" s="155"/>
      <c r="AO168" s="155"/>
      <c r="AP168" s="155"/>
      <c r="AQ168" s="155"/>
    </row>
    <row r="171" spans="1:45" ht="16.5">
      <c r="B171" s="1293"/>
      <c r="C171" s="1293"/>
      <c r="D171" s="1293"/>
    </row>
    <row r="172" spans="1:45" ht="16.5">
      <c r="B172" s="780"/>
      <c r="C172" s="780"/>
      <c r="D172" s="780"/>
    </row>
    <row r="173" spans="1:45" ht="16.5">
      <c r="B173" s="780"/>
      <c r="C173" s="780"/>
      <c r="D173" s="780"/>
    </row>
    <row r="174" spans="1:45" ht="16.5">
      <c r="B174" s="780"/>
      <c r="C174" s="780"/>
      <c r="D174" s="780"/>
    </row>
    <row r="175" spans="1:45" ht="16.5">
      <c r="B175" s="780"/>
      <c r="C175" s="780"/>
      <c r="D175" s="780"/>
    </row>
    <row r="176" spans="1:45" ht="16.5">
      <c r="B176" s="780"/>
      <c r="C176" s="780"/>
      <c r="D176" s="780"/>
    </row>
    <row r="177" spans="2:37" ht="16.5">
      <c r="B177" s="780"/>
      <c r="C177" s="780"/>
      <c r="D177" s="780"/>
    </row>
    <row r="178" spans="2:37" ht="16.5">
      <c r="B178" s="780"/>
      <c r="C178" s="780"/>
      <c r="D178" s="780"/>
    </row>
    <row r="179" spans="2:37" ht="16.5">
      <c r="B179" s="155"/>
      <c r="C179" s="155"/>
      <c r="D179" s="1295" t="s">
        <v>457</v>
      </c>
      <c r="E179" s="1295"/>
      <c r="F179" s="563"/>
      <c r="G179" s="563"/>
      <c r="H179" s="563"/>
      <c r="I179" s="563"/>
      <c r="J179" s="246"/>
      <c r="K179" s="155"/>
      <c r="L179" s="1293"/>
      <c r="M179" s="1293"/>
      <c r="N179" s="1293"/>
      <c r="O179" s="1293"/>
      <c r="P179" s="1293"/>
      <c r="Q179" s="1293"/>
    </row>
    <row r="180" spans="2:37" ht="16.5">
      <c r="B180" s="447"/>
      <c r="C180" s="447"/>
      <c r="D180" s="652" t="s">
        <v>458</v>
      </c>
      <c r="E180" s="563"/>
      <c r="F180" s="563"/>
      <c r="G180" s="563"/>
      <c r="H180" s="563"/>
      <c r="I180" s="563"/>
      <c r="J180" s="246"/>
      <c r="K180" s="155"/>
      <c r="L180" s="1293"/>
      <c r="M180" s="1293"/>
      <c r="N180" s="1293"/>
      <c r="O180" s="1293"/>
      <c r="P180" s="1293"/>
      <c r="Q180" s="1293"/>
    </row>
    <row r="181" spans="2:37" ht="16.5">
      <c r="B181" s="447"/>
      <c r="C181" s="447"/>
      <c r="D181" s="652" t="s">
        <v>459</v>
      </c>
      <c r="E181" s="563"/>
      <c r="F181" s="563"/>
      <c r="G181" s="563"/>
      <c r="H181" s="563"/>
      <c r="I181" s="563"/>
      <c r="J181" s="246"/>
      <c r="K181" s="155"/>
      <c r="L181" s="780"/>
      <c r="M181" s="780"/>
      <c r="N181" s="780"/>
      <c r="O181" s="780"/>
      <c r="P181" s="780"/>
      <c r="Q181" s="780"/>
    </row>
    <row r="182" spans="2:37" ht="16.5">
      <c r="B182" s="447"/>
      <c r="C182" s="447"/>
      <c r="D182" s="652" t="s">
        <v>463</v>
      </c>
      <c r="E182" s="563"/>
      <c r="F182" s="563"/>
      <c r="G182" s="563"/>
      <c r="H182" s="563"/>
      <c r="I182" s="563"/>
      <c r="J182" s="246"/>
      <c r="K182" s="155"/>
      <c r="L182" s="1293"/>
      <c r="M182" s="1293"/>
      <c r="N182" s="1293"/>
      <c r="O182" s="1293"/>
      <c r="P182" s="1293"/>
      <c r="Q182" s="1293"/>
    </row>
    <row r="183" spans="2:37" ht="16.5">
      <c r="B183" s="447"/>
      <c r="C183" s="447"/>
      <c r="D183" s="652" t="s">
        <v>464</v>
      </c>
      <c r="E183" s="563"/>
      <c r="F183" s="563"/>
      <c r="G183" s="563"/>
      <c r="H183" s="563"/>
      <c r="I183" s="563"/>
      <c r="J183" s="246"/>
      <c r="K183" s="155"/>
      <c r="L183" s="780"/>
      <c r="M183" s="780"/>
      <c r="N183" s="780"/>
      <c r="O183" s="780"/>
      <c r="P183" s="780"/>
      <c r="Q183" s="780"/>
    </row>
    <row r="184" spans="2:37" ht="16.5">
      <c r="B184" s="447"/>
      <c r="C184" s="447"/>
      <c r="D184" s="652" t="s">
        <v>465</v>
      </c>
      <c r="E184" s="563"/>
      <c r="F184" s="563"/>
      <c r="G184" s="563"/>
      <c r="H184" s="563"/>
      <c r="I184" s="563"/>
      <c r="J184" s="246"/>
      <c r="K184" s="155"/>
      <c r="L184" s="1293"/>
      <c r="M184" s="1293"/>
      <c r="N184" s="1293"/>
      <c r="O184" s="1293"/>
      <c r="P184" s="1293"/>
      <c r="Q184" s="1293"/>
    </row>
    <row r="185" spans="2:37" ht="16.5">
      <c r="B185" s="155"/>
      <c r="C185" s="155"/>
      <c r="D185" s="652" t="s">
        <v>466</v>
      </c>
      <c r="E185" s="563"/>
      <c r="F185" s="563"/>
      <c r="G185" s="563"/>
      <c r="H185" s="563"/>
      <c r="I185" s="563"/>
    </row>
    <row r="186" spans="2:37" ht="16.5">
      <c r="B186" s="447"/>
      <c r="C186" s="447"/>
      <c r="D186" s="1293"/>
      <c r="E186" s="1293"/>
      <c r="F186" s="1293"/>
      <c r="G186" s="1293"/>
      <c r="H186" s="1293"/>
      <c r="I186" s="1293"/>
    </row>
    <row r="187" spans="2:37" ht="16.5">
      <c r="B187" s="447"/>
      <c r="C187" s="447"/>
      <c r="D187" s="1293"/>
      <c r="E187" s="1293"/>
      <c r="F187" s="1293"/>
      <c r="G187" s="1293"/>
      <c r="H187" s="1293"/>
      <c r="I187" s="1293"/>
    </row>
    <row r="188" spans="2:37" ht="16.5">
      <c r="B188" s="447"/>
      <c r="C188" s="447"/>
      <c r="D188" s="1293"/>
      <c r="E188" s="1293"/>
      <c r="F188" s="1293"/>
      <c r="G188" s="1293"/>
      <c r="H188" s="1293"/>
      <c r="I188" s="1293"/>
      <c r="AK188" s="150" t="s">
        <v>809</v>
      </c>
    </row>
    <row r="189" spans="2:37" ht="16.5">
      <c r="B189" s="245"/>
      <c r="C189" s="245"/>
      <c r="D189" s="1293"/>
      <c r="E189" s="1293"/>
      <c r="F189" s="1293"/>
      <c r="G189" s="1293"/>
      <c r="H189" s="1293"/>
      <c r="I189" s="1293"/>
    </row>
  </sheetData>
  <mergeCells count="36">
    <mergeCell ref="B7:AQ7"/>
    <mergeCell ref="A8:AQ8"/>
    <mergeCell ref="C158:D158"/>
    <mergeCell ref="B1:AQ1"/>
    <mergeCell ref="B2:AQ2"/>
    <mergeCell ref="B3:AQ3"/>
    <mergeCell ref="B5:P5"/>
    <mergeCell ref="B6:P6"/>
    <mergeCell ref="A12:E12"/>
    <mergeCell ref="A94:E94"/>
    <mergeCell ref="A10:B11"/>
    <mergeCell ref="C10:C11"/>
    <mergeCell ref="AQ10:AQ11"/>
    <mergeCell ref="F10:AJ10"/>
    <mergeCell ref="AK10:AK11"/>
    <mergeCell ref="E10:E11"/>
    <mergeCell ref="D189:I189"/>
    <mergeCell ref="A157:E157"/>
    <mergeCell ref="D188:I188"/>
    <mergeCell ref="D186:I186"/>
    <mergeCell ref="D187:I187"/>
    <mergeCell ref="B171:D171"/>
    <mergeCell ref="L184:Q184"/>
    <mergeCell ref="Y158:AQ158"/>
    <mergeCell ref="L179:Q179"/>
    <mergeCell ref="L180:Q180"/>
    <mergeCell ref="D179:E179"/>
    <mergeCell ref="L182:Q182"/>
    <mergeCell ref="Y161:AQ161"/>
    <mergeCell ref="A162:AQ162"/>
    <mergeCell ref="D10:D11"/>
    <mergeCell ref="AM10:AM11"/>
    <mergeCell ref="AL10:AL11"/>
    <mergeCell ref="AP10:AP11"/>
    <mergeCell ref="AN10:AN11"/>
    <mergeCell ref="AO10:AO11"/>
  </mergeCells>
  <phoneticPr fontId="25" type="noConversion"/>
  <printOptions horizontalCentered="1"/>
  <pageMargins left="0" right="0" top="0" bottom="0" header="0" footer="0"/>
  <pageSetup paperSize="9" scale="65" orientation="landscape" r:id="rId1"/>
  <headerFooter alignWithMargins="0">
    <oddFooter>Page &amp;P</oddFooter>
  </headerFooter>
  <colBreaks count="1" manualBreakCount="1">
    <brk id="43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92D050"/>
  </sheetPr>
  <dimension ref="A2:BF236"/>
  <sheetViews>
    <sheetView topLeftCell="A153" zoomScale="20" zoomScaleNormal="20" zoomScaleSheetLayoutView="25" zoomScalePageLayoutView="40" workbookViewId="0">
      <selection activeCell="AK160" sqref="AK160"/>
    </sheetView>
  </sheetViews>
  <sheetFormatPr defaultColWidth="5.28515625" defaultRowHeight="15"/>
  <cols>
    <col min="1" max="1" width="17.7109375" style="449" customWidth="1"/>
    <col min="2" max="2" width="15.140625" style="449" customWidth="1"/>
    <col min="3" max="3" width="39.5703125" style="449" customWidth="1"/>
    <col min="4" max="4" width="58.28515625" style="449" customWidth="1"/>
    <col min="5" max="5" width="53.140625" style="449" customWidth="1"/>
    <col min="6" max="13" width="21" style="449" customWidth="1"/>
    <col min="14" max="14" width="27.140625" style="449" customWidth="1"/>
    <col min="15" max="35" width="21" style="449" customWidth="1"/>
    <col min="36" max="36" width="19.28515625" style="449" hidden="1" customWidth="1"/>
    <col min="37" max="37" width="25.85546875" style="449" customWidth="1"/>
    <col min="38" max="38" width="26.7109375" style="449" customWidth="1"/>
    <col min="39" max="39" width="26.28515625" style="449" customWidth="1"/>
    <col min="40" max="40" width="23.28515625" style="449" customWidth="1"/>
    <col min="41" max="41" width="5.28515625" style="448"/>
    <col min="42" max="42" width="14.5703125" style="448" customWidth="1"/>
    <col min="43" max="44" width="5.28515625" style="449"/>
    <col min="45" max="45" width="61.7109375" style="449" customWidth="1"/>
    <col min="46" max="16384" width="5.28515625" style="449"/>
  </cols>
  <sheetData>
    <row r="2" spans="1:58" ht="44.25" customHeight="1">
      <c r="A2" s="1353" t="s">
        <v>54</v>
      </c>
      <c r="B2" s="1353"/>
      <c r="C2" s="1353"/>
      <c r="D2" s="1353"/>
      <c r="E2" s="1353"/>
      <c r="F2" s="1353"/>
      <c r="G2" s="1353"/>
      <c r="H2" s="1353"/>
      <c r="I2" s="1353"/>
      <c r="J2" s="1353"/>
      <c r="K2" s="1353"/>
      <c r="L2" s="1353"/>
      <c r="M2" s="1353"/>
      <c r="N2" s="1353"/>
      <c r="O2" s="1353"/>
      <c r="P2" s="1353"/>
      <c r="Q2" s="1353"/>
      <c r="R2" s="1353"/>
      <c r="S2" s="1353"/>
      <c r="T2" s="1353"/>
      <c r="U2" s="1353"/>
      <c r="V2" s="1353"/>
      <c r="W2" s="1353"/>
      <c r="X2" s="1353"/>
      <c r="Y2" s="1353"/>
      <c r="Z2" s="1353"/>
      <c r="AA2" s="1353"/>
      <c r="AB2" s="1353"/>
      <c r="AC2" s="1353"/>
      <c r="AD2" s="1353"/>
      <c r="AE2" s="1353"/>
      <c r="AF2" s="1353"/>
      <c r="AG2" s="1353"/>
      <c r="AH2" s="1353"/>
      <c r="AI2" s="1353"/>
      <c r="AJ2" s="1353"/>
      <c r="AK2" s="1353"/>
      <c r="AL2" s="1353"/>
      <c r="AM2" s="1353"/>
      <c r="AN2" s="1353"/>
      <c r="AO2" s="449"/>
      <c r="AP2" s="449"/>
    </row>
    <row r="3" spans="1:58" ht="40.5" customHeight="1">
      <c r="A3" s="1353" t="s">
        <v>55</v>
      </c>
      <c r="B3" s="1353"/>
      <c r="C3" s="1353"/>
      <c r="D3" s="1353"/>
      <c r="E3" s="1353"/>
      <c r="F3" s="1353"/>
      <c r="G3" s="1353"/>
      <c r="H3" s="1353"/>
      <c r="I3" s="1353"/>
      <c r="J3" s="1353"/>
      <c r="K3" s="1353"/>
      <c r="L3" s="1353"/>
      <c r="M3" s="1353"/>
      <c r="N3" s="1353"/>
      <c r="O3" s="1353"/>
      <c r="P3" s="1353"/>
      <c r="Q3" s="1353"/>
      <c r="R3" s="1353"/>
      <c r="S3" s="1353"/>
      <c r="T3" s="1353"/>
      <c r="U3" s="1353"/>
      <c r="V3" s="1353"/>
      <c r="W3" s="1353"/>
      <c r="X3" s="1353"/>
      <c r="Y3" s="1353"/>
      <c r="Z3" s="1353"/>
      <c r="AA3" s="1353"/>
      <c r="AB3" s="1353"/>
      <c r="AC3" s="1353"/>
      <c r="AD3" s="1353"/>
      <c r="AE3" s="1353"/>
      <c r="AF3" s="1353"/>
      <c r="AG3" s="1353"/>
      <c r="AH3" s="1353"/>
      <c r="AI3" s="1353"/>
      <c r="AJ3" s="1353"/>
      <c r="AK3" s="1353"/>
      <c r="AL3" s="1353"/>
      <c r="AM3" s="1353"/>
      <c r="AN3" s="1353"/>
      <c r="AO3" s="449"/>
      <c r="AP3" s="449"/>
    </row>
    <row r="4" spans="1:58" ht="40.5" customHeight="1">
      <c r="A4" s="1352" t="s">
        <v>292</v>
      </c>
      <c r="B4" s="1352"/>
      <c r="C4" s="1352"/>
      <c r="D4" s="1352"/>
      <c r="E4" s="1352"/>
      <c r="F4" s="1352"/>
      <c r="G4" s="1352"/>
      <c r="H4" s="1352"/>
      <c r="I4" s="1352"/>
      <c r="J4" s="1352"/>
      <c r="K4" s="1352"/>
      <c r="L4" s="1352"/>
      <c r="M4" s="1352"/>
      <c r="N4" s="1352"/>
      <c r="O4" s="1352"/>
      <c r="P4" s="1352"/>
      <c r="Q4" s="1352"/>
      <c r="R4" s="1352"/>
      <c r="S4" s="1352"/>
      <c r="T4" s="1352"/>
      <c r="U4" s="1352"/>
      <c r="V4" s="1352"/>
      <c r="W4" s="1352"/>
      <c r="X4" s="1352"/>
      <c r="Y4" s="1352"/>
      <c r="Z4" s="1352"/>
      <c r="AA4" s="1352"/>
      <c r="AB4" s="1352"/>
      <c r="AC4" s="1352"/>
      <c r="AD4" s="1352"/>
      <c r="AE4" s="1352"/>
      <c r="AF4" s="1352"/>
      <c r="AG4" s="1352"/>
      <c r="AH4" s="1352"/>
      <c r="AI4" s="1352"/>
      <c r="AJ4" s="1352"/>
      <c r="AK4" s="1352"/>
      <c r="AL4" s="1352"/>
      <c r="AM4" s="1352"/>
      <c r="AN4" s="1352"/>
      <c r="AO4" s="449"/>
      <c r="AP4" s="449"/>
    </row>
    <row r="5" spans="1:58" ht="40.5" customHeight="1">
      <c r="A5" s="1063"/>
      <c r="B5" s="1064"/>
      <c r="C5" s="1064"/>
      <c r="D5" s="1064"/>
      <c r="E5" s="1064"/>
      <c r="F5" s="1064"/>
      <c r="G5" s="1064"/>
      <c r="H5" s="1064"/>
      <c r="I5" s="1064"/>
      <c r="J5" s="1064"/>
      <c r="K5" s="1064"/>
      <c r="L5" s="1064"/>
      <c r="M5" s="1064"/>
      <c r="N5" s="1064"/>
      <c r="O5" s="1064"/>
      <c r="P5" s="1065"/>
      <c r="Q5" s="1065"/>
      <c r="R5" s="1065"/>
      <c r="S5" s="1065"/>
      <c r="T5" s="1065"/>
      <c r="U5" s="1065"/>
      <c r="V5" s="1065"/>
      <c r="W5" s="1065"/>
      <c r="X5" s="1065"/>
      <c r="Y5" s="1065"/>
      <c r="Z5" s="1065"/>
      <c r="AA5" s="1065"/>
      <c r="AB5" s="1065"/>
      <c r="AC5" s="1065"/>
      <c r="AD5" s="1065"/>
      <c r="AE5" s="1065"/>
      <c r="AF5" s="1065"/>
      <c r="AG5" s="1065"/>
      <c r="AH5" s="1065"/>
      <c r="AI5" s="1065"/>
      <c r="AJ5" s="1065"/>
      <c r="AK5" s="1065"/>
      <c r="AL5" s="1065"/>
      <c r="AM5" s="1066"/>
      <c r="AN5" s="1063"/>
      <c r="AO5" s="449"/>
      <c r="AP5" s="449"/>
    </row>
    <row r="6" spans="1:58" ht="40.5" customHeight="1">
      <c r="A6" s="1063"/>
      <c r="B6" s="1353" t="s">
        <v>598</v>
      </c>
      <c r="C6" s="1353"/>
      <c r="D6" s="1353"/>
      <c r="E6" s="1353"/>
      <c r="F6" s="1353"/>
      <c r="G6" s="1353"/>
      <c r="H6" s="1353"/>
      <c r="I6" s="1353"/>
      <c r="J6" s="1353"/>
      <c r="K6" s="1353"/>
      <c r="L6" s="1353"/>
      <c r="M6" s="1353"/>
      <c r="N6" s="1353"/>
      <c r="O6" s="1353"/>
      <c r="P6" s="1353"/>
      <c r="Q6" s="1353"/>
      <c r="R6" s="1353"/>
      <c r="S6" s="1065"/>
      <c r="T6" s="1065"/>
      <c r="U6" s="1065"/>
      <c r="V6" s="1065"/>
      <c r="W6" s="1065"/>
      <c r="X6" s="1065"/>
      <c r="Y6" s="1065"/>
      <c r="Z6" s="1065"/>
      <c r="AA6" s="1065"/>
      <c r="AB6" s="1065"/>
      <c r="AC6" s="1065"/>
      <c r="AD6" s="1065"/>
      <c r="AE6" s="1065"/>
      <c r="AF6" s="1065"/>
      <c r="AG6" s="1065"/>
      <c r="AH6" s="1065"/>
      <c r="AI6" s="1065"/>
      <c r="AJ6" s="1065"/>
      <c r="AK6" s="1065"/>
      <c r="AL6" s="1065"/>
      <c r="AM6" s="1066"/>
      <c r="AN6" s="1063"/>
      <c r="AO6" s="449"/>
      <c r="AP6" s="449"/>
    </row>
    <row r="7" spans="1:58" ht="40.5" customHeight="1">
      <c r="A7" s="1063"/>
      <c r="B7" s="1353" t="s">
        <v>576</v>
      </c>
      <c r="C7" s="1353"/>
      <c r="D7" s="1353"/>
      <c r="E7" s="1353"/>
      <c r="F7" s="1353"/>
      <c r="G7" s="1353"/>
      <c r="H7" s="1353"/>
      <c r="I7" s="1353"/>
      <c r="J7" s="1353"/>
      <c r="K7" s="1353"/>
      <c r="L7" s="1353"/>
      <c r="M7" s="1353"/>
      <c r="N7" s="1353"/>
      <c r="O7" s="1353"/>
      <c r="P7" s="1353"/>
      <c r="Q7" s="1353"/>
      <c r="R7" s="1353"/>
      <c r="S7" s="1065"/>
      <c r="T7" s="1065"/>
      <c r="U7" s="1065"/>
      <c r="V7" s="1065"/>
      <c r="W7" s="1065"/>
      <c r="X7" s="1065"/>
      <c r="Y7" s="1065"/>
      <c r="Z7" s="1065"/>
      <c r="AA7" s="1065"/>
      <c r="AB7" s="1065"/>
      <c r="AC7" s="1065"/>
      <c r="AD7" s="1065"/>
      <c r="AE7" s="1065"/>
      <c r="AF7" s="1065"/>
      <c r="AG7" s="1065"/>
      <c r="AH7" s="1065"/>
      <c r="AI7" s="1065"/>
      <c r="AJ7" s="1065"/>
      <c r="AK7" s="1065"/>
      <c r="AL7" s="1065"/>
      <c r="AM7" s="1066"/>
      <c r="AN7" s="1063"/>
      <c r="AO7" s="449"/>
      <c r="AP7" s="449"/>
    </row>
    <row r="8" spans="1:58" ht="40.5" customHeight="1">
      <c r="A8" s="1063"/>
      <c r="B8" s="1353"/>
      <c r="C8" s="1353"/>
      <c r="D8" s="1353"/>
      <c r="E8" s="1353"/>
      <c r="F8" s="1353"/>
      <c r="G8" s="1353"/>
      <c r="H8" s="1353"/>
      <c r="I8" s="1353"/>
      <c r="J8" s="1353"/>
      <c r="K8" s="1353"/>
      <c r="L8" s="1353"/>
      <c r="M8" s="1353"/>
      <c r="N8" s="1353"/>
      <c r="O8" s="1353"/>
      <c r="P8" s="1353"/>
      <c r="Q8" s="1353"/>
      <c r="R8" s="1353"/>
      <c r="S8" s="1353"/>
      <c r="T8" s="1353"/>
      <c r="U8" s="1353"/>
      <c r="V8" s="1353"/>
      <c r="W8" s="1353"/>
      <c r="X8" s="1353"/>
      <c r="Y8" s="1353"/>
      <c r="Z8" s="1353"/>
      <c r="AA8" s="1353"/>
      <c r="AB8" s="1353"/>
      <c r="AC8" s="1353"/>
      <c r="AD8" s="1353"/>
      <c r="AE8" s="1353"/>
      <c r="AF8" s="1353"/>
      <c r="AG8" s="1353"/>
      <c r="AH8" s="1353"/>
      <c r="AI8" s="1353"/>
      <c r="AJ8" s="1353"/>
      <c r="AK8" s="1353"/>
      <c r="AL8" s="1353"/>
      <c r="AM8" s="1353"/>
      <c r="AN8" s="1063"/>
      <c r="AO8" s="449"/>
      <c r="AP8" s="449"/>
    </row>
    <row r="9" spans="1:58" ht="119.45" customHeight="1">
      <c r="A9" s="1354" t="s">
        <v>824</v>
      </c>
      <c r="B9" s="1354"/>
      <c r="C9" s="1354"/>
      <c r="D9" s="1354"/>
      <c r="E9" s="1354"/>
      <c r="F9" s="1354"/>
      <c r="G9" s="1354"/>
      <c r="H9" s="1354"/>
      <c r="I9" s="1354"/>
      <c r="J9" s="1354"/>
      <c r="K9" s="1354"/>
      <c r="L9" s="1354"/>
      <c r="M9" s="1354"/>
      <c r="N9" s="1354"/>
      <c r="O9" s="1354"/>
      <c r="P9" s="1354"/>
      <c r="Q9" s="1354"/>
      <c r="R9" s="1354"/>
      <c r="S9" s="1354"/>
      <c r="T9" s="1354"/>
      <c r="U9" s="1354"/>
      <c r="V9" s="1354"/>
      <c r="W9" s="1354"/>
      <c r="X9" s="1354"/>
      <c r="Y9" s="1354"/>
      <c r="Z9" s="1354"/>
      <c r="AA9" s="1354"/>
      <c r="AB9" s="1354"/>
      <c r="AC9" s="1354"/>
      <c r="AD9" s="1354"/>
      <c r="AE9" s="1354"/>
      <c r="AF9" s="1354"/>
      <c r="AG9" s="1354"/>
      <c r="AH9" s="1354"/>
      <c r="AI9" s="1354"/>
      <c r="AJ9" s="1354"/>
      <c r="AK9" s="1354"/>
      <c r="AL9" s="1354"/>
      <c r="AM9" s="1354"/>
      <c r="AN9" s="1354"/>
      <c r="AO9" s="449"/>
      <c r="AP9" s="449"/>
    </row>
    <row r="10" spans="1:58" ht="101.45" customHeight="1">
      <c r="A10" s="1355" t="s">
        <v>577</v>
      </c>
      <c r="B10" s="1355"/>
      <c r="C10" s="1355"/>
      <c r="D10" s="1355"/>
      <c r="E10" s="1355"/>
      <c r="F10" s="1355"/>
      <c r="G10" s="1355"/>
      <c r="H10" s="1355"/>
      <c r="I10" s="1355"/>
      <c r="J10" s="1355"/>
      <c r="K10" s="1355"/>
      <c r="L10" s="1355"/>
      <c r="M10" s="1355"/>
      <c r="N10" s="1355"/>
      <c r="O10" s="1355"/>
      <c r="P10" s="1355"/>
      <c r="Q10" s="1355"/>
      <c r="R10" s="1355"/>
      <c r="S10" s="1355"/>
      <c r="T10" s="1355"/>
      <c r="U10" s="1355"/>
      <c r="V10" s="1355"/>
      <c r="W10" s="1355"/>
      <c r="X10" s="1355"/>
      <c r="Y10" s="1355"/>
      <c r="Z10" s="1355"/>
      <c r="AA10" s="1355"/>
      <c r="AB10" s="1355"/>
      <c r="AC10" s="1355"/>
      <c r="AD10" s="1355"/>
      <c r="AE10" s="1355"/>
      <c r="AF10" s="1355"/>
      <c r="AG10" s="1355"/>
      <c r="AH10" s="1355"/>
      <c r="AI10" s="1355"/>
      <c r="AJ10" s="1355"/>
      <c r="AK10" s="1355"/>
      <c r="AL10" s="1355"/>
      <c r="AM10" s="1355"/>
      <c r="AN10" s="1355"/>
      <c r="AO10" s="449"/>
      <c r="AP10" s="449"/>
    </row>
    <row r="11" spans="1:58" ht="16.5" customHeight="1">
      <c r="A11" s="466"/>
      <c r="B11" s="467"/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7"/>
      <c r="O11" s="467"/>
      <c r="P11" s="468"/>
      <c r="Q11" s="468"/>
      <c r="R11" s="468"/>
      <c r="S11" s="468"/>
      <c r="T11" s="468"/>
      <c r="U11" s="468"/>
      <c r="V11" s="468"/>
      <c r="W11" s="468"/>
      <c r="X11" s="468"/>
      <c r="Y11" s="468"/>
      <c r="Z11" s="468"/>
      <c r="AA11" s="468"/>
      <c r="AB11" s="468"/>
      <c r="AC11" s="468"/>
      <c r="AD11" s="468"/>
      <c r="AE11" s="468"/>
      <c r="AF11" s="468"/>
      <c r="AG11" s="468"/>
      <c r="AH11" s="468"/>
      <c r="AI11" s="468"/>
      <c r="AJ11" s="468"/>
      <c r="AK11" s="468"/>
      <c r="AL11" s="468"/>
      <c r="AM11" s="469"/>
      <c r="AN11" s="466"/>
      <c r="AO11" s="449"/>
      <c r="AP11" s="449"/>
    </row>
    <row r="12" spans="1:58" ht="36.75" customHeight="1">
      <c r="B12" s="451"/>
      <c r="C12" s="451"/>
      <c r="D12" s="451"/>
      <c r="E12" s="451"/>
      <c r="F12" s="451"/>
      <c r="G12" s="451"/>
      <c r="H12" s="451"/>
      <c r="I12" s="451"/>
      <c r="J12" s="451"/>
      <c r="K12" s="451"/>
      <c r="L12" s="451"/>
      <c r="M12" s="451"/>
      <c r="N12" s="451"/>
      <c r="O12" s="451"/>
      <c r="P12" s="451"/>
      <c r="Q12" s="451"/>
      <c r="R12" s="451"/>
      <c r="S12" s="451"/>
      <c r="T12" s="451"/>
      <c r="U12" s="451"/>
      <c r="V12" s="451"/>
      <c r="W12" s="451"/>
      <c r="X12" s="451"/>
      <c r="Y12" s="451"/>
      <c r="Z12" s="451"/>
      <c r="AA12" s="451"/>
      <c r="AB12" s="451"/>
      <c r="AC12" s="451"/>
      <c r="AD12" s="451"/>
      <c r="AE12" s="451"/>
      <c r="AF12" s="451"/>
      <c r="AG12" s="451"/>
      <c r="AH12" s="451"/>
      <c r="AI12" s="451"/>
      <c r="AJ12" s="451"/>
      <c r="AK12" s="1357"/>
      <c r="AL12" s="1357"/>
      <c r="AM12" s="531"/>
      <c r="AN12" s="530"/>
      <c r="AO12" s="449"/>
      <c r="AP12" s="449"/>
    </row>
    <row r="13" spans="1:58" ht="81.599999999999994" customHeight="1">
      <c r="A13" s="1356" t="s">
        <v>14</v>
      </c>
      <c r="B13" s="1356"/>
      <c r="C13" s="1356" t="s">
        <v>402</v>
      </c>
      <c r="D13" s="1356" t="s">
        <v>15</v>
      </c>
      <c r="E13" s="1356" t="s">
        <v>395</v>
      </c>
      <c r="F13" s="1356" t="s">
        <v>52</v>
      </c>
      <c r="G13" s="1356"/>
      <c r="H13" s="1356"/>
      <c r="I13" s="1356"/>
      <c r="J13" s="1356"/>
      <c r="K13" s="1356"/>
      <c r="L13" s="1356"/>
      <c r="M13" s="1356"/>
      <c r="N13" s="1356"/>
      <c r="O13" s="1356"/>
      <c r="P13" s="1356"/>
      <c r="Q13" s="1356"/>
      <c r="R13" s="1356"/>
      <c r="S13" s="1356"/>
      <c r="T13" s="1356"/>
      <c r="U13" s="1356"/>
      <c r="V13" s="1356"/>
      <c r="W13" s="1356"/>
      <c r="X13" s="1356"/>
      <c r="Y13" s="1356"/>
      <c r="Z13" s="1356"/>
      <c r="AA13" s="1356"/>
      <c r="AB13" s="1356"/>
      <c r="AC13" s="1356"/>
      <c r="AD13" s="1356"/>
      <c r="AE13" s="1356"/>
      <c r="AF13" s="1356"/>
      <c r="AG13" s="1356"/>
      <c r="AH13" s="1356"/>
      <c r="AI13" s="1356"/>
      <c r="AJ13" s="1356"/>
      <c r="AK13" s="1358" t="s">
        <v>279</v>
      </c>
      <c r="AL13" s="1358" t="s">
        <v>413</v>
      </c>
      <c r="AM13" s="1358" t="s">
        <v>133</v>
      </c>
      <c r="AN13" s="1358" t="s">
        <v>388</v>
      </c>
      <c r="AO13" s="449"/>
      <c r="AP13" s="449"/>
    </row>
    <row r="14" spans="1:58" ht="105" customHeight="1">
      <c r="A14" s="1356"/>
      <c r="B14" s="1356"/>
      <c r="C14" s="1356"/>
      <c r="D14" s="1356"/>
      <c r="E14" s="1356"/>
      <c r="F14" s="783">
        <v>1</v>
      </c>
      <c r="G14" s="783">
        <v>2</v>
      </c>
      <c r="H14" s="783">
        <v>3</v>
      </c>
      <c r="I14" s="783">
        <v>4</v>
      </c>
      <c r="J14" s="783">
        <v>5</v>
      </c>
      <c r="K14" s="783">
        <v>6</v>
      </c>
      <c r="L14" s="783">
        <v>7</v>
      </c>
      <c r="M14" s="783">
        <v>8</v>
      </c>
      <c r="N14" s="783">
        <v>9</v>
      </c>
      <c r="O14" s="783">
        <v>10</v>
      </c>
      <c r="P14" s="783">
        <v>11</v>
      </c>
      <c r="Q14" s="783">
        <v>12</v>
      </c>
      <c r="R14" s="783">
        <v>13</v>
      </c>
      <c r="S14" s="783">
        <v>14</v>
      </c>
      <c r="T14" s="783">
        <v>15</v>
      </c>
      <c r="U14" s="783">
        <v>16</v>
      </c>
      <c r="V14" s="783">
        <v>17</v>
      </c>
      <c r="W14" s="783">
        <v>18</v>
      </c>
      <c r="X14" s="783">
        <v>19</v>
      </c>
      <c r="Y14" s="783">
        <v>20</v>
      </c>
      <c r="Z14" s="783">
        <v>21</v>
      </c>
      <c r="AA14" s="783">
        <v>22</v>
      </c>
      <c r="AB14" s="783">
        <v>23</v>
      </c>
      <c r="AC14" s="783">
        <v>24</v>
      </c>
      <c r="AD14" s="783">
        <v>25</v>
      </c>
      <c r="AE14" s="783">
        <v>26</v>
      </c>
      <c r="AF14" s="783">
        <v>27</v>
      </c>
      <c r="AG14" s="783">
        <v>28</v>
      </c>
      <c r="AH14" s="783">
        <v>29</v>
      </c>
      <c r="AI14" s="783">
        <v>30</v>
      </c>
      <c r="AJ14" s="783">
        <v>31</v>
      </c>
      <c r="AK14" s="1358"/>
      <c r="AL14" s="1358"/>
      <c r="AM14" s="1358"/>
      <c r="AN14" s="1358"/>
      <c r="AO14" s="449"/>
      <c r="AP14" s="1345" t="s">
        <v>413</v>
      </c>
    </row>
    <row r="15" spans="1:58" ht="60" customHeight="1">
      <c r="A15" s="1389" t="s">
        <v>634</v>
      </c>
      <c r="B15" s="1389"/>
      <c r="C15" s="1389"/>
      <c r="D15" s="1389"/>
      <c r="E15" s="1389"/>
      <c r="F15" s="788" t="s">
        <v>450</v>
      </c>
      <c r="G15" s="788" t="s">
        <v>47</v>
      </c>
      <c r="H15" s="788" t="s">
        <v>38</v>
      </c>
      <c r="I15" s="788" t="s">
        <v>46</v>
      </c>
      <c r="J15" s="788" t="s">
        <v>450</v>
      </c>
      <c r="K15" s="788" t="s">
        <v>47</v>
      </c>
      <c r="L15" s="788" t="s">
        <v>38</v>
      </c>
      <c r="M15" s="788" t="s">
        <v>46</v>
      </c>
      <c r="N15" s="788" t="s">
        <v>450</v>
      </c>
      <c r="O15" s="788" t="s">
        <v>47</v>
      </c>
      <c r="P15" s="788" t="s">
        <v>38</v>
      </c>
      <c r="Q15" s="788" t="s">
        <v>46</v>
      </c>
      <c r="R15" s="788" t="s">
        <v>450</v>
      </c>
      <c r="S15" s="788" t="s">
        <v>47</v>
      </c>
      <c r="T15" s="788" t="s">
        <v>38</v>
      </c>
      <c r="U15" s="788" t="s">
        <v>46</v>
      </c>
      <c r="V15" s="788" t="s">
        <v>450</v>
      </c>
      <c r="W15" s="788" t="s">
        <v>47</v>
      </c>
      <c r="X15" s="788" t="s">
        <v>38</v>
      </c>
      <c r="Y15" s="788" t="s">
        <v>46</v>
      </c>
      <c r="Z15" s="788" t="s">
        <v>450</v>
      </c>
      <c r="AA15" s="788" t="s">
        <v>47</v>
      </c>
      <c r="AB15" s="788" t="s">
        <v>38</v>
      </c>
      <c r="AC15" s="788" t="s">
        <v>46</v>
      </c>
      <c r="AD15" s="788" t="s">
        <v>450</v>
      </c>
      <c r="AE15" s="788" t="s">
        <v>47</v>
      </c>
      <c r="AF15" s="788" t="s">
        <v>38</v>
      </c>
      <c r="AG15" s="788" t="s">
        <v>46</v>
      </c>
      <c r="AH15" s="788" t="s">
        <v>450</v>
      </c>
      <c r="AI15" s="788" t="s">
        <v>47</v>
      </c>
      <c r="AJ15" s="795"/>
      <c r="AK15" s="795"/>
      <c r="AL15" s="795"/>
      <c r="AM15" s="795"/>
      <c r="AN15" s="795"/>
      <c r="AO15" s="449"/>
      <c r="AP15" s="1345"/>
      <c r="AS15" s="466"/>
      <c r="AT15" s="466"/>
      <c r="AU15" s="466"/>
      <c r="AV15" s="466"/>
      <c r="AW15" s="466"/>
      <c r="AX15" s="466"/>
      <c r="AY15" s="466"/>
      <c r="AZ15" s="466"/>
      <c r="BA15" s="466"/>
      <c r="BB15" s="466"/>
      <c r="BC15" s="466"/>
      <c r="BD15" s="466"/>
      <c r="BE15" s="466"/>
      <c r="BF15" s="466"/>
    </row>
    <row r="16" spans="1:58" s="450" customFormat="1" ht="41.25" customHeight="1">
      <c r="A16" s="1356" t="s">
        <v>579</v>
      </c>
      <c r="B16" s="1356"/>
      <c r="C16" s="1356"/>
      <c r="D16" s="1356"/>
      <c r="E16" s="783"/>
      <c r="F16" s="1099">
        <f t="shared" ref="F16:AH16" si="0">SUM(F17:F97)</f>
        <v>3836</v>
      </c>
      <c r="G16" s="1099">
        <f t="shared" si="0"/>
        <v>3892</v>
      </c>
      <c r="H16" s="1099">
        <f t="shared" si="0"/>
        <v>4476</v>
      </c>
      <c r="I16" s="1099">
        <f t="shared" si="0"/>
        <v>4305</v>
      </c>
      <c r="J16" s="1099">
        <f t="shared" si="0"/>
        <v>4164</v>
      </c>
      <c r="K16" s="1099">
        <f t="shared" si="0"/>
        <v>4839</v>
      </c>
      <c r="L16" s="1099">
        <f t="shared" si="0"/>
        <v>9907</v>
      </c>
      <c r="M16" s="1099">
        <f t="shared" si="0"/>
        <v>9612</v>
      </c>
      <c r="N16" s="1099">
        <f t="shared" si="0"/>
        <v>9212</v>
      </c>
      <c r="O16" s="1099">
        <f t="shared" si="0"/>
        <v>8093</v>
      </c>
      <c r="P16" s="1099">
        <f t="shared" si="0"/>
        <v>8470</v>
      </c>
      <c r="Q16" s="1099">
        <f t="shared" si="0"/>
        <v>5671</v>
      </c>
      <c r="R16" s="1099">
        <f t="shared" si="0"/>
        <v>5152</v>
      </c>
      <c r="S16" s="1099">
        <f t="shared" si="0"/>
        <v>4732</v>
      </c>
      <c r="T16" s="1099">
        <f t="shared" si="0"/>
        <v>0</v>
      </c>
      <c r="U16" s="1099">
        <f t="shared" si="0"/>
        <v>772</v>
      </c>
      <c r="V16" s="1099">
        <f t="shared" si="0"/>
        <v>5331</v>
      </c>
      <c r="W16" s="1099">
        <f t="shared" si="0"/>
        <v>4013</v>
      </c>
      <c r="X16" s="1099">
        <f t="shared" si="0"/>
        <v>4325</v>
      </c>
      <c r="Y16" s="1099">
        <f t="shared" si="0"/>
        <v>4969</v>
      </c>
      <c r="Z16" s="1099">
        <f t="shared" si="0"/>
        <v>6087</v>
      </c>
      <c r="AA16" s="1099">
        <f t="shared" si="0"/>
        <v>7710</v>
      </c>
      <c r="AB16" s="1099">
        <f t="shared" si="0"/>
        <v>6672</v>
      </c>
      <c r="AC16" s="1099">
        <f t="shared" si="0"/>
        <v>6376</v>
      </c>
      <c r="AD16" s="1099">
        <f t="shared" si="0"/>
        <v>6527</v>
      </c>
      <c r="AE16" s="1099">
        <f t="shared" si="0"/>
        <v>5735</v>
      </c>
      <c r="AF16" s="1099">
        <f t="shared" si="0"/>
        <v>5406</v>
      </c>
      <c r="AG16" s="1099">
        <f t="shared" si="0"/>
        <v>6186</v>
      </c>
      <c r="AH16" s="1099">
        <f t="shared" si="0"/>
        <v>6251</v>
      </c>
      <c r="AI16" s="1099">
        <f>SUM(AI17:AI97)</f>
        <v>6190</v>
      </c>
      <c r="AJ16" s="1082">
        <f t="shared" ref="AJ16" si="1">SUM(AJ17:AJ97)</f>
        <v>0</v>
      </c>
      <c r="AK16" s="1099">
        <f>SUM(AK17:AK97)</f>
        <v>168911</v>
      </c>
      <c r="AL16" s="1099"/>
      <c r="AM16" s="1099">
        <f>SUM(AM17:AM97)</f>
        <v>78326.587</v>
      </c>
      <c r="AN16" s="800"/>
      <c r="AS16" s="469"/>
      <c r="AT16" s="469"/>
      <c r="AU16" s="469"/>
      <c r="AV16" s="469"/>
      <c r="AW16" s="469"/>
      <c r="AX16" s="469"/>
      <c r="AY16" s="469"/>
      <c r="AZ16" s="469"/>
      <c r="BA16" s="469"/>
      <c r="BB16" s="469"/>
      <c r="BC16" s="469"/>
      <c r="BD16" s="469"/>
      <c r="BE16" s="469"/>
      <c r="BF16" s="469"/>
    </row>
    <row r="17" spans="1:58" ht="54" customHeight="1">
      <c r="A17" s="788">
        <v>1</v>
      </c>
      <c r="B17" s="788">
        <v>1</v>
      </c>
      <c r="C17" s="788" t="str">
        <f>'Chấm công KT'!C13</f>
        <v>03456</v>
      </c>
      <c r="D17" s="795" t="str">
        <f>'Chấm công KT'!D13</f>
        <v>T. Vôn</v>
      </c>
      <c r="E17" s="795"/>
      <c r="F17" s="1067">
        <v>39</v>
      </c>
      <c r="G17" s="1067">
        <v>58</v>
      </c>
      <c r="H17" s="1067">
        <v>44</v>
      </c>
      <c r="I17" s="1067">
        <v>51</v>
      </c>
      <c r="J17" s="1067">
        <v>49</v>
      </c>
      <c r="K17" s="1067">
        <v>46</v>
      </c>
      <c r="L17" s="1067">
        <v>90</v>
      </c>
      <c r="M17" s="1067">
        <v>79</v>
      </c>
      <c r="N17" s="1067">
        <v>98</v>
      </c>
      <c r="O17" s="1067">
        <v>94</v>
      </c>
      <c r="P17" s="1067">
        <v>67</v>
      </c>
      <c r="Q17" s="1067">
        <v>0</v>
      </c>
      <c r="R17" s="1067">
        <v>0</v>
      </c>
      <c r="S17" s="1067">
        <v>0</v>
      </c>
      <c r="T17" s="1067">
        <v>0</v>
      </c>
      <c r="U17" s="1067">
        <v>0</v>
      </c>
      <c r="V17" s="1067">
        <v>0</v>
      </c>
      <c r="W17" s="1067">
        <v>0</v>
      </c>
      <c r="X17" s="1067">
        <v>0</v>
      </c>
      <c r="Y17" s="1067">
        <v>60</v>
      </c>
      <c r="Z17" s="1067">
        <v>176</v>
      </c>
      <c r="AA17" s="1067">
        <v>100</v>
      </c>
      <c r="AB17" s="1067">
        <v>84</v>
      </c>
      <c r="AC17" s="1067">
        <v>0</v>
      </c>
      <c r="AD17" s="1067">
        <v>0</v>
      </c>
      <c r="AE17" s="1067">
        <v>0</v>
      </c>
      <c r="AF17" s="1067">
        <v>0</v>
      </c>
      <c r="AG17" s="1067">
        <v>0</v>
      </c>
      <c r="AH17" s="1067">
        <v>0</v>
      </c>
      <c r="AI17" s="1067">
        <v>0</v>
      </c>
      <c r="AJ17" s="1068"/>
      <c r="AK17" s="1069">
        <f>SUM(F17:AJ17)</f>
        <v>1135</v>
      </c>
      <c r="AL17" s="1092">
        <v>46.37151340054821</v>
      </c>
      <c r="AM17" s="1070">
        <f t="shared" ref="AM17:AM48" si="2">AK17*AL17/100</f>
        <v>526.31667709622218</v>
      </c>
      <c r="AN17" s="1071" t="s">
        <v>46</v>
      </c>
      <c r="AO17" s="449"/>
      <c r="AP17" s="449"/>
      <c r="AS17" s="955">
        <f>AM16/15*100</f>
        <v>522177.24666666664</v>
      </c>
      <c r="AT17" s="466"/>
      <c r="AU17" s="466"/>
      <c r="AV17" s="466"/>
      <c r="AW17" s="466"/>
      <c r="AX17" s="466"/>
      <c r="AY17" s="466"/>
      <c r="AZ17" s="466"/>
      <c r="BA17" s="466"/>
      <c r="BB17" s="466"/>
      <c r="BC17" s="466"/>
      <c r="BD17" s="466"/>
      <c r="BE17" s="466"/>
      <c r="BF17" s="466"/>
    </row>
    <row r="18" spans="1:58" ht="54" customHeight="1">
      <c r="A18" s="788">
        <v>2</v>
      </c>
      <c r="B18" s="788">
        <v>2</v>
      </c>
      <c r="C18" s="788" t="str">
        <f>'Chấm công KT'!C14</f>
        <v>04052</v>
      </c>
      <c r="D18" s="795" t="str">
        <f>'Chấm công KT'!D14</f>
        <v>T. Feng</v>
      </c>
      <c r="E18" s="795"/>
      <c r="F18" s="1067">
        <v>65</v>
      </c>
      <c r="G18" s="1067">
        <v>53</v>
      </c>
      <c r="H18" s="1067">
        <v>62</v>
      </c>
      <c r="I18" s="1067">
        <v>20</v>
      </c>
      <c r="J18" s="1067">
        <v>28</v>
      </c>
      <c r="K18" s="1067">
        <v>50</v>
      </c>
      <c r="L18" s="1067">
        <v>124</v>
      </c>
      <c r="M18" s="1067">
        <v>93</v>
      </c>
      <c r="N18" s="1067">
        <v>90</v>
      </c>
      <c r="O18" s="1067">
        <v>99</v>
      </c>
      <c r="P18" s="1067">
        <v>97</v>
      </c>
      <c r="Q18" s="1067">
        <v>87</v>
      </c>
      <c r="R18" s="1067">
        <v>81</v>
      </c>
      <c r="S18" s="1067">
        <v>108</v>
      </c>
      <c r="T18" s="1067">
        <v>0</v>
      </c>
      <c r="U18" s="1067">
        <v>0</v>
      </c>
      <c r="V18" s="1067">
        <v>96</v>
      </c>
      <c r="W18" s="1067">
        <v>82</v>
      </c>
      <c r="X18" s="1067">
        <v>90</v>
      </c>
      <c r="Y18" s="1067">
        <v>63</v>
      </c>
      <c r="Z18" s="1067">
        <v>70</v>
      </c>
      <c r="AA18" s="1067">
        <v>85</v>
      </c>
      <c r="AB18" s="1067">
        <v>94</v>
      </c>
      <c r="AC18" s="1067">
        <v>75</v>
      </c>
      <c r="AD18" s="1067">
        <v>75</v>
      </c>
      <c r="AE18" s="1067">
        <v>83</v>
      </c>
      <c r="AF18" s="1067">
        <v>85</v>
      </c>
      <c r="AG18" s="1067">
        <v>0</v>
      </c>
      <c r="AH18" s="1067">
        <v>0</v>
      </c>
      <c r="AI18" s="1067">
        <v>0</v>
      </c>
      <c r="AJ18" s="1068"/>
      <c r="AK18" s="1069">
        <f t="shared" ref="AK18:AK81" si="3">SUM(F18:AJ18)</f>
        <v>1955</v>
      </c>
      <c r="AL18" s="1092">
        <v>46.37151340054821</v>
      </c>
      <c r="AM18" s="1070">
        <f t="shared" si="2"/>
        <v>906.56308698071746</v>
      </c>
      <c r="AN18" s="1071" t="s">
        <v>38</v>
      </c>
      <c r="AO18" s="449"/>
      <c r="AP18" s="449"/>
      <c r="AS18" s="466"/>
      <c r="AT18" s="466"/>
      <c r="AU18" s="466"/>
      <c r="AV18" s="466"/>
      <c r="AW18" s="466"/>
      <c r="AX18" s="466"/>
      <c r="AY18" s="466"/>
      <c r="AZ18" s="466"/>
      <c r="BA18" s="466"/>
      <c r="BB18" s="466"/>
      <c r="BC18" s="466"/>
      <c r="BD18" s="466"/>
      <c r="BE18" s="466"/>
      <c r="BF18" s="466"/>
    </row>
    <row r="19" spans="1:58" ht="54" customHeight="1">
      <c r="A19" s="788">
        <v>3</v>
      </c>
      <c r="B19" s="788">
        <v>3</v>
      </c>
      <c r="C19" s="788" t="str">
        <f>'Chấm công KT'!C15</f>
        <v>02725</v>
      </c>
      <c r="D19" s="795" t="str">
        <f>'Chấm công KT'!D15</f>
        <v>T. Sa Văn</v>
      </c>
      <c r="E19" s="795"/>
      <c r="F19" s="1067">
        <v>75</v>
      </c>
      <c r="G19" s="1067">
        <v>0</v>
      </c>
      <c r="H19" s="1067">
        <v>61</v>
      </c>
      <c r="I19" s="1067">
        <v>0</v>
      </c>
      <c r="J19" s="1067">
        <v>53</v>
      </c>
      <c r="K19" s="1067">
        <v>70</v>
      </c>
      <c r="L19" s="1067">
        <v>141</v>
      </c>
      <c r="M19" s="1067">
        <v>174</v>
      </c>
      <c r="N19" s="1067">
        <v>147</v>
      </c>
      <c r="O19" s="1067">
        <v>100</v>
      </c>
      <c r="P19" s="1067">
        <v>156</v>
      </c>
      <c r="Q19" s="1067">
        <v>93</v>
      </c>
      <c r="R19" s="1067">
        <v>89</v>
      </c>
      <c r="S19" s="1067">
        <v>0</v>
      </c>
      <c r="T19" s="1067">
        <v>0</v>
      </c>
      <c r="U19" s="1067">
        <v>0</v>
      </c>
      <c r="V19" s="1067">
        <v>0</v>
      </c>
      <c r="W19" s="1067">
        <v>0</v>
      </c>
      <c r="X19" s="1067">
        <v>0</v>
      </c>
      <c r="Y19" s="1067">
        <v>0</v>
      </c>
      <c r="Z19" s="1067">
        <v>0</v>
      </c>
      <c r="AA19" s="1067">
        <v>0</v>
      </c>
      <c r="AB19" s="1067">
        <v>0</v>
      </c>
      <c r="AC19" s="1067">
        <v>142</v>
      </c>
      <c r="AD19" s="1067">
        <v>165</v>
      </c>
      <c r="AE19" s="1067">
        <v>134</v>
      </c>
      <c r="AF19" s="1067">
        <v>71</v>
      </c>
      <c r="AG19" s="1067">
        <v>96</v>
      </c>
      <c r="AH19" s="1067">
        <v>50</v>
      </c>
      <c r="AI19" s="1067">
        <v>86</v>
      </c>
      <c r="AJ19" s="1068"/>
      <c r="AK19" s="1069">
        <f t="shared" si="3"/>
        <v>1903</v>
      </c>
      <c r="AL19" s="1092">
        <v>46.37151340054821</v>
      </c>
      <c r="AM19" s="1070">
        <f t="shared" si="2"/>
        <v>882.44990001243252</v>
      </c>
      <c r="AN19" s="1071" t="s">
        <v>38</v>
      </c>
      <c r="AO19" s="449"/>
      <c r="AP19" s="449"/>
      <c r="AS19" s="466"/>
      <c r="AT19" s="466"/>
      <c r="AU19" s="466"/>
      <c r="AV19" s="466"/>
      <c r="AW19" s="466"/>
      <c r="AX19" s="466"/>
      <c r="AY19" s="466"/>
      <c r="AZ19" s="466"/>
      <c r="BA19" s="466"/>
      <c r="BB19" s="466"/>
      <c r="BC19" s="466"/>
      <c r="BD19" s="466"/>
      <c r="BE19" s="466"/>
      <c r="BF19" s="466"/>
    </row>
    <row r="20" spans="1:58" ht="54" customHeight="1">
      <c r="A20" s="788">
        <v>4</v>
      </c>
      <c r="B20" s="788">
        <v>4</v>
      </c>
      <c r="C20" s="788" t="str">
        <f>'Chấm công KT'!C16</f>
        <v>04053</v>
      </c>
      <c r="D20" s="795" t="str">
        <f>'Chấm công KT'!D16</f>
        <v>Lăm Ma Thu</v>
      </c>
      <c r="E20" s="795"/>
      <c r="F20" s="1067">
        <v>61</v>
      </c>
      <c r="G20" s="1067">
        <v>41</v>
      </c>
      <c r="H20" s="1067">
        <v>54</v>
      </c>
      <c r="I20" s="1067">
        <v>62</v>
      </c>
      <c r="J20" s="1067">
        <v>48</v>
      </c>
      <c r="K20" s="1067">
        <v>40</v>
      </c>
      <c r="L20" s="1067">
        <v>125</v>
      </c>
      <c r="M20" s="1067">
        <v>190</v>
      </c>
      <c r="N20" s="1067">
        <v>127</v>
      </c>
      <c r="O20" s="1067">
        <v>100</v>
      </c>
      <c r="P20" s="1067">
        <v>103</v>
      </c>
      <c r="Q20" s="1067">
        <v>139</v>
      </c>
      <c r="R20" s="1067">
        <v>134</v>
      </c>
      <c r="S20" s="1067">
        <v>73</v>
      </c>
      <c r="T20" s="1067">
        <v>0</v>
      </c>
      <c r="U20" s="1067">
        <v>0</v>
      </c>
      <c r="V20" s="1067">
        <v>0</v>
      </c>
      <c r="W20" s="1067">
        <v>0</v>
      </c>
      <c r="X20" s="1067">
        <v>0</v>
      </c>
      <c r="Y20" s="1067">
        <v>40</v>
      </c>
      <c r="Z20" s="1067">
        <v>137</v>
      </c>
      <c r="AA20" s="1067">
        <v>125</v>
      </c>
      <c r="AB20" s="1067">
        <v>0</v>
      </c>
      <c r="AC20" s="1067">
        <v>64</v>
      </c>
      <c r="AD20" s="1067">
        <v>55</v>
      </c>
      <c r="AE20" s="1067">
        <v>0</v>
      </c>
      <c r="AF20" s="1067">
        <v>142</v>
      </c>
      <c r="AG20" s="1067">
        <v>93</v>
      </c>
      <c r="AH20" s="1067">
        <v>106</v>
      </c>
      <c r="AI20" s="1067">
        <v>86</v>
      </c>
      <c r="AJ20" s="1068"/>
      <c r="AK20" s="1069">
        <f t="shared" si="3"/>
        <v>2145</v>
      </c>
      <c r="AL20" s="1092">
        <v>46.37151340054821</v>
      </c>
      <c r="AM20" s="1070">
        <f t="shared" si="2"/>
        <v>994.66896244175905</v>
      </c>
      <c r="AN20" s="1071" t="s">
        <v>46</v>
      </c>
      <c r="AO20" s="449"/>
      <c r="AP20" s="449"/>
      <c r="AS20" s="466"/>
      <c r="AT20" s="466"/>
      <c r="AU20" s="466"/>
      <c r="AV20" s="466"/>
      <c r="AW20" s="466"/>
      <c r="AX20" s="466"/>
      <c r="AY20" s="466"/>
      <c r="AZ20" s="466"/>
      <c r="BA20" s="466"/>
      <c r="BB20" s="466"/>
      <c r="BC20" s="466"/>
      <c r="BD20" s="466"/>
      <c r="BE20" s="466"/>
      <c r="BF20" s="466"/>
    </row>
    <row r="21" spans="1:58" ht="54" customHeight="1">
      <c r="A21" s="788">
        <v>5</v>
      </c>
      <c r="B21" s="788">
        <v>5</v>
      </c>
      <c r="C21" s="788" t="str">
        <f>'Chấm công KT'!C17</f>
        <v>03459</v>
      </c>
      <c r="D21" s="795" t="str">
        <f>'Chấm công KT'!D17</f>
        <v>N. Vạt</v>
      </c>
      <c r="E21" s="795"/>
      <c r="F21" s="1067">
        <v>60</v>
      </c>
      <c r="G21" s="1067">
        <v>96</v>
      </c>
      <c r="H21" s="1067">
        <v>72</v>
      </c>
      <c r="I21" s="1067">
        <v>52</v>
      </c>
      <c r="J21" s="1067">
        <v>49</v>
      </c>
      <c r="K21" s="1067">
        <v>84</v>
      </c>
      <c r="L21" s="1067">
        <v>159</v>
      </c>
      <c r="M21" s="1067">
        <v>0</v>
      </c>
      <c r="N21" s="1067">
        <v>147</v>
      </c>
      <c r="O21" s="1067">
        <v>0</v>
      </c>
      <c r="P21" s="1067">
        <v>104</v>
      </c>
      <c r="Q21" s="1067">
        <v>0</v>
      </c>
      <c r="R21" s="1067">
        <v>0</v>
      </c>
      <c r="S21" s="1067">
        <v>0</v>
      </c>
      <c r="T21" s="1067">
        <v>0</v>
      </c>
      <c r="U21" s="1067">
        <v>0</v>
      </c>
      <c r="V21" s="1067">
        <v>0</v>
      </c>
      <c r="W21" s="1067">
        <v>0</v>
      </c>
      <c r="X21" s="1067">
        <v>85</v>
      </c>
      <c r="Y21" s="1067">
        <v>90</v>
      </c>
      <c r="Z21" s="1067">
        <v>49</v>
      </c>
      <c r="AA21" s="1067">
        <v>176</v>
      </c>
      <c r="AB21" s="1067">
        <v>100</v>
      </c>
      <c r="AC21" s="1067">
        <v>81</v>
      </c>
      <c r="AD21" s="1067">
        <v>90</v>
      </c>
      <c r="AE21" s="1067">
        <v>139</v>
      </c>
      <c r="AF21" s="1067">
        <v>89</v>
      </c>
      <c r="AG21" s="1067">
        <v>54</v>
      </c>
      <c r="AH21" s="1067">
        <v>85</v>
      </c>
      <c r="AI21" s="1067">
        <v>154</v>
      </c>
      <c r="AJ21" s="1068"/>
      <c r="AK21" s="1069">
        <f t="shared" si="3"/>
        <v>2015</v>
      </c>
      <c r="AL21" s="1092">
        <v>46.37151340054821</v>
      </c>
      <c r="AM21" s="1070">
        <f t="shared" si="2"/>
        <v>934.38599502104637</v>
      </c>
      <c r="AN21" s="1071" t="s">
        <v>38</v>
      </c>
      <c r="AO21" s="449"/>
      <c r="AP21" s="449"/>
      <c r="AS21" s="466"/>
      <c r="AT21" s="466"/>
      <c r="AU21" s="466"/>
      <c r="AV21" s="466"/>
      <c r="AW21" s="466"/>
      <c r="AX21" s="466"/>
      <c r="AY21" s="466"/>
      <c r="AZ21" s="466"/>
      <c r="BA21" s="466"/>
      <c r="BB21" s="466"/>
      <c r="BC21" s="466"/>
      <c r="BD21" s="466"/>
      <c r="BE21" s="466"/>
      <c r="BF21" s="466"/>
    </row>
    <row r="22" spans="1:58" ht="54" customHeight="1">
      <c r="A22" s="788">
        <v>6</v>
      </c>
      <c r="B22" s="788">
        <v>6</v>
      </c>
      <c r="C22" s="788" t="str">
        <f>'Chấm công KT'!C18</f>
        <v>04054</v>
      </c>
      <c r="D22" s="795" t="str">
        <f>'Chấm công KT'!D18</f>
        <v>N. Kay Son</v>
      </c>
      <c r="E22" s="795"/>
      <c r="F22" s="1067">
        <v>59</v>
      </c>
      <c r="G22" s="1067">
        <v>91</v>
      </c>
      <c r="H22" s="1067">
        <v>105</v>
      </c>
      <c r="I22" s="1067">
        <v>64</v>
      </c>
      <c r="J22" s="1067">
        <v>57</v>
      </c>
      <c r="K22" s="1067">
        <v>73</v>
      </c>
      <c r="L22" s="1067">
        <v>160</v>
      </c>
      <c r="M22" s="1067">
        <v>127</v>
      </c>
      <c r="N22" s="1067">
        <v>109</v>
      </c>
      <c r="O22" s="1067">
        <v>174</v>
      </c>
      <c r="P22" s="1067">
        <v>124</v>
      </c>
      <c r="Q22" s="1067">
        <v>82</v>
      </c>
      <c r="R22" s="1067">
        <v>83</v>
      </c>
      <c r="S22" s="1067">
        <v>0</v>
      </c>
      <c r="T22" s="1067">
        <v>0</v>
      </c>
      <c r="U22" s="1067">
        <v>0</v>
      </c>
      <c r="V22" s="1067">
        <v>0</v>
      </c>
      <c r="W22" s="1067">
        <v>0</v>
      </c>
      <c r="X22" s="1067">
        <v>0</v>
      </c>
      <c r="Y22" s="1067">
        <v>70</v>
      </c>
      <c r="Z22" s="1067">
        <v>77</v>
      </c>
      <c r="AA22" s="1067">
        <v>207</v>
      </c>
      <c r="AB22" s="1067">
        <v>112</v>
      </c>
      <c r="AC22" s="1067">
        <v>85</v>
      </c>
      <c r="AD22" s="1067">
        <v>77</v>
      </c>
      <c r="AE22" s="1067">
        <v>108</v>
      </c>
      <c r="AF22" s="1067">
        <v>93</v>
      </c>
      <c r="AG22" s="1067">
        <v>80</v>
      </c>
      <c r="AH22" s="1067">
        <v>85</v>
      </c>
      <c r="AI22" s="1067">
        <v>99</v>
      </c>
      <c r="AJ22" s="1068"/>
      <c r="AK22" s="1069">
        <f t="shared" si="3"/>
        <v>2401</v>
      </c>
      <c r="AL22" s="1092">
        <v>46.37151340054821</v>
      </c>
      <c r="AM22" s="1070">
        <f t="shared" si="2"/>
        <v>1113.3800367471624</v>
      </c>
      <c r="AN22" s="1071" t="s">
        <v>38</v>
      </c>
      <c r="AO22" s="449"/>
      <c r="AP22" s="449"/>
    </row>
    <row r="23" spans="1:58" ht="54" customHeight="1">
      <c r="A23" s="788">
        <v>7</v>
      </c>
      <c r="B23" s="788">
        <v>7</v>
      </c>
      <c r="C23" s="788" t="str">
        <f>'Chấm công KT'!C19</f>
        <v>04055</v>
      </c>
      <c r="D23" s="795" t="str">
        <f>'Chấm công KT'!D19</f>
        <v>T. Đèng 1</v>
      </c>
      <c r="E23" s="795"/>
      <c r="F23" s="1067">
        <v>47</v>
      </c>
      <c r="G23" s="1067">
        <v>75</v>
      </c>
      <c r="H23" s="1067">
        <v>55</v>
      </c>
      <c r="I23" s="1067">
        <v>67</v>
      </c>
      <c r="J23" s="1067">
        <v>38</v>
      </c>
      <c r="K23" s="1067">
        <v>51</v>
      </c>
      <c r="L23" s="1067">
        <v>119</v>
      </c>
      <c r="M23" s="1067">
        <v>88</v>
      </c>
      <c r="N23" s="1067">
        <v>112</v>
      </c>
      <c r="O23" s="1067">
        <v>130</v>
      </c>
      <c r="P23" s="1067">
        <v>91</v>
      </c>
      <c r="Q23" s="1067">
        <v>0</v>
      </c>
      <c r="R23" s="1067">
        <v>0</v>
      </c>
      <c r="S23" s="1067">
        <v>0</v>
      </c>
      <c r="T23" s="1067">
        <v>0</v>
      </c>
      <c r="U23" s="1067">
        <v>0</v>
      </c>
      <c r="V23" s="1067">
        <v>63</v>
      </c>
      <c r="W23" s="1067">
        <v>191</v>
      </c>
      <c r="X23" s="1067">
        <v>0</v>
      </c>
      <c r="Y23" s="1067">
        <v>107</v>
      </c>
      <c r="Z23" s="1067">
        <v>73</v>
      </c>
      <c r="AA23" s="1067">
        <v>95</v>
      </c>
      <c r="AB23" s="1067">
        <v>118</v>
      </c>
      <c r="AC23" s="1067">
        <v>0</v>
      </c>
      <c r="AD23" s="1067">
        <v>64</v>
      </c>
      <c r="AE23" s="1067">
        <v>87</v>
      </c>
      <c r="AF23" s="1067">
        <v>59</v>
      </c>
      <c r="AG23" s="1067">
        <v>103</v>
      </c>
      <c r="AH23" s="1067">
        <v>63</v>
      </c>
      <c r="AI23" s="1067">
        <v>97</v>
      </c>
      <c r="AJ23" s="1068"/>
      <c r="AK23" s="1069">
        <f t="shared" si="3"/>
        <v>1993</v>
      </c>
      <c r="AL23" s="1092">
        <v>46.37151340054821</v>
      </c>
      <c r="AM23" s="1070">
        <f t="shared" si="2"/>
        <v>924.18426207292578</v>
      </c>
      <c r="AN23" s="1071" t="s">
        <v>38</v>
      </c>
      <c r="AO23" s="449"/>
      <c r="AP23" s="449"/>
    </row>
    <row r="24" spans="1:58" ht="54" customHeight="1">
      <c r="A24" s="788">
        <v>8</v>
      </c>
      <c r="B24" s="788">
        <v>8</v>
      </c>
      <c r="C24" s="788" t="str">
        <f>'Chấm công KT'!C20</f>
        <v>03462</v>
      </c>
      <c r="D24" s="795" t="str">
        <f>'Chấm công KT'!D20</f>
        <v>T . Bua Ngân</v>
      </c>
      <c r="E24" s="795"/>
      <c r="F24" s="1067">
        <v>65</v>
      </c>
      <c r="G24" s="1067">
        <v>49</v>
      </c>
      <c r="H24" s="1067">
        <v>54</v>
      </c>
      <c r="I24" s="1067">
        <v>66</v>
      </c>
      <c r="J24" s="1067">
        <v>67</v>
      </c>
      <c r="K24" s="1067">
        <v>67</v>
      </c>
      <c r="L24" s="1067">
        <v>129</v>
      </c>
      <c r="M24" s="1067">
        <v>119</v>
      </c>
      <c r="N24" s="1067">
        <v>118</v>
      </c>
      <c r="O24" s="1067">
        <v>145</v>
      </c>
      <c r="P24" s="1067">
        <v>99</v>
      </c>
      <c r="Q24" s="1067">
        <v>84</v>
      </c>
      <c r="R24" s="1067">
        <v>0</v>
      </c>
      <c r="S24" s="1067">
        <v>0</v>
      </c>
      <c r="T24" s="1067">
        <v>0</v>
      </c>
      <c r="U24" s="1067">
        <v>0</v>
      </c>
      <c r="V24" s="1067">
        <v>179</v>
      </c>
      <c r="W24" s="1067">
        <v>0</v>
      </c>
      <c r="X24" s="1067">
        <v>75</v>
      </c>
      <c r="Y24" s="1067">
        <v>107</v>
      </c>
      <c r="Z24" s="1067">
        <v>102</v>
      </c>
      <c r="AA24" s="1067">
        <v>126</v>
      </c>
      <c r="AB24" s="1067">
        <v>95</v>
      </c>
      <c r="AC24" s="1067">
        <v>90</v>
      </c>
      <c r="AD24" s="1067">
        <v>102</v>
      </c>
      <c r="AE24" s="1067">
        <v>60</v>
      </c>
      <c r="AF24" s="1067">
        <v>87</v>
      </c>
      <c r="AG24" s="1067">
        <v>87</v>
      </c>
      <c r="AH24" s="1067">
        <v>101</v>
      </c>
      <c r="AI24" s="1067">
        <v>60</v>
      </c>
      <c r="AJ24" s="1068"/>
      <c r="AK24" s="1069">
        <f t="shared" si="3"/>
        <v>2333</v>
      </c>
      <c r="AL24" s="1092">
        <v>46.37151340054821</v>
      </c>
      <c r="AM24" s="1070">
        <f t="shared" si="2"/>
        <v>1081.8474076347898</v>
      </c>
      <c r="AN24" s="1071" t="s">
        <v>38</v>
      </c>
      <c r="AO24" s="449"/>
      <c r="AP24" s="449"/>
    </row>
    <row r="25" spans="1:58" ht="54" customHeight="1">
      <c r="A25" s="788">
        <v>9</v>
      </c>
      <c r="B25" s="788">
        <v>9</v>
      </c>
      <c r="C25" s="788" t="str">
        <f>'Chấm công KT'!C21</f>
        <v>03463</v>
      </c>
      <c r="D25" s="795" t="str">
        <f>'Chấm công KT'!D21</f>
        <v>T Căng</v>
      </c>
      <c r="E25" s="795"/>
      <c r="F25" s="1067">
        <v>95</v>
      </c>
      <c r="G25" s="1067">
        <v>119</v>
      </c>
      <c r="H25" s="1067">
        <v>64</v>
      </c>
      <c r="I25" s="1067">
        <v>45</v>
      </c>
      <c r="J25" s="1067">
        <v>50</v>
      </c>
      <c r="K25" s="1067">
        <v>93</v>
      </c>
      <c r="L25" s="1067">
        <v>169</v>
      </c>
      <c r="M25" s="1067">
        <v>109</v>
      </c>
      <c r="N25" s="1067">
        <v>152</v>
      </c>
      <c r="O25" s="1067">
        <v>195</v>
      </c>
      <c r="P25" s="1067">
        <v>126</v>
      </c>
      <c r="Q25" s="1067">
        <v>84</v>
      </c>
      <c r="R25" s="1067">
        <v>141</v>
      </c>
      <c r="S25" s="1067">
        <v>163</v>
      </c>
      <c r="T25" s="1067">
        <v>0</v>
      </c>
      <c r="U25" s="1067">
        <v>0</v>
      </c>
      <c r="V25" s="1067">
        <v>91</v>
      </c>
      <c r="W25" s="1067">
        <v>155</v>
      </c>
      <c r="X25" s="1067">
        <v>73</v>
      </c>
      <c r="Y25" s="1067">
        <v>0</v>
      </c>
      <c r="Z25" s="1067">
        <v>0</v>
      </c>
      <c r="AA25" s="1067">
        <v>0</v>
      </c>
      <c r="AB25" s="1067">
        <v>0</v>
      </c>
      <c r="AC25" s="1067">
        <v>139</v>
      </c>
      <c r="AD25" s="1067">
        <v>152</v>
      </c>
      <c r="AE25" s="1067">
        <v>250</v>
      </c>
      <c r="AF25" s="1067">
        <v>140</v>
      </c>
      <c r="AG25" s="1067">
        <v>66</v>
      </c>
      <c r="AH25" s="1067">
        <v>92</v>
      </c>
      <c r="AI25" s="1067">
        <v>122</v>
      </c>
      <c r="AJ25" s="1068"/>
      <c r="AK25" s="1069">
        <f t="shared" si="3"/>
        <v>2885</v>
      </c>
      <c r="AL25" s="1092">
        <v>46.37151340054821</v>
      </c>
      <c r="AM25" s="1070">
        <f t="shared" si="2"/>
        <v>1337.8181616058159</v>
      </c>
      <c r="AN25" s="1071" t="s">
        <v>38</v>
      </c>
      <c r="AO25" s="449"/>
      <c r="AP25" s="449"/>
    </row>
    <row r="26" spans="1:58" ht="54" customHeight="1">
      <c r="A26" s="788">
        <v>10</v>
      </c>
      <c r="B26" s="788">
        <v>10</v>
      </c>
      <c r="C26" s="788" t="str">
        <f>'Chấm công KT'!C22</f>
        <v>03464</v>
      </c>
      <c r="D26" s="795" t="str">
        <f>'Chấm công KT'!D22</f>
        <v>N. Phôn 1</v>
      </c>
      <c r="E26" s="795"/>
      <c r="F26" s="1067">
        <v>95</v>
      </c>
      <c r="G26" s="1067">
        <v>95</v>
      </c>
      <c r="H26" s="1067">
        <v>65</v>
      </c>
      <c r="I26" s="1067">
        <v>45</v>
      </c>
      <c r="J26" s="1067">
        <v>84</v>
      </c>
      <c r="K26" s="1067">
        <v>101</v>
      </c>
      <c r="L26" s="1067">
        <v>134</v>
      </c>
      <c r="M26" s="1067">
        <v>117</v>
      </c>
      <c r="N26" s="1067">
        <v>152</v>
      </c>
      <c r="O26" s="1067">
        <v>203</v>
      </c>
      <c r="P26" s="1067">
        <v>126</v>
      </c>
      <c r="Q26" s="1067">
        <v>100</v>
      </c>
      <c r="R26" s="1067">
        <v>133</v>
      </c>
      <c r="S26" s="1067">
        <v>156</v>
      </c>
      <c r="T26" s="1067">
        <v>0</v>
      </c>
      <c r="U26" s="1067">
        <v>0</v>
      </c>
      <c r="V26" s="1067">
        <v>88</v>
      </c>
      <c r="W26" s="1067">
        <v>167</v>
      </c>
      <c r="X26" s="1067">
        <v>88</v>
      </c>
      <c r="Y26" s="1067">
        <v>0</v>
      </c>
      <c r="Z26" s="1067">
        <v>0</v>
      </c>
      <c r="AA26" s="1067">
        <v>0</v>
      </c>
      <c r="AB26" s="1067">
        <v>0</v>
      </c>
      <c r="AC26" s="1067">
        <v>117</v>
      </c>
      <c r="AD26" s="1067">
        <v>152</v>
      </c>
      <c r="AE26" s="1067">
        <v>241</v>
      </c>
      <c r="AF26" s="1067">
        <v>140</v>
      </c>
      <c r="AG26" s="1067">
        <v>50</v>
      </c>
      <c r="AH26" s="1067">
        <v>79</v>
      </c>
      <c r="AI26" s="1067">
        <v>120</v>
      </c>
      <c r="AJ26" s="1068"/>
      <c r="AK26" s="1069">
        <f t="shared" si="3"/>
        <v>2848</v>
      </c>
      <c r="AL26" s="1092">
        <v>46.37151340054821</v>
      </c>
      <c r="AM26" s="1070">
        <f t="shared" si="2"/>
        <v>1320.660701647613</v>
      </c>
      <c r="AN26" s="1071" t="s">
        <v>38</v>
      </c>
      <c r="AO26" s="449"/>
      <c r="AP26" s="449"/>
    </row>
    <row r="27" spans="1:58" ht="54" customHeight="1">
      <c r="A27" s="788">
        <v>11</v>
      </c>
      <c r="B27" s="788">
        <v>11</v>
      </c>
      <c r="C27" s="788" t="str">
        <f>'Chấm công KT'!C23</f>
        <v>03465</v>
      </c>
      <c r="D27" s="795" t="str">
        <f>'Chấm công KT'!D23</f>
        <v>T. In Păn</v>
      </c>
      <c r="E27" s="795"/>
      <c r="F27" s="1067">
        <v>76</v>
      </c>
      <c r="G27" s="1067">
        <v>50</v>
      </c>
      <c r="H27" s="1067">
        <v>0</v>
      </c>
      <c r="I27" s="1067">
        <v>32</v>
      </c>
      <c r="J27" s="1067">
        <v>30</v>
      </c>
      <c r="K27" s="1067">
        <v>60</v>
      </c>
      <c r="L27" s="1067">
        <v>195</v>
      </c>
      <c r="M27" s="1067">
        <v>0</v>
      </c>
      <c r="N27" s="1067">
        <v>130</v>
      </c>
      <c r="O27" s="1067">
        <v>114</v>
      </c>
      <c r="P27" s="1067">
        <v>147</v>
      </c>
      <c r="Q27" s="1067">
        <v>150</v>
      </c>
      <c r="R27" s="1067">
        <v>100</v>
      </c>
      <c r="S27" s="1067">
        <v>0</v>
      </c>
      <c r="T27" s="1067">
        <v>0</v>
      </c>
      <c r="U27" s="1067">
        <v>0</v>
      </c>
      <c r="V27" s="1067">
        <v>75</v>
      </c>
      <c r="W27" s="1067">
        <v>0</v>
      </c>
      <c r="X27" s="1067">
        <v>0</v>
      </c>
      <c r="Y27" s="1067">
        <v>91</v>
      </c>
      <c r="Z27" s="1067">
        <v>54</v>
      </c>
      <c r="AA27" s="1067">
        <v>185</v>
      </c>
      <c r="AB27" s="1067">
        <v>156</v>
      </c>
      <c r="AC27" s="1067">
        <v>0</v>
      </c>
      <c r="AD27" s="1067">
        <v>70</v>
      </c>
      <c r="AE27" s="1067">
        <v>0</v>
      </c>
      <c r="AF27" s="1067">
        <v>107</v>
      </c>
      <c r="AG27" s="1067">
        <v>104</v>
      </c>
      <c r="AH27" s="1067">
        <v>90</v>
      </c>
      <c r="AI27" s="1067">
        <v>166</v>
      </c>
      <c r="AJ27" s="1068"/>
      <c r="AK27" s="1069">
        <f t="shared" si="3"/>
        <v>2182</v>
      </c>
      <c r="AL27" s="1092">
        <v>46.37151340054821</v>
      </c>
      <c r="AM27" s="1070">
        <f t="shared" si="2"/>
        <v>1011.8264223999619</v>
      </c>
      <c r="AN27" s="1071" t="s">
        <v>38</v>
      </c>
      <c r="AO27" s="449"/>
      <c r="AP27" s="449"/>
    </row>
    <row r="28" spans="1:58" ht="54" customHeight="1">
      <c r="A28" s="788">
        <v>12</v>
      </c>
      <c r="B28" s="788">
        <v>12</v>
      </c>
      <c r="C28" s="788" t="str">
        <f>'Chấm công KT'!C24</f>
        <v>03466</v>
      </c>
      <c r="D28" s="795" t="str">
        <f>'Chấm công KT'!D24</f>
        <v>N. Keo</v>
      </c>
      <c r="E28" s="795"/>
      <c r="F28" s="1067">
        <v>70</v>
      </c>
      <c r="G28" s="1067">
        <v>100</v>
      </c>
      <c r="H28" s="1067">
        <v>75</v>
      </c>
      <c r="I28" s="1067">
        <v>76</v>
      </c>
      <c r="J28" s="1067">
        <v>63</v>
      </c>
      <c r="K28" s="1067">
        <v>100</v>
      </c>
      <c r="L28" s="1067">
        <v>146</v>
      </c>
      <c r="M28" s="1067">
        <v>179</v>
      </c>
      <c r="N28" s="1067">
        <v>155</v>
      </c>
      <c r="O28" s="1067">
        <v>200</v>
      </c>
      <c r="P28" s="1067">
        <v>110</v>
      </c>
      <c r="Q28" s="1067">
        <v>149</v>
      </c>
      <c r="R28" s="1067">
        <v>123</v>
      </c>
      <c r="S28" s="1067">
        <v>152</v>
      </c>
      <c r="T28" s="1067">
        <v>0</v>
      </c>
      <c r="U28" s="1067">
        <v>0</v>
      </c>
      <c r="V28" s="1067">
        <v>90</v>
      </c>
      <c r="W28" s="1067">
        <v>145</v>
      </c>
      <c r="X28" s="1067">
        <v>96</v>
      </c>
      <c r="Y28" s="1067">
        <v>92</v>
      </c>
      <c r="Z28" s="1067">
        <v>74</v>
      </c>
      <c r="AA28" s="1067">
        <v>148</v>
      </c>
      <c r="AB28" s="1067">
        <v>65</v>
      </c>
      <c r="AC28" s="1067">
        <v>117</v>
      </c>
      <c r="AD28" s="1067">
        <v>94</v>
      </c>
      <c r="AE28" s="1067">
        <v>150</v>
      </c>
      <c r="AF28" s="1067">
        <v>69</v>
      </c>
      <c r="AG28" s="1067">
        <v>90</v>
      </c>
      <c r="AH28" s="1067">
        <v>89</v>
      </c>
      <c r="AI28" s="1067">
        <v>162</v>
      </c>
      <c r="AJ28" s="1068"/>
      <c r="AK28" s="1069">
        <f t="shared" si="3"/>
        <v>3179</v>
      </c>
      <c r="AL28" s="1092">
        <v>46.37151340054821</v>
      </c>
      <c r="AM28" s="1070">
        <f t="shared" si="2"/>
        <v>1474.1504110034275</v>
      </c>
      <c r="AN28" s="1071" t="s">
        <v>38</v>
      </c>
      <c r="AO28" s="449"/>
      <c r="AP28" s="449"/>
    </row>
    <row r="29" spans="1:58" ht="54" customHeight="1">
      <c r="A29" s="788">
        <v>13</v>
      </c>
      <c r="B29" s="788">
        <v>13</v>
      </c>
      <c r="C29" s="788" t="str">
        <f>'Chấm công KT'!C25</f>
        <v>02727</v>
      </c>
      <c r="D29" s="795" t="str">
        <f>'Chấm công KT'!D25</f>
        <v>T. Thong Đon</v>
      </c>
      <c r="E29" s="795"/>
      <c r="F29" s="1067">
        <v>61</v>
      </c>
      <c r="G29" s="1067">
        <v>221</v>
      </c>
      <c r="H29" s="1067">
        <v>59</v>
      </c>
      <c r="I29" s="1067">
        <v>54</v>
      </c>
      <c r="J29" s="1067">
        <v>69</v>
      </c>
      <c r="K29" s="1067">
        <v>122</v>
      </c>
      <c r="L29" s="1067">
        <v>136</v>
      </c>
      <c r="M29" s="1067">
        <v>143</v>
      </c>
      <c r="N29" s="1067">
        <v>152</v>
      </c>
      <c r="O29" s="1067">
        <v>232</v>
      </c>
      <c r="P29" s="1067">
        <v>119</v>
      </c>
      <c r="Q29" s="1067">
        <v>101</v>
      </c>
      <c r="R29" s="1067">
        <v>106</v>
      </c>
      <c r="S29" s="1067">
        <v>198</v>
      </c>
      <c r="T29" s="1067">
        <v>0</v>
      </c>
      <c r="U29" s="1067">
        <v>0</v>
      </c>
      <c r="V29" s="1067">
        <v>0</v>
      </c>
      <c r="W29" s="1067">
        <v>0</v>
      </c>
      <c r="X29" s="1067">
        <v>0</v>
      </c>
      <c r="Y29" s="1067">
        <v>0</v>
      </c>
      <c r="Z29" s="1067">
        <v>163</v>
      </c>
      <c r="AA29" s="1067">
        <v>277</v>
      </c>
      <c r="AB29" s="1067">
        <v>70</v>
      </c>
      <c r="AC29" s="1067">
        <v>0</v>
      </c>
      <c r="AD29" s="1067">
        <v>0</v>
      </c>
      <c r="AE29" s="1067">
        <v>0</v>
      </c>
      <c r="AF29" s="1067">
        <v>0</v>
      </c>
      <c r="AG29" s="1067">
        <v>0</v>
      </c>
      <c r="AH29" s="1067">
        <v>0</v>
      </c>
      <c r="AI29" s="1067">
        <v>240</v>
      </c>
      <c r="AJ29" s="1068"/>
      <c r="AK29" s="1069">
        <f t="shared" si="3"/>
        <v>2523</v>
      </c>
      <c r="AL29" s="1092">
        <v>46.37151340054821</v>
      </c>
      <c r="AM29" s="1070">
        <f t="shared" si="2"/>
        <v>1169.9532830958312</v>
      </c>
      <c r="AN29" s="1071" t="s">
        <v>38</v>
      </c>
      <c r="AO29" s="449"/>
      <c r="AP29" s="449"/>
    </row>
    <row r="30" spans="1:58" ht="54" customHeight="1">
      <c r="A30" s="788">
        <v>14</v>
      </c>
      <c r="B30" s="788">
        <v>14</v>
      </c>
      <c r="C30" s="788" t="str">
        <f>'Chấm công KT'!C26</f>
        <v>03467</v>
      </c>
      <c r="D30" s="795" t="str">
        <f>'Chấm công KT'!D26</f>
        <v>T. Hin</v>
      </c>
      <c r="E30" s="795"/>
      <c r="F30" s="1067">
        <v>93</v>
      </c>
      <c r="G30" s="1067">
        <v>70</v>
      </c>
      <c r="H30" s="1067">
        <v>58</v>
      </c>
      <c r="I30" s="1067">
        <v>75</v>
      </c>
      <c r="J30" s="1067">
        <v>73</v>
      </c>
      <c r="K30" s="1067">
        <v>65</v>
      </c>
      <c r="L30" s="1067">
        <v>86</v>
      </c>
      <c r="M30" s="1067">
        <v>90</v>
      </c>
      <c r="N30" s="1067">
        <v>73</v>
      </c>
      <c r="O30" s="1067">
        <v>131</v>
      </c>
      <c r="P30" s="1067">
        <v>60</v>
      </c>
      <c r="Q30" s="1067">
        <v>70</v>
      </c>
      <c r="R30" s="1067">
        <v>165</v>
      </c>
      <c r="S30" s="1067">
        <v>116</v>
      </c>
      <c r="T30" s="1067">
        <v>0</v>
      </c>
      <c r="U30" s="1067">
        <v>0</v>
      </c>
      <c r="V30" s="1067">
        <v>0</v>
      </c>
      <c r="W30" s="1067">
        <v>0</v>
      </c>
      <c r="X30" s="1067">
        <v>0</v>
      </c>
      <c r="Y30" s="1067">
        <v>0</v>
      </c>
      <c r="Z30" s="1067">
        <v>212</v>
      </c>
      <c r="AA30" s="1067">
        <v>159</v>
      </c>
      <c r="AB30" s="1067">
        <v>82</v>
      </c>
      <c r="AC30" s="1067">
        <v>138</v>
      </c>
      <c r="AD30" s="1067">
        <v>0</v>
      </c>
      <c r="AE30" s="1067">
        <v>0</v>
      </c>
      <c r="AF30" s="1067">
        <v>50</v>
      </c>
      <c r="AG30" s="1067">
        <v>57</v>
      </c>
      <c r="AH30" s="1067">
        <v>201</v>
      </c>
      <c r="AI30" s="1067">
        <v>185</v>
      </c>
      <c r="AJ30" s="1068"/>
      <c r="AK30" s="1069">
        <f t="shared" si="3"/>
        <v>2309</v>
      </c>
      <c r="AL30" s="1092">
        <v>46.37151340054821</v>
      </c>
      <c r="AM30" s="1070">
        <f t="shared" si="2"/>
        <v>1070.7182444186581</v>
      </c>
      <c r="AN30" s="1071" t="s">
        <v>38</v>
      </c>
      <c r="AO30" s="449"/>
      <c r="AP30" s="449"/>
    </row>
    <row r="31" spans="1:58" ht="54" customHeight="1">
      <c r="A31" s="788">
        <v>15</v>
      </c>
      <c r="B31" s="788">
        <v>15</v>
      </c>
      <c r="C31" s="788" t="str">
        <f>'Chấm công KT'!C27</f>
        <v>04056</v>
      </c>
      <c r="D31" s="795" t="str">
        <f>'Chấm công KT'!D27</f>
        <v>N. Ly Phon</v>
      </c>
      <c r="E31" s="795"/>
      <c r="F31" s="1067">
        <v>67</v>
      </c>
      <c r="G31" s="1067">
        <v>0</v>
      </c>
      <c r="H31" s="1067">
        <v>54</v>
      </c>
      <c r="I31" s="1067">
        <v>62</v>
      </c>
      <c r="J31" s="1067">
        <v>66</v>
      </c>
      <c r="K31" s="1067">
        <v>102</v>
      </c>
      <c r="L31" s="1067">
        <v>130</v>
      </c>
      <c r="M31" s="1067">
        <v>150</v>
      </c>
      <c r="N31" s="1067">
        <v>120</v>
      </c>
      <c r="O31" s="1067">
        <v>148</v>
      </c>
      <c r="P31" s="1067">
        <v>92</v>
      </c>
      <c r="Q31" s="1067">
        <v>0</v>
      </c>
      <c r="R31" s="1067">
        <v>0</v>
      </c>
      <c r="S31" s="1067">
        <v>163</v>
      </c>
      <c r="T31" s="1067">
        <v>0</v>
      </c>
      <c r="U31" s="1067">
        <v>0</v>
      </c>
      <c r="V31" s="1067">
        <v>0</v>
      </c>
      <c r="W31" s="1067">
        <v>0</v>
      </c>
      <c r="X31" s="1067">
        <v>0</v>
      </c>
      <c r="Y31" s="1067">
        <v>0</v>
      </c>
      <c r="Z31" s="1067">
        <v>0</v>
      </c>
      <c r="AA31" s="1067">
        <v>0</v>
      </c>
      <c r="AB31" s="1067">
        <v>0</v>
      </c>
      <c r="AC31" s="1067">
        <v>126</v>
      </c>
      <c r="AD31" s="1067">
        <v>63</v>
      </c>
      <c r="AE31" s="1067">
        <v>0</v>
      </c>
      <c r="AF31" s="1067">
        <v>95</v>
      </c>
      <c r="AG31" s="1067">
        <v>57</v>
      </c>
      <c r="AH31" s="1067">
        <v>96</v>
      </c>
      <c r="AI31" s="1067">
        <v>59</v>
      </c>
      <c r="AJ31" s="1068"/>
      <c r="AK31" s="1069">
        <f t="shared" si="3"/>
        <v>1650</v>
      </c>
      <c r="AL31" s="1092">
        <v>46.37151340054821</v>
      </c>
      <c r="AM31" s="1070">
        <f t="shared" si="2"/>
        <v>765.12997110904541</v>
      </c>
      <c r="AN31" s="1071" t="s">
        <v>46</v>
      </c>
      <c r="AO31" s="449"/>
      <c r="AP31" s="449"/>
    </row>
    <row r="32" spans="1:58" ht="54" customHeight="1">
      <c r="A32" s="788">
        <v>16</v>
      </c>
      <c r="B32" s="788">
        <v>16</v>
      </c>
      <c r="C32" s="788" t="str">
        <f>'Chấm công KT'!C28</f>
        <v>03469</v>
      </c>
      <c r="D32" s="795" t="str">
        <f>'Chấm công KT'!D28</f>
        <v>T. Xôm Va Nít</v>
      </c>
      <c r="E32" s="795"/>
      <c r="F32" s="1067">
        <v>87</v>
      </c>
      <c r="G32" s="1067">
        <v>106</v>
      </c>
      <c r="H32" s="1067">
        <v>64</v>
      </c>
      <c r="I32" s="1067">
        <v>76</v>
      </c>
      <c r="J32" s="1067">
        <v>60</v>
      </c>
      <c r="K32" s="1067">
        <v>98</v>
      </c>
      <c r="L32" s="1067">
        <v>141</v>
      </c>
      <c r="M32" s="1067">
        <v>168</v>
      </c>
      <c r="N32" s="1067">
        <v>158</v>
      </c>
      <c r="O32" s="1067">
        <v>256</v>
      </c>
      <c r="P32" s="1067">
        <v>111</v>
      </c>
      <c r="Q32" s="1067">
        <v>125</v>
      </c>
      <c r="R32" s="1067">
        <v>112</v>
      </c>
      <c r="S32" s="1067">
        <v>152</v>
      </c>
      <c r="T32" s="1067">
        <v>0</v>
      </c>
      <c r="U32" s="1067">
        <v>0</v>
      </c>
      <c r="V32" s="1067">
        <v>87</v>
      </c>
      <c r="W32" s="1067">
        <v>147</v>
      </c>
      <c r="X32" s="1067">
        <v>74</v>
      </c>
      <c r="Y32" s="1067">
        <v>88</v>
      </c>
      <c r="Z32" s="1067">
        <v>75</v>
      </c>
      <c r="AA32" s="1067">
        <v>120</v>
      </c>
      <c r="AB32" s="1067">
        <v>73</v>
      </c>
      <c r="AC32" s="1067">
        <v>97</v>
      </c>
      <c r="AD32" s="1067">
        <v>94</v>
      </c>
      <c r="AE32" s="1067">
        <v>150</v>
      </c>
      <c r="AF32" s="1067">
        <v>69</v>
      </c>
      <c r="AG32" s="1067">
        <v>82</v>
      </c>
      <c r="AH32" s="1067">
        <v>71</v>
      </c>
      <c r="AI32" s="1067">
        <v>181</v>
      </c>
      <c r="AJ32" s="1068"/>
      <c r="AK32" s="1069">
        <f t="shared" si="3"/>
        <v>3122</v>
      </c>
      <c r="AL32" s="1092">
        <v>46.37151340054821</v>
      </c>
      <c r="AM32" s="1070">
        <f t="shared" si="2"/>
        <v>1447.7186483651153</v>
      </c>
      <c r="AN32" s="1071" t="s">
        <v>46</v>
      </c>
      <c r="AO32" s="449"/>
      <c r="AP32" s="449"/>
    </row>
    <row r="33" spans="1:42" ht="54" customHeight="1">
      <c r="A33" s="788">
        <v>17</v>
      </c>
      <c r="B33" s="788">
        <v>17</v>
      </c>
      <c r="C33" s="788" t="str">
        <f>'Chấm công KT'!C29</f>
        <v>03470</v>
      </c>
      <c r="D33" s="795" t="str">
        <f>'Chấm công KT'!D29</f>
        <v>T. Lọi</v>
      </c>
      <c r="E33" s="795"/>
      <c r="F33" s="1067">
        <v>56</v>
      </c>
      <c r="G33" s="1067">
        <v>89</v>
      </c>
      <c r="H33" s="1067">
        <v>72</v>
      </c>
      <c r="I33" s="1067">
        <v>52</v>
      </c>
      <c r="J33" s="1067">
        <v>55</v>
      </c>
      <c r="K33" s="1067">
        <v>87</v>
      </c>
      <c r="L33" s="1067">
        <v>160</v>
      </c>
      <c r="M33" s="1067">
        <v>140</v>
      </c>
      <c r="N33" s="1067">
        <v>113</v>
      </c>
      <c r="O33" s="1067">
        <v>0</v>
      </c>
      <c r="P33" s="1067">
        <v>91</v>
      </c>
      <c r="Q33" s="1067">
        <v>0</v>
      </c>
      <c r="R33" s="1067">
        <v>0</v>
      </c>
      <c r="S33" s="1067">
        <v>0</v>
      </c>
      <c r="T33" s="1067">
        <v>0</v>
      </c>
      <c r="U33" s="1067">
        <v>0</v>
      </c>
      <c r="V33" s="1067">
        <v>0</v>
      </c>
      <c r="W33" s="1067">
        <v>0</v>
      </c>
      <c r="X33" s="1067">
        <v>90</v>
      </c>
      <c r="Y33" s="1067">
        <v>94</v>
      </c>
      <c r="Z33" s="1067">
        <v>84</v>
      </c>
      <c r="AA33" s="1067">
        <v>183</v>
      </c>
      <c r="AB33" s="1067">
        <v>102</v>
      </c>
      <c r="AC33" s="1067">
        <v>80</v>
      </c>
      <c r="AD33" s="1067">
        <v>90</v>
      </c>
      <c r="AE33" s="1067">
        <v>112</v>
      </c>
      <c r="AF33" s="1067">
        <v>90</v>
      </c>
      <c r="AG33" s="1067">
        <v>64</v>
      </c>
      <c r="AH33" s="1067">
        <v>80</v>
      </c>
      <c r="AI33" s="1067">
        <v>128</v>
      </c>
      <c r="AJ33" s="1068"/>
      <c r="AK33" s="1069">
        <f t="shared" si="3"/>
        <v>2112</v>
      </c>
      <c r="AL33" s="1092">
        <v>46.37151340054821</v>
      </c>
      <c r="AM33" s="1070">
        <f t="shared" si="2"/>
        <v>979.3663630195781</v>
      </c>
      <c r="AN33" s="1071" t="s">
        <v>46</v>
      </c>
      <c r="AO33" s="449"/>
      <c r="AP33" s="449"/>
    </row>
    <row r="34" spans="1:42" ht="54" customHeight="1">
      <c r="A34" s="788">
        <v>18</v>
      </c>
      <c r="B34" s="788">
        <v>18</v>
      </c>
      <c r="C34" s="788" t="str">
        <f>'Chấm công KT'!C30</f>
        <v>03471</v>
      </c>
      <c r="D34" s="795" t="str">
        <f>'Chấm công KT'!D30</f>
        <v>T. Phô Thong</v>
      </c>
      <c r="E34" s="795"/>
      <c r="F34" s="1067">
        <v>71</v>
      </c>
      <c r="G34" s="1067">
        <v>99</v>
      </c>
      <c r="H34" s="1067">
        <v>50</v>
      </c>
      <c r="I34" s="1067">
        <v>51</v>
      </c>
      <c r="J34" s="1067">
        <v>63</v>
      </c>
      <c r="K34" s="1067">
        <v>90</v>
      </c>
      <c r="L34" s="1067">
        <v>146</v>
      </c>
      <c r="M34" s="1067">
        <v>147</v>
      </c>
      <c r="N34" s="1067">
        <v>149</v>
      </c>
      <c r="O34" s="1067">
        <v>195</v>
      </c>
      <c r="P34" s="1067">
        <v>120</v>
      </c>
      <c r="Q34" s="1067">
        <v>134</v>
      </c>
      <c r="R34" s="1067">
        <v>154</v>
      </c>
      <c r="S34" s="1067">
        <v>120</v>
      </c>
      <c r="T34" s="1067">
        <v>0</v>
      </c>
      <c r="U34" s="1067">
        <v>0</v>
      </c>
      <c r="V34" s="1067">
        <v>0</v>
      </c>
      <c r="W34" s="1067">
        <v>0</v>
      </c>
      <c r="X34" s="1067">
        <v>0</v>
      </c>
      <c r="Y34" s="1067">
        <v>93</v>
      </c>
      <c r="Z34" s="1067">
        <v>181</v>
      </c>
      <c r="AA34" s="1067">
        <v>220</v>
      </c>
      <c r="AB34" s="1067">
        <v>137</v>
      </c>
      <c r="AC34" s="1067">
        <v>78</v>
      </c>
      <c r="AD34" s="1067">
        <v>88</v>
      </c>
      <c r="AE34" s="1067">
        <v>112</v>
      </c>
      <c r="AF34" s="1067">
        <v>0</v>
      </c>
      <c r="AG34" s="1067">
        <v>56</v>
      </c>
      <c r="AH34" s="1067">
        <v>72</v>
      </c>
      <c r="AI34" s="1067">
        <v>103</v>
      </c>
      <c r="AJ34" s="1068"/>
      <c r="AK34" s="1069">
        <f t="shared" si="3"/>
        <v>2729</v>
      </c>
      <c r="AL34" s="1092">
        <v>46.37151340054821</v>
      </c>
      <c r="AM34" s="1070">
        <f t="shared" si="2"/>
        <v>1265.4786007009607</v>
      </c>
      <c r="AN34" s="1071" t="s">
        <v>38</v>
      </c>
      <c r="AO34" s="449"/>
      <c r="AP34" s="449"/>
    </row>
    <row r="35" spans="1:42" ht="54" customHeight="1">
      <c r="A35" s="788">
        <v>19</v>
      </c>
      <c r="B35" s="788">
        <v>19</v>
      </c>
      <c r="C35" s="788" t="str">
        <f>'Chấm công KT'!C31</f>
        <v>03472</v>
      </c>
      <c r="D35" s="795" t="str">
        <f>'Chấm công KT'!D31</f>
        <v>N. Soi</v>
      </c>
      <c r="E35" s="795"/>
      <c r="F35" s="1067">
        <v>65</v>
      </c>
      <c r="G35" s="1067">
        <v>0</v>
      </c>
      <c r="H35" s="1067">
        <v>54</v>
      </c>
      <c r="I35" s="1067">
        <v>60</v>
      </c>
      <c r="J35" s="1067">
        <v>0</v>
      </c>
      <c r="K35" s="1067">
        <v>101</v>
      </c>
      <c r="L35" s="1067">
        <v>133</v>
      </c>
      <c r="M35" s="1067">
        <v>142</v>
      </c>
      <c r="N35" s="1067">
        <v>84</v>
      </c>
      <c r="O35" s="1067">
        <v>57</v>
      </c>
      <c r="P35" s="1067">
        <v>95</v>
      </c>
      <c r="Q35" s="1067">
        <v>0</v>
      </c>
      <c r="R35" s="1067">
        <v>0</v>
      </c>
      <c r="S35" s="1067">
        <v>0</v>
      </c>
      <c r="T35" s="1067">
        <v>0</v>
      </c>
      <c r="U35" s="1067">
        <v>0</v>
      </c>
      <c r="V35" s="1067">
        <v>0</v>
      </c>
      <c r="W35" s="1067">
        <v>0</v>
      </c>
      <c r="X35" s="1067">
        <v>0</v>
      </c>
      <c r="Y35" s="1067">
        <v>0</v>
      </c>
      <c r="Z35" s="1067">
        <v>0</v>
      </c>
      <c r="AA35" s="1067">
        <v>134</v>
      </c>
      <c r="AB35" s="1067">
        <v>93</v>
      </c>
      <c r="AC35" s="1067">
        <v>73</v>
      </c>
      <c r="AD35" s="1067">
        <v>51</v>
      </c>
      <c r="AE35" s="1067">
        <v>89</v>
      </c>
      <c r="AF35" s="1067">
        <v>63</v>
      </c>
      <c r="AG35" s="1067">
        <v>56</v>
      </c>
      <c r="AH35" s="1067">
        <v>50</v>
      </c>
      <c r="AI35" s="1067">
        <v>72</v>
      </c>
      <c r="AJ35" s="1068"/>
      <c r="AK35" s="1069">
        <f t="shared" si="3"/>
        <v>1472</v>
      </c>
      <c r="AL35" s="1092">
        <v>46.37151340054821</v>
      </c>
      <c r="AM35" s="1070">
        <f t="shared" si="2"/>
        <v>682.58867725606967</v>
      </c>
      <c r="AN35" s="1071" t="s">
        <v>38</v>
      </c>
      <c r="AO35" s="449"/>
      <c r="AP35" s="449"/>
    </row>
    <row r="36" spans="1:42" ht="54" customHeight="1">
      <c r="A36" s="788">
        <v>20</v>
      </c>
      <c r="B36" s="788">
        <v>20</v>
      </c>
      <c r="C36" s="788" t="str">
        <f>'Chấm công KT'!C32</f>
        <v>03473</v>
      </c>
      <c r="D36" s="795" t="str">
        <f>'Chấm công KT'!D32</f>
        <v>N. Me Kha La</v>
      </c>
      <c r="E36" s="795"/>
      <c r="F36" s="1067">
        <v>80</v>
      </c>
      <c r="G36" s="1067">
        <v>71</v>
      </c>
      <c r="H36" s="1067">
        <v>81</v>
      </c>
      <c r="I36" s="1067">
        <v>0</v>
      </c>
      <c r="J36" s="1067">
        <v>54</v>
      </c>
      <c r="K36" s="1067">
        <v>75</v>
      </c>
      <c r="L36" s="1067">
        <v>148</v>
      </c>
      <c r="M36" s="1067">
        <v>157</v>
      </c>
      <c r="N36" s="1067">
        <v>150</v>
      </c>
      <c r="O36" s="1067">
        <v>130</v>
      </c>
      <c r="P36" s="1067">
        <v>156</v>
      </c>
      <c r="Q36" s="1067">
        <v>101</v>
      </c>
      <c r="R36" s="1067">
        <v>90</v>
      </c>
      <c r="S36" s="1067">
        <v>0</v>
      </c>
      <c r="T36" s="1067">
        <v>0</v>
      </c>
      <c r="U36" s="1067">
        <v>0</v>
      </c>
      <c r="V36" s="1067">
        <v>0</v>
      </c>
      <c r="W36" s="1067">
        <v>0</v>
      </c>
      <c r="X36" s="1067">
        <v>0</v>
      </c>
      <c r="Y36" s="1067">
        <v>0</v>
      </c>
      <c r="Z36" s="1067">
        <v>0</v>
      </c>
      <c r="AA36" s="1067">
        <v>198</v>
      </c>
      <c r="AB36" s="1067">
        <v>0</v>
      </c>
      <c r="AC36" s="1067">
        <v>134</v>
      </c>
      <c r="AD36" s="1067">
        <v>139</v>
      </c>
      <c r="AE36" s="1067">
        <v>161</v>
      </c>
      <c r="AF36" s="1067">
        <v>71</v>
      </c>
      <c r="AG36" s="1067">
        <v>104</v>
      </c>
      <c r="AH36" s="1067">
        <v>57</v>
      </c>
      <c r="AI36" s="1067">
        <v>103</v>
      </c>
      <c r="AJ36" s="1068"/>
      <c r="AK36" s="1069">
        <f t="shared" si="3"/>
        <v>2260</v>
      </c>
      <c r="AL36" s="1092">
        <v>46.37151340054821</v>
      </c>
      <c r="AM36" s="1070">
        <f t="shared" si="2"/>
        <v>1047.9962028523896</v>
      </c>
      <c r="AN36" s="1071" t="s">
        <v>38</v>
      </c>
      <c r="AO36" s="449"/>
      <c r="AP36" s="449"/>
    </row>
    <row r="37" spans="1:42" ht="54" customHeight="1">
      <c r="A37" s="788">
        <v>21</v>
      </c>
      <c r="B37" s="788">
        <v>21</v>
      </c>
      <c r="C37" s="788" t="str">
        <f>'Chấm công KT'!C33</f>
        <v>03474</v>
      </c>
      <c r="D37" s="795" t="str">
        <f>'Chấm công KT'!D33</f>
        <v>N. Mon Khăm</v>
      </c>
      <c r="E37" s="795"/>
      <c r="F37" s="1067">
        <v>54</v>
      </c>
      <c r="G37" s="1067">
        <v>59</v>
      </c>
      <c r="H37" s="1067">
        <v>93</v>
      </c>
      <c r="I37" s="1067">
        <v>32</v>
      </c>
      <c r="J37" s="1067">
        <v>43</v>
      </c>
      <c r="K37" s="1067">
        <v>79</v>
      </c>
      <c r="L37" s="1067">
        <v>191</v>
      </c>
      <c r="M37" s="1067">
        <v>0</v>
      </c>
      <c r="N37" s="1067">
        <v>120</v>
      </c>
      <c r="O37" s="1067">
        <v>116</v>
      </c>
      <c r="P37" s="1067">
        <v>142</v>
      </c>
      <c r="Q37" s="1067">
        <v>163</v>
      </c>
      <c r="R37" s="1067">
        <v>75</v>
      </c>
      <c r="S37" s="1067">
        <v>0</v>
      </c>
      <c r="T37" s="1067">
        <v>0</v>
      </c>
      <c r="U37" s="1067">
        <v>0</v>
      </c>
      <c r="V37" s="1067">
        <v>75</v>
      </c>
      <c r="W37" s="1067">
        <v>0</v>
      </c>
      <c r="X37" s="1067">
        <v>0</v>
      </c>
      <c r="Y37" s="1067">
        <v>96</v>
      </c>
      <c r="Z37" s="1067">
        <v>48</v>
      </c>
      <c r="AA37" s="1067">
        <v>181</v>
      </c>
      <c r="AB37" s="1067">
        <v>161</v>
      </c>
      <c r="AC37" s="1067">
        <v>0</v>
      </c>
      <c r="AD37" s="1067">
        <v>77</v>
      </c>
      <c r="AE37" s="1067">
        <v>0</v>
      </c>
      <c r="AF37" s="1067">
        <v>93</v>
      </c>
      <c r="AG37" s="1067">
        <v>114</v>
      </c>
      <c r="AH37" s="1067">
        <v>51</v>
      </c>
      <c r="AI37" s="1067">
        <v>185</v>
      </c>
      <c r="AJ37" s="1068"/>
      <c r="AK37" s="1069">
        <f t="shared" si="3"/>
        <v>2248</v>
      </c>
      <c r="AL37" s="1092">
        <v>46.37151340054821</v>
      </c>
      <c r="AM37" s="1070">
        <f t="shared" si="2"/>
        <v>1042.4316212443237</v>
      </c>
      <c r="AN37" s="1071" t="s">
        <v>38</v>
      </c>
      <c r="AO37" s="449"/>
      <c r="AP37" s="449"/>
    </row>
    <row r="38" spans="1:42" ht="54" customHeight="1">
      <c r="A38" s="788">
        <v>22</v>
      </c>
      <c r="B38" s="788">
        <v>22</v>
      </c>
      <c r="C38" s="788" t="str">
        <f>'Chấm công KT'!C34</f>
        <v>04057</v>
      </c>
      <c r="D38" s="795" t="str">
        <f>'Chấm công KT'!D34</f>
        <v>N. Bua Lay</v>
      </c>
      <c r="E38" s="795"/>
      <c r="F38" s="1067">
        <v>0</v>
      </c>
      <c r="G38" s="1067">
        <v>0</v>
      </c>
      <c r="H38" s="1067">
        <v>0</v>
      </c>
      <c r="I38" s="1067">
        <v>36</v>
      </c>
      <c r="J38" s="1067">
        <v>0</v>
      </c>
      <c r="K38" s="1067">
        <v>52</v>
      </c>
      <c r="L38" s="1067">
        <v>83</v>
      </c>
      <c r="M38" s="1067">
        <v>123</v>
      </c>
      <c r="N38" s="1067">
        <v>111</v>
      </c>
      <c r="O38" s="1067">
        <v>83</v>
      </c>
      <c r="P38" s="1067">
        <v>116</v>
      </c>
      <c r="Q38" s="1067">
        <v>91</v>
      </c>
      <c r="R38" s="1067">
        <v>70</v>
      </c>
      <c r="S38" s="1067">
        <v>77</v>
      </c>
      <c r="T38" s="1067">
        <v>0</v>
      </c>
      <c r="U38" s="1067">
        <v>0</v>
      </c>
      <c r="V38" s="1067">
        <v>71</v>
      </c>
      <c r="W38" s="1067">
        <v>66</v>
      </c>
      <c r="X38" s="1067">
        <v>93</v>
      </c>
      <c r="Y38" s="1067">
        <v>97</v>
      </c>
      <c r="Z38" s="1067">
        <v>84</v>
      </c>
      <c r="AA38" s="1067">
        <v>60</v>
      </c>
      <c r="AB38" s="1067">
        <v>90</v>
      </c>
      <c r="AC38" s="1067">
        <v>85</v>
      </c>
      <c r="AD38" s="1067">
        <v>76</v>
      </c>
      <c r="AE38" s="1067">
        <v>0</v>
      </c>
      <c r="AF38" s="1067">
        <v>0</v>
      </c>
      <c r="AG38" s="1067">
        <v>73</v>
      </c>
      <c r="AH38" s="1067">
        <v>89</v>
      </c>
      <c r="AI38" s="1067">
        <v>98</v>
      </c>
      <c r="AJ38" s="1068"/>
      <c r="AK38" s="1069">
        <f t="shared" si="3"/>
        <v>1824</v>
      </c>
      <c r="AL38" s="1092">
        <v>46.37151340054821</v>
      </c>
      <c r="AM38" s="1070">
        <f t="shared" si="2"/>
        <v>845.81640442599939</v>
      </c>
      <c r="AN38" s="1071" t="s">
        <v>38</v>
      </c>
      <c r="AO38" s="449"/>
      <c r="AP38" s="449"/>
    </row>
    <row r="39" spans="1:42" ht="54" customHeight="1">
      <c r="A39" s="788">
        <v>23</v>
      </c>
      <c r="B39" s="788">
        <v>23</v>
      </c>
      <c r="C39" s="788" t="str">
        <f>'Chấm công KT'!C35</f>
        <v>03476</v>
      </c>
      <c r="D39" s="795" t="str">
        <f>'Chấm công KT'!D35</f>
        <v>T. Bin Ly.</v>
      </c>
      <c r="E39" s="795"/>
      <c r="F39" s="1067">
        <v>0</v>
      </c>
      <c r="G39" s="1067">
        <v>98</v>
      </c>
      <c r="H39" s="1067">
        <v>0</v>
      </c>
      <c r="I39" s="1067">
        <v>101</v>
      </c>
      <c r="J39" s="1067">
        <v>98</v>
      </c>
      <c r="K39" s="1067">
        <v>94</v>
      </c>
      <c r="L39" s="1067">
        <v>301</v>
      </c>
      <c r="M39" s="1067">
        <v>154</v>
      </c>
      <c r="N39" s="1067">
        <v>129</v>
      </c>
      <c r="O39" s="1067">
        <v>200</v>
      </c>
      <c r="P39" s="1067">
        <v>148</v>
      </c>
      <c r="Q39" s="1067">
        <v>117</v>
      </c>
      <c r="R39" s="1067">
        <v>86</v>
      </c>
      <c r="S39" s="1067">
        <v>0</v>
      </c>
      <c r="T39" s="1067">
        <v>0</v>
      </c>
      <c r="U39" s="1067">
        <v>0</v>
      </c>
      <c r="V39" s="1067">
        <v>0</v>
      </c>
      <c r="W39" s="1067">
        <v>192</v>
      </c>
      <c r="X39" s="1067">
        <v>0</v>
      </c>
      <c r="Y39" s="1067">
        <v>0</v>
      </c>
      <c r="Z39" s="1067">
        <v>142</v>
      </c>
      <c r="AA39" s="1067">
        <v>149</v>
      </c>
      <c r="AB39" s="1067">
        <v>202</v>
      </c>
      <c r="AC39" s="1067">
        <v>164</v>
      </c>
      <c r="AD39" s="1067">
        <v>0</v>
      </c>
      <c r="AE39" s="1067">
        <v>0</v>
      </c>
      <c r="AF39" s="1067">
        <v>93</v>
      </c>
      <c r="AG39" s="1067">
        <v>73</v>
      </c>
      <c r="AH39" s="1067">
        <v>68</v>
      </c>
      <c r="AI39" s="1067">
        <v>0</v>
      </c>
      <c r="AJ39" s="1068"/>
      <c r="AK39" s="1069">
        <f t="shared" si="3"/>
        <v>2609</v>
      </c>
      <c r="AL39" s="1092">
        <v>46.37151340054821</v>
      </c>
      <c r="AM39" s="1070">
        <f t="shared" si="2"/>
        <v>1209.8327846203028</v>
      </c>
      <c r="AN39" s="1071" t="s">
        <v>38</v>
      </c>
      <c r="AO39" s="449"/>
      <c r="AP39" s="449"/>
    </row>
    <row r="40" spans="1:42" ht="54" customHeight="1">
      <c r="A40" s="788">
        <v>24</v>
      </c>
      <c r="B40" s="788">
        <v>24</v>
      </c>
      <c r="C40" s="788" t="str">
        <f>'Chấm công KT'!C36</f>
        <v>03477</v>
      </c>
      <c r="D40" s="795" t="str">
        <f>'Chấm công KT'!D36</f>
        <v>N. Phim Phon.</v>
      </c>
      <c r="E40" s="795"/>
      <c r="F40" s="1067">
        <v>0</v>
      </c>
      <c r="G40" s="1067">
        <v>0</v>
      </c>
      <c r="H40" s="1067">
        <v>0</v>
      </c>
      <c r="I40" s="1067">
        <v>58</v>
      </c>
      <c r="J40" s="1067">
        <v>71</v>
      </c>
      <c r="K40" s="1067">
        <v>54</v>
      </c>
      <c r="L40" s="1067">
        <v>190</v>
      </c>
      <c r="M40" s="1067">
        <v>121</v>
      </c>
      <c r="N40" s="1067">
        <v>81</v>
      </c>
      <c r="O40" s="1067">
        <v>79</v>
      </c>
      <c r="P40" s="1067">
        <v>88</v>
      </c>
      <c r="Q40" s="1067">
        <v>0</v>
      </c>
      <c r="R40" s="1067">
        <v>0</v>
      </c>
      <c r="S40" s="1067">
        <v>0</v>
      </c>
      <c r="T40" s="1067">
        <v>0</v>
      </c>
      <c r="U40" s="1067">
        <v>0</v>
      </c>
      <c r="V40" s="1067">
        <v>92</v>
      </c>
      <c r="W40" s="1067">
        <v>71</v>
      </c>
      <c r="X40" s="1067">
        <v>57</v>
      </c>
      <c r="Y40" s="1067">
        <v>144</v>
      </c>
      <c r="Z40" s="1067">
        <v>51</v>
      </c>
      <c r="AA40" s="1067">
        <v>77</v>
      </c>
      <c r="AB40" s="1067">
        <v>77</v>
      </c>
      <c r="AC40" s="1067">
        <v>75</v>
      </c>
      <c r="AD40" s="1067">
        <v>78</v>
      </c>
      <c r="AE40" s="1067">
        <v>90</v>
      </c>
      <c r="AF40" s="1067">
        <v>121</v>
      </c>
      <c r="AG40" s="1067">
        <v>83</v>
      </c>
      <c r="AH40" s="1067">
        <v>69</v>
      </c>
      <c r="AI40" s="1067">
        <v>97</v>
      </c>
      <c r="AJ40" s="1068"/>
      <c r="AK40" s="1069">
        <f t="shared" si="3"/>
        <v>1924</v>
      </c>
      <c r="AL40" s="1092">
        <v>46.37151340054821</v>
      </c>
      <c r="AM40" s="1070">
        <f t="shared" si="2"/>
        <v>892.1879178265475</v>
      </c>
      <c r="AN40" s="1071" t="s">
        <v>46</v>
      </c>
      <c r="AO40" s="449"/>
      <c r="AP40" s="449"/>
    </row>
    <row r="41" spans="1:42" ht="54" customHeight="1">
      <c r="A41" s="788">
        <v>25</v>
      </c>
      <c r="B41" s="788">
        <v>25</v>
      </c>
      <c r="C41" s="788" t="str">
        <f>'Chấm công KT'!C37</f>
        <v>03478</v>
      </c>
      <c r="D41" s="795" t="str">
        <f>'Chấm công KT'!D37</f>
        <v>N. Nong</v>
      </c>
      <c r="E41" s="795"/>
      <c r="F41" s="1067">
        <v>80</v>
      </c>
      <c r="G41" s="1067">
        <v>94</v>
      </c>
      <c r="H41" s="1067">
        <v>0</v>
      </c>
      <c r="I41" s="1067">
        <v>44</v>
      </c>
      <c r="J41" s="1067">
        <v>87</v>
      </c>
      <c r="K41" s="1067">
        <v>91</v>
      </c>
      <c r="L41" s="1067">
        <v>213</v>
      </c>
      <c r="M41" s="1067">
        <v>137</v>
      </c>
      <c r="N41" s="1067">
        <v>165</v>
      </c>
      <c r="O41" s="1067">
        <v>178</v>
      </c>
      <c r="P41" s="1067">
        <v>0</v>
      </c>
      <c r="Q41" s="1067">
        <v>110</v>
      </c>
      <c r="R41" s="1067">
        <v>115</v>
      </c>
      <c r="S41" s="1067">
        <v>151</v>
      </c>
      <c r="T41" s="1067">
        <v>0</v>
      </c>
      <c r="U41" s="1067">
        <v>0</v>
      </c>
      <c r="V41" s="1067">
        <v>94</v>
      </c>
      <c r="W41" s="1067">
        <v>0</v>
      </c>
      <c r="X41" s="1067">
        <v>192</v>
      </c>
      <c r="Y41" s="1067">
        <v>88</v>
      </c>
      <c r="Z41" s="1067">
        <v>91</v>
      </c>
      <c r="AA41" s="1067">
        <v>0</v>
      </c>
      <c r="AB41" s="1067">
        <v>73</v>
      </c>
      <c r="AC41" s="1067">
        <v>122</v>
      </c>
      <c r="AD41" s="1067">
        <v>66</v>
      </c>
      <c r="AE41" s="1067">
        <v>132</v>
      </c>
      <c r="AF41" s="1067">
        <v>0</v>
      </c>
      <c r="AG41" s="1067">
        <v>0</v>
      </c>
      <c r="AH41" s="1067">
        <v>47</v>
      </c>
      <c r="AI41" s="1067">
        <v>79</v>
      </c>
      <c r="AJ41" s="1068"/>
      <c r="AK41" s="1069">
        <f t="shared" si="3"/>
        <v>2449</v>
      </c>
      <c r="AL41" s="1092">
        <v>46.37151340054821</v>
      </c>
      <c r="AM41" s="1070">
        <f t="shared" si="2"/>
        <v>1135.6383631794256</v>
      </c>
      <c r="AN41" s="1071" t="s">
        <v>46</v>
      </c>
      <c r="AO41" s="449"/>
      <c r="AP41" s="449"/>
    </row>
    <row r="42" spans="1:42" ht="54" customHeight="1">
      <c r="A42" s="788">
        <v>26</v>
      </c>
      <c r="B42" s="788">
        <v>26</v>
      </c>
      <c r="C42" s="788" t="str">
        <f>'Chấm công KT'!C38</f>
        <v>03479</v>
      </c>
      <c r="D42" s="795" t="str">
        <f>'Chấm công KT'!D38</f>
        <v>N. Tun 1</v>
      </c>
      <c r="E42" s="795"/>
      <c r="F42" s="1067">
        <v>80</v>
      </c>
      <c r="G42" s="1067">
        <v>112</v>
      </c>
      <c r="H42" s="1067">
        <v>120</v>
      </c>
      <c r="I42" s="1067">
        <v>0</v>
      </c>
      <c r="J42" s="1067">
        <v>0</v>
      </c>
      <c r="K42" s="1067">
        <v>0</v>
      </c>
      <c r="L42" s="1067">
        <v>0</v>
      </c>
      <c r="M42" s="1067">
        <v>188</v>
      </c>
      <c r="N42" s="1067">
        <v>112</v>
      </c>
      <c r="O42" s="1067">
        <v>100</v>
      </c>
      <c r="P42" s="1067">
        <v>0</v>
      </c>
      <c r="Q42" s="1067">
        <v>73</v>
      </c>
      <c r="R42" s="1067">
        <v>212</v>
      </c>
      <c r="S42" s="1067">
        <v>207</v>
      </c>
      <c r="T42" s="1067">
        <v>0</v>
      </c>
      <c r="U42" s="1067">
        <v>0</v>
      </c>
      <c r="V42" s="1067">
        <v>124</v>
      </c>
      <c r="W42" s="1067">
        <v>0</v>
      </c>
      <c r="X42" s="1067">
        <v>145</v>
      </c>
      <c r="Y42" s="1067">
        <v>0</v>
      </c>
      <c r="Z42" s="1067">
        <v>146</v>
      </c>
      <c r="AA42" s="1067">
        <v>174</v>
      </c>
      <c r="AB42" s="1067">
        <v>114</v>
      </c>
      <c r="AC42" s="1067">
        <v>0</v>
      </c>
      <c r="AD42" s="1067">
        <v>128</v>
      </c>
      <c r="AE42" s="1067">
        <v>98</v>
      </c>
      <c r="AF42" s="1067">
        <v>135</v>
      </c>
      <c r="AG42" s="1067">
        <v>148</v>
      </c>
      <c r="AH42" s="1067">
        <v>198</v>
      </c>
      <c r="AI42" s="1067">
        <v>103</v>
      </c>
      <c r="AJ42" s="1068"/>
      <c r="AK42" s="1069">
        <f t="shared" si="3"/>
        <v>2717</v>
      </c>
      <c r="AL42" s="1092">
        <v>46.37151340054821</v>
      </c>
      <c r="AM42" s="1070">
        <f t="shared" si="2"/>
        <v>1259.9140190928949</v>
      </c>
      <c r="AN42" s="1071" t="s">
        <v>38</v>
      </c>
      <c r="AO42" s="449"/>
      <c r="AP42" s="449"/>
    </row>
    <row r="43" spans="1:42" ht="54" customHeight="1">
      <c r="A43" s="788">
        <v>27</v>
      </c>
      <c r="B43" s="788">
        <v>27</v>
      </c>
      <c r="C43" s="788" t="str">
        <f>'Chấm công KT'!C39</f>
        <v>03480</v>
      </c>
      <c r="D43" s="795" t="str">
        <f>'Chấm công KT'!D39</f>
        <v>T . Lốc</v>
      </c>
      <c r="E43" s="795"/>
      <c r="F43" s="1067">
        <v>77</v>
      </c>
      <c r="G43" s="1067">
        <v>122</v>
      </c>
      <c r="H43" s="1067">
        <v>105</v>
      </c>
      <c r="I43" s="1067">
        <v>0</v>
      </c>
      <c r="J43" s="1067">
        <v>0</v>
      </c>
      <c r="K43" s="1067">
        <v>0</v>
      </c>
      <c r="L43" s="1067">
        <v>0</v>
      </c>
      <c r="M43" s="1067">
        <v>200</v>
      </c>
      <c r="N43" s="1067">
        <v>122</v>
      </c>
      <c r="O43" s="1067">
        <v>120</v>
      </c>
      <c r="P43" s="1067">
        <v>0</v>
      </c>
      <c r="Q43" s="1067">
        <v>74</v>
      </c>
      <c r="R43" s="1067">
        <v>226</v>
      </c>
      <c r="S43" s="1067">
        <v>187</v>
      </c>
      <c r="T43" s="1067">
        <v>0</v>
      </c>
      <c r="U43" s="1067">
        <v>0</v>
      </c>
      <c r="V43" s="1067">
        <v>124</v>
      </c>
      <c r="W43" s="1067">
        <v>0</v>
      </c>
      <c r="X43" s="1067">
        <v>138</v>
      </c>
      <c r="Y43" s="1067">
        <v>0</v>
      </c>
      <c r="Z43" s="1067">
        <v>141</v>
      </c>
      <c r="AA43" s="1067">
        <v>180</v>
      </c>
      <c r="AB43" s="1067">
        <v>100</v>
      </c>
      <c r="AC43" s="1067">
        <v>0</v>
      </c>
      <c r="AD43" s="1067">
        <v>115</v>
      </c>
      <c r="AE43" s="1067">
        <v>111</v>
      </c>
      <c r="AF43" s="1067">
        <v>165</v>
      </c>
      <c r="AG43" s="1067">
        <v>150</v>
      </c>
      <c r="AH43" s="1067">
        <v>131</v>
      </c>
      <c r="AI43" s="1067">
        <v>114</v>
      </c>
      <c r="AJ43" s="1068"/>
      <c r="AK43" s="1069">
        <f t="shared" si="3"/>
        <v>2702</v>
      </c>
      <c r="AL43" s="1092">
        <v>46.37151340054821</v>
      </c>
      <c r="AM43" s="1070">
        <f t="shared" si="2"/>
        <v>1252.9582920828127</v>
      </c>
      <c r="AN43" s="1071" t="s">
        <v>38</v>
      </c>
      <c r="AO43" s="449"/>
      <c r="AP43" s="449"/>
    </row>
    <row r="44" spans="1:42" ht="54" customHeight="1">
      <c r="A44" s="788">
        <v>28</v>
      </c>
      <c r="B44" s="788">
        <v>28</v>
      </c>
      <c r="C44" s="788" t="str">
        <f>'Chấm công KT'!C40</f>
        <v>03481</v>
      </c>
      <c r="D44" s="795" t="str">
        <f>'Chấm công KT'!D40</f>
        <v>N . Khâm (1)</v>
      </c>
      <c r="E44" s="795"/>
      <c r="F44" s="1067">
        <v>0</v>
      </c>
      <c r="G44" s="1067">
        <v>80</v>
      </c>
      <c r="H44" s="1067">
        <v>85</v>
      </c>
      <c r="I44" s="1067">
        <v>44</v>
      </c>
      <c r="J44" s="1067">
        <v>90</v>
      </c>
      <c r="K44" s="1067">
        <v>69</v>
      </c>
      <c r="L44" s="1067">
        <v>183</v>
      </c>
      <c r="M44" s="1067">
        <v>148</v>
      </c>
      <c r="N44" s="1067">
        <v>128</v>
      </c>
      <c r="O44" s="1067">
        <v>197</v>
      </c>
      <c r="P44" s="1067">
        <v>168</v>
      </c>
      <c r="Q44" s="1067">
        <v>107</v>
      </c>
      <c r="R44" s="1067">
        <v>118</v>
      </c>
      <c r="S44" s="1067">
        <v>0</v>
      </c>
      <c r="T44" s="1067">
        <v>0</v>
      </c>
      <c r="U44" s="1067">
        <v>0</v>
      </c>
      <c r="V44" s="1067">
        <v>134</v>
      </c>
      <c r="W44" s="1067">
        <v>199</v>
      </c>
      <c r="X44" s="1067">
        <v>0</v>
      </c>
      <c r="Y44" s="1067">
        <v>82</v>
      </c>
      <c r="Z44" s="1067">
        <v>0</v>
      </c>
      <c r="AA44" s="1067">
        <v>166</v>
      </c>
      <c r="AB44" s="1067">
        <v>228</v>
      </c>
      <c r="AC44" s="1067">
        <v>0</v>
      </c>
      <c r="AD44" s="1067">
        <v>171</v>
      </c>
      <c r="AE44" s="1067">
        <v>132</v>
      </c>
      <c r="AF44" s="1067">
        <v>115</v>
      </c>
      <c r="AG44" s="1067">
        <v>172</v>
      </c>
      <c r="AH44" s="1067">
        <v>78</v>
      </c>
      <c r="AI44" s="1067">
        <v>137</v>
      </c>
      <c r="AJ44" s="1068"/>
      <c r="AK44" s="1069">
        <f t="shared" si="3"/>
        <v>3031</v>
      </c>
      <c r="AL44" s="1092">
        <v>46.37151340054821</v>
      </c>
      <c r="AM44" s="1070">
        <f t="shared" si="2"/>
        <v>1405.5205711706162</v>
      </c>
      <c r="AN44" s="1071" t="s">
        <v>38</v>
      </c>
      <c r="AO44" s="449"/>
      <c r="AP44" s="449"/>
    </row>
    <row r="45" spans="1:42" ht="54" customHeight="1">
      <c r="A45" s="788">
        <v>29</v>
      </c>
      <c r="B45" s="788">
        <v>29</v>
      </c>
      <c r="C45" s="788" t="str">
        <f>'Chấm công KT'!C41</f>
        <v>03482</v>
      </c>
      <c r="D45" s="795" t="str">
        <f>'Chấm công KT'!D41</f>
        <v>T . Phết</v>
      </c>
      <c r="E45" s="795"/>
      <c r="F45" s="1067">
        <v>0</v>
      </c>
      <c r="G45" s="1067">
        <v>80</v>
      </c>
      <c r="H45" s="1067">
        <v>86</v>
      </c>
      <c r="I45" s="1067">
        <v>45</v>
      </c>
      <c r="J45" s="1067">
        <v>91</v>
      </c>
      <c r="K45" s="1067">
        <v>72</v>
      </c>
      <c r="L45" s="1067">
        <v>181</v>
      </c>
      <c r="M45" s="1067">
        <v>137</v>
      </c>
      <c r="N45" s="1067">
        <v>128</v>
      </c>
      <c r="O45" s="1067">
        <v>202</v>
      </c>
      <c r="P45" s="1067">
        <v>168</v>
      </c>
      <c r="Q45" s="1067">
        <v>107</v>
      </c>
      <c r="R45" s="1067">
        <v>114</v>
      </c>
      <c r="S45" s="1067">
        <v>0</v>
      </c>
      <c r="T45" s="1067">
        <v>0</v>
      </c>
      <c r="U45" s="1067">
        <v>0</v>
      </c>
      <c r="V45" s="1067">
        <v>148</v>
      </c>
      <c r="W45" s="1067">
        <v>202</v>
      </c>
      <c r="X45" s="1067">
        <v>0</v>
      </c>
      <c r="Y45" s="1067">
        <v>85</v>
      </c>
      <c r="Z45" s="1067">
        <v>0</v>
      </c>
      <c r="AA45" s="1067">
        <v>194</v>
      </c>
      <c r="AB45" s="1067">
        <v>241</v>
      </c>
      <c r="AC45" s="1067">
        <v>0</v>
      </c>
      <c r="AD45" s="1067">
        <v>171</v>
      </c>
      <c r="AE45" s="1067">
        <v>127</v>
      </c>
      <c r="AF45" s="1067">
        <v>102</v>
      </c>
      <c r="AG45" s="1067">
        <v>158</v>
      </c>
      <c r="AH45" s="1067">
        <v>78</v>
      </c>
      <c r="AI45" s="1067">
        <v>155</v>
      </c>
      <c r="AJ45" s="1068"/>
      <c r="AK45" s="1069">
        <f t="shared" si="3"/>
        <v>3072</v>
      </c>
      <c r="AL45" s="1092">
        <v>46.37151340054821</v>
      </c>
      <c r="AM45" s="1070">
        <f t="shared" si="2"/>
        <v>1424.5328916648409</v>
      </c>
      <c r="AN45" s="1071" t="s">
        <v>38</v>
      </c>
      <c r="AO45" s="449"/>
      <c r="AP45" s="449"/>
    </row>
    <row r="46" spans="1:42" ht="54" customHeight="1">
      <c r="A46" s="788">
        <v>30</v>
      </c>
      <c r="B46" s="788">
        <v>30</v>
      </c>
      <c r="C46" s="788" t="str">
        <f>'Chấm công KT'!C42</f>
        <v>03483</v>
      </c>
      <c r="D46" s="795" t="str">
        <f>'Chấm công KT'!D42</f>
        <v>T. Viêng Sa Văn</v>
      </c>
      <c r="E46" s="795"/>
      <c r="F46" s="1067">
        <v>123</v>
      </c>
      <c r="G46" s="1067">
        <v>75</v>
      </c>
      <c r="H46" s="1067">
        <v>65</v>
      </c>
      <c r="I46" s="1067">
        <v>71</v>
      </c>
      <c r="J46" s="1067">
        <v>70</v>
      </c>
      <c r="K46" s="1067">
        <v>78</v>
      </c>
      <c r="L46" s="1067">
        <v>262</v>
      </c>
      <c r="M46" s="1067">
        <v>146</v>
      </c>
      <c r="N46" s="1067">
        <v>190</v>
      </c>
      <c r="O46" s="1067">
        <v>86</v>
      </c>
      <c r="P46" s="1067">
        <v>168</v>
      </c>
      <c r="Q46" s="1067">
        <v>131</v>
      </c>
      <c r="R46" s="1067">
        <v>0</v>
      </c>
      <c r="S46" s="1067">
        <v>139</v>
      </c>
      <c r="T46" s="1067">
        <v>0</v>
      </c>
      <c r="U46" s="1067">
        <v>0</v>
      </c>
      <c r="V46" s="1067">
        <v>215</v>
      </c>
      <c r="W46" s="1067">
        <v>111</v>
      </c>
      <c r="X46" s="1067">
        <v>136</v>
      </c>
      <c r="Y46" s="1067">
        <v>114</v>
      </c>
      <c r="Z46" s="1067">
        <v>89</v>
      </c>
      <c r="AA46" s="1067">
        <v>144</v>
      </c>
      <c r="AB46" s="1067">
        <v>63</v>
      </c>
      <c r="AC46" s="1067">
        <v>123</v>
      </c>
      <c r="AD46" s="1067">
        <v>0</v>
      </c>
      <c r="AE46" s="1067">
        <v>90</v>
      </c>
      <c r="AF46" s="1067">
        <v>96</v>
      </c>
      <c r="AG46" s="1067">
        <v>69</v>
      </c>
      <c r="AH46" s="1067">
        <v>104</v>
      </c>
      <c r="AI46" s="1067">
        <v>65</v>
      </c>
      <c r="AJ46" s="1068"/>
      <c r="AK46" s="1069">
        <f t="shared" si="3"/>
        <v>3023</v>
      </c>
      <c r="AL46" s="1092">
        <v>46.37151340054821</v>
      </c>
      <c r="AM46" s="1070">
        <f t="shared" si="2"/>
        <v>1401.8108500985722</v>
      </c>
      <c r="AN46" s="1071" t="s">
        <v>38</v>
      </c>
      <c r="AO46" s="449"/>
      <c r="AP46" s="449"/>
    </row>
    <row r="47" spans="1:42" ht="54" customHeight="1">
      <c r="A47" s="788">
        <v>31</v>
      </c>
      <c r="B47" s="788">
        <v>31</v>
      </c>
      <c r="C47" s="788" t="str">
        <f>'Chấm công KT'!C43</f>
        <v>03484</v>
      </c>
      <c r="D47" s="795" t="str">
        <f>'Chấm công KT'!D43</f>
        <v>T. Ca Te</v>
      </c>
      <c r="E47" s="795"/>
      <c r="F47" s="1067">
        <v>89</v>
      </c>
      <c r="G47" s="1067">
        <v>95</v>
      </c>
      <c r="H47" s="1067">
        <v>0</v>
      </c>
      <c r="I47" s="1067">
        <v>44</v>
      </c>
      <c r="J47" s="1067">
        <v>61</v>
      </c>
      <c r="K47" s="1067">
        <v>90</v>
      </c>
      <c r="L47" s="1067">
        <v>180</v>
      </c>
      <c r="M47" s="1067">
        <v>142</v>
      </c>
      <c r="N47" s="1067">
        <v>182</v>
      </c>
      <c r="O47" s="1067">
        <v>216</v>
      </c>
      <c r="P47" s="1067">
        <v>0</v>
      </c>
      <c r="Q47" s="1067">
        <v>111</v>
      </c>
      <c r="R47" s="1067">
        <v>115</v>
      </c>
      <c r="S47" s="1067">
        <v>156</v>
      </c>
      <c r="T47" s="1067">
        <v>0</v>
      </c>
      <c r="U47" s="1067">
        <v>0</v>
      </c>
      <c r="V47" s="1067">
        <v>87</v>
      </c>
      <c r="W47" s="1067">
        <v>152</v>
      </c>
      <c r="X47" s="1067">
        <v>197</v>
      </c>
      <c r="Y47" s="1067">
        <v>82</v>
      </c>
      <c r="Z47" s="1067">
        <v>86</v>
      </c>
      <c r="AA47" s="1067">
        <v>158</v>
      </c>
      <c r="AB47" s="1067">
        <v>84</v>
      </c>
      <c r="AC47" s="1067">
        <v>123</v>
      </c>
      <c r="AD47" s="1067">
        <v>80</v>
      </c>
      <c r="AE47" s="1067">
        <v>132</v>
      </c>
      <c r="AF47" s="1067">
        <v>0</v>
      </c>
      <c r="AG47" s="1067">
        <v>0</v>
      </c>
      <c r="AH47" s="1067">
        <v>0</v>
      </c>
      <c r="AI47" s="1067">
        <v>0</v>
      </c>
      <c r="AJ47" s="1068"/>
      <c r="AK47" s="1069">
        <f t="shared" si="3"/>
        <v>2662</v>
      </c>
      <c r="AL47" s="1092">
        <v>46.37151340054821</v>
      </c>
      <c r="AM47" s="1070">
        <f t="shared" si="2"/>
        <v>1234.4096867225933</v>
      </c>
      <c r="AN47" s="1071" t="s">
        <v>38</v>
      </c>
      <c r="AO47" s="449"/>
      <c r="AP47" s="449"/>
    </row>
    <row r="48" spans="1:42" ht="54" customHeight="1">
      <c r="A48" s="788">
        <v>32</v>
      </c>
      <c r="B48" s="788">
        <v>32</v>
      </c>
      <c r="C48" s="788" t="str">
        <f>'Chấm công KT'!C44</f>
        <v>03485</v>
      </c>
      <c r="D48" s="795" t="str">
        <f>'Chấm công KT'!D44</f>
        <v>T. Lâm Phon</v>
      </c>
      <c r="E48" s="795"/>
      <c r="F48" s="1067">
        <v>70</v>
      </c>
      <c r="G48" s="1067">
        <v>77</v>
      </c>
      <c r="H48" s="1067">
        <v>102</v>
      </c>
      <c r="I48" s="1067">
        <v>49</v>
      </c>
      <c r="J48" s="1067">
        <v>50</v>
      </c>
      <c r="K48" s="1067">
        <v>83</v>
      </c>
      <c r="L48" s="1067">
        <v>160</v>
      </c>
      <c r="M48" s="1067">
        <v>103</v>
      </c>
      <c r="N48" s="1067">
        <v>120</v>
      </c>
      <c r="O48" s="1067">
        <v>109</v>
      </c>
      <c r="P48" s="1067">
        <v>144</v>
      </c>
      <c r="Q48" s="1067">
        <v>108</v>
      </c>
      <c r="R48" s="1067">
        <v>125</v>
      </c>
      <c r="S48" s="1067">
        <v>0</v>
      </c>
      <c r="T48" s="1067">
        <v>0</v>
      </c>
      <c r="U48" s="1067">
        <v>0</v>
      </c>
      <c r="V48" s="1067">
        <v>0</v>
      </c>
      <c r="W48" s="1067">
        <v>216</v>
      </c>
      <c r="X48" s="1067">
        <v>134</v>
      </c>
      <c r="Y48" s="1067">
        <v>0</v>
      </c>
      <c r="Z48" s="1067">
        <v>180</v>
      </c>
      <c r="AA48" s="1067">
        <v>185</v>
      </c>
      <c r="AB48" s="1067">
        <v>116</v>
      </c>
      <c r="AC48" s="1067">
        <v>95</v>
      </c>
      <c r="AD48" s="1067">
        <v>145</v>
      </c>
      <c r="AE48" s="1067">
        <v>139</v>
      </c>
      <c r="AF48" s="1067">
        <v>73</v>
      </c>
      <c r="AG48" s="1067">
        <v>47</v>
      </c>
      <c r="AH48" s="1067">
        <v>65</v>
      </c>
      <c r="AI48" s="1067">
        <v>124</v>
      </c>
      <c r="AJ48" s="1068"/>
      <c r="AK48" s="1069">
        <f t="shared" si="3"/>
        <v>2819</v>
      </c>
      <c r="AL48" s="1092">
        <v>46.37151340054821</v>
      </c>
      <c r="AM48" s="1070">
        <f t="shared" si="2"/>
        <v>1307.212962761454</v>
      </c>
      <c r="AN48" s="1071" t="s">
        <v>46</v>
      </c>
      <c r="AO48" s="449"/>
      <c r="AP48" s="449"/>
    </row>
    <row r="49" spans="1:42" ht="54" customHeight="1">
      <c r="A49" s="788">
        <v>33</v>
      </c>
      <c r="B49" s="788">
        <v>33</v>
      </c>
      <c r="C49" s="788" t="str">
        <f>'Chấm công KT'!C45</f>
        <v>02712</v>
      </c>
      <c r="D49" s="795" t="str">
        <f>'Chấm công KT'!D45</f>
        <v>T. Sô Đa</v>
      </c>
      <c r="E49" s="795"/>
      <c r="F49" s="1067">
        <v>77</v>
      </c>
      <c r="G49" s="1067">
        <v>104</v>
      </c>
      <c r="H49" s="1067">
        <v>89</v>
      </c>
      <c r="I49" s="1067">
        <v>51</v>
      </c>
      <c r="J49" s="1067">
        <v>0</v>
      </c>
      <c r="K49" s="1067">
        <v>102</v>
      </c>
      <c r="L49" s="1067">
        <v>181</v>
      </c>
      <c r="M49" s="1067">
        <v>125</v>
      </c>
      <c r="N49" s="1067">
        <v>180</v>
      </c>
      <c r="O49" s="1067">
        <v>103</v>
      </c>
      <c r="P49" s="1067">
        <v>164</v>
      </c>
      <c r="Q49" s="1067">
        <v>0</v>
      </c>
      <c r="R49" s="1067">
        <v>0</v>
      </c>
      <c r="S49" s="1067">
        <v>208</v>
      </c>
      <c r="T49" s="1067">
        <v>0</v>
      </c>
      <c r="U49" s="1067">
        <v>0</v>
      </c>
      <c r="V49" s="1067">
        <v>144</v>
      </c>
      <c r="W49" s="1067">
        <v>153</v>
      </c>
      <c r="X49" s="1067">
        <v>117</v>
      </c>
      <c r="Y49" s="1067">
        <v>164</v>
      </c>
      <c r="Z49" s="1067">
        <v>89</v>
      </c>
      <c r="AA49" s="1067">
        <v>142</v>
      </c>
      <c r="AB49" s="1067">
        <v>100</v>
      </c>
      <c r="AC49" s="1067">
        <v>66</v>
      </c>
      <c r="AD49" s="1067">
        <v>82</v>
      </c>
      <c r="AE49" s="1067">
        <v>130</v>
      </c>
      <c r="AF49" s="1067">
        <v>93</v>
      </c>
      <c r="AG49" s="1067">
        <v>70</v>
      </c>
      <c r="AH49" s="1067">
        <v>79</v>
      </c>
      <c r="AI49" s="1067">
        <v>124</v>
      </c>
      <c r="AJ49" s="1068"/>
      <c r="AK49" s="1069">
        <f t="shared" si="3"/>
        <v>2937</v>
      </c>
      <c r="AL49" s="1092">
        <v>46.37151340054821</v>
      </c>
      <c r="AM49" s="1070">
        <f t="shared" ref="AM49:AM80" si="4">AK49*AL49/100</f>
        <v>1361.9313485741011</v>
      </c>
      <c r="AN49" s="1071" t="s">
        <v>38</v>
      </c>
      <c r="AO49" s="449"/>
      <c r="AP49" s="449"/>
    </row>
    <row r="50" spans="1:42" ht="54" customHeight="1">
      <c r="A50" s="788">
        <v>34</v>
      </c>
      <c r="B50" s="788">
        <v>34</v>
      </c>
      <c r="C50" s="788" t="str">
        <f>'Chấm công KT'!C46</f>
        <v>02722</v>
      </c>
      <c r="D50" s="795" t="str">
        <f>'Chấm công KT'!D46</f>
        <v>T. Phu Ngân</v>
      </c>
      <c r="E50" s="795"/>
      <c r="F50" s="1067">
        <v>87</v>
      </c>
      <c r="G50" s="1067">
        <v>104</v>
      </c>
      <c r="H50" s="1067">
        <v>0</v>
      </c>
      <c r="I50" s="1067">
        <v>88</v>
      </c>
      <c r="J50" s="1067">
        <v>72</v>
      </c>
      <c r="K50" s="1067">
        <v>110</v>
      </c>
      <c r="L50" s="1067">
        <v>160</v>
      </c>
      <c r="M50" s="1067">
        <v>204</v>
      </c>
      <c r="N50" s="1067">
        <v>164</v>
      </c>
      <c r="O50" s="1067">
        <v>189</v>
      </c>
      <c r="P50" s="1067">
        <v>189</v>
      </c>
      <c r="Q50" s="1067">
        <v>134</v>
      </c>
      <c r="R50" s="1067">
        <v>96</v>
      </c>
      <c r="S50" s="1067">
        <v>161</v>
      </c>
      <c r="T50" s="1067">
        <v>0</v>
      </c>
      <c r="U50" s="1067">
        <v>0</v>
      </c>
      <c r="V50" s="1067">
        <v>123</v>
      </c>
      <c r="W50" s="1067">
        <v>130</v>
      </c>
      <c r="X50" s="1067">
        <v>162</v>
      </c>
      <c r="Y50" s="1067">
        <v>101</v>
      </c>
      <c r="Z50" s="1067">
        <v>106</v>
      </c>
      <c r="AA50" s="1067">
        <v>140</v>
      </c>
      <c r="AB50" s="1067">
        <v>129</v>
      </c>
      <c r="AC50" s="1067">
        <v>116</v>
      </c>
      <c r="AD50" s="1067">
        <v>0</v>
      </c>
      <c r="AE50" s="1067">
        <v>0</v>
      </c>
      <c r="AF50" s="1067">
        <v>139</v>
      </c>
      <c r="AG50" s="1067">
        <v>78</v>
      </c>
      <c r="AH50" s="1067">
        <v>71</v>
      </c>
      <c r="AI50" s="1067">
        <v>168</v>
      </c>
      <c r="AJ50" s="1068"/>
      <c r="AK50" s="1069">
        <f t="shared" si="3"/>
        <v>3221</v>
      </c>
      <c r="AL50" s="1092">
        <v>46.37151340054821</v>
      </c>
      <c r="AM50" s="1070">
        <f t="shared" si="4"/>
        <v>1493.6264466316579</v>
      </c>
      <c r="AN50" s="1071" t="s">
        <v>38</v>
      </c>
      <c r="AO50" s="449"/>
      <c r="AP50" s="449"/>
    </row>
    <row r="51" spans="1:42" ht="54" customHeight="1">
      <c r="A51" s="788">
        <v>35</v>
      </c>
      <c r="B51" s="788">
        <v>35</v>
      </c>
      <c r="C51" s="788" t="str">
        <f>'Chấm công KT'!C47</f>
        <v>02714</v>
      </c>
      <c r="D51" s="795" t="str">
        <f>'Chấm công KT'!D47</f>
        <v>N. Tủn</v>
      </c>
      <c r="E51" s="795"/>
      <c r="F51" s="1067">
        <v>50</v>
      </c>
      <c r="G51" s="1067">
        <v>0</v>
      </c>
      <c r="H51" s="1067">
        <v>56</v>
      </c>
      <c r="I51" s="1067">
        <v>49</v>
      </c>
      <c r="J51" s="1067">
        <v>54</v>
      </c>
      <c r="K51" s="1067">
        <v>80</v>
      </c>
      <c r="L51" s="1067">
        <v>136</v>
      </c>
      <c r="M51" s="1067">
        <v>152</v>
      </c>
      <c r="N51" s="1067">
        <v>130</v>
      </c>
      <c r="O51" s="1067">
        <v>0</v>
      </c>
      <c r="P51" s="1067">
        <v>122</v>
      </c>
      <c r="Q51" s="1067">
        <v>114</v>
      </c>
      <c r="R51" s="1067">
        <v>114</v>
      </c>
      <c r="S51" s="1067">
        <v>92</v>
      </c>
      <c r="T51" s="1067">
        <v>0</v>
      </c>
      <c r="U51" s="1067">
        <v>0</v>
      </c>
      <c r="V51" s="1067">
        <v>0</v>
      </c>
      <c r="W51" s="1067">
        <v>0</v>
      </c>
      <c r="X51" s="1067">
        <v>0</v>
      </c>
      <c r="Y51" s="1067">
        <v>0</v>
      </c>
      <c r="Z51" s="1067">
        <v>0</v>
      </c>
      <c r="AA51" s="1067">
        <v>109</v>
      </c>
      <c r="AB51" s="1067">
        <v>150</v>
      </c>
      <c r="AC51" s="1067">
        <v>100</v>
      </c>
      <c r="AD51" s="1067">
        <v>207</v>
      </c>
      <c r="AE51" s="1067">
        <v>0</v>
      </c>
      <c r="AF51" s="1067">
        <v>0</v>
      </c>
      <c r="AG51" s="1067">
        <v>61</v>
      </c>
      <c r="AH51" s="1067">
        <v>79</v>
      </c>
      <c r="AI51" s="1067">
        <v>90</v>
      </c>
      <c r="AJ51" s="1068"/>
      <c r="AK51" s="1069">
        <f t="shared" si="3"/>
        <v>1945</v>
      </c>
      <c r="AL51" s="1092">
        <v>46.37151340054821</v>
      </c>
      <c r="AM51" s="1070">
        <f t="shared" si="4"/>
        <v>901.9259356406626</v>
      </c>
      <c r="AN51" s="1071" t="s">
        <v>38</v>
      </c>
      <c r="AO51" s="449"/>
      <c r="AP51" s="449"/>
    </row>
    <row r="52" spans="1:42" ht="54" customHeight="1">
      <c r="A52" s="788">
        <v>36</v>
      </c>
      <c r="B52" s="788">
        <v>36</v>
      </c>
      <c r="C52" s="788" t="str">
        <f>'Chấm công KT'!C48</f>
        <v>02713</v>
      </c>
      <c r="D52" s="795" t="str">
        <f>'Chấm công KT'!D48</f>
        <v>T. Lung</v>
      </c>
      <c r="E52" s="795"/>
      <c r="F52" s="1067">
        <v>49</v>
      </c>
      <c r="G52" s="1067">
        <v>0</v>
      </c>
      <c r="H52" s="1067">
        <v>69</v>
      </c>
      <c r="I52" s="1067">
        <v>49</v>
      </c>
      <c r="J52" s="1067">
        <v>80</v>
      </c>
      <c r="K52" s="1067">
        <v>60</v>
      </c>
      <c r="L52" s="1067">
        <v>136</v>
      </c>
      <c r="M52" s="1067">
        <v>154</v>
      </c>
      <c r="N52" s="1067">
        <v>143</v>
      </c>
      <c r="O52" s="1067">
        <v>0</v>
      </c>
      <c r="P52" s="1067">
        <v>123</v>
      </c>
      <c r="Q52" s="1067">
        <v>112</v>
      </c>
      <c r="R52" s="1067">
        <v>105</v>
      </c>
      <c r="S52" s="1067">
        <v>100</v>
      </c>
      <c r="T52" s="1067">
        <v>0</v>
      </c>
      <c r="U52" s="1067">
        <v>0</v>
      </c>
      <c r="V52" s="1067">
        <v>0</v>
      </c>
      <c r="W52" s="1067">
        <v>0</v>
      </c>
      <c r="X52" s="1067">
        <v>0</v>
      </c>
      <c r="Y52" s="1067">
        <v>0</v>
      </c>
      <c r="Z52" s="1067">
        <v>0</v>
      </c>
      <c r="AA52" s="1067">
        <v>109</v>
      </c>
      <c r="AB52" s="1067">
        <v>140</v>
      </c>
      <c r="AC52" s="1067">
        <v>99</v>
      </c>
      <c r="AD52" s="1067">
        <v>186</v>
      </c>
      <c r="AE52" s="1067">
        <v>0</v>
      </c>
      <c r="AF52" s="1067">
        <v>0</v>
      </c>
      <c r="AG52" s="1067">
        <v>83</v>
      </c>
      <c r="AH52" s="1067">
        <v>79</v>
      </c>
      <c r="AI52" s="1067">
        <v>71</v>
      </c>
      <c r="AJ52" s="1068"/>
      <c r="AK52" s="1069">
        <f t="shared" si="3"/>
        <v>1947</v>
      </c>
      <c r="AL52" s="1092">
        <v>46.37151340054821</v>
      </c>
      <c r="AM52" s="1070">
        <f t="shared" si="4"/>
        <v>902.8533659086736</v>
      </c>
      <c r="AN52" s="1071" t="s">
        <v>38</v>
      </c>
      <c r="AO52" s="449"/>
      <c r="AP52" s="449"/>
    </row>
    <row r="53" spans="1:42" ht="54" customHeight="1">
      <c r="A53" s="788">
        <v>37</v>
      </c>
      <c r="B53" s="788">
        <v>37</v>
      </c>
      <c r="C53" s="788" t="str">
        <f>'Chấm công KT'!C49</f>
        <v>04058</v>
      </c>
      <c r="D53" s="795" t="str">
        <f>'Chấm công KT'!D49</f>
        <v>T. Bi Ly (2)</v>
      </c>
      <c r="E53" s="795"/>
      <c r="F53" s="1067">
        <v>61</v>
      </c>
      <c r="G53" s="1067">
        <v>70</v>
      </c>
      <c r="H53" s="1067">
        <v>51</v>
      </c>
      <c r="I53" s="1067">
        <v>55</v>
      </c>
      <c r="J53" s="1067">
        <v>59</v>
      </c>
      <c r="K53" s="1067">
        <v>70</v>
      </c>
      <c r="L53" s="1067">
        <v>117</v>
      </c>
      <c r="M53" s="1067">
        <v>138</v>
      </c>
      <c r="N53" s="1067">
        <v>54</v>
      </c>
      <c r="O53" s="1067">
        <v>67</v>
      </c>
      <c r="P53" s="1067">
        <v>90</v>
      </c>
      <c r="Q53" s="1067">
        <v>169</v>
      </c>
      <c r="R53" s="1067">
        <v>199</v>
      </c>
      <c r="S53" s="1067">
        <v>0</v>
      </c>
      <c r="T53" s="1067">
        <v>0</v>
      </c>
      <c r="U53" s="1067">
        <v>0</v>
      </c>
      <c r="V53" s="1067">
        <v>0</v>
      </c>
      <c r="W53" s="1067">
        <v>0</v>
      </c>
      <c r="X53" s="1067">
        <v>0</v>
      </c>
      <c r="Y53" s="1067">
        <v>0</v>
      </c>
      <c r="Z53" s="1067">
        <v>142</v>
      </c>
      <c r="AA53" s="1067">
        <v>159</v>
      </c>
      <c r="AB53" s="1067">
        <v>60</v>
      </c>
      <c r="AC53" s="1067">
        <v>146</v>
      </c>
      <c r="AD53" s="1067">
        <v>95</v>
      </c>
      <c r="AE53" s="1067">
        <v>0</v>
      </c>
      <c r="AF53" s="1067">
        <v>71</v>
      </c>
      <c r="AG53" s="1067">
        <v>98</v>
      </c>
      <c r="AH53" s="1067">
        <v>98</v>
      </c>
      <c r="AI53" s="1067">
        <v>125</v>
      </c>
      <c r="AJ53" s="1068"/>
      <c r="AK53" s="1069">
        <f t="shared" si="3"/>
        <v>2194</v>
      </c>
      <c r="AL53" s="1092">
        <v>46.37151340054821</v>
      </c>
      <c r="AM53" s="1070">
        <f t="shared" si="4"/>
        <v>1017.3910040080277</v>
      </c>
      <c r="AN53" s="1071" t="s">
        <v>46</v>
      </c>
      <c r="AO53" s="449"/>
      <c r="AP53" s="449"/>
    </row>
    <row r="54" spans="1:42" ht="54" customHeight="1">
      <c r="A54" s="788">
        <v>38</v>
      </c>
      <c r="B54" s="788">
        <v>38</v>
      </c>
      <c r="C54" s="788" t="str">
        <f>'Chấm công KT'!C50</f>
        <v>03487</v>
      </c>
      <c r="D54" s="795" t="str">
        <f>'Chấm công KT'!D50</f>
        <v>N. Ba Say</v>
      </c>
      <c r="E54" s="795"/>
      <c r="F54" s="1067">
        <v>62</v>
      </c>
      <c r="G54" s="1067">
        <v>49</v>
      </c>
      <c r="H54" s="1067">
        <v>86</v>
      </c>
      <c r="I54" s="1067">
        <v>56</v>
      </c>
      <c r="J54" s="1067">
        <v>57</v>
      </c>
      <c r="K54" s="1067">
        <v>0</v>
      </c>
      <c r="L54" s="1067">
        <v>0</v>
      </c>
      <c r="M54" s="1067">
        <v>151</v>
      </c>
      <c r="N54" s="1067">
        <v>137</v>
      </c>
      <c r="O54" s="1067">
        <v>134</v>
      </c>
      <c r="P54" s="1067">
        <v>105</v>
      </c>
      <c r="Q54" s="1067">
        <v>0</v>
      </c>
      <c r="R54" s="1067">
        <v>0</v>
      </c>
      <c r="S54" s="1067">
        <v>0</v>
      </c>
      <c r="T54" s="1067">
        <v>0</v>
      </c>
      <c r="U54" s="1067">
        <v>0</v>
      </c>
      <c r="V54" s="1067">
        <v>101</v>
      </c>
      <c r="W54" s="1067">
        <v>127</v>
      </c>
      <c r="X54" s="1067">
        <v>43</v>
      </c>
      <c r="Y54" s="1067">
        <v>171</v>
      </c>
      <c r="Z54" s="1067">
        <v>0</v>
      </c>
      <c r="AA54" s="1067">
        <v>0</v>
      </c>
      <c r="AB54" s="1067">
        <v>0</v>
      </c>
      <c r="AC54" s="1067">
        <v>0</v>
      </c>
      <c r="AD54" s="1067">
        <v>167</v>
      </c>
      <c r="AE54" s="1067">
        <v>99</v>
      </c>
      <c r="AF54" s="1067">
        <v>0</v>
      </c>
      <c r="AG54" s="1067">
        <v>154</v>
      </c>
      <c r="AH54" s="1067">
        <v>0</v>
      </c>
      <c r="AI54" s="1067">
        <v>77</v>
      </c>
      <c r="AJ54" s="1068"/>
      <c r="AK54" s="1069">
        <f t="shared" si="3"/>
        <v>1776</v>
      </c>
      <c r="AL54" s="1092">
        <v>46.37151340054821</v>
      </c>
      <c r="AM54" s="1070">
        <f t="shared" si="4"/>
        <v>823.55807799373622</v>
      </c>
      <c r="AN54" s="1071" t="s">
        <v>46</v>
      </c>
      <c r="AO54" s="449"/>
      <c r="AP54" s="449"/>
    </row>
    <row r="55" spans="1:42" ht="54" customHeight="1">
      <c r="A55" s="788">
        <v>39</v>
      </c>
      <c r="B55" s="788">
        <v>39</v>
      </c>
      <c r="C55" s="788" t="str">
        <f>'Chấm công KT'!C51</f>
        <v>03488</v>
      </c>
      <c r="D55" s="795" t="str">
        <f>'Chấm công KT'!D51</f>
        <v>N. Đeng</v>
      </c>
      <c r="E55" s="795"/>
      <c r="F55" s="1067">
        <v>0</v>
      </c>
      <c r="G55" s="1067">
        <v>51</v>
      </c>
      <c r="H55" s="1067">
        <v>55</v>
      </c>
      <c r="I55" s="1067">
        <v>94</v>
      </c>
      <c r="J55" s="1067">
        <v>112</v>
      </c>
      <c r="K55" s="1067">
        <v>50</v>
      </c>
      <c r="L55" s="1067">
        <v>168</v>
      </c>
      <c r="M55" s="1067">
        <v>197</v>
      </c>
      <c r="N55" s="1067">
        <v>157</v>
      </c>
      <c r="O55" s="1067">
        <v>120</v>
      </c>
      <c r="P55" s="1067">
        <v>0</v>
      </c>
      <c r="Q55" s="1067">
        <v>0</v>
      </c>
      <c r="R55" s="1067">
        <v>93</v>
      </c>
      <c r="S55" s="1067">
        <v>0</v>
      </c>
      <c r="T55" s="1067">
        <v>0</v>
      </c>
      <c r="U55" s="1067">
        <v>0</v>
      </c>
      <c r="V55" s="1067">
        <v>0</v>
      </c>
      <c r="W55" s="1067">
        <v>0</v>
      </c>
      <c r="X55" s="1067">
        <v>125</v>
      </c>
      <c r="Y55" s="1067">
        <v>141</v>
      </c>
      <c r="Z55" s="1067">
        <v>121</v>
      </c>
      <c r="AA55" s="1067">
        <v>0</v>
      </c>
      <c r="AB55" s="1067">
        <v>70</v>
      </c>
      <c r="AC55" s="1067">
        <v>0</v>
      </c>
      <c r="AD55" s="1067">
        <v>85</v>
      </c>
      <c r="AE55" s="1067">
        <v>184</v>
      </c>
      <c r="AF55" s="1067">
        <v>57</v>
      </c>
      <c r="AG55" s="1067">
        <v>144</v>
      </c>
      <c r="AH55" s="1067">
        <v>100</v>
      </c>
      <c r="AI55" s="1067">
        <v>74</v>
      </c>
      <c r="AJ55" s="1068"/>
      <c r="AK55" s="1069">
        <f t="shared" si="3"/>
        <v>2198</v>
      </c>
      <c r="AL55" s="1092">
        <v>46.37151340054821</v>
      </c>
      <c r="AM55" s="1070">
        <f t="shared" si="4"/>
        <v>1019.2458645440497</v>
      </c>
      <c r="AN55" s="1071" t="s">
        <v>38</v>
      </c>
      <c r="AO55" s="449"/>
      <c r="AP55" s="449"/>
    </row>
    <row r="56" spans="1:42" ht="54" customHeight="1">
      <c r="A56" s="788">
        <v>40</v>
      </c>
      <c r="B56" s="788">
        <v>40</v>
      </c>
      <c r="C56" s="788" t="str">
        <f>'Chấm công KT'!C52</f>
        <v>03489</v>
      </c>
      <c r="D56" s="795" t="str">
        <f>'Chấm công KT'!D52</f>
        <v>T. Tinh</v>
      </c>
      <c r="E56" s="795"/>
      <c r="F56" s="1067">
        <v>68</v>
      </c>
      <c r="G56" s="1067">
        <v>47</v>
      </c>
      <c r="H56" s="1067">
        <v>83</v>
      </c>
      <c r="I56" s="1067">
        <v>62</v>
      </c>
      <c r="J56" s="1067">
        <v>52</v>
      </c>
      <c r="K56" s="1067">
        <v>0</v>
      </c>
      <c r="L56" s="1067">
        <v>0</v>
      </c>
      <c r="M56" s="1067">
        <v>140</v>
      </c>
      <c r="N56" s="1067">
        <v>124</v>
      </c>
      <c r="O56" s="1067">
        <v>134</v>
      </c>
      <c r="P56" s="1067">
        <v>105</v>
      </c>
      <c r="Q56" s="1067">
        <v>0</v>
      </c>
      <c r="R56" s="1067">
        <v>0</v>
      </c>
      <c r="S56" s="1067">
        <v>0</v>
      </c>
      <c r="T56" s="1067">
        <v>0</v>
      </c>
      <c r="U56" s="1067">
        <v>0</v>
      </c>
      <c r="V56" s="1067">
        <v>103</v>
      </c>
      <c r="W56" s="1067">
        <v>115</v>
      </c>
      <c r="X56" s="1067">
        <v>44</v>
      </c>
      <c r="Y56" s="1067">
        <v>167</v>
      </c>
      <c r="Z56" s="1067">
        <v>0</v>
      </c>
      <c r="AA56" s="1067">
        <v>0</v>
      </c>
      <c r="AB56" s="1067">
        <v>0</v>
      </c>
      <c r="AC56" s="1067">
        <v>0</v>
      </c>
      <c r="AD56" s="1067">
        <v>167</v>
      </c>
      <c r="AE56" s="1067">
        <v>99</v>
      </c>
      <c r="AF56" s="1067">
        <v>0</v>
      </c>
      <c r="AG56" s="1067">
        <v>119</v>
      </c>
      <c r="AH56" s="1067">
        <v>0</v>
      </c>
      <c r="AI56" s="1067">
        <v>74</v>
      </c>
      <c r="AJ56" s="1068"/>
      <c r="AK56" s="1069">
        <f t="shared" si="3"/>
        <v>1703</v>
      </c>
      <c r="AL56" s="1092">
        <v>46.37151340054821</v>
      </c>
      <c r="AM56" s="1070">
        <f t="shared" si="4"/>
        <v>789.70687321133607</v>
      </c>
      <c r="AN56" s="1071" t="s">
        <v>38</v>
      </c>
      <c r="AO56" s="449"/>
      <c r="AP56" s="449"/>
    </row>
    <row r="57" spans="1:42" ht="54" customHeight="1">
      <c r="A57" s="788">
        <v>41</v>
      </c>
      <c r="B57" s="788">
        <v>41</v>
      </c>
      <c r="C57" s="788" t="str">
        <f>'Chấm công KT'!C53</f>
        <v>04059</v>
      </c>
      <c r="D57" s="795" t="str">
        <f>'Chấm công KT'!D53</f>
        <v>T. Khăm Pỏi</v>
      </c>
      <c r="E57" s="795"/>
      <c r="F57" s="1067">
        <v>60</v>
      </c>
      <c r="G57" s="1067">
        <v>55</v>
      </c>
      <c r="H57" s="1067">
        <v>60</v>
      </c>
      <c r="I57" s="1067">
        <v>80</v>
      </c>
      <c r="J57" s="1067">
        <v>58</v>
      </c>
      <c r="K57" s="1067">
        <v>55</v>
      </c>
      <c r="L57" s="1067">
        <v>36</v>
      </c>
      <c r="M57" s="1067">
        <v>154</v>
      </c>
      <c r="N57" s="1067">
        <v>149</v>
      </c>
      <c r="O57" s="1067">
        <v>123</v>
      </c>
      <c r="P57" s="1067">
        <v>0</v>
      </c>
      <c r="Q57" s="1067">
        <v>0</v>
      </c>
      <c r="R57" s="1067">
        <v>0</v>
      </c>
      <c r="S57" s="1067">
        <v>0</v>
      </c>
      <c r="T57" s="1067">
        <v>0</v>
      </c>
      <c r="U57" s="1067">
        <v>0</v>
      </c>
      <c r="V57" s="1067">
        <v>209</v>
      </c>
      <c r="W57" s="1067">
        <v>0</v>
      </c>
      <c r="X57" s="1067">
        <v>0</v>
      </c>
      <c r="Y57" s="1067">
        <v>144</v>
      </c>
      <c r="Z57" s="1067">
        <v>96</v>
      </c>
      <c r="AA57" s="1067">
        <v>113</v>
      </c>
      <c r="AB57" s="1067">
        <v>81</v>
      </c>
      <c r="AC57" s="1067">
        <v>95</v>
      </c>
      <c r="AD57" s="1067">
        <v>195</v>
      </c>
      <c r="AE57" s="1067">
        <v>98</v>
      </c>
      <c r="AF57" s="1067">
        <v>120</v>
      </c>
      <c r="AG57" s="1067">
        <v>151</v>
      </c>
      <c r="AH57" s="1067">
        <v>128</v>
      </c>
      <c r="AI57" s="1067">
        <v>0</v>
      </c>
      <c r="AJ57" s="1068"/>
      <c r="AK57" s="1069">
        <f t="shared" si="3"/>
        <v>2260</v>
      </c>
      <c r="AL57" s="1092">
        <v>46.37151340054821</v>
      </c>
      <c r="AM57" s="1070">
        <f t="shared" si="4"/>
        <v>1047.9962028523896</v>
      </c>
      <c r="AN57" s="1071" t="s">
        <v>38</v>
      </c>
      <c r="AO57" s="449"/>
      <c r="AP57" s="449"/>
    </row>
    <row r="58" spans="1:42" ht="54" customHeight="1">
      <c r="A58" s="788">
        <v>42</v>
      </c>
      <c r="B58" s="788">
        <v>42</v>
      </c>
      <c r="C58" s="788" t="str">
        <f>'Chấm công KT'!C54</f>
        <v>03491</v>
      </c>
      <c r="D58" s="795" t="str">
        <f>'Chấm công KT'!D54</f>
        <v>Lăm Ngân</v>
      </c>
      <c r="E58" s="795"/>
      <c r="F58" s="1067">
        <v>0</v>
      </c>
      <c r="G58" s="1067">
        <v>50</v>
      </c>
      <c r="H58" s="1067">
        <v>50</v>
      </c>
      <c r="I58" s="1067">
        <v>95</v>
      </c>
      <c r="J58" s="1067">
        <v>112</v>
      </c>
      <c r="K58" s="1067">
        <v>48</v>
      </c>
      <c r="L58" s="1067">
        <v>50</v>
      </c>
      <c r="M58" s="1067">
        <v>200</v>
      </c>
      <c r="N58" s="1067">
        <v>150</v>
      </c>
      <c r="O58" s="1067">
        <v>133</v>
      </c>
      <c r="P58" s="1067">
        <v>0</v>
      </c>
      <c r="Q58" s="1067">
        <v>0</v>
      </c>
      <c r="R58" s="1067">
        <v>108</v>
      </c>
      <c r="S58" s="1067">
        <v>0</v>
      </c>
      <c r="T58" s="1067">
        <v>0</v>
      </c>
      <c r="U58" s="1067">
        <v>183</v>
      </c>
      <c r="V58" s="1067">
        <v>0</v>
      </c>
      <c r="W58" s="1067">
        <v>0</v>
      </c>
      <c r="X58" s="1067">
        <v>120</v>
      </c>
      <c r="Y58" s="1067">
        <v>145</v>
      </c>
      <c r="Z58" s="1067">
        <v>112</v>
      </c>
      <c r="AA58" s="1067">
        <v>0</v>
      </c>
      <c r="AB58" s="1067">
        <v>72</v>
      </c>
      <c r="AC58" s="1067">
        <v>0</v>
      </c>
      <c r="AD58" s="1067">
        <v>95</v>
      </c>
      <c r="AE58" s="1067">
        <v>182</v>
      </c>
      <c r="AF58" s="1067">
        <v>55</v>
      </c>
      <c r="AG58" s="1067">
        <v>212</v>
      </c>
      <c r="AH58" s="1067">
        <v>100</v>
      </c>
      <c r="AI58" s="1067">
        <v>80</v>
      </c>
      <c r="AJ58" s="1068"/>
      <c r="AK58" s="1069">
        <f t="shared" si="3"/>
        <v>2352</v>
      </c>
      <c r="AL58" s="1092">
        <v>46.37151340054821</v>
      </c>
      <c r="AM58" s="1070">
        <f t="shared" si="4"/>
        <v>1090.657995180894</v>
      </c>
      <c r="AN58" s="1071" t="s">
        <v>38</v>
      </c>
      <c r="AO58" s="449"/>
      <c r="AP58" s="449"/>
    </row>
    <row r="59" spans="1:42" ht="54" customHeight="1">
      <c r="A59" s="788">
        <v>43</v>
      </c>
      <c r="B59" s="788">
        <v>43</v>
      </c>
      <c r="C59" s="788" t="str">
        <f>'Chấm công KT'!C55</f>
        <v>04060</v>
      </c>
      <c r="D59" s="795" t="str">
        <f>'Chấm công KT'!D55</f>
        <v>T. Không</v>
      </c>
      <c r="E59" s="795"/>
      <c r="F59" s="1067">
        <v>53</v>
      </c>
      <c r="G59" s="1067">
        <v>56</v>
      </c>
      <c r="H59" s="1067">
        <v>50</v>
      </c>
      <c r="I59" s="1067">
        <v>46</v>
      </c>
      <c r="J59" s="1067">
        <v>0</v>
      </c>
      <c r="K59" s="1067">
        <v>72</v>
      </c>
      <c r="L59" s="1067">
        <v>80</v>
      </c>
      <c r="M59" s="1067">
        <v>119</v>
      </c>
      <c r="N59" s="1067">
        <v>125</v>
      </c>
      <c r="O59" s="1067">
        <v>145</v>
      </c>
      <c r="P59" s="1067">
        <v>55</v>
      </c>
      <c r="Q59" s="1067">
        <v>0</v>
      </c>
      <c r="R59" s="1067">
        <v>98</v>
      </c>
      <c r="S59" s="1067">
        <v>117</v>
      </c>
      <c r="T59" s="1067">
        <v>0</v>
      </c>
      <c r="U59" s="1067">
        <v>0</v>
      </c>
      <c r="V59" s="1067">
        <v>0</v>
      </c>
      <c r="W59" s="1067">
        <v>0</v>
      </c>
      <c r="X59" s="1067">
        <v>0</v>
      </c>
      <c r="Y59" s="1067">
        <v>172</v>
      </c>
      <c r="Z59" s="1067">
        <v>113</v>
      </c>
      <c r="AA59" s="1067">
        <v>141</v>
      </c>
      <c r="AB59" s="1067">
        <v>74</v>
      </c>
      <c r="AC59" s="1067">
        <v>57</v>
      </c>
      <c r="AD59" s="1067">
        <v>0</v>
      </c>
      <c r="AE59" s="1067">
        <v>0</v>
      </c>
      <c r="AF59" s="1067">
        <v>40</v>
      </c>
      <c r="AG59" s="1067">
        <v>40</v>
      </c>
      <c r="AH59" s="1067">
        <v>84</v>
      </c>
      <c r="AI59" s="1067">
        <v>192</v>
      </c>
      <c r="AJ59" s="1068"/>
      <c r="AK59" s="1069">
        <f t="shared" si="3"/>
        <v>1929</v>
      </c>
      <c r="AL59" s="1092">
        <v>46.37151340054821</v>
      </c>
      <c r="AM59" s="1070">
        <f t="shared" si="4"/>
        <v>894.50649349657499</v>
      </c>
      <c r="AN59" s="1071" t="s">
        <v>38</v>
      </c>
      <c r="AO59" s="449"/>
      <c r="AP59" s="449"/>
    </row>
    <row r="60" spans="1:42" ht="54" customHeight="1">
      <c r="A60" s="788">
        <v>44</v>
      </c>
      <c r="B60" s="788">
        <v>44</v>
      </c>
      <c r="C60" s="788" t="str">
        <f>'Chấm công KT'!C56</f>
        <v>03492</v>
      </c>
      <c r="D60" s="795" t="str">
        <f>'Chấm công KT'!D56</f>
        <v>T. Lem</v>
      </c>
      <c r="E60" s="795"/>
      <c r="F60" s="1067">
        <v>0</v>
      </c>
      <c r="G60" s="1067">
        <v>104</v>
      </c>
      <c r="H60" s="1067">
        <v>114</v>
      </c>
      <c r="I60" s="1067">
        <v>97</v>
      </c>
      <c r="J60" s="1067">
        <v>95</v>
      </c>
      <c r="K60" s="1067">
        <v>77</v>
      </c>
      <c r="L60" s="1067">
        <v>0</v>
      </c>
      <c r="M60" s="1067">
        <v>130</v>
      </c>
      <c r="N60" s="1067">
        <v>122</v>
      </c>
      <c r="O60" s="1067">
        <v>116</v>
      </c>
      <c r="P60" s="1067">
        <v>335</v>
      </c>
      <c r="Q60" s="1067">
        <v>0</v>
      </c>
      <c r="R60" s="1067">
        <v>0</v>
      </c>
      <c r="S60" s="1067">
        <v>115</v>
      </c>
      <c r="T60" s="1067">
        <v>0</v>
      </c>
      <c r="U60" s="1067">
        <v>0</v>
      </c>
      <c r="V60" s="1067">
        <v>126</v>
      </c>
      <c r="W60" s="1067">
        <v>76</v>
      </c>
      <c r="X60" s="1067">
        <v>124</v>
      </c>
      <c r="Y60" s="1067">
        <v>0</v>
      </c>
      <c r="Z60" s="1067">
        <v>96</v>
      </c>
      <c r="AA60" s="1067">
        <v>95</v>
      </c>
      <c r="AB60" s="1067">
        <v>0</v>
      </c>
      <c r="AC60" s="1067">
        <v>119</v>
      </c>
      <c r="AD60" s="1067">
        <v>93</v>
      </c>
      <c r="AE60" s="1067">
        <v>0</v>
      </c>
      <c r="AF60" s="1067">
        <v>212</v>
      </c>
      <c r="AG60" s="1067">
        <v>0</v>
      </c>
      <c r="AH60" s="1067">
        <v>126</v>
      </c>
      <c r="AI60" s="1067">
        <v>0</v>
      </c>
      <c r="AJ60" s="1068"/>
      <c r="AK60" s="1069">
        <f t="shared" si="3"/>
        <v>2372</v>
      </c>
      <c r="AL60" s="1092">
        <v>46.37151340054821</v>
      </c>
      <c r="AM60" s="1070">
        <f t="shared" si="4"/>
        <v>1099.9322978610037</v>
      </c>
      <c r="AN60" s="1071" t="s">
        <v>38</v>
      </c>
      <c r="AO60" s="449"/>
      <c r="AP60" s="449"/>
    </row>
    <row r="61" spans="1:42" ht="54" customHeight="1">
      <c r="A61" s="788">
        <v>45</v>
      </c>
      <c r="B61" s="788">
        <v>45</v>
      </c>
      <c r="C61" s="788" t="str">
        <f>'Chấm công KT'!C57</f>
        <v>03493</v>
      </c>
      <c r="D61" s="795" t="str">
        <f>'Chấm công KT'!D57</f>
        <v>T. Pông</v>
      </c>
      <c r="E61" s="795"/>
      <c r="F61" s="1067">
        <v>97</v>
      </c>
      <c r="G61" s="1067">
        <v>101</v>
      </c>
      <c r="H61" s="1067">
        <v>100</v>
      </c>
      <c r="I61" s="1067">
        <v>89</v>
      </c>
      <c r="J61" s="1067">
        <v>82</v>
      </c>
      <c r="K61" s="1067">
        <v>108</v>
      </c>
      <c r="L61" s="1067">
        <v>142</v>
      </c>
      <c r="M61" s="1067">
        <v>181</v>
      </c>
      <c r="N61" s="1067">
        <v>170</v>
      </c>
      <c r="O61" s="1067">
        <v>181</v>
      </c>
      <c r="P61" s="1067">
        <v>189</v>
      </c>
      <c r="Q61" s="1067">
        <v>128</v>
      </c>
      <c r="R61" s="1067">
        <v>130</v>
      </c>
      <c r="S61" s="1067">
        <v>155</v>
      </c>
      <c r="T61" s="1067">
        <v>0</v>
      </c>
      <c r="U61" s="1067">
        <v>0</v>
      </c>
      <c r="V61" s="1067">
        <v>120</v>
      </c>
      <c r="W61" s="1067">
        <v>128</v>
      </c>
      <c r="X61" s="1067">
        <v>152</v>
      </c>
      <c r="Y61" s="1067">
        <v>99</v>
      </c>
      <c r="Z61" s="1067">
        <v>114</v>
      </c>
      <c r="AA61" s="1067">
        <v>129</v>
      </c>
      <c r="AB61" s="1067">
        <v>118</v>
      </c>
      <c r="AC61" s="1067">
        <v>85</v>
      </c>
      <c r="AD61" s="1067">
        <v>99</v>
      </c>
      <c r="AE61" s="1067">
        <v>88</v>
      </c>
      <c r="AF61" s="1067">
        <v>139</v>
      </c>
      <c r="AG61" s="1067">
        <v>121</v>
      </c>
      <c r="AH61" s="1067">
        <v>116</v>
      </c>
      <c r="AI61" s="1067">
        <v>77</v>
      </c>
      <c r="AJ61" s="1068"/>
      <c r="AK61" s="1069">
        <f t="shared" si="3"/>
        <v>3438</v>
      </c>
      <c r="AL61" s="1092">
        <v>46.37151340054821</v>
      </c>
      <c r="AM61" s="1070">
        <f t="shared" si="4"/>
        <v>1594.2526307108474</v>
      </c>
      <c r="AN61" s="1071" t="s">
        <v>38</v>
      </c>
      <c r="AO61" s="449"/>
      <c r="AP61" s="449"/>
    </row>
    <row r="62" spans="1:42" ht="54" customHeight="1">
      <c r="A62" s="788">
        <v>46</v>
      </c>
      <c r="B62" s="788">
        <v>46</v>
      </c>
      <c r="C62" s="788" t="str">
        <f>'Chấm công KT'!C58</f>
        <v>03496</v>
      </c>
      <c r="D62" s="795" t="str">
        <f>'Chấm công KT'!D58</f>
        <v>T. Lốp</v>
      </c>
      <c r="E62" s="795"/>
      <c r="F62" s="1067">
        <v>0</v>
      </c>
      <c r="G62" s="1067">
        <v>0</v>
      </c>
      <c r="H62" s="1067">
        <v>100</v>
      </c>
      <c r="I62" s="1067">
        <v>110</v>
      </c>
      <c r="J62" s="1067">
        <v>128</v>
      </c>
      <c r="K62" s="1067">
        <v>134</v>
      </c>
      <c r="L62" s="1067">
        <v>198</v>
      </c>
      <c r="M62" s="1067">
        <v>184</v>
      </c>
      <c r="N62" s="1067">
        <v>135</v>
      </c>
      <c r="O62" s="1067">
        <v>0</v>
      </c>
      <c r="P62" s="1067">
        <v>147</v>
      </c>
      <c r="Q62" s="1067">
        <v>118</v>
      </c>
      <c r="R62" s="1067">
        <v>0</v>
      </c>
      <c r="S62" s="1067">
        <v>0</v>
      </c>
      <c r="T62" s="1067">
        <v>0</v>
      </c>
      <c r="U62" s="1067">
        <v>0</v>
      </c>
      <c r="V62" s="1067">
        <v>166</v>
      </c>
      <c r="W62" s="1067">
        <v>162</v>
      </c>
      <c r="X62" s="1067">
        <v>135</v>
      </c>
      <c r="Y62" s="1067">
        <v>137</v>
      </c>
      <c r="Z62" s="1067">
        <v>80</v>
      </c>
      <c r="AA62" s="1067">
        <v>63</v>
      </c>
      <c r="AB62" s="1067">
        <v>114</v>
      </c>
      <c r="AC62" s="1067">
        <v>150</v>
      </c>
      <c r="AD62" s="1067">
        <v>100</v>
      </c>
      <c r="AE62" s="1067">
        <v>140</v>
      </c>
      <c r="AF62" s="1067">
        <v>115</v>
      </c>
      <c r="AG62" s="1067">
        <v>116</v>
      </c>
      <c r="AH62" s="1067">
        <v>110</v>
      </c>
      <c r="AI62" s="1067">
        <v>139</v>
      </c>
      <c r="AJ62" s="1068"/>
      <c r="AK62" s="1069">
        <f t="shared" si="3"/>
        <v>2981</v>
      </c>
      <c r="AL62" s="1092">
        <v>46.37151340054821</v>
      </c>
      <c r="AM62" s="1070">
        <f t="shared" si="4"/>
        <v>1382.3348144703423</v>
      </c>
      <c r="AN62" s="1071" t="s">
        <v>38</v>
      </c>
      <c r="AO62" s="449"/>
      <c r="AP62" s="449"/>
    </row>
    <row r="63" spans="1:42" ht="54" customHeight="1">
      <c r="A63" s="788">
        <v>47</v>
      </c>
      <c r="B63" s="788">
        <v>47</v>
      </c>
      <c r="C63" s="788" t="str">
        <f>'Chấm công KT'!C59</f>
        <v>04061</v>
      </c>
      <c r="D63" s="795" t="str">
        <f>'Chấm công KT'!D59</f>
        <v>N. Nu Ni</v>
      </c>
      <c r="E63" s="795"/>
      <c r="F63" s="1067">
        <v>0</v>
      </c>
      <c r="G63" s="1067">
        <v>0</v>
      </c>
      <c r="H63" s="1067">
        <v>100</v>
      </c>
      <c r="I63" s="1067">
        <v>111</v>
      </c>
      <c r="J63" s="1067">
        <v>128</v>
      </c>
      <c r="K63" s="1067">
        <v>128</v>
      </c>
      <c r="L63" s="1067">
        <v>190</v>
      </c>
      <c r="M63" s="1067">
        <v>205</v>
      </c>
      <c r="N63" s="1067">
        <v>130</v>
      </c>
      <c r="O63" s="1067">
        <v>0</v>
      </c>
      <c r="P63" s="1067">
        <v>147</v>
      </c>
      <c r="Q63" s="1067">
        <v>116</v>
      </c>
      <c r="R63" s="1067">
        <v>0</v>
      </c>
      <c r="S63" s="1067">
        <v>0</v>
      </c>
      <c r="T63" s="1067">
        <v>0</v>
      </c>
      <c r="U63" s="1067">
        <v>0</v>
      </c>
      <c r="V63" s="1067">
        <v>155</v>
      </c>
      <c r="W63" s="1067">
        <v>173</v>
      </c>
      <c r="X63" s="1067">
        <v>122</v>
      </c>
      <c r="Y63" s="1067">
        <v>123</v>
      </c>
      <c r="Z63" s="1067">
        <v>69</v>
      </c>
      <c r="AA63" s="1067">
        <v>64</v>
      </c>
      <c r="AB63" s="1067">
        <v>146</v>
      </c>
      <c r="AC63" s="1067">
        <v>156</v>
      </c>
      <c r="AD63" s="1067">
        <v>90</v>
      </c>
      <c r="AE63" s="1067">
        <v>140</v>
      </c>
      <c r="AF63" s="1067">
        <v>115</v>
      </c>
      <c r="AG63" s="1067">
        <v>162</v>
      </c>
      <c r="AH63" s="1067">
        <v>102</v>
      </c>
      <c r="AI63" s="1067">
        <v>132</v>
      </c>
      <c r="AJ63" s="1068"/>
      <c r="AK63" s="1069">
        <f t="shared" si="3"/>
        <v>3004</v>
      </c>
      <c r="AL63" s="1092">
        <v>46.37151340054821</v>
      </c>
      <c r="AM63" s="1070">
        <f t="shared" si="4"/>
        <v>1393.0002625524683</v>
      </c>
      <c r="AN63" s="1071" t="s">
        <v>46</v>
      </c>
      <c r="AO63" s="449"/>
      <c r="AP63" s="449"/>
    </row>
    <row r="64" spans="1:42" ht="54" customHeight="1">
      <c r="A64" s="788">
        <v>48</v>
      </c>
      <c r="B64" s="788">
        <v>48</v>
      </c>
      <c r="C64" s="788" t="str">
        <f>'Chấm công KT'!C60</f>
        <v>03494</v>
      </c>
      <c r="D64" s="795" t="str">
        <f>'Chấm công KT'!D60</f>
        <v>T. Đi</v>
      </c>
      <c r="E64" s="795"/>
      <c r="F64" s="1067">
        <v>0</v>
      </c>
      <c r="G64" s="1067">
        <v>0</v>
      </c>
      <c r="H64" s="1067">
        <v>51</v>
      </c>
      <c r="I64" s="1067">
        <v>57</v>
      </c>
      <c r="J64" s="1067">
        <v>103</v>
      </c>
      <c r="K64" s="1067">
        <v>110</v>
      </c>
      <c r="L64" s="1067">
        <v>0</v>
      </c>
      <c r="M64" s="1067">
        <v>119</v>
      </c>
      <c r="N64" s="1067">
        <v>57</v>
      </c>
      <c r="O64" s="1067">
        <v>0</v>
      </c>
      <c r="P64" s="1067">
        <v>184</v>
      </c>
      <c r="Q64" s="1067">
        <v>0</v>
      </c>
      <c r="R64" s="1067">
        <v>0</v>
      </c>
      <c r="S64" s="1067">
        <v>0</v>
      </c>
      <c r="T64" s="1067">
        <v>0</v>
      </c>
      <c r="U64" s="1067">
        <v>0</v>
      </c>
      <c r="V64" s="1067">
        <v>0</v>
      </c>
      <c r="W64" s="1067">
        <v>136</v>
      </c>
      <c r="X64" s="1067">
        <v>0</v>
      </c>
      <c r="Y64" s="1067">
        <v>0</v>
      </c>
      <c r="Z64" s="1067">
        <v>0</v>
      </c>
      <c r="AA64" s="1067">
        <v>0</v>
      </c>
      <c r="AB64" s="1067">
        <v>0</v>
      </c>
      <c r="AC64" s="1067">
        <v>160</v>
      </c>
      <c r="AD64" s="1067">
        <v>0</v>
      </c>
      <c r="AE64" s="1067">
        <v>0</v>
      </c>
      <c r="AF64" s="1067">
        <v>0</v>
      </c>
      <c r="AG64" s="1067">
        <v>75</v>
      </c>
      <c r="AH64" s="1067">
        <v>277</v>
      </c>
      <c r="AI64" s="1067">
        <v>100</v>
      </c>
      <c r="AJ64" s="1068"/>
      <c r="AK64" s="1069">
        <f t="shared" si="3"/>
        <v>1429</v>
      </c>
      <c r="AL64" s="1092">
        <v>46.37151340054821</v>
      </c>
      <c r="AM64" s="1070">
        <f t="shared" si="4"/>
        <v>662.64892649383387</v>
      </c>
      <c r="AN64" s="1071" t="s">
        <v>38</v>
      </c>
      <c r="AO64" s="449"/>
      <c r="AP64" s="449"/>
    </row>
    <row r="65" spans="1:42" ht="54" customHeight="1">
      <c r="A65" s="788">
        <v>49</v>
      </c>
      <c r="B65" s="788">
        <v>49</v>
      </c>
      <c r="C65" s="788" t="str">
        <f>'Chấm công KT'!C61</f>
        <v>03495</v>
      </c>
      <c r="D65" s="795" t="str">
        <f>'Chấm công KT'!D61</f>
        <v>N. On Xi</v>
      </c>
      <c r="E65" s="795"/>
      <c r="F65" s="1067">
        <v>48</v>
      </c>
      <c r="G65" s="1067">
        <v>56</v>
      </c>
      <c r="H65" s="1067">
        <v>48</v>
      </c>
      <c r="I65" s="1067">
        <v>20</v>
      </c>
      <c r="J65" s="1067">
        <v>20</v>
      </c>
      <c r="K65" s="1067">
        <v>50</v>
      </c>
      <c r="L65" s="1067">
        <v>125</v>
      </c>
      <c r="M65" s="1067">
        <v>90</v>
      </c>
      <c r="N65" s="1067">
        <v>99</v>
      </c>
      <c r="O65" s="1067">
        <v>124</v>
      </c>
      <c r="P65" s="1067">
        <v>98</v>
      </c>
      <c r="Q65" s="1067">
        <v>64</v>
      </c>
      <c r="R65" s="1067">
        <v>88</v>
      </c>
      <c r="S65" s="1067">
        <v>107</v>
      </c>
      <c r="T65" s="1067">
        <v>0</v>
      </c>
      <c r="U65" s="1067">
        <v>0</v>
      </c>
      <c r="V65" s="1067">
        <v>60</v>
      </c>
      <c r="W65" s="1067">
        <v>60</v>
      </c>
      <c r="X65" s="1067">
        <v>98</v>
      </c>
      <c r="Y65" s="1067">
        <v>78</v>
      </c>
      <c r="Z65" s="1067">
        <v>78</v>
      </c>
      <c r="AA65" s="1067">
        <v>85</v>
      </c>
      <c r="AB65" s="1067">
        <v>100</v>
      </c>
      <c r="AC65" s="1067">
        <v>69</v>
      </c>
      <c r="AD65" s="1067">
        <v>75</v>
      </c>
      <c r="AE65" s="1067">
        <v>90</v>
      </c>
      <c r="AF65" s="1067">
        <v>90</v>
      </c>
      <c r="AG65" s="1067">
        <v>0</v>
      </c>
      <c r="AH65" s="1067">
        <v>0</v>
      </c>
      <c r="AI65" s="1067">
        <v>0</v>
      </c>
      <c r="AJ65" s="1068"/>
      <c r="AK65" s="1069">
        <f t="shared" si="3"/>
        <v>1920</v>
      </c>
      <c r="AL65" s="1092">
        <v>46.37151340054821</v>
      </c>
      <c r="AM65" s="1070">
        <f t="shared" si="4"/>
        <v>890.33305729052563</v>
      </c>
      <c r="AN65" s="1071" t="s">
        <v>46</v>
      </c>
      <c r="AO65" s="449"/>
      <c r="AP65" s="449"/>
    </row>
    <row r="66" spans="1:42" ht="54" customHeight="1">
      <c r="A66" s="788">
        <v>50</v>
      </c>
      <c r="B66" s="788">
        <v>50</v>
      </c>
      <c r="C66" s="788" t="str">
        <f>'Chấm công KT'!C62</f>
        <v>04062</v>
      </c>
      <c r="D66" s="795" t="str">
        <f>'Chấm công KT'!D62</f>
        <v>N. Thông La</v>
      </c>
      <c r="E66" s="795"/>
      <c r="F66" s="1067">
        <v>70</v>
      </c>
      <c r="G66" s="1067">
        <v>45</v>
      </c>
      <c r="H66" s="1067">
        <v>40</v>
      </c>
      <c r="I66" s="1067">
        <v>71</v>
      </c>
      <c r="J66" s="1067">
        <v>57</v>
      </c>
      <c r="K66" s="1067">
        <v>44</v>
      </c>
      <c r="L66" s="1067">
        <v>114</v>
      </c>
      <c r="M66" s="1067">
        <v>162</v>
      </c>
      <c r="N66" s="1067">
        <v>177</v>
      </c>
      <c r="O66" s="1067">
        <v>146</v>
      </c>
      <c r="P66" s="1067">
        <v>86</v>
      </c>
      <c r="Q66" s="1067">
        <v>114</v>
      </c>
      <c r="R66" s="1067">
        <v>0</v>
      </c>
      <c r="S66" s="1067">
        <v>0</v>
      </c>
      <c r="T66" s="1067">
        <v>0</v>
      </c>
      <c r="U66" s="1067">
        <v>0</v>
      </c>
      <c r="V66" s="1067">
        <v>195</v>
      </c>
      <c r="W66" s="1067">
        <v>102</v>
      </c>
      <c r="X66" s="1067">
        <v>69</v>
      </c>
      <c r="Y66" s="1067">
        <v>118</v>
      </c>
      <c r="Z66" s="1067">
        <v>85</v>
      </c>
      <c r="AA66" s="1067">
        <v>92</v>
      </c>
      <c r="AB66" s="1067">
        <v>72</v>
      </c>
      <c r="AC66" s="1067">
        <v>143</v>
      </c>
      <c r="AD66" s="1067">
        <v>103</v>
      </c>
      <c r="AE66" s="1067">
        <v>84</v>
      </c>
      <c r="AF66" s="1067">
        <v>58</v>
      </c>
      <c r="AG66" s="1067">
        <v>110</v>
      </c>
      <c r="AH66" s="1067">
        <v>64</v>
      </c>
      <c r="AI66" s="1067">
        <v>69</v>
      </c>
      <c r="AJ66" s="1068"/>
      <c r="AK66" s="1069">
        <f t="shared" si="3"/>
        <v>2490</v>
      </c>
      <c r="AL66" s="1092">
        <v>46.37151340054821</v>
      </c>
      <c r="AM66" s="1070">
        <f t="shared" si="4"/>
        <v>1154.6506836736505</v>
      </c>
      <c r="AN66" s="1071" t="s">
        <v>38</v>
      </c>
      <c r="AO66" s="449"/>
      <c r="AP66" s="449"/>
    </row>
    <row r="67" spans="1:42" ht="54" customHeight="1">
      <c r="A67" s="788">
        <v>51</v>
      </c>
      <c r="B67" s="788">
        <v>51</v>
      </c>
      <c r="C67" s="788" t="str">
        <f>'Chấm công KT'!C63</f>
        <v>03497</v>
      </c>
      <c r="D67" s="795" t="str">
        <f>'Chấm công KT'!D63</f>
        <v>T. Son Xay</v>
      </c>
      <c r="E67" s="795"/>
      <c r="F67" s="1067">
        <v>70</v>
      </c>
      <c r="G67" s="1067">
        <v>60</v>
      </c>
      <c r="H67" s="1067">
        <v>79</v>
      </c>
      <c r="I67" s="1067">
        <v>77</v>
      </c>
      <c r="J67" s="1067">
        <v>54</v>
      </c>
      <c r="K67" s="1067">
        <v>57</v>
      </c>
      <c r="L67" s="1067">
        <v>158</v>
      </c>
      <c r="M67" s="1067">
        <v>184</v>
      </c>
      <c r="N67" s="1067">
        <v>159</v>
      </c>
      <c r="O67" s="1067">
        <v>160</v>
      </c>
      <c r="P67" s="1067">
        <v>150</v>
      </c>
      <c r="Q67" s="1067">
        <v>142</v>
      </c>
      <c r="R67" s="1067">
        <v>127</v>
      </c>
      <c r="S67" s="1067">
        <v>145</v>
      </c>
      <c r="T67" s="1067">
        <v>0</v>
      </c>
      <c r="U67" s="1067">
        <v>0</v>
      </c>
      <c r="V67" s="1067">
        <v>98</v>
      </c>
      <c r="W67" s="1067">
        <v>0</v>
      </c>
      <c r="X67" s="1067">
        <v>111</v>
      </c>
      <c r="Y67" s="1067">
        <v>110</v>
      </c>
      <c r="Z67" s="1067">
        <v>80</v>
      </c>
      <c r="AA67" s="1067">
        <v>219</v>
      </c>
      <c r="AB67" s="1067">
        <v>0</v>
      </c>
      <c r="AC67" s="1067">
        <v>100</v>
      </c>
      <c r="AD67" s="1067">
        <v>103</v>
      </c>
      <c r="AE67" s="1067">
        <v>0</v>
      </c>
      <c r="AF67" s="1067">
        <v>129</v>
      </c>
      <c r="AG67" s="1067">
        <v>0</v>
      </c>
      <c r="AH67" s="1067">
        <v>0</v>
      </c>
      <c r="AI67" s="1067">
        <v>0</v>
      </c>
      <c r="AJ67" s="1068"/>
      <c r="AK67" s="1069">
        <f t="shared" si="3"/>
        <v>2572</v>
      </c>
      <c r="AL67" s="1092">
        <v>46.37151340054821</v>
      </c>
      <c r="AM67" s="1070">
        <f t="shared" si="4"/>
        <v>1192.6753246621001</v>
      </c>
      <c r="AN67" s="1071" t="s">
        <v>38</v>
      </c>
      <c r="AO67" s="449"/>
      <c r="AP67" s="449"/>
    </row>
    <row r="68" spans="1:42" ht="54" customHeight="1">
      <c r="A68" s="788">
        <v>52</v>
      </c>
      <c r="B68" s="788">
        <v>52</v>
      </c>
      <c r="C68" s="788" t="str">
        <f>'Chấm công KT'!C64</f>
        <v>03498</v>
      </c>
      <c r="D68" s="795" t="str">
        <f>'Chấm công KT'!D64</f>
        <v>N. Lăm Phay</v>
      </c>
      <c r="E68" s="795"/>
      <c r="F68" s="1067">
        <v>65</v>
      </c>
      <c r="G68" s="1067">
        <v>81</v>
      </c>
      <c r="H68" s="1067">
        <v>55</v>
      </c>
      <c r="I68" s="1067">
        <v>77</v>
      </c>
      <c r="J68" s="1067">
        <v>54</v>
      </c>
      <c r="K68" s="1067">
        <v>70</v>
      </c>
      <c r="L68" s="1067">
        <v>175</v>
      </c>
      <c r="M68" s="1067">
        <v>219</v>
      </c>
      <c r="N68" s="1067">
        <v>141</v>
      </c>
      <c r="O68" s="1067">
        <v>176</v>
      </c>
      <c r="P68" s="1067">
        <v>151</v>
      </c>
      <c r="Q68" s="1067">
        <v>144</v>
      </c>
      <c r="R68" s="1067">
        <v>128</v>
      </c>
      <c r="S68" s="1067">
        <v>120</v>
      </c>
      <c r="T68" s="1067">
        <v>0</v>
      </c>
      <c r="U68" s="1067">
        <v>0</v>
      </c>
      <c r="V68" s="1067">
        <v>88</v>
      </c>
      <c r="W68" s="1067">
        <v>0</v>
      </c>
      <c r="X68" s="1067">
        <v>116</v>
      </c>
      <c r="Y68" s="1067">
        <v>114</v>
      </c>
      <c r="Z68" s="1067">
        <v>87</v>
      </c>
      <c r="AA68" s="1067">
        <v>192</v>
      </c>
      <c r="AB68" s="1067">
        <v>0</v>
      </c>
      <c r="AC68" s="1067">
        <v>110</v>
      </c>
      <c r="AD68" s="1067">
        <v>110</v>
      </c>
      <c r="AE68" s="1067">
        <v>0</v>
      </c>
      <c r="AF68" s="1067">
        <v>120</v>
      </c>
      <c r="AG68" s="1067">
        <v>0</v>
      </c>
      <c r="AH68" s="1067">
        <v>0</v>
      </c>
      <c r="AI68" s="1067">
        <v>0</v>
      </c>
      <c r="AJ68" s="1068"/>
      <c r="AK68" s="1069">
        <f t="shared" si="3"/>
        <v>2593</v>
      </c>
      <c r="AL68" s="1092">
        <v>46.37151340054821</v>
      </c>
      <c r="AM68" s="1070">
        <f t="shared" si="4"/>
        <v>1202.4133424762151</v>
      </c>
      <c r="AN68" s="1071" t="s">
        <v>38</v>
      </c>
      <c r="AO68" s="449"/>
      <c r="AP68" s="449"/>
    </row>
    <row r="69" spans="1:42" ht="54" customHeight="1">
      <c r="A69" s="788">
        <v>53</v>
      </c>
      <c r="B69" s="788">
        <v>53</v>
      </c>
      <c r="C69" s="788" t="str">
        <f>'Chấm công KT'!C65</f>
        <v>02706</v>
      </c>
      <c r="D69" s="795" t="str">
        <f>'Chấm công KT'!D65</f>
        <v>T. Nhung</v>
      </c>
      <c r="E69" s="795"/>
      <c r="F69" s="1067">
        <v>72</v>
      </c>
      <c r="G69" s="1067">
        <v>64</v>
      </c>
      <c r="H69" s="1067">
        <v>70</v>
      </c>
      <c r="I69" s="1067">
        <v>82</v>
      </c>
      <c r="J69" s="1067">
        <v>60</v>
      </c>
      <c r="K69" s="1067">
        <v>52</v>
      </c>
      <c r="L69" s="1067">
        <v>166</v>
      </c>
      <c r="M69" s="1067">
        <v>181</v>
      </c>
      <c r="N69" s="1067">
        <v>147</v>
      </c>
      <c r="O69" s="1067">
        <v>99</v>
      </c>
      <c r="P69" s="1067">
        <v>138</v>
      </c>
      <c r="Q69" s="1067">
        <v>0</v>
      </c>
      <c r="R69" s="1067">
        <v>0</v>
      </c>
      <c r="S69" s="1067">
        <v>90</v>
      </c>
      <c r="T69" s="1067">
        <v>0</v>
      </c>
      <c r="U69" s="1067">
        <v>153</v>
      </c>
      <c r="V69" s="1067">
        <v>210</v>
      </c>
      <c r="W69" s="1067">
        <v>74</v>
      </c>
      <c r="X69" s="1067">
        <v>122</v>
      </c>
      <c r="Y69" s="1067">
        <v>131</v>
      </c>
      <c r="Z69" s="1067">
        <v>100</v>
      </c>
      <c r="AA69" s="1067">
        <v>0</v>
      </c>
      <c r="AB69" s="1067">
        <v>0</v>
      </c>
      <c r="AC69" s="1067">
        <v>0</v>
      </c>
      <c r="AD69" s="1067">
        <v>0</v>
      </c>
      <c r="AE69" s="1067">
        <v>155</v>
      </c>
      <c r="AF69" s="1067">
        <v>100</v>
      </c>
      <c r="AG69" s="1067">
        <v>272</v>
      </c>
      <c r="AH69" s="1067">
        <v>169</v>
      </c>
      <c r="AI69" s="1067">
        <v>0</v>
      </c>
      <c r="AJ69" s="1068"/>
      <c r="AK69" s="1069">
        <f t="shared" si="3"/>
        <v>2707</v>
      </c>
      <c r="AL69" s="1092">
        <v>46.37151340054821</v>
      </c>
      <c r="AM69" s="1070">
        <f t="shared" si="4"/>
        <v>1255.27686775284</v>
      </c>
      <c r="AN69" s="1071" t="s">
        <v>38</v>
      </c>
      <c r="AO69" s="449"/>
      <c r="AP69" s="449"/>
    </row>
    <row r="70" spans="1:42" ht="54" customHeight="1">
      <c r="A70" s="788">
        <v>54</v>
      </c>
      <c r="B70" s="788">
        <v>54</v>
      </c>
      <c r="C70" s="788" t="str">
        <f>'Chấm công KT'!C66</f>
        <v>04063</v>
      </c>
      <c r="D70" s="795" t="str">
        <f>'Chấm công KT'!D66</f>
        <v>T. Khay Khăm</v>
      </c>
      <c r="E70" s="795"/>
      <c r="F70" s="1067">
        <v>0</v>
      </c>
      <c r="G70" s="1067">
        <v>50</v>
      </c>
      <c r="H70" s="1067">
        <v>89</v>
      </c>
      <c r="I70" s="1067">
        <v>0</v>
      </c>
      <c r="J70" s="1067">
        <v>0</v>
      </c>
      <c r="K70" s="1067">
        <v>0</v>
      </c>
      <c r="L70" s="1067">
        <v>101</v>
      </c>
      <c r="M70" s="1067">
        <v>120</v>
      </c>
      <c r="N70" s="1067">
        <v>130</v>
      </c>
      <c r="O70" s="1067">
        <v>0</v>
      </c>
      <c r="P70" s="1067">
        <v>94</v>
      </c>
      <c r="Q70" s="1067">
        <v>82</v>
      </c>
      <c r="R70" s="1067">
        <v>61</v>
      </c>
      <c r="S70" s="1067">
        <v>156</v>
      </c>
      <c r="T70" s="1067">
        <v>0</v>
      </c>
      <c r="U70" s="1067">
        <v>0</v>
      </c>
      <c r="V70" s="1067">
        <v>0</v>
      </c>
      <c r="W70" s="1067">
        <v>0</v>
      </c>
      <c r="X70" s="1067">
        <v>88</v>
      </c>
      <c r="Y70" s="1067">
        <v>68</v>
      </c>
      <c r="Z70" s="1067">
        <v>0</v>
      </c>
      <c r="AA70" s="1067">
        <v>0</v>
      </c>
      <c r="AB70" s="1067">
        <v>0</v>
      </c>
      <c r="AC70" s="1067">
        <v>54</v>
      </c>
      <c r="AD70" s="1067">
        <v>0</v>
      </c>
      <c r="AE70" s="1067">
        <v>0</v>
      </c>
      <c r="AF70" s="1067">
        <v>0</v>
      </c>
      <c r="AG70" s="1067">
        <v>0</v>
      </c>
      <c r="AH70" s="1067">
        <v>0</v>
      </c>
      <c r="AI70" s="1067">
        <v>0</v>
      </c>
      <c r="AJ70" s="1068"/>
      <c r="AK70" s="1069">
        <f t="shared" si="3"/>
        <v>1093</v>
      </c>
      <c r="AL70" s="1092">
        <v>46.37151340054821</v>
      </c>
      <c r="AM70" s="1070">
        <f t="shared" si="4"/>
        <v>506.84064146799193</v>
      </c>
      <c r="AN70" s="1071" t="s">
        <v>46</v>
      </c>
      <c r="AO70" s="449"/>
      <c r="AP70" s="449"/>
    </row>
    <row r="71" spans="1:42" ht="54" customHeight="1">
      <c r="A71" s="788">
        <v>55</v>
      </c>
      <c r="B71" s="788">
        <v>55</v>
      </c>
      <c r="C71" s="788" t="str">
        <f>'Chấm công KT'!C67</f>
        <v>04064</v>
      </c>
      <c r="D71" s="795" t="str">
        <f>'Chấm công KT'!D67</f>
        <v>N. Khay Chăn</v>
      </c>
      <c r="E71" s="795"/>
      <c r="F71" s="1067">
        <v>70</v>
      </c>
      <c r="G71" s="1067">
        <v>90</v>
      </c>
      <c r="H71" s="1067">
        <v>51</v>
      </c>
      <c r="I71" s="1067">
        <v>51</v>
      </c>
      <c r="J71" s="1067">
        <v>63</v>
      </c>
      <c r="K71" s="1067">
        <v>90</v>
      </c>
      <c r="L71" s="1067">
        <v>117</v>
      </c>
      <c r="M71" s="1067">
        <v>120</v>
      </c>
      <c r="N71" s="1067">
        <v>149</v>
      </c>
      <c r="O71" s="1067">
        <v>186</v>
      </c>
      <c r="P71" s="1067">
        <v>121</v>
      </c>
      <c r="Q71" s="1067">
        <v>132</v>
      </c>
      <c r="R71" s="1067">
        <v>155</v>
      </c>
      <c r="S71" s="1067">
        <v>123</v>
      </c>
      <c r="T71" s="1067">
        <v>0</v>
      </c>
      <c r="U71" s="1067">
        <v>0</v>
      </c>
      <c r="V71" s="1067">
        <v>0</v>
      </c>
      <c r="W71" s="1067">
        <v>0</v>
      </c>
      <c r="X71" s="1067">
        <v>0</v>
      </c>
      <c r="Y71" s="1067">
        <v>95</v>
      </c>
      <c r="Z71" s="1067">
        <v>203</v>
      </c>
      <c r="AA71" s="1067">
        <v>255</v>
      </c>
      <c r="AB71" s="1067">
        <v>143</v>
      </c>
      <c r="AC71" s="1067">
        <v>72</v>
      </c>
      <c r="AD71" s="1067">
        <v>84</v>
      </c>
      <c r="AE71" s="1067">
        <v>110</v>
      </c>
      <c r="AF71" s="1067">
        <v>0</v>
      </c>
      <c r="AG71" s="1067">
        <v>56</v>
      </c>
      <c r="AH71" s="1067">
        <v>72</v>
      </c>
      <c r="AI71" s="1067">
        <v>91</v>
      </c>
      <c r="AJ71" s="1068"/>
      <c r="AK71" s="1069">
        <f t="shared" si="3"/>
        <v>2699</v>
      </c>
      <c r="AL71" s="1092">
        <v>46.37151340054821</v>
      </c>
      <c r="AM71" s="1070">
        <f t="shared" si="4"/>
        <v>1251.5671466807962</v>
      </c>
      <c r="AN71" s="1071" t="s">
        <v>38</v>
      </c>
      <c r="AO71" s="449"/>
      <c r="AP71" s="449"/>
    </row>
    <row r="72" spans="1:42" ht="54" customHeight="1">
      <c r="A72" s="788">
        <v>56</v>
      </c>
      <c r="B72" s="788">
        <v>56</v>
      </c>
      <c r="C72" s="788" t="str">
        <f>'Chấm công KT'!C68</f>
        <v>03501</v>
      </c>
      <c r="D72" s="795" t="str">
        <f>'Chấm công KT'!D68</f>
        <v>T Dăn</v>
      </c>
      <c r="E72" s="795"/>
      <c r="F72" s="1067">
        <v>75</v>
      </c>
      <c r="G72" s="1067">
        <v>52</v>
      </c>
      <c r="H72" s="1067">
        <v>66</v>
      </c>
      <c r="I72" s="1067">
        <v>66</v>
      </c>
      <c r="J72" s="1067">
        <v>60</v>
      </c>
      <c r="K72" s="1067">
        <v>26</v>
      </c>
      <c r="L72" s="1067">
        <v>132</v>
      </c>
      <c r="M72" s="1067">
        <v>171</v>
      </c>
      <c r="N72" s="1067">
        <v>118</v>
      </c>
      <c r="O72" s="1067">
        <v>0</v>
      </c>
      <c r="P72" s="1067">
        <v>103</v>
      </c>
      <c r="Q72" s="1067">
        <v>68</v>
      </c>
      <c r="R72" s="1067">
        <v>88</v>
      </c>
      <c r="S72" s="1067">
        <v>0</v>
      </c>
      <c r="T72" s="1067">
        <v>0</v>
      </c>
      <c r="U72" s="1067">
        <v>0</v>
      </c>
      <c r="V72" s="1067">
        <v>0</v>
      </c>
      <c r="W72" s="1067">
        <v>0</v>
      </c>
      <c r="X72" s="1067">
        <v>93</v>
      </c>
      <c r="Y72" s="1067">
        <v>100</v>
      </c>
      <c r="Z72" s="1067">
        <v>132</v>
      </c>
      <c r="AA72" s="1067">
        <v>109</v>
      </c>
      <c r="AB72" s="1067">
        <v>96</v>
      </c>
      <c r="AC72" s="1067">
        <v>90</v>
      </c>
      <c r="AD72" s="1067">
        <v>120</v>
      </c>
      <c r="AE72" s="1067">
        <v>61</v>
      </c>
      <c r="AF72" s="1067">
        <v>87</v>
      </c>
      <c r="AG72" s="1067">
        <v>91</v>
      </c>
      <c r="AH72" s="1067">
        <v>109</v>
      </c>
      <c r="AI72" s="1067">
        <v>52</v>
      </c>
      <c r="AJ72" s="1068"/>
      <c r="AK72" s="1069">
        <f t="shared" si="3"/>
        <v>2165</v>
      </c>
      <c r="AL72" s="1092">
        <v>46.37151340054821</v>
      </c>
      <c r="AM72" s="1070">
        <f t="shared" si="4"/>
        <v>1003.9432651218688</v>
      </c>
      <c r="AN72" s="1071" t="s">
        <v>38</v>
      </c>
      <c r="AO72" s="449"/>
      <c r="AP72" s="449"/>
    </row>
    <row r="73" spans="1:42" ht="54" customHeight="1">
      <c r="A73" s="788">
        <v>57</v>
      </c>
      <c r="B73" s="788">
        <v>57</v>
      </c>
      <c r="C73" s="788" t="str">
        <f>'Chấm công KT'!C69</f>
        <v>03502</v>
      </c>
      <c r="D73" s="795" t="str">
        <f>'Chấm công KT'!D69</f>
        <v>T. Xợt</v>
      </c>
      <c r="E73" s="795"/>
      <c r="F73" s="1067">
        <v>0</v>
      </c>
      <c r="G73" s="1067">
        <v>0</v>
      </c>
      <c r="H73" s="1067">
        <v>54</v>
      </c>
      <c r="I73" s="1067">
        <v>114</v>
      </c>
      <c r="J73" s="1067">
        <v>104</v>
      </c>
      <c r="K73" s="1067">
        <v>92</v>
      </c>
      <c r="L73" s="1067">
        <v>143</v>
      </c>
      <c r="M73" s="1067">
        <v>100</v>
      </c>
      <c r="N73" s="1067">
        <v>149</v>
      </c>
      <c r="O73" s="1067">
        <v>64</v>
      </c>
      <c r="P73" s="1067">
        <v>98</v>
      </c>
      <c r="Q73" s="1067">
        <v>0</v>
      </c>
      <c r="R73" s="1067">
        <v>0</v>
      </c>
      <c r="S73" s="1067">
        <v>127</v>
      </c>
      <c r="T73" s="1067">
        <v>0</v>
      </c>
      <c r="U73" s="1067">
        <v>97</v>
      </c>
      <c r="V73" s="1067">
        <v>222</v>
      </c>
      <c r="W73" s="1067">
        <v>0</v>
      </c>
      <c r="X73" s="1067">
        <v>0</v>
      </c>
      <c r="Y73" s="1067">
        <v>0</v>
      </c>
      <c r="Z73" s="1067">
        <v>96</v>
      </c>
      <c r="AA73" s="1067">
        <v>176</v>
      </c>
      <c r="AB73" s="1067">
        <v>151</v>
      </c>
      <c r="AC73" s="1067">
        <v>179</v>
      </c>
      <c r="AD73" s="1067">
        <v>90</v>
      </c>
      <c r="AE73" s="1067">
        <v>90</v>
      </c>
      <c r="AF73" s="1067">
        <v>54</v>
      </c>
      <c r="AG73" s="1067">
        <v>76</v>
      </c>
      <c r="AH73" s="1067">
        <v>84</v>
      </c>
      <c r="AI73" s="1067">
        <v>0</v>
      </c>
      <c r="AJ73" s="1068"/>
      <c r="AK73" s="1069">
        <f t="shared" si="3"/>
        <v>2360</v>
      </c>
      <c r="AL73" s="1092">
        <v>46.37151340054821</v>
      </c>
      <c r="AM73" s="1070">
        <f t="shared" si="4"/>
        <v>1094.3677162529377</v>
      </c>
      <c r="AN73" s="1071" t="s">
        <v>38</v>
      </c>
      <c r="AO73" s="449"/>
      <c r="AP73" s="449"/>
    </row>
    <row r="74" spans="1:42" ht="54" customHeight="1">
      <c r="A74" s="788">
        <v>58</v>
      </c>
      <c r="B74" s="788">
        <v>58</v>
      </c>
      <c r="C74" s="788" t="str">
        <f>'Chấm công KT'!C70</f>
        <v>04065</v>
      </c>
      <c r="D74" s="795" t="str">
        <f>'Chấm công KT'!D70</f>
        <v>N. Phết 2</v>
      </c>
      <c r="E74" s="795"/>
      <c r="F74" s="1067">
        <v>56</v>
      </c>
      <c r="G74" s="1067">
        <v>53</v>
      </c>
      <c r="H74" s="1067">
        <v>46</v>
      </c>
      <c r="I74" s="1067">
        <v>80</v>
      </c>
      <c r="J74" s="1067">
        <v>66</v>
      </c>
      <c r="K74" s="1067">
        <v>54</v>
      </c>
      <c r="L74" s="1067">
        <v>186</v>
      </c>
      <c r="M74" s="1067">
        <v>166</v>
      </c>
      <c r="N74" s="1067">
        <v>150</v>
      </c>
      <c r="O74" s="1067">
        <v>132</v>
      </c>
      <c r="P74" s="1067">
        <v>173</v>
      </c>
      <c r="Q74" s="1067">
        <v>0</v>
      </c>
      <c r="R74" s="1067">
        <v>0</v>
      </c>
      <c r="S74" s="1067">
        <v>0</v>
      </c>
      <c r="T74" s="1067">
        <v>0</v>
      </c>
      <c r="U74" s="1067">
        <v>0</v>
      </c>
      <c r="V74" s="1067">
        <v>211</v>
      </c>
      <c r="W74" s="1067">
        <v>0</v>
      </c>
      <c r="X74" s="1067">
        <v>0</v>
      </c>
      <c r="Y74" s="1067">
        <v>144</v>
      </c>
      <c r="Z74" s="1067">
        <v>93</v>
      </c>
      <c r="AA74" s="1067">
        <v>126</v>
      </c>
      <c r="AB74" s="1067">
        <v>80</v>
      </c>
      <c r="AC74" s="1067">
        <v>91</v>
      </c>
      <c r="AD74" s="1067">
        <v>177</v>
      </c>
      <c r="AE74" s="1067">
        <v>90</v>
      </c>
      <c r="AF74" s="1067">
        <v>137</v>
      </c>
      <c r="AG74" s="1067">
        <v>149</v>
      </c>
      <c r="AH74" s="1067">
        <v>105</v>
      </c>
      <c r="AI74" s="1067">
        <v>0</v>
      </c>
      <c r="AJ74" s="1068"/>
      <c r="AK74" s="1069">
        <f t="shared" si="3"/>
        <v>2565</v>
      </c>
      <c r="AL74" s="1092">
        <v>46.37151340054821</v>
      </c>
      <c r="AM74" s="1070">
        <f t="shared" si="4"/>
        <v>1189.4293187240617</v>
      </c>
      <c r="AN74" s="1071" t="s">
        <v>38</v>
      </c>
      <c r="AO74" s="449"/>
      <c r="AP74" s="449"/>
    </row>
    <row r="75" spans="1:42" ht="54" customHeight="1">
      <c r="A75" s="788">
        <v>59</v>
      </c>
      <c r="B75" s="788">
        <v>59</v>
      </c>
      <c r="C75" s="788" t="str">
        <f>'Chấm công KT'!C71</f>
        <v>03504</v>
      </c>
      <c r="D75" s="795" t="str">
        <f>'Chấm công KT'!D71</f>
        <v>T. Cạp</v>
      </c>
      <c r="E75" s="795"/>
      <c r="F75" s="1067">
        <v>56</v>
      </c>
      <c r="G75" s="1067">
        <v>0</v>
      </c>
      <c r="H75" s="1067">
        <v>53</v>
      </c>
      <c r="I75" s="1067">
        <v>62</v>
      </c>
      <c r="J75" s="1067">
        <v>51</v>
      </c>
      <c r="K75" s="1067">
        <v>96</v>
      </c>
      <c r="L75" s="1067">
        <v>122</v>
      </c>
      <c r="M75" s="1067">
        <v>122</v>
      </c>
      <c r="N75" s="1067">
        <v>131</v>
      </c>
      <c r="O75" s="1067">
        <v>137</v>
      </c>
      <c r="P75" s="1067">
        <v>93</v>
      </c>
      <c r="Q75" s="1067">
        <v>0</v>
      </c>
      <c r="R75" s="1067">
        <v>0</v>
      </c>
      <c r="S75" s="1067">
        <v>0</v>
      </c>
      <c r="T75" s="1067">
        <v>0</v>
      </c>
      <c r="U75" s="1067">
        <v>0</v>
      </c>
      <c r="V75" s="1067">
        <v>0</v>
      </c>
      <c r="W75" s="1067">
        <v>0</v>
      </c>
      <c r="X75" s="1067">
        <v>0</v>
      </c>
      <c r="Y75" s="1067">
        <v>0</v>
      </c>
      <c r="Z75" s="1067">
        <v>0</v>
      </c>
      <c r="AA75" s="1067">
        <v>0</v>
      </c>
      <c r="AB75" s="1067">
        <v>0</v>
      </c>
      <c r="AC75" s="1067">
        <v>128</v>
      </c>
      <c r="AD75" s="1067">
        <v>75</v>
      </c>
      <c r="AE75" s="1067">
        <v>0</v>
      </c>
      <c r="AF75" s="1067">
        <v>96</v>
      </c>
      <c r="AG75" s="1067">
        <v>49</v>
      </c>
      <c r="AH75" s="1067">
        <v>64</v>
      </c>
      <c r="AI75" s="1067">
        <v>89</v>
      </c>
      <c r="AJ75" s="1068"/>
      <c r="AK75" s="1069">
        <f t="shared" si="3"/>
        <v>1424</v>
      </c>
      <c r="AL75" s="1092">
        <v>46.37151340054821</v>
      </c>
      <c r="AM75" s="1070">
        <f t="shared" si="4"/>
        <v>660.3303508238065</v>
      </c>
      <c r="AN75" s="1071" t="s">
        <v>38</v>
      </c>
      <c r="AO75" s="449"/>
      <c r="AP75" s="449"/>
    </row>
    <row r="76" spans="1:42" ht="54" customHeight="1">
      <c r="A76" s="788">
        <v>60</v>
      </c>
      <c r="B76" s="788">
        <v>60</v>
      </c>
      <c r="C76" s="788" t="str">
        <f>'Chấm công KT'!C72</f>
        <v>04066</v>
      </c>
      <c r="D76" s="795" t="str">
        <f>'Chấm công KT'!D72</f>
        <v>T. Toi</v>
      </c>
      <c r="E76" s="795"/>
      <c r="F76" s="1067">
        <v>0</v>
      </c>
      <c r="G76" s="1067">
        <v>0</v>
      </c>
      <c r="H76" s="1067">
        <v>58</v>
      </c>
      <c r="I76" s="1067">
        <v>69</v>
      </c>
      <c r="J76" s="1067">
        <v>86</v>
      </c>
      <c r="K76" s="1067">
        <v>50</v>
      </c>
      <c r="L76" s="1067">
        <v>156</v>
      </c>
      <c r="M76" s="1067">
        <v>153</v>
      </c>
      <c r="N76" s="1067">
        <v>114</v>
      </c>
      <c r="O76" s="1067">
        <v>98</v>
      </c>
      <c r="P76" s="1067">
        <v>129</v>
      </c>
      <c r="Q76" s="1067">
        <v>140</v>
      </c>
      <c r="R76" s="1067">
        <v>100</v>
      </c>
      <c r="S76" s="1067">
        <v>50</v>
      </c>
      <c r="T76" s="1067">
        <v>0</v>
      </c>
      <c r="U76" s="1067">
        <v>0</v>
      </c>
      <c r="V76" s="1067">
        <v>0</v>
      </c>
      <c r="W76" s="1067">
        <v>0</v>
      </c>
      <c r="X76" s="1067">
        <v>0</v>
      </c>
      <c r="Y76" s="1067">
        <v>0</v>
      </c>
      <c r="Z76" s="1067">
        <v>117</v>
      </c>
      <c r="AA76" s="1067">
        <v>70</v>
      </c>
      <c r="AB76" s="1067">
        <v>120</v>
      </c>
      <c r="AC76" s="1067">
        <v>96</v>
      </c>
      <c r="AD76" s="1067">
        <v>97</v>
      </c>
      <c r="AE76" s="1067">
        <v>60</v>
      </c>
      <c r="AF76" s="1067">
        <v>132</v>
      </c>
      <c r="AG76" s="1067">
        <v>122</v>
      </c>
      <c r="AH76" s="1067">
        <v>129</v>
      </c>
      <c r="AI76" s="1067">
        <v>78</v>
      </c>
      <c r="AJ76" s="1068"/>
      <c r="AK76" s="1069">
        <f t="shared" si="3"/>
        <v>2224</v>
      </c>
      <c r="AL76" s="1092">
        <v>46.37151340054821</v>
      </c>
      <c r="AM76" s="1070">
        <f t="shared" si="4"/>
        <v>1031.3024580281922</v>
      </c>
      <c r="AN76" s="1071" t="s">
        <v>38</v>
      </c>
      <c r="AO76" s="449"/>
      <c r="AP76" s="449"/>
    </row>
    <row r="77" spans="1:42" ht="54" customHeight="1">
      <c r="A77" s="788">
        <v>61</v>
      </c>
      <c r="B77" s="788">
        <v>61</v>
      </c>
      <c r="C77" s="788" t="str">
        <f>'Chấm công KT'!C73</f>
        <v>03506</v>
      </c>
      <c r="D77" s="795" t="str">
        <f>'Chấm công KT'!D73</f>
        <v>N. Bua Hom</v>
      </c>
      <c r="E77" s="795"/>
      <c r="F77" s="1067">
        <v>72</v>
      </c>
      <c r="G77" s="1067">
        <v>51</v>
      </c>
      <c r="H77" s="1067">
        <v>74</v>
      </c>
      <c r="I77" s="1067">
        <v>83</v>
      </c>
      <c r="J77" s="1067">
        <v>59</v>
      </c>
      <c r="K77" s="1067">
        <v>52</v>
      </c>
      <c r="L77" s="1067">
        <v>170</v>
      </c>
      <c r="M77" s="1067">
        <v>170</v>
      </c>
      <c r="N77" s="1067">
        <v>148</v>
      </c>
      <c r="O77" s="1067">
        <v>100</v>
      </c>
      <c r="P77" s="1067">
        <v>138</v>
      </c>
      <c r="Q77" s="1067">
        <v>0</v>
      </c>
      <c r="R77" s="1067">
        <v>0</v>
      </c>
      <c r="S77" s="1067">
        <v>91</v>
      </c>
      <c r="T77" s="1067">
        <v>0</v>
      </c>
      <c r="U77" s="1067">
        <v>122</v>
      </c>
      <c r="V77" s="1067">
        <v>227</v>
      </c>
      <c r="W77" s="1067">
        <v>90</v>
      </c>
      <c r="X77" s="1067">
        <v>114</v>
      </c>
      <c r="Y77" s="1067">
        <v>118</v>
      </c>
      <c r="Z77" s="1067">
        <v>100</v>
      </c>
      <c r="AA77" s="1067">
        <v>0</v>
      </c>
      <c r="AB77" s="1067">
        <v>0</v>
      </c>
      <c r="AC77" s="1067">
        <v>0</v>
      </c>
      <c r="AD77" s="1067">
        <v>0</v>
      </c>
      <c r="AE77" s="1067">
        <v>149</v>
      </c>
      <c r="AF77" s="1067">
        <v>100</v>
      </c>
      <c r="AG77" s="1067">
        <v>330</v>
      </c>
      <c r="AH77" s="1067">
        <v>169</v>
      </c>
      <c r="AI77" s="1067">
        <v>0</v>
      </c>
      <c r="AJ77" s="1068"/>
      <c r="AK77" s="1069">
        <f t="shared" si="3"/>
        <v>2727</v>
      </c>
      <c r="AL77" s="1092">
        <v>46.37151340054821</v>
      </c>
      <c r="AM77" s="1070">
        <f t="shared" si="4"/>
        <v>1264.5511704329497</v>
      </c>
      <c r="AN77" s="1071" t="s">
        <v>38</v>
      </c>
      <c r="AO77" s="449"/>
      <c r="AP77" s="449"/>
    </row>
    <row r="78" spans="1:42" ht="54" customHeight="1">
      <c r="A78" s="788">
        <v>62</v>
      </c>
      <c r="B78" s="788">
        <v>62</v>
      </c>
      <c r="C78" s="788" t="str">
        <f>'Chấm công KT'!C74</f>
        <v>04067</v>
      </c>
      <c r="D78" s="795" t="str">
        <f>'Chấm công KT'!D74</f>
        <v>N. Lăm Phay (2)</v>
      </c>
      <c r="E78" s="795"/>
      <c r="F78" s="1067">
        <v>61</v>
      </c>
      <c r="G78" s="1067">
        <v>40</v>
      </c>
      <c r="H78" s="1067">
        <v>59</v>
      </c>
      <c r="I78" s="1067">
        <v>62</v>
      </c>
      <c r="J78" s="1067">
        <v>38</v>
      </c>
      <c r="K78" s="1067">
        <v>31</v>
      </c>
      <c r="L78" s="1067">
        <v>154</v>
      </c>
      <c r="M78" s="1067">
        <v>154</v>
      </c>
      <c r="N78" s="1067">
        <v>153</v>
      </c>
      <c r="O78" s="1067">
        <v>100</v>
      </c>
      <c r="P78" s="1067">
        <v>124</v>
      </c>
      <c r="Q78" s="1067">
        <v>140</v>
      </c>
      <c r="R78" s="1067">
        <v>125</v>
      </c>
      <c r="S78" s="1067">
        <v>73</v>
      </c>
      <c r="T78" s="1067">
        <v>0</v>
      </c>
      <c r="U78" s="1067">
        <v>0</v>
      </c>
      <c r="V78" s="1067">
        <v>0</v>
      </c>
      <c r="W78" s="1067">
        <v>0</v>
      </c>
      <c r="X78" s="1067">
        <v>0</v>
      </c>
      <c r="Y78" s="1067">
        <v>0</v>
      </c>
      <c r="Z78" s="1067">
        <v>138</v>
      </c>
      <c r="AA78" s="1067">
        <v>129</v>
      </c>
      <c r="AB78" s="1067">
        <v>0</v>
      </c>
      <c r="AC78" s="1067">
        <v>60</v>
      </c>
      <c r="AD78" s="1067">
        <v>78</v>
      </c>
      <c r="AE78" s="1067">
        <v>86</v>
      </c>
      <c r="AF78" s="1067">
        <v>143</v>
      </c>
      <c r="AG78" s="1067">
        <v>88</v>
      </c>
      <c r="AH78" s="1067">
        <v>107</v>
      </c>
      <c r="AI78" s="1067">
        <v>89</v>
      </c>
      <c r="AJ78" s="1068"/>
      <c r="AK78" s="1069">
        <f t="shared" si="3"/>
        <v>2232</v>
      </c>
      <c r="AL78" s="1092">
        <v>46.37151340054821</v>
      </c>
      <c r="AM78" s="1070">
        <f t="shared" si="4"/>
        <v>1035.0121791002362</v>
      </c>
      <c r="AN78" s="1071" t="s">
        <v>38</v>
      </c>
      <c r="AO78" s="449"/>
      <c r="AP78" s="449"/>
    </row>
    <row r="79" spans="1:42" ht="54" customHeight="1">
      <c r="A79" s="788">
        <v>63</v>
      </c>
      <c r="B79" s="788">
        <v>63</v>
      </c>
      <c r="C79" s="788" t="str">
        <f>'Chấm công KT'!C75</f>
        <v>03508</v>
      </c>
      <c r="D79" s="795" t="str">
        <f>'Chấm công KT'!D75</f>
        <v>T. Đèng</v>
      </c>
      <c r="E79" s="795"/>
      <c r="F79" s="1067">
        <v>44</v>
      </c>
      <c r="G79" s="1067">
        <v>30</v>
      </c>
      <c r="H79" s="1067">
        <v>111</v>
      </c>
      <c r="I79" s="1067">
        <v>60</v>
      </c>
      <c r="J79" s="1067">
        <v>0</v>
      </c>
      <c r="K79" s="1067">
        <v>0</v>
      </c>
      <c r="L79" s="1067">
        <v>130</v>
      </c>
      <c r="M79" s="1067">
        <v>95</v>
      </c>
      <c r="N79" s="1067">
        <v>90</v>
      </c>
      <c r="O79" s="1067">
        <v>56</v>
      </c>
      <c r="P79" s="1067">
        <v>109</v>
      </c>
      <c r="Q79" s="1067">
        <v>107</v>
      </c>
      <c r="R79" s="1067">
        <v>82</v>
      </c>
      <c r="S79" s="1067">
        <v>0</v>
      </c>
      <c r="T79" s="1067">
        <v>0</v>
      </c>
      <c r="U79" s="1067">
        <v>0</v>
      </c>
      <c r="V79" s="1067">
        <v>0</v>
      </c>
      <c r="W79" s="1067">
        <v>0</v>
      </c>
      <c r="X79" s="1067">
        <v>0</v>
      </c>
      <c r="Y79" s="1067">
        <v>0</v>
      </c>
      <c r="Z79" s="1067">
        <v>0</v>
      </c>
      <c r="AA79" s="1067">
        <v>0</v>
      </c>
      <c r="AB79" s="1067">
        <v>95</v>
      </c>
      <c r="AC79" s="1067">
        <v>93</v>
      </c>
      <c r="AD79" s="1067">
        <v>158</v>
      </c>
      <c r="AE79" s="1067">
        <v>61</v>
      </c>
      <c r="AF79" s="1067">
        <v>0</v>
      </c>
      <c r="AG79" s="1067">
        <v>0</v>
      </c>
      <c r="AH79" s="1067">
        <v>0</v>
      </c>
      <c r="AI79" s="1067">
        <v>0</v>
      </c>
      <c r="AJ79" s="1068"/>
      <c r="AK79" s="1069">
        <f t="shared" si="3"/>
        <v>1321</v>
      </c>
      <c r="AL79" s="1092">
        <v>46.37151340054821</v>
      </c>
      <c r="AM79" s="1070">
        <f t="shared" si="4"/>
        <v>612.56769202124178</v>
      </c>
      <c r="AN79" s="1071" t="s">
        <v>46</v>
      </c>
      <c r="AO79" s="449"/>
      <c r="AP79" s="449"/>
    </row>
    <row r="80" spans="1:42" ht="54" customHeight="1">
      <c r="A80" s="788">
        <v>64</v>
      </c>
      <c r="B80" s="788">
        <v>64</v>
      </c>
      <c r="C80" s="788" t="str">
        <f>'Chấm công KT'!C76</f>
        <v>03512</v>
      </c>
      <c r="D80" s="795" t="str">
        <f>'Chấm công KT'!D76</f>
        <v>N. Đon</v>
      </c>
      <c r="E80" s="795"/>
      <c r="F80" s="1067">
        <v>100</v>
      </c>
      <c r="G80" s="1067">
        <v>19</v>
      </c>
      <c r="H80" s="1067">
        <v>38</v>
      </c>
      <c r="I80" s="1067">
        <v>66</v>
      </c>
      <c r="J80" s="1067">
        <v>65</v>
      </c>
      <c r="K80" s="1067">
        <v>0</v>
      </c>
      <c r="L80" s="1067">
        <v>80</v>
      </c>
      <c r="M80" s="1067">
        <v>0</v>
      </c>
      <c r="N80" s="1067">
        <v>110</v>
      </c>
      <c r="O80" s="1067">
        <v>94</v>
      </c>
      <c r="P80" s="1067">
        <v>62</v>
      </c>
      <c r="Q80" s="1067">
        <v>185</v>
      </c>
      <c r="R80" s="1067">
        <v>92</v>
      </c>
      <c r="S80" s="1067">
        <v>48</v>
      </c>
      <c r="T80" s="1067">
        <v>0</v>
      </c>
      <c r="U80" s="1067">
        <v>0</v>
      </c>
      <c r="V80" s="1067">
        <v>70</v>
      </c>
      <c r="W80" s="1067">
        <v>0</v>
      </c>
      <c r="X80" s="1067">
        <v>0</v>
      </c>
      <c r="Y80" s="1067">
        <v>0</v>
      </c>
      <c r="Z80" s="1067">
        <v>0</v>
      </c>
      <c r="AA80" s="1067">
        <v>107</v>
      </c>
      <c r="AB80" s="1067">
        <v>95</v>
      </c>
      <c r="AC80" s="1067">
        <v>212</v>
      </c>
      <c r="AD80" s="1067">
        <v>132</v>
      </c>
      <c r="AE80" s="1067">
        <v>60</v>
      </c>
      <c r="AF80" s="1067">
        <v>54</v>
      </c>
      <c r="AG80" s="1067">
        <v>0</v>
      </c>
      <c r="AH80" s="1067">
        <v>146</v>
      </c>
      <c r="AI80" s="1067">
        <v>0</v>
      </c>
      <c r="AJ80" s="1068"/>
      <c r="AK80" s="1069">
        <f t="shared" si="3"/>
        <v>1835</v>
      </c>
      <c r="AL80" s="1092">
        <v>46.37151340054821</v>
      </c>
      <c r="AM80" s="1070">
        <f t="shared" si="4"/>
        <v>850.91727090005963</v>
      </c>
      <c r="AN80" s="1071" t="s">
        <v>38</v>
      </c>
      <c r="AO80" s="449"/>
      <c r="AP80" s="449"/>
    </row>
    <row r="81" spans="1:42" ht="54" customHeight="1">
      <c r="A81" s="788">
        <v>65</v>
      </c>
      <c r="B81" s="788">
        <v>65</v>
      </c>
      <c r="C81" s="788" t="str">
        <f>'Chấm công KT'!C77</f>
        <v>04068</v>
      </c>
      <c r="D81" s="795" t="str">
        <f>'Chấm công KT'!D77</f>
        <v xml:space="preserve">T. La </v>
      </c>
      <c r="E81" s="795"/>
      <c r="F81" s="1067">
        <v>89</v>
      </c>
      <c r="G81" s="1067">
        <v>0</v>
      </c>
      <c r="H81" s="1067">
        <v>67</v>
      </c>
      <c r="I81" s="1067">
        <v>53</v>
      </c>
      <c r="J81" s="1067">
        <v>0</v>
      </c>
      <c r="K81" s="1067">
        <v>61</v>
      </c>
      <c r="L81" s="1067">
        <v>124</v>
      </c>
      <c r="M81" s="1067">
        <v>63</v>
      </c>
      <c r="N81" s="1067">
        <v>93</v>
      </c>
      <c r="O81" s="1067">
        <v>54</v>
      </c>
      <c r="P81" s="1067">
        <v>95</v>
      </c>
      <c r="Q81" s="1067">
        <v>0</v>
      </c>
      <c r="R81" s="1067">
        <v>0</v>
      </c>
      <c r="S81" s="1067">
        <v>0</v>
      </c>
      <c r="T81" s="1067">
        <v>0</v>
      </c>
      <c r="U81" s="1067">
        <v>0</v>
      </c>
      <c r="V81" s="1067">
        <v>0</v>
      </c>
      <c r="W81" s="1067">
        <v>0</v>
      </c>
      <c r="X81" s="1067">
        <v>0</v>
      </c>
      <c r="Y81" s="1067">
        <v>0</v>
      </c>
      <c r="Z81" s="1067">
        <v>55</v>
      </c>
      <c r="AA81" s="1067">
        <v>0</v>
      </c>
      <c r="AB81" s="1067">
        <v>113</v>
      </c>
      <c r="AC81" s="1067">
        <v>64</v>
      </c>
      <c r="AD81" s="1067">
        <v>45</v>
      </c>
      <c r="AE81" s="1067">
        <v>70</v>
      </c>
      <c r="AF81" s="1067">
        <v>64</v>
      </c>
      <c r="AG81" s="1067">
        <v>56</v>
      </c>
      <c r="AH81" s="1067">
        <v>48</v>
      </c>
      <c r="AI81" s="1067">
        <v>71</v>
      </c>
      <c r="AJ81" s="1068"/>
      <c r="AK81" s="1069">
        <f t="shared" si="3"/>
        <v>1285</v>
      </c>
      <c r="AL81" s="1092">
        <v>46.37151340054821</v>
      </c>
      <c r="AM81" s="1070">
        <f t="shared" ref="AM81:AM96" si="5">AK81*AL81/100</f>
        <v>595.87394719704446</v>
      </c>
      <c r="AN81" s="1071" t="s">
        <v>46</v>
      </c>
      <c r="AO81" s="449"/>
      <c r="AP81" s="449"/>
    </row>
    <row r="82" spans="1:42" ht="54" customHeight="1">
      <c r="A82" s="788">
        <v>66</v>
      </c>
      <c r="B82" s="788">
        <v>66</v>
      </c>
      <c r="C82" s="788" t="str">
        <f>'Chấm công KT'!C78</f>
        <v>04069</v>
      </c>
      <c r="D82" s="795" t="str">
        <f>'Chấm công KT'!D78</f>
        <v>T. Bờm</v>
      </c>
      <c r="E82" s="795"/>
      <c r="F82" s="1067">
        <v>101</v>
      </c>
      <c r="G82" s="1067">
        <v>10</v>
      </c>
      <c r="H82" s="1067">
        <v>39</v>
      </c>
      <c r="I82" s="1067">
        <v>53</v>
      </c>
      <c r="J82" s="1067">
        <v>34</v>
      </c>
      <c r="K82" s="1067">
        <v>0</v>
      </c>
      <c r="L82" s="1067">
        <v>94</v>
      </c>
      <c r="M82" s="1067">
        <v>0</v>
      </c>
      <c r="N82" s="1067">
        <v>102</v>
      </c>
      <c r="O82" s="1067">
        <v>102</v>
      </c>
      <c r="P82" s="1067">
        <v>62</v>
      </c>
      <c r="Q82" s="1067">
        <v>207</v>
      </c>
      <c r="R82" s="1067">
        <v>84</v>
      </c>
      <c r="S82" s="1067">
        <v>58</v>
      </c>
      <c r="T82" s="1067">
        <v>0</v>
      </c>
      <c r="U82" s="1067">
        <v>0</v>
      </c>
      <c r="V82" s="1067">
        <v>60</v>
      </c>
      <c r="W82" s="1067">
        <v>0</v>
      </c>
      <c r="X82" s="1067">
        <v>0</v>
      </c>
      <c r="Y82" s="1067">
        <v>0</v>
      </c>
      <c r="Z82" s="1067">
        <v>0</v>
      </c>
      <c r="AA82" s="1067">
        <v>106</v>
      </c>
      <c r="AB82" s="1067">
        <v>86</v>
      </c>
      <c r="AC82" s="1067">
        <v>214</v>
      </c>
      <c r="AD82" s="1067">
        <v>140</v>
      </c>
      <c r="AE82" s="1067">
        <v>54</v>
      </c>
      <c r="AF82" s="1067">
        <v>32</v>
      </c>
      <c r="AG82" s="1067">
        <v>0</v>
      </c>
      <c r="AH82" s="1067">
        <v>147</v>
      </c>
      <c r="AI82" s="1067">
        <v>0</v>
      </c>
      <c r="AJ82" s="1068"/>
      <c r="AK82" s="1069">
        <f t="shared" ref="AK82:AK91" si="6">SUM(F82:AJ82)</f>
        <v>1785</v>
      </c>
      <c r="AL82" s="1092">
        <v>46.37151340054821</v>
      </c>
      <c r="AM82" s="1070">
        <f t="shared" si="5"/>
        <v>827.73151419978558</v>
      </c>
      <c r="AN82" s="1071" t="s">
        <v>46</v>
      </c>
      <c r="AO82" s="449"/>
      <c r="AP82" s="449"/>
    </row>
    <row r="83" spans="1:42" ht="54" customHeight="1">
      <c r="A83" s="788">
        <v>67</v>
      </c>
      <c r="B83" s="788">
        <v>67</v>
      </c>
      <c r="C83" s="788" t="str">
        <f>'Chấm công KT'!C79</f>
        <v>03546</v>
      </c>
      <c r="D83" s="795" t="str">
        <f>'Chấm công KT'!D79</f>
        <v>T. Nọi</v>
      </c>
      <c r="E83" s="795"/>
      <c r="F83" s="1067">
        <v>52</v>
      </c>
      <c r="G83" s="1067">
        <v>0</v>
      </c>
      <c r="H83" s="1067">
        <v>39</v>
      </c>
      <c r="I83" s="1067">
        <v>56</v>
      </c>
      <c r="J83" s="1067">
        <v>42</v>
      </c>
      <c r="K83" s="1067">
        <v>59</v>
      </c>
      <c r="L83" s="1067">
        <v>112</v>
      </c>
      <c r="M83" s="1067">
        <v>91</v>
      </c>
      <c r="N83" s="1067">
        <v>90</v>
      </c>
      <c r="O83" s="1067">
        <v>59</v>
      </c>
      <c r="P83" s="1067">
        <v>138</v>
      </c>
      <c r="Q83" s="1067">
        <v>88</v>
      </c>
      <c r="R83" s="1067">
        <v>80</v>
      </c>
      <c r="S83" s="1067">
        <v>0</v>
      </c>
      <c r="T83" s="1067">
        <v>0</v>
      </c>
      <c r="U83" s="1067">
        <v>0</v>
      </c>
      <c r="V83" s="1067">
        <v>81</v>
      </c>
      <c r="W83" s="1067">
        <v>56</v>
      </c>
      <c r="X83" s="1067">
        <v>95</v>
      </c>
      <c r="Y83" s="1067">
        <v>74</v>
      </c>
      <c r="Z83" s="1067">
        <v>57</v>
      </c>
      <c r="AA83" s="1067">
        <v>55</v>
      </c>
      <c r="AB83" s="1067">
        <v>87</v>
      </c>
      <c r="AC83" s="1067">
        <v>82</v>
      </c>
      <c r="AD83" s="1067">
        <v>73</v>
      </c>
      <c r="AE83" s="1067">
        <v>0</v>
      </c>
      <c r="AF83" s="1067">
        <v>0</v>
      </c>
      <c r="AG83" s="1067">
        <v>73</v>
      </c>
      <c r="AH83" s="1067">
        <v>60</v>
      </c>
      <c r="AI83" s="1067">
        <v>93</v>
      </c>
      <c r="AJ83" s="1068"/>
      <c r="AK83" s="1069">
        <f t="shared" si="6"/>
        <v>1792</v>
      </c>
      <c r="AL83" s="1092">
        <v>46.37151340054821</v>
      </c>
      <c r="AM83" s="1070">
        <f t="shared" si="5"/>
        <v>830.97752013782383</v>
      </c>
      <c r="AN83" s="1071" t="s">
        <v>38</v>
      </c>
      <c r="AO83" s="449"/>
      <c r="AP83" s="449"/>
    </row>
    <row r="84" spans="1:42" ht="54" customHeight="1">
      <c r="A84" s="788">
        <v>68</v>
      </c>
      <c r="B84" s="788">
        <v>68</v>
      </c>
      <c r="C84" s="788" t="str">
        <f>'Chấm công KT'!C80</f>
        <v>03571</v>
      </c>
      <c r="D84" s="795" t="str">
        <f>'Chấm công KT'!D80</f>
        <v>T. Ê</v>
      </c>
      <c r="E84" s="795"/>
      <c r="F84" s="1067">
        <v>32</v>
      </c>
      <c r="G84" s="1067">
        <v>25</v>
      </c>
      <c r="H84" s="1067">
        <v>112</v>
      </c>
      <c r="I84" s="1067">
        <v>55</v>
      </c>
      <c r="J84" s="1067">
        <v>0</v>
      </c>
      <c r="K84" s="1067">
        <v>0</v>
      </c>
      <c r="L84" s="1067">
        <v>118</v>
      </c>
      <c r="M84" s="1067">
        <v>89</v>
      </c>
      <c r="N84" s="1067">
        <v>100</v>
      </c>
      <c r="O84" s="1067">
        <v>55</v>
      </c>
      <c r="P84" s="1067">
        <v>110</v>
      </c>
      <c r="Q84" s="1067">
        <v>86</v>
      </c>
      <c r="R84" s="1067">
        <v>86</v>
      </c>
      <c r="S84" s="1067">
        <v>0</v>
      </c>
      <c r="T84" s="1067">
        <v>0</v>
      </c>
      <c r="U84" s="1067">
        <v>0</v>
      </c>
      <c r="V84" s="1067">
        <v>0</v>
      </c>
      <c r="W84" s="1067">
        <v>0</v>
      </c>
      <c r="X84" s="1067">
        <v>0</v>
      </c>
      <c r="Y84" s="1067">
        <v>0</v>
      </c>
      <c r="Z84" s="1067">
        <v>0</v>
      </c>
      <c r="AA84" s="1067">
        <v>0</v>
      </c>
      <c r="AB84" s="1067">
        <v>127</v>
      </c>
      <c r="AC84" s="1067">
        <v>115</v>
      </c>
      <c r="AD84" s="1067">
        <v>89</v>
      </c>
      <c r="AE84" s="1067">
        <v>102</v>
      </c>
      <c r="AF84" s="1067">
        <v>0</v>
      </c>
      <c r="AG84" s="1067">
        <v>0</v>
      </c>
      <c r="AH84" s="1067">
        <v>0</v>
      </c>
      <c r="AI84" s="1067">
        <v>0</v>
      </c>
      <c r="AJ84" s="1068"/>
      <c r="AK84" s="1069">
        <f t="shared" si="6"/>
        <v>1301</v>
      </c>
      <c r="AL84" s="1092">
        <v>46.37151340054821</v>
      </c>
      <c r="AM84" s="1070">
        <f t="shared" si="5"/>
        <v>603.29338934113218</v>
      </c>
      <c r="AN84" s="1071" t="s">
        <v>46</v>
      </c>
      <c r="AO84" s="449"/>
      <c r="AP84" s="449"/>
    </row>
    <row r="85" spans="1:42" ht="54" customHeight="1">
      <c r="A85" s="788">
        <v>69</v>
      </c>
      <c r="B85" s="788">
        <v>69</v>
      </c>
      <c r="C85" s="788" t="str">
        <f>'Chấm công KT'!C81</f>
        <v>04070</v>
      </c>
      <c r="D85" s="795" t="str">
        <f>'Chấm công KT'!D81</f>
        <v>T Bun</v>
      </c>
      <c r="E85" s="795"/>
      <c r="F85" s="1067">
        <v>0</v>
      </c>
      <c r="G85" s="1067">
        <v>0</v>
      </c>
      <c r="H85" s="1067">
        <v>0</v>
      </c>
      <c r="I85" s="1067">
        <v>67</v>
      </c>
      <c r="J85" s="1067">
        <v>80</v>
      </c>
      <c r="K85" s="1067">
        <v>50</v>
      </c>
      <c r="L85" s="1067">
        <v>71</v>
      </c>
      <c r="M85" s="1067">
        <v>126</v>
      </c>
      <c r="N85" s="1067">
        <v>34</v>
      </c>
      <c r="O85" s="1067">
        <v>0</v>
      </c>
      <c r="P85" s="1067">
        <v>0</v>
      </c>
      <c r="Q85" s="1067">
        <v>0</v>
      </c>
      <c r="R85" s="1067">
        <v>0</v>
      </c>
      <c r="S85" s="1067">
        <v>0</v>
      </c>
      <c r="T85" s="1067">
        <v>0</v>
      </c>
      <c r="U85" s="1067">
        <v>0</v>
      </c>
      <c r="V85" s="1067">
        <v>0</v>
      </c>
      <c r="W85" s="1067">
        <v>95</v>
      </c>
      <c r="X85" s="1067">
        <v>170</v>
      </c>
      <c r="Y85" s="1067">
        <v>201</v>
      </c>
      <c r="Z85" s="1067">
        <v>61</v>
      </c>
      <c r="AA85" s="1067">
        <v>0</v>
      </c>
      <c r="AB85" s="1067">
        <v>70</v>
      </c>
      <c r="AC85" s="1067">
        <v>84</v>
      </c>
      <c r="AD85" s="1067">
        <v>0</v>
      </c>
      <c r="AE85" s="1067">
        <v>145</v>
      </c>
      <c r="AF85" s="1067">
        <v>65</v>
      </c>
      <c r="AG85" s="1067">
        <v>84</v>
      </c>
      <c r="AH85" s="1067">
        <v>85</v>
      </c>
      <c r="AI85" s="1067">
        <v>80</v>
      </c>
      <c r="AJ85" s="1068"/>
      <c r="AK85" s="1069">
        <f t="shared" si="6"/>
        <v>1568</v>
      </c>
      <c r="AL85" s="1092">
        <v>46.37151340054821</v>
      </c>
      <c r="AM85" s="1070">
        <f t="shared" si="5"/>
        <v>727.10533012059591</v>
      </c>
      <c r="AN85" s="1071" t="s">
        <v>38</v>
      </c>
      <c r="AO85" s="449"/>
      <c r="AP85" s="449"/>
    </row>
    <row r="86" spans="1:42" ht="54" customHeight="1">
      <c r="A86" s="788">
        <v>70</v>
      </c>
      <c r="B86" s="788">
        <v>70</v>
      </c>
      <c r="C86" s="788" t="str">
        <f>'Chấm công KT'!C82</f>
        <v>03515</v>
      </c>
      <c r="D86" s="795" t="str">
        <f>'Chấm công KT'!D82</f>
        <v>N. Xi</v>
      </c>
      <c r="E86" s="795"/>
      <c r="F86" s="1067">
        <v>0</v>
      </c>
      <c r="G86" s="1067">
        <v>0</v>
      </c>
      <c r="H86" s="1067">
        <v>54</v>
      </c>
      <c r="I86" s="1067">
        <v>115</v>
      </c>
      <c r="J86" s="1067">
        <v>97</v>
      </c>
      <c r="K86" s="1067">
        <v>94</v>
      </c>
      <c r="L86" s="1067">
        <v>145</v>
      </c>
      <c r="M86" s="1067">
        <v>100</v>
      </c>
      <c r="N86" s="1067">
        <v>140</v>
      </c>
      <c r="O86" s="1067">
        <v>53</v>
      </c>
      <c r="P86" s="1067">
        <v>98</v>
      </c>
      <c r="Q86" s="1067">
        <v>0</v>
      </c>
      <c r="R86" s="1067">
        <v>0</v>
      </c>
      <c r="S86" s="1067">
        <v>132</v>
      </c>
      <c r="T86" s="1067">
        <v>0</v>
      </c>
      <c r="U86" s="1067">
        <v>97</v>
      </c>
      <c r="V86" s="1067">
        <v>222</v>
      </c>
      <c r="W86" s="1067">
        <v>0</v>
      </c>
      <c r="X86" s="1067">
        <v>0</v>
      </c>
      <c r="Y86" s="1067">
        <v>0</v>
      </c>
      <c r="Z86" s="1067">
        <v>100</v>
      </c>
      <c r="AA86" s="1067">
        <v>171</v>
      </c>
      <c r="AB86" s="1067">
        <v>120</v>
      </c>
      <c r="AC86" s="1067">
        <v>180</v>
      </c>
      <c r="AD86" s="1067">
        <v>90</v>
      </c>
      <c r="AE86" s="1067">
        <v>84</v>
      </c>
      <c r="AF86" s="1067">
        <v>61</v>
      </c>
      <c r="AG86" s="1067">
        <v>76</v>
      </c>
      <c r="AH86" s="1067">
        <v>91</v>
      </c>
      <c r="AI86" s="1067">
        <v>107</v>
      </c>
      <c r="AJ86" s="1068"/>
      <c r="AK86" s="1069">
        <f t="shared" si="6"/>
        <v>2427</v>
      </c>
      <c r="AL86" s="1092">
        <v>46.37151340054821</v>
      </c>
      <c r="AM86" s="1070">
        <f t="shared" si="5"/>
        <v>1125.4366302313051</v>
      </c>
      <c r="AN86" s="1071" t="s">
        <v>38</v>
      </c>
      <c r="AO86" s="449"/>
      <c r="AP86" s="449"/>
    </row>
    <row r="87" spans="1:42" ht="54" customHeight="1">
      <c r="A87" s="788">
        <v>71</v>
      </c>
      <c r="B87" s="788">
        <v>71</v>
      </c>
      <c r="C87" s="788" t="str">
        <f>'Chấm công KT'!C83</f>
        <v>03516</v>
      </c>
      <c r="D87" s="795" t="str">
        <f>'Chấm công KT'!D83</f>
        <v>N. Chay</v>
      </c>
      <c r="E87" s="795"/>
      <c r="F87" s="1067">
        <v>0</v>
      </c>
      <c r="G87" s="1067">
        <v>0</v>
      </c>
      <c r="H87" s="1067">
        <v>66</v>
      </c>
      <c r="I87" s="1067">
        <v>58</v>
      </c>
      <c r="J87" s="1067">
        <v>100</v>
      </c>
      <c r="K87" s="1067">
        <v>120</v>
      </c>
      <c r="L87" s="1067">
        <v>0</v>
      </c>
      <c r="M87" s="1067">
        <v>116</v>
      </c>
      <c r="N87" s="1067">
        <v>46</v>
      </c>
      <c r="O87" s="1067">
        <v>0</v>
      </c>
      <c r="P87" s="1067">
        <v>185</v>
      </c>
      <c r="Q87" s="1067">
        <v>0</v>
      </c>
      <c r="R87" s="1067">
        <v>0</v>
      </c>
      <c r="S87" s="1067">
        <v>0</v>
      </c>
      <c r="T87" s="1067">
        <v>0</v>
      </c>
      <c r="U87" s="1067">
        <v>0</v>
      </c>
      <c r="V87" s="1067">
        <v>0</v>
      </c>
      <c r="W87" s="1067">
        <v>132</v>
      </c>
      <c r="X87" s="1067">
        <v>0</v>
      </c>
      <c r="Y87" s="1067">
        <v>0</v>
      </c>
      <c r="Z87" s="1067">
        <v>0</v>
      </c>
      <c r="AA87" s="1067">
        <v>0</v>
      </c>
      <c r="AB87" s="1067">
        <v>0</v>
      </c>
      <c r="AC87" s="1067">
        <v>169</v>
      </c>
      <c r="AD87" s="1067">
        <v>0</v>
      </c>
      <c r="AE87" s="1067">
        <v>0</v>
      </c>
      <c r="AF87" s="1067">
        <v>61</v>
      </c>
      <c r="AG87" s="1067">
        <v>81</v>
      </c>
      <c r="AH87" s="1067">
        <v>225</v>
      </c>
      <c r="AI87" s="1067">
        <v>100</v>
      </c>
      <c r="AJ87" s="1068"/>
      <c r="AK87" s="1069">
        <f t="shared" si="6"/>
        <v>1459</v>
      </c>
      <c r="AL87" s="1092">
        <v>46.37151340054821</v>
      </c>
      <c r="AM87" s="1070">
        <f t="shared" si="5"/>
        <v>676.56038051399844</v>
      </c>
      <c r="AN87" s="1071" t="s">
        <v>38</v>
      </c>
      <c r="AO87" s="449"/>
      <c r="AP87" s="449"/>
    </row>
    <row r="88" spans="1:42" ht="54" customHeight="1">
      <c r="A88" s="788">
        <v>72</v>
      </c>
      <c r="B88" s="788">
        <v>72</v>
      </c>
      <c r="C88" s="788" t="str">
        <f>'Chấm công KT'!C84</f>
        <v>03544</v>
      </c>
      <c r="D88" s="795" t="str">
        <f>'Chấm công KT'!D84</f>
        <v>T. Ta</v>
      </c>
      <c r="E88" s="795"/>
      <c r="F88" s="1067">
        <v>39</v>
      </c>
      <c r="G88" s="1067">
        <v>0</v>
      </c>
      <c r="H88" s="1067">
        <v>67</v>
      </c>
      <c r="I88" s="1067">
        <v>43</v>
      </c>
      <c r="J88" s="1067">
        <v>34</v>
      </c>
      <c r="K88" s="1067">
        <v>0</v>
      </c>
      <c r="L88" s="1067">
        <v>124</v>
      </c>
      <c r="M88" s="1067">
        <v>127</v>
      </c>
      <c r="N88" s="1067">
        <v>95</v>
      </c>
      <c r="O88" s="1067">
        <v>92</v>
      </c>
      <c r="P88" s="1067">
        <v>87</v>
      </c>
      <c r="Q88" s="1067">
        <v>86</v>
      </c>
      <c r="R88" s="1067">
        <v>73</v>
      </c>
      <c r="S88" s="1067">
        <v>73</v>
      </c>
      <c r="T88" s="1067">
        <v>0</v>
      </c>
      <c r="U88" s="1067">
        <v>60</v>
      </c>
      <c r="V88" s="1067">
        <v>60</v>
      </c>
      <c r="W88" s="1067">
        <v>54</v>
      </c>
      <c r="X88" s="1067">
        <v>55</v>
      </c>
      <c r="Y88" s="1067">
        <v>55</v>
      </c>
      <c r="Z88" s="1067">
        <v>58</v>
      </c>
      <c r="AA88" s="1067">
        <v>0</v>
      </c>
      <c r="AB88" s="1067">
        <v>50</v>
      </c>
      <c r="AC88" s="1067">
        <v>53</v>
      </c>
      <c r="AD88" s="1067">
        <v>51</v>
      </c>
      <c r="AE88" s="1067">
        <v>48</v>
      </c>
      <c r="AF88" s="1067">
        <v>0</v>
      </c>
      <c r="AG88" s="1067">
        <v>0</v>
      </c>
      <c r="AH88" s="1067">
        <v>0</v>
      </c>
      <c r="AI88" s="1067">
        <v>98</v>
      </c>
      <c r="AJ88" s="1068"/>
      <c r="AK88" s="1069">
        <f t="shared" si="6"/>
        <v>1582</v>
      </c>
      <c r="AL88" s="1092">
        <v>46.37151340054821</v>
      </c>
      <c r="AM88" s="1070">
        <f t="shared" si="5"/>
        <v>733.59734199667264</v>
      </c>
      <c r="AN88" s="1071" t="s">
        <v>38</v>
      </c>
      <c r="AO88" s="449"/>
      <c r="AP88" s="449"/>
    </row>
    <row r="89" spans="1:42" ht="54" customHeight="1">
      <c r="A89" s="788">
        <v>73</v>
      </c>
      <c r="B89" s="788">
        <v>73</v>
      </c>
      <c r="C89" s="788" t="str">
        <f>'Chấm công KT'!C85</f>
        <v>04071</v>
      </c>
      <c r="D89" s="795" t="str">
        <f>'Chấm công KT'!D85</f>
        <v>T. Ne</v>
      </c>
      <c r="E89" s="795"/>
      <c r="F89" s="1067">
        <v>40</v>
      </c>
      <c r="G89" s="1067">
        <v>0</v>
      </c>
      <c r="H89" s="1067">
        <v>68</v>
      </c>
      <c r="I89" s="1067">
        <v>42</v>
      </c>
      <c r="J89" s="1067">
        <v>31</v>
      </c>
      <c r="K89" s="1067">
        <v>0</v>
      </c>
      <c r="L89" s="1067">
        <v>123</v>
      </c>
      <c r="M89" s="1067">
        <v>129</v>
      </c>
      <c r="N89" s="1067">
        <v>96</v>
      </c>
      <c r="O89" s="1067">
        <v>92</v>
      </c>
      <c r="P89" s="1067">
        <v>87</v>
      </c>
      <c r="Q89" s="1067">
        <v>86</v>
      </c>
      <c r="R89" s="1067">
        <v>73</v>
      </c>
      <c r="S89" s="1067">
        <v>73</v>
      </c>
      <c r="T89" s="1067">
        <v>0</v>
      </c>
      <c r="U89" s="1067">
        <v>60</v>
      </c>
      <c r="V89" s="1067">
        <v>61</v>
      </c>
      <c r="W89" s="1067">
        <v>54</v>
      </c>
      <c r="X89" s="1067">
        <v>55</v>
      </c>
      <c r="Y89" s="1067">
        <v>56</v>
      </c>
      <c r="Z89" s="1067">
        <v>58</v>
      </c>
      <c r="AA89" s="1067">
        <v>0</v>
      </c>
      <c r="AB89" s="1067">
        <v>50</v>
      </c>
      <c r="AC89" s="1067">
        <v>54</v>
      </c>
      <c r="AD89" s="1067">
        <v>52</v>
      </c>
      <c r="AE89" s="1067">
        <v>49</v>
      </c>
      <c r="AF89" s="1067">
        <v>0</v>
      </c>
      <c r="AG89" s="1067">
        <v>0</v>
      </c>
      <c r="AH89" s="1067">
        <v>0</v>
      </c>
      <c r="AI89" s="1067">
        <v>99</v>
      </c>
      <c r="AJ89" s="1068"/>
      <c r="AK89" s="1069">
        <f t="shared" si="6"/>
        <v>1588</v>
      </c>
      <c r="AL89" s="1092">
        <v>46.37151340054821</v>
      </c>
      <c r="AM89" s="1070">
        <f t="shared" si="5"/>
        <v>736.37963280070562</v>
      </c>
      <c r="AN89" s="1071" t="s">
        <v>38</v>
      </c>
      <c r="AO89" s="449"/>
      <c r="AP89" s="449"/>
    </row>
    <row r="90" spans="1:42" ht="54" customHeight="1">
      <c r="A90" s="788">
        <v>74</v>
      </c>
      <c r="B90" s="788">
        <v>74</v>
      </c>
      <c r="C90" s="788"/>
      <c r="D90" s="795" t="str">
        <f>'Chấm công KT'!D86</f>
        <v>T. Tý</v>
      </c>
      <c r="E90" s="795"/>
      <c r="F90" s="1067">
        <v>0</v>
      </c>
      <c r="G90" s="1067">
        <v>0</v>
      </c>
      <c r="H90" s="1067">
        <v>0</v>
      </c>
      <c r="I90" s="1067">
        <v>0</v>
      </c>
      <c r="J90" s="1067">
        <v>0</v>
      </c>
      <c r="K90" s="1067">
        <v>0</v>
      </c>
      <c r="L90" s="1067">
        <v>0</v>
      </c>
      <c r="M90" s="1067">
        <v>0</v>
      </c>
      <c r="N90" s="1067">
        <v>0</v>
      </c>
      <c r="O90" s="1067">
        <v>0</v>
      </c>
      <c r="P90" s="1067">
        <v>0</v>
      </c>
      <c r="Q90" s="1067">
        <v>0</v>
      </c>
      <c r="R90" s="1067">
        <v>0</v>
      </c>
      <c r="S90" s="1067">
        <v>0</v>
      </c>
      <c r="T90" s="1067">
        <v>0</v>
      </c>
      <c r="U90" s="1067">
        <v>0</v>
      </c>
      <c r="V90" s="1067">
        <v>0</v>
      </c>
      <c r="W90" s="1067">
        <v>0</v>
      </c>
      <c r="X90" s="1067">
        <v>0</v>
      </c>
      <c r="Y90" s="1067">
        <v>0</v>
      </c>
      <c r="Z90" s="1067">
        <v>0</v>
      </c>
      <c r="AA90" s="1067">
        <v>0</v>
      </c>
      <c r="AB90" s="1067">
        <v>0</v>
      </c>
      <c r="AC90" s="1067">
        <v>0</v>
      </c>
      <c r="AD90" s="1067">
        <v>0</v>
      </c>
      <c r="AE90" s="1067">
        <v>0</v>
      </c>
      <c r="AF90" s="1067">
        <v>0</v>
      </c>
      <c r="AG90" s="1067">
        <v>0</v>
      </c>
      <c r="AH90" s="1067">
        <v>0</v>
      </c>
      <c r="AI90" s="1067">
        <v>109</v>
      </c>
      <c r="AJ90" s="1068"/>
      <c r="AK90" s="1069">
        <f t="shared" si="6"/>
        <v>109</v>
      </c>
      <c r="AL90" s="1092">
        <v>46.37151340054821</v>
      </c>
      <c r="AM90" s="1070">
        <f t="shared" si="5"/>
        <v>50.544949606597548</v>
      </c>
      <c r="AN90" s="1072" t="s">
        <v>394</v>
      </c>
      <c r="AO90" s="449"/>
      <c r="AP90" s="449"/>
    </row>
    <row r="91" spans="1:42" ht="54" customHeight="1">
      <c r="A91" s="788">
        <v>75</v>
      </c>
      <c r="B91" s="788">
        <v>75</v>
      </c>
      <c r="C91" s="788"/>
      <c r="D91" s="795" t="str">
        <f>'Chấm công KT'!D87</f>
        <v>T. Lã</v>
      </c>
      <c r="E91" s="795"/>
      <c r="F91" s="1068">
        <v>0</v>
      </c>
      <c r="G91" s="1068">
        <v>0</v>
      </c>
      <c r="H91" s="1068">
        <v>0</v>
      </c>
      <c r="I91" s="1068">
        <v>0</v>
      </c>
      <c r="J91" s="1068">
        <v>0</v>
      </c>
      <c r="K91" s="1068">
        <v>70</v>
      </c>
      <c r="L91" s="1068">
        <v>70</v>
      </c>
      <c r="M91" s="1068">
        <v>0</v>
      </c>
      <c r="N91" s="1068">
        <v>0</v>
      </c>
      <c r="O91" s="1068">
        <v>80</v>
      </c>
      <c r="P91" s="1068">
        <v>189</v>
      </c>
      <c r="Q91" s="1068">
        <v>118</v>
      </c>
      <c r="R91" s="1068">
        <v>0</v>
      </c>
      <c r="S91" s="1068">
        <v>0</v>
      </c>
      <c r="T91" s="1068">
        <v>0</v>
      </c>
      <c r="U91" s="1068">
        <v>0</v>
      </c>
      <c r="V91" s="1068">
        <v>0</v>
      </c>
      <c r="W91" s="1068">
        <v>0</v>
      </c>
      <c r="X91" s="1068">
        <v>0</v>
      </c>
      <c r="Y91" s="1068">
        <v>0</v>
      </c>
      <c r="Z91" s="1068">
        <v>0</v>
      </c>
      <c r="AA91" s="1068">
        <v>0</v>
      </c>
      <c r="AB91" s="1068">
        <v>138</v>
      </c>
      <c r="AC91" s="1068">
        <v>92</v>
      </c>
      <c r="AD91" s="1068">
        <v>93</v>
      </c>
      <c r="AE91" s="1068">
        <v>0</v>
      </c>
      <c r="AF91" s="1068">
        <v>62</v>
      </c>
      <c r="AG91" s="1068">
        <v>104</v>
      </c>
      <c r="AH91" s="1068">
        <v>59</v>
      </c>
      <c r="AI91" s="1068">
        <v>62</v>
      </c>
      <c r="AJ91" s="1068"/>
      <c r="AK91" s="1069">
        <f t="shared" si="6"/>
        <v>1137</v>
      </c>
      <c r="AL91" s="1092">
        <v>46.37151340054821</v>
      </c>
      <c r="AM91" s="1070">
        <f t="shared" si="5"/>
        <v>527.24410736423317</v>
      </c>
      <c r="AN91" s="1072" t="s">
        <v>394</v>
      </c>
      <c r="AO91" s="449"/>
      <c r="AP91" s="449"/>
    </row>
    <row r="92" spans="1:42" ht="54" customHeight="1">
      <c r="A92" s="788">
        <v>76</v>
      </c>
      <c r="B92" s="788">
        <v>76</v>
      </c>
      <c r="C92" s="788"/>
      <c r="D92" s="795" t="str">
        <f>'Chấm công KT'!D88</f>
        <v>N. Veo</v>
      </c>
      <c r="E92" s="795"/>
      <c r="F92" s="1068">
        <v>0</v>
      </c>
      <c r="G92" s="1068">
        <v>0</v>
      </c>
      <c r="H92" s="1068">
        <v>0</v>
      </c>
      <c r="I92" s="1068">
        <v>0</v>
      </c>
      <c r="J92" s="1068">
        <v>0</v>
      </c>
      <c r="K92" s="1068">
        <v>80</v>
      </c>
      <c r="L92" s="1068">
        <v>188</v>
      </c>
      <c r="M92" s="1068">
        <v>0</v>
      </c>
      <c r="N92" s="1068">
        <v>0</v>
      </c>
      <c r="O92" s="1068">
        <v>0</v>
      </c>
      <c r="P92" s="1068">
        <v>137</v>
      </c>
      <c r="Q92" s="1068">
        <v>100</v>
      </c>
      <c r="R92" s="1068">
        <v>0</v>
      </c>
      <c r="S92" s="1068">
        <v>0</v>
      </c>
      <c r="T92" s="1068">
        <v>0</v>
      </c>
      <c r="U92" s="1068">
        <v>0</v>
      </c>
      <c r="V92" s="1068">
        <v>142</v>
      </c>
      <c r="W92" s="1068">
        <v>0</v>
      </c>
      <c r="X92" s="1068">
        <v>0</v>
      </c>
      <c r="Y92" s="1068">
        <v>0</v>
      </c>
      <c r="Z92" s="1068">
        <v>106</v>
      </c>
      <c r="AA92" s="1068">
        <v>109</v>
      </c>
      <c r="AB92" s="1068">
        <v>139</v>
      </c>
      <c r="AC92" s="1068">
        <v>0</v>
      </c>
      <c r="AD92" s="1068">
        <v>103</v>
      </c>
      <c r="AE92" s="1068">
        <v>0</v>
      </c>
      <c r="AF92" s="1068">
        <v>92</v>
      </c>
      <c r="AG92" s="1068">
        <v>106</v>
      </c>
      <c r="AH92" s="1068">
        <v>45</v>
      </c>
      <c r="AI92" s="1068">
        <v>0</v>
      </c>
      <c r="AJ92" s="1068"/>
      <c r="AK92" s="1069">
        <f t="shared" ref="AK92:AK93" si="7">SUM(F92:AJ92)</f>
        <v>1347</v>
      </c>
      <c r="AL92" s="1092">
        <v>46.37151340054821</v>
      </c>
      <c r="AM92" s="1070">
        <f t="shared" si="5"/>
        <v>624.62428550538436</v>
      </c>
      <c r="AN92" s="1072" t="s">
        <v>394</v>
      </c>
      <c r="AO92" s="449"/>
      <c r="AP92" s="449"/>
    </row>
    <row r="93" spans="1:42" ht="54" customHeight="1">
      <c r="A93" s="788">
        <v>77</v>
      </c>
      <c r="B93" s="788">
        <v>77</v>
      </c>
      <c r="C93" s="788"/>
      <c r="D93" s="795" t="str">
        <f>'Chấm công KT'!D89</f>
        <v>T. Pu</v>
      </c>
      <c r="E93" s="795"/>
      <c r="F93" s="1068">
        <v>0</v>
      </c>
      <c r="G93" s="1068">
        <v>0</v>
      </c>
      <c r="H93" s="1068">
        <v>0</v>
      </c>
      <c r="I93" s="1068">
        <v>0</v>
      </c>
      <c r="J93" s="1068">
        <v>0</v>
      </c>
      <c r="K93" s="1068">
        <v>0</v>
      </c>
      <c r="L93" s="1068">
        <v>200</v>
      </c>
      <c r="M93" s="1068">
        <v>0</v>
      </c>
      <c r="N93" s="1068">
        <v>0</v>
      </c>
      <c r="O93" s="1068">
        <v>0</v>
      </c>
      <c r="P93" s="1068">
        <v>124</v>
      </c>
      <c r="Q93" s="1068">
        <v>0</v>
      </c>
      <c r="R93" s="1068">
        <v>0</v>
      </c>
      <c r="S93" s="1068">
        <v>0</v>
      </c>
      <c r="T93" s="1068">
        <v>0</v>
      </c>
      <c r="U93" s="1068">
        <v>0</v>
      </c>
      <c r="V93" s="1068">
        <v>0</v>
      </c>
      <c r="W93" s="1068">
        <v>0</v>
      </c>
      <c r="X93" s="1068">
        <v>88</v>
      </c>
      <c r="Y93" s="1068">
        <v>0</v>
      </c>
      <c r="Z93" s="1068">
        <v>82</v>
      </c>
      <c r="AA93" s="1068">
        <v>155</v>
      </c>
      <c r="AB93" s="1068">
        <v>0</v>
      </c>
      <c r="AC93" s="1068">
        <v>0</v>
      </c>
      <c r="AD93" s="1068">
        <v>0</v>
      </c>
      <c r="AE93" s="1068">
        <v>0</v>
      </c>
      <c r="AF93" s="1068">
        <v>0</v>
      </c>
      <c r="AG93" s="1068">
        <v>100</v>
      </c>
      <c r="AH93" s="1068">
        <v>121</v>
      </c>
      <c r="AI93" s="1068">
        <v>0</v>
      </c>
      <c r="AJ93" s="1068"/>
      <c r="AK93" s="1069">
        <f t="shared" si="7"/>
        <v>870</v>
      </c>
      <c r="AL93" s="1092">
        <v>46.37151340054821</v>
      </c>
      <c r="AM93" s="1070">
        <f t="shared" si="5"/>
        <v>403.43216658476945</v>
      </c>
      <c r="AN93" s="1072" t="s">
        <v>394</v>
      </c>
      <c r="AO93" s="449"/>
      <c r="AP93" s="449"/>
    </row>
    <row r="94" spans="1:42" ht="54" customHeight="1">
      <c r="A94" s="788">
        <v>78</v>
      </c>
      <c r="B94" s="788">
        <v>78</v>
      </c>
      <c r="C94" s="788"/>
      <c r="D94" s="795" t="str">
        <f>'Chấm công KT'!D90</f>
        <v>T. Ta.</v>
      </c>
      <c r="E94" s="795"/>
      <c r="F94" s="1068">
        <v>0</v>
      </c>
      <c r="G94" s="1068">
        <v>0</v>
      </c>
      <c r="H94" s="1068">
        <v>0</v>
      </c>
      <c r="I94" s="1068">
        <v>0</v>
      </c>
      <c r="J94" s="1068">
        <v>0</v>
      </c>
      <c r="K94" s="1068">
        <v>0</v>
      </c>
      <c r="L94" s="1068">
        <v>0</v>
      </c>
      <c r="M94" s="1068">
        <v>0</v>
      </c>
      <c r="N94" s="1068">
        <v>0</v>
      </c>
      <c r="O94" s="1068">
        <v>0</v>
      </c>
      <c r="P94" s="1068">
        <v>0</v>
      </c>
      <c r="Q94" s="1068">
        <v>0</v>
      </c>
      <c r="R94" s="1068">
        <v>0</v>
      </c>
      <c r="S94" s="1068">
        <v>0</v>
      </c>
      <c r="T94" s="1068">
        <v>0</v>
      </c>
      <c r="U94" s="1068">
        <v>0</v>
      </c>
      <c r="V94" s="1068">
        <v>144</v>
      </c>
      <c r="W94" s="1068">
        <v>0</v>
      </c>
      <c r="X94" s="1068">
        <v>68</v>
      </c>
      <c r="Y94" s="1068">
        <v>0</v>
      </c>
      <c r="Z94" s="1068">
        <v>119</v>
      </c>
      <c r="AA94" s="1068">
        <v>84</v>
      </c>
      <c r="AB94" s="1068">
        <v>131</v>
      </c>
      <c r="AC94" s="1068">
        <v>0</v>
      </c>
      <c r="AD94" s="1068">
        <v>0</v>
      </c>
      <c r="AE94" s="1068">
        <v>0</v>
      </c>
      <c r="AF94" s="1068">
        <v>0</v>
      </c>
      <c r="AG94" s="1068">
        <v>93</v>
      </c>
      <c r="AH94" s="1068">
        <v>78</v>
      </c>
      <c r="AI94" s="1068">
        <v>0</v>
      </c>
      <c r="AJ94" s="1068"/>
      <c r="AK94" s="1069">
        <f>SUM(F94:AJ94)</f>
        <v>717</v>
      </c>
      <c r="AL94" s="1092">
        <v>46.37151340054821</v>
      </c>
      <c r="AM94" s="1070">
        <f t="shared" si="5"/>
        <v>332.48375108193068</v>
      </c>
      <c r="AN94" s="1072" t="s">
        <v>394</v>
      </c>
      <c r="AO94" s="449"/>
      <c r="AP94" s="449"/>
    </row>
    <row r="95" spans="1:42" ht="54" customHeight="1">
      <c r="A95" s="788">
        <v>79</v>
      </c>
      <c r="B95" s="788">
        <v>79</v>
      </c>
      <c r="C95" s="788"/>
      <c r="D95" s="795" t="str">
        <f>'Chấm công KT'!D91</f>
        <v>N. Nang</v>
      </c>
      <c r="E95" s="795"/>
      <c r="F95" s="1068">
        <v>0</v>
      </c>
      <c r="G95" s="1068">
        <v>0</v>
      </c>
      <c r="H95" s="1068">
        <v>0</v>
      </c>
      <c r="I95" s="1068">
        <v>0</v>
      </c>
      <c r="J95" s="1068">
        <v>0</v>
      </c>
      <c r="K95" s="1068">
        <v>0</v>
      </c>
      <c r="L95" s="1068">
        <v>0</v>
      </c>
      <c r="M95" s="1068">
        <v>0</v>
      </c>
      <c r="N95" s="1068">
        <v>0</v>
      </c>
      <c r="O95" s="1068">
        <v>0</v>
      </c>
      <c r="P95" s="1068">
        <v>0</v>
      </c>
      <c r="Q95" s="1068">
        <v>0</v>
      </c>
      <c r="R95" s="1068">
        <v>0</v>
      </c>
      <c r="S95" s="1068">
        <v>0</v>
      </c>
      <c r="T95" s="1068">
        <v>0</v>
      </c>
      <c r="U95" s="1068">
        <v>0</v>
      </c>
      <c r="V95" s="1068">
        <v>0</v>
      </c>
      <c r="W95" s="1068">
        <v>0</v>
      </c>
      <c r="X95" s="1068">
        <v>76</v>
      </c>
      <c r="Y95" s="1068">
        <v>80</v>
      </c>
      <c r="Z95" s="1068">
        <v>120</v>
      </c>
      <c r="AA95" s="1068">
        <v>0</v>
      </c>
      <c r="AB95" s="1068">
        <v>121</v>
      </c>
      <c r="AC95" s="1068">
        <v>0</v>
      </c>
      <c r="AD95" s="1068">
        <v>0</v>
      </c>
      <c r="AE95" s="1068">
        <v>0</v>
      </c>
      <c r="AF95" s="1068">
        <v>0</v>
      </c>
      <c r="AG95" s="1068">
        <v>0</v>
      </c>
      <c r="AH95" s="1068">
        <v>80</v>
      </c>
      <c r="AI95" s="1068">
        <v>0</v>
      </c>
      <c r="AJ95" s="1068"/>
      <c r="AK95" s="1069">
        <f>SUM(F95:AJ95)</f>
        <v>477</v>
      </c>
      <c r="AL95" s="1092">
        <v>46.37151340054821</v>
      </c>
      <c r="AM95" s="1070">
        <f t="shared" si="5"/>
        <v>221.19211892061494</v>
      </c>
      <c r="AN95" s="1072" t="s">
        <v>394</v>
      </c>
      <c r="AO95" s="449"/>
      <c r="AP95" s="449"/>
    </row>
    <row r="96" spans="1:42" ht="54" customHeight="1">
      <c r="A96" s="788">
        <v>80</v>
      </c>
      <c r="B96" s="788">
        <v>80</v>
      </c>
      <c r="C96" s="788"/>
      <c r="D96" s="795" t="str">
        <f>'Chấm công KT'!D92</f>
        <v>T. Tan</v>
      </c>
      <c r="E96" s="795"/>
      <c r="F96" s="1068">
        <v>0</v>
      </c>
      <c r="G96" s="1068">
        <v>0</v>
      </c>
      <c r="H96" s="1068">
        <v>0</v>
      </c>
      <c r="I96" s="1068">
        <v>0</v>
      </c>
      <c r="J96" s="1068">
        <v>0</v>
      </c>
      <c r="K96" s="1068">
        <v>0</v>
      </c>
      <c r="L96" s="1068">
        <v>0</v>
      </c>
      <c r="M96" s="1068">
        <v>0</v>
      </c>
      <c r="N96" s="1068">
        <v>0</v>
      </c>
      <c r="O96" s="1068">
        <v>0</v>
      </c>
      <c r="P96" s="1068">
        <v>0</v>
      </c>
      <c r="Q96" s="1068">
        <v>0</v>
      </c>
      <c r="R96" s="1068">
        <v>0</v>
      </c>
      <c r="S96" s="1068">
        <v>0</v>
      </c>
      <c r="T96" s="1068">
        <v>0</v>
      </c>
      <c r="U96" s="1068">
        <v>0</v>
      </c>
      <c r="V96" s="1068">
        <v>0</v>
      </c>
      <c r="W96" s="1068">
        <v>0</v>
      </c>
      <c r="X96" s="1068">
        <v>0</v>
      </c>
      <c r="Y96" s="1068">
        <v>80</v>
      </c>
      <c r="Z96" s="1068">
        <v>119</v>
      </c>
      <c r="AA96" s="1068">
        <v>0</v>
      </c>
      <c r="AB96" s="1068">
        <v>152</v>
      </c>
      <c r="AC96" s="1068">
        <v>0</v>
      </c>
      <c r="AD96" s="1068">
        <v>0</v>
      </c>
      <c r="AE96" s="1068">
        <v>0</v>
      </c>
      <c r="AF96" s="1068">
        <v>0</v>
      </c>
      <c r="AG96" s="1068">
        <v>0</v>
      </c>
      <c r="AH96" s="1068">
        <v>0</v>
      </c>
      <c r="AI96" s="1068">
        <v>0</v>
      </c>
      <c r="AJ96" s="1068"/>
      <c r="AK96" s="1069">
        <f t="shared" ref="AK96:AK97" si="8">SUM(F96:AJ96)</f>
        <v>351</v>
      </c>
      <c r="AL96" s="1092">
        <v>46.37151340054821</v>
      </c>
      <c r="AM96" s="1070">
        <f t="shared" si="5"/>
        <v>162.76401203592422</v>
      </c>
      <c r="AN96" s="1072" t="s">
        <v>394</v>
      </c>
      <c r="AO96" s="449"/>
      <c r="AP96" s="449"/>
    </row>
    <row r="97" spans="1:42" ht="54" customHeight="1">
      <c r="A97" s="788">
        <v>81</v>
      </c>
      <c r="B97" s="788">
        <v>81</v>
      </c>
      <c r="C97" s="788"/>
      <c r="D97" s="795" t="str">
        <f>'Chấm công KT'!D93</f>
        <v>T. Tu</v>
      </c>
      <c r="E97" s="795"/>
      <c r="F97" s="1068">
        <v>0</v>
      </c>
      <c r="G97" s="1068">
        <v>0</v>
      </c>
      <c r="H97" s="1068">
        <v>0</v>
      </c>
      <c r="I97" s="1068">
        <v>0</v>
      </c>
      <c r="J97" s="1068">
        <v>0</v>
      </c>
      <c r="K97" s="1068">
        <v>0</v>
      </c>
      <c r="L97" s="1068">
        <v>0</v>
      </c>
      <c r="M97" s="1068">
        <v>0</v>
      </c>
      <c r="N97" s="1068">
        <v>0</v>
      </c>
      <c r="O97" s="1068">
        <v>0</v>
      </c>
      <c r="P97" s="1068">
        <v>0</v>
      </c>
      <c r="Q97" s="1068">
        <v>0</v>
      </c>
      <c r="R97" s="1068">
        <v>0</v>
      </c>
      <c r="S97" s="1068">
        <v>0</v>
      </c>
      <c r="T97" s="1068">
        <v>0</v>
      </c>
      <c r="U97" s="1068">
        <v>0</v>
      </c>
      <c r="V97" s="1068">
        <v>0</v>
      </c>
      <c r="W97" s="1068">
        <v>0</v>
      </c>
      <c r="X97" s="1068">
        <v>0</v>
      </c>
      <c r="Y97" s="1068">
        <v>0</v>
      </c>
      <c r="Z97" s="1068">
        <v>120</v>
      </c>
      <c r="AA97" s="1068">
        <v>0</v>
      </c>
      <c r="AB97" s="1068">
        <v>152</v>
      </c>
      <c r="AC97" s="1068">
        <v>0</v>
      </c>
      <c r="AD97" s="1068">
        <v>0</v>
      </c>
      <c r="AE97" s="1068">
        <v>0</v>
      </c>
      <c r="AF97" s="1068">
        <v>0</v>
      </c>
      <c r="AG97" s="1068">
        <v>0</v>
      </c>
      <c r="AH97" s="1068">
        <v>0</v>
      </c>
      <c r="AI97" s="1068">
        <v>0</v>
      </c>
      <c r="AJ97" s="1068"/>
      <c r="AK97" s="1069">
        <f t="shared" si="8"/>
        <v>272</v>
      </c>
      <c r="AL97" s="1092">
        <v>46.37151340054821</v>
      </c>
      <c r="AM97" s="1070">
        <f t="shared" ref="AM97" si="9">AK97*AL97/100</f>
        <v>126.13051644949114</v>
      </c>
      <c r="AN97" s="1072" t="s">
        <v>394</v>
      </c>
      <c r="AO97" s="449"/>
      <c r="AP97" s="449"/>
    </row>
    <row r="98" spans="1:42" s="1098" customFormat="1" ht="54" customHeight="1">
      <c r="A98" s="1380" t="s">
        <v>843</v>
      </c>
      <c r="B98" s="1380"/>
      <c r="C98" s="1380"/>
      <c r="D98" s="1380"/>
      <c r="E98" s="786"/>
      <c r="F98" s="1096">
        <f>SUM(F99:F160)</f>
        <v>4989</v>
      </c>
      <c r="G98" s="1096">
        <f t="shared" ref="G98:AI98" si="10">SUM(G99:G160)</f>
        <v>3957</v>
      </c>
      <c r="H98" s="1096">
        <f t="shared" si="10"/>
        <v>2998</v>
      </c>
      <c r="I98" s="1096">
        <f t="shared" si="10"/>
        <v>5483</v>
      </c>
      <c r="J98" s="1096">
        <f t="shared" si="10"/>
        <v>5090</v>
      </c>
      <c r="K98" s="1096">
        <f t="shared" si="10"/>
        <v>3780</v>
      </c>
      <c r="L98" s="1096">
        <f t="shared" si="10"/>
        <v>5743</v>
      </c>
      <c r="M98" s="1096">
        <f t="shared" si="10"/>
        <v>9622</v>
      </c>
      <c r="N98" s="1096">
        <f t="shared" si="10"/>
        <v>10711</v>
      </c>
      <c r="O98" s="1096">
        <f t="shared" si="10"/>
        <v>4074</v>
      </c>
      <c r="P98" s="1096">
        <f t="shared" si="10"/>
        <v>5003</v>
      </c>
      <c r="Q98" s="1096">
        <f t="shared" si="10"/>
        <v>5671</v>
      </c>
      <c r="R98" s="1096">
        <f t="shared" si="10"/>
        <v>4255</v>
      </c>
      <c r="S98" s="1096">
        <f t="shared" si="10"/>
        <v>1624</v>
      </c>
      <c r="T98" s="1096">
        <f t="shared" si="10"/>
        <v>0</v>
      </c>
      <c r="U98" s="1096">
        <f t="shared" si="10"/>
        <v>5342</v>
      </c>
      <c r="V98" s="1096">
        <f t="shared" si="10"/>
        <v>9393</v>
      </c>
      <c r="W98" s="1096">
        <f t="shared" si="10"/>
        <v>5498</v>
      </c>
      <c r="X98" s="1096">
        <f t="shared" si="10"/>
        <v>4015</v>
      </c>
      <c r="Y98" s="1096">
        <f t="shared" si="10"/>
        <v>6462</v>
      </c>
      <c r="Z98" s="1096">
        <f t="shared" si="10"/>
        <v>6962</v>
      </c>
      <c r="AA98" s="1096">
        <f t="shared" si="10"/>
        <v>5575</v>
      </c>
      <c r="AB98" s="1096">
        <f t="shared" si="10"/>
        <v>3394</v>
      </c>
      <c r="AC98" s="1096">
        <f t="shared" si="10"/>
        <v>5798</v>
      </c>
      <c r="AD98" s="1096">
        <f t="shared" si="10"/>
        <v>7030</v>
      </c>
      <c r="AE98" s="1096">
        <f t="shared" si="10"/>
        <v>5115</v>
      </c>
      <c r="AF98" s="1096">
        <f t="shared" si="10"/>
        <v>3076</v>
      </c>
      <c r="AG98" s="1096">
        <f t="shared" si="10"/>
        <v>6323</v>
      </c>
      <c r="AH98" s="1096">
        <f t="shared" si="10"/>
        <v>6514</v>
      </c>
      <c r="AI98" s="1096">
        <f t="shared" si="10"/>
        <v>4649</v>
      </c>
      <c r="AJ98" s="1097"/>
      <c r="AK98" s="1096">
        <f>SUM(AK99:AK160)</f>
        <v>158146</v>
      </c>
      <c r="AL98" s="1096"/>
      <c r="AM98" s="1096">
        <f t="shared" ref="AM98" si="11">SUM(AM99:AM160)</f>
        <v>73024.987000000008</v>
      </c>
      <c r="AN98" s="1073"/>
    </row>
    <row r="99" spans="1:42" ht="54" customHeight="1">
      <c r="A99" s="788">
        <v>82</v>
      </c>
      <c r="B99" s="788">
        <v>1</v>
      </c>
      <c r="C99" s="788" t="str">
        <f>'Chấm công KT'!C95</f>
        <v>04072</v>
      </c>
      <c r="D99" s="795" t="str">
        <f>'Chấm công KT'!D95</f>
        <v xml:space="preserve">T. Lun </v>
      </c>
      <c r="E99" s="795"/>
      <c r="F99" s="1060">
        <v>88</v>
      </c>
      <c r="G99" s="1060">
        <v>116</v>
      </c>
      <c r="H99" s="1060">
        <v>43</v>
      </c>
      <c r="I99" s="1060">
        <v>51</v>
      </c>
      <c r="J99" s="1060">
        <v>84</v>
      </c>
      <c r="K99" s="1060">
        <v>115</v>
      </c>
      <c r="L99" s="1060">
        <v>31</v>
      </c>
      <c r="M99" s="1060">
        <v>109</v>
      </c>
      <c r="N99" s="1060">
        <v>174</v>
      </c>
      <c r="O99" s="1060">
        <v>121</v>
      </c>
      <c r="P99" s="1060">
        <v>122</v>
      </c>
      <c r="Q99" s="1060">
        <v>78</v>
      </c>
      <c r="R99" s="1060">
        <v>136</v>
      </c>
      <c r="S99" s="1060">
        <v>105</v>
      </c>
      <c r="T99" s="1060">
        <v>0</v>
      </c>
      <c r="U99" s="1060">
        <v>0</v>
      </c>
      <c r="V99" s="1060">
        <v>98</v>
      </c>
      <c r="W99" s="1060">
        <v>60</v>
      </c>
      <c r="X99" s="1060">
        <v>69</v>
      </c>
      <c r="Y99" s="1060">
        <v>101</v>
      </c>
      <c r="Z99" s="1075">
        <v>102</v>
      </c>
      <c r="AA99" s="1075">
        <v>207</v>
      </c>
      <c r="AB99" s="1076">
        <v>46</v>
      </c>
      <c r="AC99" s="1076">
        <v>68</v>
      </c>
      <c r="AD99" s="1076">
        <v>125</v>
      </c>
      <c r="AE99" s="1076">
        <v>120</v>
      </c>
      <c r="AF99" s="1076">
        <v>0</v>
      </c>
      <c r="AG99" s="1076">
        <v>44</v>
      </c>
      <c r="AH99" s="1076">
        <v>82</v>
      </c>
      <c r="AI99" s="1076">
        <v>106</v>
      </c>
      <c r="AJ99" s="1076"/>
      <c r="AK99" s="1069">
        <f t="shared" ref="AK99:AK156" si="12">SUM(F99:AJ99)</f>
        <v>2601</v>
      </c>
      <c r="AL99" s="1091">
        <v>46.175677538477103</v>
      </c>
      <c r="AM99" s="1070">
        <f t="shared" ref="AM99:AM130" si="13">AK99*AL99/100</f>
        <v>1201.0293727757896</v>
      </c>
      <c r="AN99" s="1090" t="s">
        <v>38</v>
      </c>
      <c r="AO99" s="449"/>
      <c r="AP99" s="449"/>
    </row>
    <row r="100" spans="1:42" ht="54" customHeight="1">
      <c r="A100" s="788">
        <v>83</v>
      </c>
      <c r="B100" s="788">
        <v>2</v>
      </c>
      <c r="C100" s="788" t="str">
        <f>'Chấm công KT'!C96</f>
        <v>03466</v>
      </c>
      <c r="D100" s="795" t="str">
        <f>'Chấm công KT'!D96</f>
        <v>N. Keo</v>
      </c>
      <c r="E100" s="795"/>
      <c r="F100" s="1060">
        <v>0</v>
      </c>
      <c r="G100" s="1060">
        <v>74</v>
      </c>
      <c r="H100" s="1060">
        <v>61</v>
      </c>
      <c r="I100" s="1060">
        <v>151</v>
      </c>
      <c r="J100" s="1060">
        <v>0</v>
      </c>
      <c r="K100" s="1060">
        <v>45</v>
      </c>
      <c r="L100" s="1060">
        <v>167</v>
      </c>
      <c r="M100" s="1060">
        <v>165</v>
      </c>
      <c r="N100" s="1060">
        <v>260</v>
      </c>
      <c r="O100" s="1060">
        <v>84</v>
      </c>
      <c r="P100" s="1060">
        <v>151</v>
      </c>
      <c r="Q100" s="1060">
        <v>158</v>
      </c>
      <c r="R100" s="1060">
        <v>0</v>
      </c>
      <c r="S100" s="1060">
        <v>44</v>
      </c>
      <c r="T100" s="1060">
        <v>0</v>
      </c>
      <c r="U100" s="1060">
        <v>0</v>
      </c>
      <c r="V100" s="1060">
        <v>218</v>
      </c>
      <c r="W100" s="1060">
        <v>0</v>
      </c>
      <c r="X100" s="1060">
        <v>139</v>
      </c>
      <c r="Y100" s="1060">
        <v>196</v>
      </c>
      <c r="Z100" s="1075">
        <v>118</v>
      </c>
      <c r="AA100" s="1075">
        <v>130</v>
      </c>
      <c r="AB100" s="1076">
        <v>118</v>
      </c>
      <c r="AC100" s="1076">
        <v>111</v>
      </c>
      <c r="AD100" s="1076">
        <v>124</v>
      </c>
      <c r="AE100" s="1076">
        <v>67</v>
      </c>
      <c r="AF100" s="1076">
        <v>109</v>
      </c>
      <c r="AG100" s="1076">
        <v>103</v>
      </c>
      <c r="AH100" s="1076">
        <v>0</v>
      </c>
      <c r="AI100" s="1076">
        <v>70</v>
      </c>
      <c r="AJ100" s="1076"/>
      <c r="AK100" s="1069">
        <f t="shared" si="12"/>
        <v>2863</v>
      </c>
      <c r="AL100" s="1091">
        <v>46.175677538477103</v>
      </c>
      <c r="AM100" s="1070">
        <f t="shared" si="13"/>
        <v>1322.0096479265994</v>
      </c>
      <c r="AN100" s="1090" t="s">
        <v>46</v>
      </c>
      <c r="AO100" s="449"/>
      <c r="AP100" s="449"/>
    </row>
    <row r="101" spans="1:42" ht="54" customHeight="1">
      <c r="A101" s="788">
        <v>84</v>
      </c>
      <c r="B101" s="788">
        <v>3</v>
      </c>
      <c r="C101" s="788" t="str">
        <f>'Chấm công KT'!C97</f>
        <v>03590</v>
      </c>
      <c r="D101" s="795" t="str">
        <f>'Chấm công KT'!D97</f>
        <v>T .Nhum</v>
      </c>
      <c r="E101" s="795"/>
      <c r="F101" s="1060">
        <v>91</v>
      </c>
      <c r="G101" s="1060">
        <v>64</v>
      </c>
      <c r="H101" s="1060">
        <v>66</v>
      </c>
      <c r="I101" s="1060">
        <v>71</v>
      </c>
      <c r="J101" s="1060">
        <v>88</v>
      </c>
      <c r="K101" s="1060">
        <v>70</v>
      </c>
      <c r="L101" s="1060">
        <v>116</v>
      </c>
      <c r="M101" s="1060">
        <v>127</v>
      </c>
      <c r="N101" s="1060">
        <v>212</v>
      </c>
      <c r="O101" s="1060">
        <v>91</v>
      </c>
      <c r="P101" s="1060">
        <v>95</v>
      </c>
      <c r="Q101" s="1060">
        <v>141</v>
      </c>
      <c r="R101" s="1060">
        <v>0</v>
      </c>
      <c r="S101" s="1060">
        <v>0</v>
      </c>
      <c r="T101" s="1060">
        <v>0</v>
      </c>
      <c r="U101" s="1060">
        <v>59</v>
      </c>
      <c r="V101" s="1060">
        <v>229</v>
      </c>
      <c r="W101" s="1060">
        <v>121</v>
      </c>
      <c r="X101" s="1060">
        <v>64</v>
      </c>
      <c r="Y101" s="1060">
        <v>0</v>
      </c>
      <c r="Z101" s="1075">
        <v>123</v>
      </c>
      <c r="AA101" s="1075">
        <v>139</v>
      </c>
      <c r="AB101" s="1076">
        <v>68</v>
      </c>
      <c r="AC101" s="1076">
        <v>73</v>
      </c>
      <c r="AD101" s="1076">
        <v>124</v>
      </c>
      <c r="AE101" s="1076">
        <v>93</v>
      </c>
      <c r="AF101" s="1076">
        <v>46</v>
      </c>
      <c r="AG101" s="1076">
        <v>59</v>
      </c>
      <c r="AH101" s="1076">
        <v>117</v>
      </c>
      <c r="AI101" s="1076">
        <v>0</v>
      </c>
      <c r="AJ101" s="1076"/>
      <c r="AK101" s="1069">
        <f t="shared" si="12"/>
        <v>2547</v>
      </c>
      <c r="AL101" s="1091">
        <v>46.175677538477103</v>
      </c>
      <c r="AM101" s="1070">
        <f t="shared" si="13"/>
        <v>1176.0945069050117</v>
      </c>
      <c r="AN101" s="1090" t="s">
        <v>38</v>
      </c>
      <c r="AO101" s="449"/>
      <c r="AP101" s="449"/>
    </row>
    <row r="102" spans="1:42" ht="54" customHeight="1">
      <c r="A102" s="788">
        <v>85</v>
      </c>
      <c r="B102" s="788">
        <v>4</v>
      </c>
      <c r="C102" s="788" t="str">
        <f>'Chấm công KT'!C98</f>
        <v>03591</v>
      </c>
      <c r="D102" s="795" t="str">
        <f>'Chấm công KT'!D98</f>
        <v>N.Vông Ma Ni</v>
      </c>
      <c r="E102" s="795"/>
      <c r="F102" s="1060">
        <v>89</v>
      </c>
      <c r="G102" s="1060">
        <v>150</v>
      </c>
      <c r="H102" s="1060">
        <v>74</v>
      </c>
      <c r="I102" s="1060">
        <v>83</v>
      </c>
      <c r="J102" s="1060">
        <v>77</v>
      </c>
      <c r="K102" s="1060">
        <v>77</v>
      </c>
      <c r="L102" s="1060">
        <v>90</v>
      </c>
      <c r="M102" s="1060">
        <v>153</v>
      </c>
      <c r="N102" s="1060">
        <v>151</v>
      </c>
      <c r="O102" s="1060">
        <v>108</v>
      </c>
      <c r="P102" s="1060">
        <v>89</v>
      </c>
      <c r="Q102" s="1060">
        <v>0</v>
      </c>
      <c r="R102" s="1060">
        <v>140</v>
      </c>
      <c r="S102" s="1060">
        <v>0</v>
      </c>
      <c r="T102" s="1060">
        <v>0</v>
      </c>
      <c r="U102" s="1060">
        <v>177</v>
      </c>
      <c r="V102" s="1060">
        <v>101</v>
      </c>
      <c r="W102" s="1060">
        <v>176</v>
      </c>
      <c r="X102" s="1060">
        <v>63</v>
      </c>
      <c r="Y102" s="1060">
        <v>81</v>
      </c>
      <c r="Z102" s="1075">
        <v>100</v>
      </c>
      <c r="AA102" s="1075">
        <v>173</v>
      </c>
      <c r="AB102" s="1076">
        <v>48</v>
      </c>
      <c r="AC102" s="1076">
        <v>85</v>
      </c>
      <c r="AD102" s="1076">
        <v>80</v>
      </c>
      <c r="AE102" s="1076">
        <v>128</v>
      </c>
      <c r="AF102" s="1076">
        <v>54</v>
      </c>
      <c r="AG102" s="1076">
        <v>81</v>
      </c>
      <c r="AH102" s="1076">
        <v>102</v>
      </c>
      <c r="AI102" s="1076">
        <v>168</v>
      </c>
      <c r="AJ102" s="1076"/>
      <c r="AK102" s="1069">
        <f t="shared" si="12"/>
        <v>2898</v>
      </c>
      <c r="AL102" s="1091">
        <v>46.175677538477103</v>
      </c>
      <c r="AM102" s="1070">
        <f t="shared" si="13"/>
        <v>1338.1711350650664</v>
      </c>
      <c r="AN102" s="1090" t="s">
        <v>38</v>
      </c>
      <c r="AO102" s="449"/>
      <c r="AP102" s="449"/>
    </row>
    <row r="103" spans="1:42" ht="54" customHeight="1">
      <c r="A103" s="788">
        <v>86</v>
      </c>
      <c r="B103" s="788">
        <v>5</v>
      </c>
      <c r="C103" s="788" t="str">
        <f>'Chấm công KT'!C99</f>
        <v>03592</v>
      </c>
      <c r="D103" s="795" t="str">
        <f>'Chấm công KT'!D99</f>
        <v>Đao Hương</v>
      </c>
      <c r="E103" s="795"/>
      <c r="F103" s="1060">
        <v>88</v>
      </c>
      <c r="G103" s="1060">
        <v>134</v>
      </c>
      <c r="H103" s="1060">
        <v>60</v>
      </c>
      <c r="I103" s="1060">
        <v>87</v>
      </c>
      <c r="J103" s="1060">
        <v>100</v>
      </c>
      <c r="K103" s="1060">
        <v>112</v>
      </c>
      <c r="L103" s="1060">
        <v>107</v>
      </c>
      <c r="M103" s="1060">
        <v>172</v>
      </c>
      <c r="N103" s="1060">
        <v>156</v>
      </c>
      <c r="O103" s="1060">
        <v>121</v>
      </c>
      <c r="P103" s="1060">
        <v>92</v>
      </c>
      <c r="Q103" s="1060">
        <v>0</v>
      </c>
      <c r="R103" s="1060">
        <v>156</v>
      </c>
      <c r="S103" s="1060">
        <v>0</v>
      </c>
      <c r="T103" s="1060">
        <v>0</v>
      </c>
      <c r="U103" s="1060">
        <v>183</v>
      </c>
      <c r="V103" s="1060">
        <v>82</v>
      </c>
      <c r="W103" s="1060">
        <v>182</v>
      </c>
      <c r="X103" s="1060">
        <v>64</v>
      </c>
      <c r="Y103" s="1060">
        <v>69</v>
      </c>
      <c r="Z103" s="1075">
        <v>104</v>
      </c>
      <c r="AA103" s="1075">
        <v>198</v>
      </c>
      <c r="AB103" s="1076">
        <v>51</v>
      </c>
      <c r="AC103" s="1076">
        <v>92</v>
      </c>
      <c r="AD103" s="1076">
        <v>86</v>
      </c>
      <c r="AE103" s="1076">
        <v>169</v>
      </c>
      <c r="AF103" s="1076">
        <v>54</v>
      </c>
      <c r="AG103" s="1076">
        <v>83</v>
      </c>
      <c r="AH103" s="1076">
        <v>79</v>
      </c>
      <c r="AI103" s="1076">
        <v>133</v>
      </c>
      <c r="AJ103" s="1076"/>
      <c r="AK103" s="1069">
        <f t="shared" si="12"/>
        <v>3014</v>
      </c>
      <c r="AL103" s="1091">
        <v>46.175677538477103</v>
      </c>
      <c r="AM103" s="1070">
        <f t="shared" si="13"/>
        <v>1391.7349210096997</v>
      </c>
      <c r="AN103" s="1090" t="s">
        <v>38</v>
      </c>
      <c r="AO103" s="449"/>
      <c r="AP103" s="449"/>
    </row>
    <row r="104" spans="1:42" ht="54" customHeight="1">
      <c r="A104" s="788">
        <v>87</v>
      </c>
      <c r="B104" s="788">
        <v>6</v>
      </c>
      <c r="C104" s="788" t="str">
        <f>'Chấm công KT'!C100</f>
        <v>03593</v>
      </c>
      <c r="D104" s="795" t="str">
        <f>'Chấm công KT'!D100</f>
        <v>T. Xi Nun</v>
      </c>
      <c r="E104" s="795"/>
      <c r="F104" s="1060">
        <v>76</v>
      </c>
      <c r="G104" s="1060">
        <v>100</v>
      </c>
      <c r="H104" s="1060">
        <v>68</v>
      </c>
      <c r="I104" s="1060">
        <v>128</v>
      </c>
      <c r="J104" s="1060">
        <v>158</v>
      </c>
      <c r="K104" s="1060">
        <v>72</v>
      </c>
      <c r="L104" s="1060">
        <v>116</v>
      </c>
      <c r="M104" s="1060">
        <v>198</v>
      </c>
      <c r="N104" s="1060">
        <v>184</v>
      </c>
      <c r="O104" s="1060">
        <v>0</v>
      </c>
      <c r="P104" s="1060">
        <v>60</v>
      </c>
      <c r="Q104" s="1060">
        <v>121</v>
      </c>
      <c r="R104" s="1060">
        <v>0</v>
      </c>
      <c r="S104" s="1060">
        <v>0</v>
      </c>
      <c r="T104" s="1060">
        <v>0</v>
      </c>
      <c r="U104" s="1060">
        <v>0</v>
      </c>
      <c r="V104" s="1060">
        <v>123</v>
      </c>
      <c r="W104" s="1060">
        <v>79</v>
      </c>
      <c r="X104" s="1060">
        <v>33</v>
      </c>
      <c r="Y104" s="1060">
        <v>0</v>
      </c>
      <c r="Z104" s="1075">
        <v>0</v>
      </c>
      <c r="AA104" s="1075">
        <v>137</v>
      </c>
      <c r="AB104" s="1076">
        <v>0</v>
      </c>
      <c r="AC104" s="1076">
        <v>100</v>
      </c>
      <c r="AD104" s="1076">
        <v>219</v>
      </c>
      <c r="AE104" s="1076">
        <v>115</v>
      </c>
      <c r="AF104" s="1076">
        <v>0</v>
      </c>
      <c r="AG104" s="1076">
        <v>94</v>
      </c>
      <c r="AH104" s="1076">
        <v>102</v>
      </c>
      <c r="AI104" s="1076">
        <v>0</v>
      </c>
      <c r="AJ104" s="1076"/>
      <c r="AK104" s="1069">
        <f t="shared" si="12"/>
        <v>2283</v>
      </c>
      <c r="AL104" s="1091">
        <v>46.175677538477103</v>
      </c>
      <c r="AM104" s="1070">
        <f t="shared" si="13"/>
        <v>1054.1907182034324</v>
      </c>
      <c r="AN104" s="1090" t="s">
        <v>46</v>
      </c>
      <c r="AO104" s="449"/>
      <c r="AP104" s="449"/>
    </row>
    <row r="105" spans="1:42" ht="54" customHeight="1">
      <c r="A105" s="788">
        <v>88</v>
      </c>
      <c r="B105" s="788">
        <v>7</v>
      </c>
      <c r="C105" s="788" t="str">
        <f>'Chấm công KT'!C101</f>
        <v>03594</v>
      </c>
      <c r="D105" s="795" t="str">
        <f>'Chấm công KT'!D101</f>
        <v>T. Bun Hinh</v>
      </c>
      <c r="E105" s="795"/>
      <c r="F105" s="1060">
        <v>105</v>
      </c>
      <c r="G105" s="1060">
        <v>62</v>
      </c>
      <c r="H105" s="1060">
        <v>25</v>
      </c>
      <c r="I105" s="1060">
        <v>145</v>
      </c>
      <c r="J105" s="1060">
        <v>98</v>
      </c>
      <c r="K105" s="1060">
        <v>45</v>
      </c>
      <c r="L105" s="1060">
        <v>84</v>
      </c>
      <c r="M105" s="1060">
        <v>175</v>
      </c>
      <c r="N105" s="1060">
        <v>163</v>
      </c>
      <c r="O105" s="1060">
        <v>70</v>
      </c>
      <c r="P105" s="1060">
        <v>71</v>
      </c>
      <c r="Q105" s="1060">
        <v>0</v>
      </c>
      <c r="R105" s="1060">
        <v>0</v>
      </c>
      <c r="S105" s="1060">
        <v>0</v>
      </c>
      <c r="T105" s="1060">
        <v>0</v>
      </c>
      <c r="U105" s="1060">
        <v>172</v>
      </c>
      <c r="V105" s="1060">
        <v>176</v>
      </c>
      <c r="W105" s="1060">
        <v>83</v>
      </c>
      <c r="X105" s="1060">
        <v>148</v>
      </c>
      <c r="Y105" s="1060">
        <v>0</v>
      </c>
      <c r="Z105" s="1075">
        <v>81</v>
      </c>
      <c r="AA105" s="1075">
        <v>97</v>
      </c>
      <c r="AB105" s="1076">
        <v>0</v>
      </c>
      <c r="AC105" s="1076">
        <v>82</v>
      </c>
      <c r="AD105" s="1076">
        <v>98</v>
      </c>
      <c r="AE105" s="1076">
        <v>78</v>
      </c>
      <c r="AF105" s="1076">
        <v>36</v>
      </c>
      <c r="AG105" s="1076">
        <v>103</v>
      </c>
      <c r="AH105" s="1076">
        <v>84</v>
      </c>
      <c r="AI105" s="1076">
        <v>64</v>
      </c>
      <c r="AJ105" s="1076"/>
      <c r="AK105" s="1069">
        <f t="shared" si="12"/>
        <v>2345</v>
      </c>
      <c r="AL105" s="1091">
        <v>46.175677538477103</v>
      </c>
      <c r="AM105" s="1070">
        <f t="shared" si="13"/>
        <v>1082.819638277288</v>
      </c>
      <c r="AN105" s="1090" t="s">
        <v>38</v>
      </c>
      <c r="AO105" s="449"/>
      <c r="AP105" s="449"/>
    </row>
    <row r="106" spans="1:42" ht="54" customHeight="1">
      <c r="A106" s="788">
        <v>89</v>
      </c>
      <c r="B106" s="788">
        <v>8</v>
      </c>
      <c r="C106" s="788" t="str">
        <f>'Chấm công KT'!C102</f>
        <v>04073</v>
      </c>
      <c r="D106" s="795" t="str">
        <f>'Chấm công KT'!D102</f>
        <v>T. Miềng</v>
      </c>
      <c r="E106" s="795"/>
      <c r="F106" s="1060">
        <v>72</v>
      </c>
      <c r="G106" s="1060">
        <v>53</v>
      </c>
      <c r="H106" s="1060">
        <v>45</v>
      </c>
      <c r="I106" s="1060">
        <v>130</v>
      </c>
      <c r="J106" s="1060">
        <v>0</v>
      </c>
      <c r="K106" s="1060">
        <v>63</v>
      </c>
      <c r="L106" s="1060">
        <v>15</v>
      </c>
      <c r="M106" s="1060">
        <v>152</v>
      </c>
      <c r="N106" s="1060">
        <v>153</v>
      </c>
      <c r="O106" s="1060">
        <v>65</v>
      </c>
      <c r="P106" s="1060">
        <v>58</v>
      </c>
      <c r="Q106" s="1060">
        <v>161</v>
      </c>
      <c r="R106" s="1060">
        <v>0</v>
      </c>
      <c r="S106" s="1060">
        <v>0</v>
      </c>
      <c r="T106" s="1060">
        <v>0</v>
      </c>
      <c r="U106" s="1060">
        <v>98</v>
      </c>
      <c r="V106" s="1060">
        <v>125</v>
      </c>
      <c r="W106" s="1060">
        <v>70</v>
      </c>
      <c r="X106" s="1060">
        <v>155</v>
      </c>
      <c r="Y106" s="1060">
        <v>0</v>
      </c>
      <c r="Z106" s="1075">
        <v>111</v>
      </c>
      <c r="AA106" s="1075">
        <v>72</v>
      </c>
      <c r="AB106" s="1076">
        <v>0</v>
      </c>
      <c r="AC106" s="1076">
        <v>127</v>
      </c>
      <c r="AD106" s="1076">
        <v>138</v>
      </c>
      <c r="AE106" s="1076">
        <v>0</v>
      </c>
      <c r="AF106" s="1076">
        <v>40</v>
      </c>
      <c r="AG106" s="1076">
        <v>133</v>
      </c>
      <c r="AH106" s="1076">
        <v>132</v>
      </c>
      <c r="AI106" s="1076">
        <v>76</v>
      </c>
      <c r="AJ106" s="1076"/>
      <c r="AK106" s="1069">
        <f t="shared" si="12"/>
        <v>2244</v>
      </c>
      <c r="AL106" s="1091">
        <v>46.175677538477103</v>
      </c>
      <c r="AM106" s="1070">
        <f t="shared" si="13"/>
        <v>1036.1822039634262</v>
      </c>
      <c r="AN106" s="1090" t="s">
        <v>46</v>
      </c>
      <c r="AO106" s="449"/>
      <c r="AP106" s="449"/>
    </row>
    <row r="107" spans="1:42" ht="54" customHeight="1">
      <c r="A107" s="788">
        <v>90</v>
      </c>
      <c r="B107" s="788">
        <v>9</v>
      </c>
      <c r="C107" s="788" t="str">
        <f>'Chấm công KT'!C103</f>
        <v>03596</v>
      </c>
      <c r="D107" s="795" t="str">
        <f>'Chấm công KT'!D103</f>
        <v>N. Xúc</v>
      </c>
      <c r="E107" s="795"/>
      <c r="F107" s="1060">
        <v>266</v>
      </c>
      <c r="G107" s="1060">
        <v>0</v>
      </c>
      <c r="H107" s="1060">
        <v>0</v>
      </c>
      <c r="I107" s="1060">
        <v>150</v>
      </c>
      <c r="J107" s="1060">
        <v>98</v>
      </c>
      <c r="K107" s="1060">
        <v>79</v>
      </c>
      <c r="L107" s="1060">
        <v>87</v>
      </c>
      <c r="M107" s="1060">
        <v>235</v>
      </c>
      <c r="N107" s="1060">
        <v>208</v>
      </c>
      <c r="O107" s="1060">
        <v>66</v>
      </c>
      <c r="P107" s="1060">
        <v>107</v>
      </c>
      <c r="Q107" s="1060">
        <v>0</v>
      </c>
      <c r="R107" s="1060">
        <v>203</v>
      </c>
      <c r="S107" s="1060">
        <v>0</v>
      </c>
      <c r="T107" s="1060">
        <v>0</v>
      </c>
      <c r="U107" s="1060">
        <v>173</v>
      </c>
      <c r="V107" s="1060">
        <v>73</v>
      </c>
      <c r="W107" s="1060">
        <v>84</v>
      </c>
      <c r="X107" s="1060">
        <v>0</v>
      </c>
      <c r="Y107" s="1060">
        <v>190</v>
      </c>
      <c r="Z107" s="1075">
        <v>164</v>
      </c>
      <c r="AA107" s="1075">
        <v>0</v>
      </c>
      <c r="AB107" s="1076">
        <v>194</v>
      </c>
      <c r="AC107" s="1076">
        <v>137</v>
      </c>
      <c r="AD107" s="1076">
        <v>0</v>
      </c>
      <c r="AE107" s="1076">
        <v>161</v>
      </c>
      <c r="AF107" s="1076">
        <v>0</v>
      </c>
      <c r="AG107" s="1076">
        <v>150</v>
      </c>
      <c r="AH107" s="1076">
        <v>186</v>
      </c>
      <c r="AI107" s="1076">
        <v>72</v>
      </c>
      <c r="AJ107" s="1076"/>
      <c r="AK107" s="1069">
        <f t="shared" si="12"/>
        <v>3083</v>
      </c>
      <c r="AL107" s="1091">
        <v>46.175677538477103</v>
      </c>
      <c r="AM107" s="1070">
        <f t="shared" si="13"/>
        <v>1423.5961385112491</v>
      </c>
      <c r="AN107" s="1090" t="s">
        <v>46</v>
      </c>
      <c r="AO107" s="449"/>
      <c r="AP107" s="449"/>
    </row>
    <row r="108" spans="1:42" ht="54" customHeight="1">
      <c r="A108" s="788">
        <v>91</v>
      </c>
      <c r="B108" s="788">
        <v>10</v>
      </c>
      <c r="C108" s="788" t="str">
        <f>'Chấm công KT'!C104</f>
        <v>03597</v>
      </c>
      <c r="D108" s="795" t="str">
        <f>'Chấm công KT'!D104</f>
        <v>N. Lẹ</v>
      </c>
      <c r="E108" s="795"/>
      <c r="F108" s="1060">
        <v>92</v>
      </c>
      <c r="G108" s="1060">
        <v>115</v>
      </c>
      <c r="H108" s="1060">
        <v>65</v>
      </c>
      <c r="I108" s="1060">
        <v>75</v>
      </c>
      <c r="J108" s="1060">
        <v>82</v>
      </c>
      <c r="K108" s="1060">
        <v>65</v>
      </c>
      <c r="L108" s="1060">
        <v>117</v>
      </c>
      <c r="M108" s="1060">
        <v>123</v>
      </c>
      <c r="N108" s="1060">
        <v>170</v>
      </c>
      <c r="O108" s="1060">
        <v>88</v>
      </c>
      <c r="P108" s="1060">
        <v>77</v>
      </c>
      <c r="Q108" s="1060">
        <v>80</v>
      </c>
      <c r="R108" s="1060">
        <v>0</v>
      </c>
      <c r="S108" s="1060">
        <v>0</v>
      </c>
      <c r="T108" s="1060">
        <v>0</v>
      </c>
      <c r="U108" s="1060">
        <v>80</v>
      </c>
      <c r="V108" s="1060">
        <v>261</v>
      </c>
      <c r="W108" s="1060">
        <v>116</v>
      </c>
      <c r="X108" s="1060">
        <v>57</v>
      </c>
      <c r="Y108" s="1060">
        <v>0</v>
      </c>
      <c r="Z108" s="1075">
        <v>128</v>
      </c>
      <c r="AA108" s="1075">
        <v>130</v>
      </c>
      <c r="AB108" s="1076">
        <v>55</v>
      </c>
      <c r="AC108" s="1076">
        <v>70</v>
      </c>
      <c r="AD108" s="1076">
        <v>118</v>
      </c>
      <c r="AE108" s="1076">
        <v>141</v>
      </c>
      <c r="AF108" s="1076">
        <v>55</v>
      </c>
      <c r="AG108" s="1076">
        <v>60</v>
      </c>
      <c r="AH108" s="1076">
        <v>113</v>
      </c>
      <c r="AI108" s="1076">
        <v>0</v>
      </c>
      <c r="AJ108" s="1076"/>
      <c r="AK108" s="1069">
        <f t="shared" si="12"/>
        <v>2533</v>
      </c>
      <c r="AL108" s="1091">
        <v>46.175677538477103</v>
      </c>
      <c r="AM108" s="1070">
        <f t="shared" si="13"/>
        <v>1169.6299120496251</v>
      </c>
      <c r="AN108" s="1090" t="s">
        <v>38</v>
      </c>
      <c r="AO108" s="449"/>
      <c r="AP108" s="449"/>
    </row>
    <row r="109" spans="1:42" ht="54" customHeight="1">
      <c r="A109" s="788">
        <v>92</v>
      </c>
      <c r="B109" s="788">
        <v>11</v>
      </c>
      <c r="C109" s="788" t="str">
        <f>'Chấm công KT'!C105</f>
        <v>03598</v>
      </c>
      <c r="D109" s="795" t="str">
        <f>'Chấm công KT'!D105</f>
        <v>N . Thích</v>
      </c>
      <c r="E109" s="795"/>
      <c r="F109" s="1060">
        <v>74</v>
      </c>
      <c r="G109" s="1060">
        <v>71</v>
      </c>
      <c r="H109" s="1060">
        <v>40</v>
      </c>
      <c r="I109" s="1060">
        <v>74</v>
      </c>
      <c r="J109" s="1060">
        <v>63</v>
      </c>
      <c r="K109" s="1060">
        <v>75</v>
      </c>
      <c r="L109" s="1060">
        <v>80</v>
      </c>
      <c r="M109" s="1060">
        <v>171</v>
      </c>
      <c r="N109" s="1060">
        <v>188</v>
      </c>
      <c r="O109" s="1060">
        <v>129</v>
      </c>
      <c r="P109" s="1060">
        <v>80</v>
      </c>
      <c r="Q109" s="1060">
        <v>138</v>
      </c>
      <c r="R109" s="1060">
        <v>104</v>
      </c>
      <c r="S109" s="1060">
        <v>71</v>
      </c>
      <c r="T109" s="1060">
        <v>0</v>
      </c>
      <c r="U109" s="1060">
        <v>146</v>
      </c>
      <c r="V109" s="1060">
        <v>100</v>
      </c>
      <c r="W109" s="1060">
        <v>135</v>
      </c>
      <c r="X109" s="1060">
        <v>60</v>
      </c>
      <c r="Y109" s="1060">
        <v>117</v>
      </c>
      <c r="Z109" s="1075">
        <v>153</v>
      </c>
      <c r="AA109" s="1075">
        <v>124</v>
      </c>
      <c r="AB109" s="1076">
        <v>40</v>
      </c>
      <c r="AC109" s="1076">
        <v>84</v>
      </c>
      <c r="AD109" s="1076">
        <v>100</v>
      </c>
      <c r="AE109" s="1076">
        <v>95</v>
      </c>
      <c r="AF109" s="1076">
        <v>41</v>
      </c>
      <c r="AG109" s="1076">
        <v>98</v>
      </c>
      <c r="AH109" s="1076">
        <v>81</v>
      </c>
      <c r="AI109" s="1076">
        <v>102</v>
      </c>
      <c r="AJ109" s="1076"/>
      <c r="AK109" s="1069">
        <f t="shared" si="12"/>
        <v>2834</v>
      </c>
      <c r="AL109" s="1091">
        <v>46.175677538477103</v>
      </c>
      <c r="AM109" s="1070">
        <f t="shared" si="13"/>
        <v>1308.6187014404411</v>
      </c>
      <c r="AN109" s="1090" t="s">
        <v>46</v>
      </c>
      <c r="AO109" s="449"/>
      <c r="AP109" s="449"/>
    </row>
    <row r="110" spans="1:42" ht="54" customHeight="1">
      <c r="A110" s="788">
        <v>93</v>
      </c>
      <c r="B110" s="788">
        <v>12</v>
      </c>
      <c r="C110" s="788" t="str">
        <f>'Chấm công KT'!C106</f>
        <v>03599</v>
      </c>
      <c r="D110" s="795" t="str">
        <f>'Chấm công KT'!D106</f>
        <v>N. Cong Mi</v>
      </c>
      <c r="E110" s="795"/>
      <c r="F110" s="1060">
        <v>109</v>
      </c>
      <c r="G110" s="1060">
        <v>91</v>
      </c>
      <c r="H110" s="1060">
        <v>25</v>
      </c>
      <c r="I110" s="1060">
        <v>78</v>
      </c>
      <c r="J110" s="1060">
        <v>93</v>
      </c>
      <c r="K110" s="1060">
        <v>45</v>
      </c>
      <c r="L110" s="1060">
        <v>82</v>
      </c>
      <c r="M110" s="1060">
        <v>157</v>
      </c>
      <c r="N110" s="1060">
        <v>165</v>
      </c>
      <c r="O110" s="1060">
        <v>70</v>
      </c>
      <c r="P110" s="1060">
        <v>76</v>
      </c>
      <c r="Q110" s="1060">
        <v>0</v>
      </c>
      <c r="R110" s="1060">
        <v>0</v>
      </c>
      <c r="S110" s="1060">
        <v>0</v>
      </c>
      <c r="T110" s="1060">
        <v>0</v>
      </c>
      <c r="U110" s="1060">
        <v>177</v>
      </c>
      <c r="V110" s="1060">
        <v>142</v>
      </c>
      <c r="W110" s="1060">
        <v>87</v>
      </c>
      <c r="X110" s="1060">
        <v>140</v>
      </c>
      <c r="Y110" s="1060">
        <v>0</v>
      </c>
      <c r="Z110" s="1075">
        <v>100</v>
      </c>
      <c r="AA110" s="1075">
        <v>100</v>
      </c>
      <c r="AB110" s="1076">
        <v>0</v>
      </c>
      <c r="AC110" s="1076">
        <v>80</v>
      </c>
      <c r="AD110" s="1076">
        <v>92</v>
      </c>
      <c r="AE110" s="1076">
        <v>86</v>
      </c>
      <c r="AF110" s="1076">
        <v>36</v>
      </c>
      <c r="AG110" s="1076">
        <v>108</v>
      </c>
      <c r="AH110" s="1076">
        <v>88</v>
      </c>
      <c r="AI110" s="1076">
        <v>82</v>
      </c>
      <c r="AJ110" s="1076"/>
      <c r="AK110" s="1069">
        <f t="shared" si="12"/>
        <v>2309</v>
      </c>
      <c r="AL110" s="1091">
        <v>46.175677538477103</v>
      </c>
      <c r="AM110" s="1070">
        <f t="shared" si="13"/>
        <v>1066.1963943634362</v>
      </c>
      <c r="AN110" s="1090" t="s">
        <v>38</v>
      </c>
      <c r="AO110" s="449"/>
      <c r="AP110" s="449"/>
    </row>
    <row r="111" spans="1:42" ht="54" customHeight="1">
      <c r="A111" s="788">
        <v>94</v>
      </c>
      <c r="B111" s="788">
        <v>13</v>
      </c>
      <c r="C111" s="788" t="str">
        <f>'Chấm công KT'!C107</f>
        <v>04074</v>
      </c>
      <c r="D111" s="795" t="str">
        <f>'Chấm công KT'!D107</f>
        <v>T. Na</v>
      </c>
      <c r="E111" s="795"/>
      <c r="F111" s="1060">
        <v>65</v>
      </c>
      <c r="G111" s="1060">
        <v>43</v>
      </c>
      <c r="H111" s="1060">
        <v>30</v>
      </c>
      <c r="I111" s="1060">
        <v>84</v>
      </c>
      <c r="J111" s="1060">
        <v>0</v>
      </c>
      <c r="K111" s="1060">
        <v>38</v>
      </c>
      <c r="L111" s="1060">
        <v>20</v>
      </c>
      <c r="M111" s="1060">
        <v>162</v>
      </c>
      <c r="N111" s="1060">
        <v>185</v>
      </c>
      <c r="O111" s="1060">
        <v>76</v>
      </c>
      <c r="P111" s="1060">
        <v>64</v>
      </c>
      <c r="Q111" s="1060">
        <v>105</v>
      </c>
      <c r="R111" s="1060">
        <v>0</v>
      </c>
      <c r="S111" s="1060">
        <v>0</v>
      </c>
      <c r="T111" s="1060">
        <v>0</v>
      </c>
      <c r="U111" s="1060">
        <v>100</v>
      </c>
      <c r="V111" s="1060">
        <v>101</v>
      </c>
      <c r="W111" s="1060">
        <v>88</v>
      </c>
      <c r="X111" s="1060">
        <v>111</v>
      </c>
      <c r="Y111" s="1060">
        <v>0</v>
      </c>
      <c r="Z111" s="1075">
        <v>134</v>
      </c>
      <c r="AA111" s="1075">
        <v>77</v>
      </c>
      <c r="AB111" s="1076">
        <v>0</v>
      </c>
      <c r="AC111" s="1076">
        <v>86</v>
      </c>
      <c r="AD111" s="1076">
        <v>121</v>
      </c>
      <c r="AE111" s="1076">
        <v>0</v>
      </c>
      <c r="AF111" s="1076">
        <v>40</v>
      </c>
      <c r="AG111" s="1076">
        <v>76</v>
      </c>
      <c r="AH111" s="1076">
        <v>173</v>
      </c>
      <c r="AI111" s="1076">
        <v>111</v>
      </c>
      <c r="AJ111" s="1076"/>
      <c r="AK111" s="1069">
        <f t="shared" si="12"/>
        <v>2090</v>
      </c>
      <c r="AL111" s="1091">
        <v>46.175677538477103</v>
      </c>
      <c r="AM111" s="1070">
        <f t="shared" si="13"/>
        <v>965.07166055417144</v>
      </c>
      <c r="AN111" s="1090" t="s">
        <v>46</v>
      </c>
      <c r="AO111" s="449"/>
      <c r="AP111" s="449"/>
    </row>
    <row r="112" spans="1:42" ht="54" customHeight="1">
      <c r="A112" s="788">
        <v>95</v>
      </c>
      <c r="B112" s="788">
        <v>14</v>
      </c>
      <c r="C112" s="788" t="str">
        <f>'Chấm công KT'!C108</f>
        <v>03601</v>
      </c>
      <c r="D112" s="795" t="str">
        <f>'Chấm công KT'!D108</f>
        <v>T. Khăm Mặn</v>
      </c>
      <c r="E112" s="795"/>
      <c r="F112" s="1060">
        <v>205</v>
      </c>
      <c r="G112" s="1060">
        <v>90</v>
      </c>
      <c r="H112" s="1060">
        <v>54</v>
      </c>
      <c r="I112" s="1060">
        <v>108</v>
      </c>
      <c r="J112" s="1060">
        <v>101</v>
      </c>
      <c r="K112" s="1060">
        <v>88</v>
      </c>
      <c r="L112" s="1060">
        <v>131</v>
      </c>
      <c r="M112" s="1060">
        <v>195</v>
      </c>
      <c r="N112" s="1060">
        <v>252</v>
      </c>
      <c r="O112" s="1060">
        <v>100</v>
      </c>
      <c r="P112" s="1060">
        <v>107</v>
      </c>
      <c r="Q112" s="1060">
        <v>171</v>
      </c>
      <c r="R112" s="1060">
        <v>203</v>
      </c>
      <c r="S112" s="1060">
        <v>116</v>
      </c>
      <c r="T112" s="1060">
        <v>0</v>
      </c>
      <c r="U112" s="1060">
        <v>0</v>
      </c>
      <c r="V112" s="1060">
        <v>152</v>
      </c>
      <c r="W112" s="1060">
        <v>64</v>
      </c>
      <c r="X112" s="1060">
        <v>76</v>
      </c>
      <c r="Y112" s="1060">
        <v>203</v>
      </c>
      <c r="Z112" s="1075">
        <v>211</v>
      </c>
      <c r="AA112" s="1075">
        <v>130</v>
      </c>
      <c r="AB112" s="1076">
        <v>130</v>
      </c>
      <c r="AC112" s="1076">
        <v>159</v>
      </c>
      <c r="AD112" s="1076">
        <v>167</v>
      </c>
      <c r="AE112" s="1076">
        <v>113</v>
      </c>
      <c r="AF112" s="1076">
        <v>72</v>
      </c>
      <c r="AG112" s="1076">
        <v>104</v>
      </c>
      <c r="AH112" s="1076">
        <v>124</v>
      </c>
      <c r="AI112" s="1076">
        <v>113</v>
      </c>
      <c r="AJ112" s="1076"/>
      <c r="AK112" s="1069">
        <f t="shared" si="12"/>
        <v>3739</v>
      </c>
      <c r="AL112" s="1091">
        <v>46.175677538477103</v>
      </c>
      <c r="AM112" s="1070">
        <f t="shared" si="13"/>
        <v>1726.5085831636588</v>
      </c>
      <c r="AN112" s="1090" t="s">
        <v>38</v>
      </c>
      <c r="AO112" s="449"/>
      <c r="AP112" s="449"/>
    </row>
    <row r="113" spans="1:42" ht="54" customHeight="1">
      <c r="A113" s="788">
        <v>96</v>
      </c>
      <c r="B113" s="788">
        <v>15</v>
      </c>
      <c r="C113" s="788" t="str">
        <f>'Chấm công KT'!C109</f>
        <v>03602</v>
      </c>
      <c r="D113" s="795" t="str">
        <f>'Chấm công KT'!D109</f>
        <v>T . In Tong</v>
      </c>
      <c r="E113" s="795"/>
      <c r="F113" s="1060">
        <v>76</v>
      </c>
      <c r="G113" s="1060">
        <v>100</v>
      </c>
      <c r="H113" s="1060">
        <v>42</v>
      </c>
      <c r="I113" s="1060">
        <v>73</v>
      </c>
      <c r="J113" s="1060">
        <v>81</v>
      </c>
      <c r="K113" s="1060">
        <v>88</v>
      </c>
      <c r="L113" s="1060">
        <v>98</v>
      </c>
      <c r="M113" s="1060">
        <v>171</v>
      </c>
      <c r="N113" s="1060">
        <v>163</v>
      </c>
      <c r="O113" s="1060">
        <v>77</v>
      </c>
      <c r="P113" s="1060">
        <v>67</v>
      </c>
      <c r="Q113" s="1060">
        <v>126</v>
      </c>
      <c r="R113" s="1060">
        <v>104</v>
      </c>
      <c r="S113" s="1060">
        <v>96</v>
      </c>
      <c r="T113" s="1060">
        <v>0</v>
      </c>
      <c r="U113" s="1060">
        <v>126</v>
      </c>
      <c r="V113" s="1060">
        <v>92</v>
      </c>
      <c r="W113" s="1060">
        <v>121</v>
      </c>
      <c r="X113" s="1060">
        <v>54</v>
      </c>
      <c r="Y113" s="1060">
        <v>108</v>
      </c>
      <c r="Z113" s="1075">
        <v>78</v>
      </c>
      <c r="AA113" s="1075">
        <v>144</v>
      </c>
      <c r="AB113" s="1076">
        <v>40</v>
      </c>
      <c r="AC113" s="1076">
        <v>94</v>
      </c>
      <c r="AD113" s="1076">
        <v>95</v>
      </c>
      <c r="AE113" s="1076">
        <v>104</v>
      </c>
      <c r="AF113" s="1076">
        <v>40</v>
      </c>
      <c r="AG113" s="1076">
        <v>97</v>
      </c>
      <c r="AH113" s="1076">
        <v>76</v>
      </c>
      <c r="AI113" s="1076">
        <v>102</v>
      </c>
      <c r="AJ113" s="1076"/>
      <c r="AK113" s="1069">
        <f t="shared" si="12"/>
        <v>2733</v>
      </c>
      <c r="AL113" s="1091">
        <v>46.175677538477103</v>
      </c>
      <c r="AM113" s="1070">
        <f t="shared" si="13"/>
        <v>1261.9812671265793</v>
      </c>
      <c r="AN113" s="1090" t="s">
        <v>38</v>
      </c>
      <c r="AO113" s="449"/>
      <c r="AP113" s="449"/>
    </row>
    <row r="114" spans="1:42" ht="54" customHeight="1">
      <c r="A114" s="788">
        <v>97</v>
      </c>
      <c r="B114" s="788">
        <v>16</v>
      </c>
      <c r="C114" s="788" t="str">
        <f>'Chấm công KT'!C110</f>
        <v>03496</v>
      </c>
      <c r="D114" s="795" t="str">
        <f>'Chấm công KT'!D110</f>
        <v>T. Lốp</v>
      </c>
      <c r="E114" s="795"/>
      <c r="F114" s="1060">
        <v>100</v>
      </c>
      <c r="G114" s="1060">
        <v>115</v>
      </c>
      <c r="H114" s="1060">
        <v>30</v>
      </c>
      <c r="I114" s="1060">
        <v>181</v>
      </c>
      <c r="J114" s="1060">
        <v>112</v>
      </c>
      <c r="K114" s="1060">
        <v>48</v>
      </c>
      <c r="L114" s="1060">
        <v>91</v>
      </c>
      <c r="M114" s="1060">
        <v>0</v>
      </c>
      <c r="N114" s="1060">
        <v>192</v>
      </c>
      <c r="O114" s="1060">
        <v>54</v>
      </c>
      <c r="P114" s="1060">
        <v>34</v>
      </c>
      <c r="Q114" s="1060">
        <v>20</v>
      </c>
      <c r="R114" s="1060">
        <v>128</v>
      </c>
      <c r="S114" s="1060">
        <v>0</v>
      </c>
      <c r="T114" s="1060">
        <v>0</v>
      </c>
      <c r="U114" s="1060">
        <v>267</v>
      </c>
      <c r="V114" s="1060">
        <v>115</v>
      </c>
      <c r="W114" s="1060">
        <v>73</v>
      </c>
      <c r="X114" s="1060">
        <v>61</v>
      </c>
      <c r="Y114" s="1060">
        <v>122</v>
      </c>
      <c r="Z114" s="1075">
        <v>146</v>
      </c>
      <c r="AA114" s="1075">
        <v>0</v>
      </c>
      <c r="AB114" s="1076">
        <v>50</v>
      </c>
      <c r="AC114" s="1076">
        <v>0</v>
      </c>
      <c r="AD114" s="1076">
        <v>41</v>
      </c>
      <c r="AE114" s="1076">
        <v>135</v>
      </c>
      <c r="AF114" s="1076">
        <v>27</v>
      </c>
      <c r="AG114" s="1076">
        <v>104</v>
      </c>
      <c r="AH114" s="1076">
        <v>127</v>
      </c>
      <c r="AI114" s="1076">
        <v>74</v>
      </c>
      <c r="AJ114" s="1076"/>
      <c r="AK114" s="1069">
        <f t="shared" si="12"/>
        <v>2447</v>
      </c>
      <c r="AL114" s="1091">
        <v>46.175677538477103</v>
      </c>
      <c r="AM114" s="1070">
        <f t="shared" si="13"/>
        <v>1129.9188293665347</v>
      </c>
      <c r="AN114" s="1090" t="s">
        <v>46</v>
      </c>
      <c r="AO114" s="449"/>
      <c r="AP114" s="449"/>
    </row>
    <row r="115" spans="1:42" ht="54" customHeight="1">
      <c r="A115" s="788">
        <v>98</v>
      </c>
      <c r="B115" s="788">
        <v>17</v>
      </c>
      <c r="C115" s="788" t="str">
        <f>'Chấm công KT'!C111</f>
        <v>03604</v>
      </c>
      <c r="D115" s="795" t="str">
        <f>'Chấm công KT'!D111</f>
        <v>T. Lăm Phêng</v>
      </c>
      <c r="E115" s="795"/>
      <c r="F115" s="1060">
        <v>101</v>
      </c>
      <c r="G115" s="1060">
        <v>95</v>
      </c>
      <c r="H115" s="1060">
        <v>51</v>
      </c>
      <c r="I115" s="1060">
        <v>241</v>
      </c>
      <c r="J115" s="1060">
        <v>113</v>
      </c>
      <c r="K115" s="1060">
        <v>71</v>
      </c>
      <c r="L115" s="1060">
        <v>143</v>
      </c>
      <c r="M115" s="1060">
        <v>424</v>
      </c>
      <c r="N115" s="1060">
        <v>242</v>
      </c>
      <c r="O115" s="1060">
        <v>92</v>
      </c>
      <c r="P115" s="1060">
        <v>0</v>
      </c>
      <c r="Q115" s="1060">
        <v>0</v>
      </c>
      <c r="R115" s="1060">
        <v>0</v>
      </c>
      <c r="S115" s="1060">
        <v>0</v>
      </c>
      <c r="T115" s="1060">
        <v>0</v>
      </c>
      <c r="U115" s="1060">
        <v>327</v>
      </c>
      <c r="V115" s="1060">
        <v>282</v>
      </c>
      <c r="W115" s="1060">
        <v>123</v>
      </c>
      <c r="X115" s="1060">
        <v>121</v>
      </c>
      <c r="Y115" s="1060">
        <v>282</v>
      </c>
      <c r="Z115" s="1075">
        <v>124</v>
      </c>
      <c r="AA115" s="1075">
        <v>90</v>
      </c>
      <c r="AB115" s="1076">
        <v>61</v>
      </c>
      <c r="AC115" s="1076">
        <v>240</v>
      </c>
      <c r="AD115" s="1076">
        <v>156</v>
      </c>
      <c r="AE115" s="1076">
        <v>124</v>
      </c>
      <c r="AF115" s="1076">
        <v>65</v>
      </c>
      <c r="AG115" s="1076">
        <v>279</v>
      </c>
      <c r="AH115" s="1076">
        <v>185</v>
      </c>
      <c r="AI115" s="1076">
        <v>91</v>
      </c>
      <c r="AJ115" s="1076"/>
      <c r="AK115" s="1069">
        <f t="shared" si="12"/>
        <v>4123</v>
      </c>
      <c r="AL115" s="1091">
        <v>46.175677538477103</v>
      </c>
      <c r="AM115" s="1070">
        <f t="shared" si="13"/>
        <v>1903.8231849114111</v>
      </c>
      <c r="AN115" s="1090" t="s">
        <v>38</v>
      </c>
      <c r="AO115" s="449"/>
      <c r="AP115" s="449"/>
    </row>
    <row r="116" spans="1:42" ht="54" customHeight="1">
      <c r="A116" s="788">
        <v>99</v>
      </c>
      <c r="B116" s="788">
        <v>18</v>
      </c>
      <c r="C116" s="788" t="str">
        <f>'Chấm công KT'!C112</f>
        <v>04075</v>
      </c>
      <c r="D116" s="795" t="str">
        <f>'Chấm công KT'!D112</f>
        <v>T Xèng</v>
      </c>
      <c r="E116" s="795"/>
      <c r="F116" s="1060">
        <v>0</v>
      </c>
      <c r="G116" s="1060">
        <v>64</v>
      </c>
      <c r="H116" s="1060">
        <v>100</v>
      </c>
      <c r="I116" s="1060">
        <v>73</v>
      </c>
      <c r="J116" s="1060">
        <v>180</v>
      </c>
      <c r="K116" s="1060">
        <v>51</v>
      </c>
      <c r="L116" s="1060">
        <v>168</v>
      </c>
      <c r="M116" s="1060">
        <v>159</v>
      </c>
      <c r="N116" s="1060">
        <v>250</v>
      </c>
      <c r="O116" s="1060">
        <v>103</v>
      </c>
      <c r="P116" s="1060">
        <v>84</v>
      </c>
      <c r="Q116" s="1060">
        <v>111</v>
      </c>
      <c r="R116" s="1060">
        <v>0</v>
      </c>
      <c r="S116" s="1060">
        <v>0</v>
      </c>
      <c r="T116" s="1060">
        <v>0</v>
      </c>
      <c r="U116" s="1060">
        <v>0</v>
      </c>
      <c r="V116" s="1060">
        <v>241</v>
      </c>
      <c r="W116" s="1060">
        <v>80</v>
      </c>
      <c r="X116" s="1060">
        <v>86</v>
      </c>
      <c r="Y116" s="1060">
        <v>170</v>
      </c>
      <c r="Z116" s="1075">
        <v>143</v>
      </c>
      <c r="AA116" s="1075">
        <v>100</v>
      </c>
      <c r="AB116" s="1076">
        <v>66</v>
      </c>
      <c r="AC116" s="1076">
        <v>134</v>
      </c>
      <c r="AD116" s="1076">
        <v>210</v>
      </c>
      <c r="AE116" s="1076">
        <v>82</v>
      </c>
      <c r="AF116" s="1076">
        <v>82</v>
      </c>
      <c r="AG116" s="1076">
        <v>122</v>
      </c>
      <c r="AH116" s="1076">
        <v>169</v>
      </c>
      <c r="AI116" s="1076">
        <v>84</v>
      </c>
      <c r="AJ116" s="1076"/>
      <c r="AK116" s="1069">
        <f t="shared" si="12"/>
        <v>3112</v>
      </c>
      <c r="AL116" s="1091">
        <v>46.175677538477103</v>
      </c>
      <c r="AM116" s="1070">
        <f t="shared" si="13"/>
        <v>1436.9870849974075</v>
      </c>
      <c r="AN116" s="1090" t="s">
        <v>38</v>
      </c>
      <c r="AO116" s="449"/>
      <c r="AP116" s="449"/>
    </row>
    <row r="117" spans="1:42" ht="54" customHeight="1">
      <c r="A117" s="788">
        <v>100</v>
      </c>
      <c r="B117" s="788">
        <v>19</v>
      </c>
      <c r="C117" s="788" t="str">
        <f>'Chấm công KT'!C113</f>
        <v>03509</v>
      </c>
      <c r="D117" s="795" t="str">
        <f>'Chấm công KT'!D113</f>
        <v>T. May</v>
      </c>
      <c r="E117" s="795"/>
      <c r="F117" s="1060">
        <v>81</v>
      </c>
      <c r="G117" s="1060">
        <v>91</v>
      </c>
      <c r="H117" s="1060">
        <v>54</v>
      </c>
      <c r="I117" s="1060">
        <v>93</v>
      </c>
      <c r="J117" s="1060">
        <v>74</v>
      </c>
      <c r="K117" s="1060">
        <v>75</v>
      </c>
      <c r="L117" s="1060">
        <v>113</v>
      </c>
      <c r="M117" s="1060">
        <v>178</v>
      </c>
      <c r="N117" s="1060">
        <v>176</v>
      </c>
      <c r="O117" s="1060">
        <v>80</v>
      </c>
      <c r="P117" s="1060">
        <v>107</v>
      </c>
      <c r="Q117" s="1060">
        <v>125</v>
      </c>
      <c r="R117" s="1060">
        <v>153</v>
      </c>
      <c r="S117" s="1060">
        <v>0</v>
      </c>
      <c r="T117" s="1060">
        <v>0</v>
      </c>
      <c r="U117" s="1060">
        <v>0</v>
      </c>
      <c r="V117" s="1060">
        <v>124</v>
      </c>
      <c r="W117" s="1060">
        <v>106</v>
      </c>
      <c r="X117" s="1060">
        <v>115</v>
      </c>
      <c r="Y117" s="1060">
        <v>159</v>
      </c>
      <c r="Z117" s="1075">
        <v>120</v>
      </c>
      <c r="AA117" s="1075">
        <v>111</v>
      </c>
      <c r="AB117" s="1076">
        <v>71</v>
      </c>
      <c r="AC117" s="1076">
        <v>117</v>
      </c>
      <c r="AD117" s="1076">
        <v>143</v>
      </c>
      <c r="AE117" s="1076">
        <v>105</v>
      </c>
      <c r="AF117" s="1076">
        <v>0</v>
      </c>
      <c r="AG117" s="1076">
        <v>161</v>
      </c>
      <c r="AH117" s="1076">
        <v>132</v>
      </c>
      <c r="AI117" s="1076">
        <v>101</v>
      </c>
      <c r="AJ117" s="1076"/>
      <c r="AK117" s="1069">
        <f t="shared" si="12"/>
        <v>2965</v>
      </c>
      <c r="AL117" s="1091">
        <v>46.175677538477103</v>
      </c>
      <c r="AM117" s="1070">
        <f t="shared" si="13"/>
        <v>1369.1088390158461</v>
      </c>
      <c r="AN117" s="1090" t="s">
        <v>46</v>
      </c>
      <c r="AO117" s="449"/>
      <c r="AP117" s="449"/>
    </row>
    <row r="118" spans="1:42" ht="54" customHeight="1">
      <c r="A118" s="788">
        <v>101</v>
      </c>
      <c r="B118" s="788">
        <v>20</v>
      </c>
      <c r="C118" s="788" t="str">
        <f>'Chấm công KT'!C114</f>
        <v>03607</v>
      </c>
      <c r="D118" s="795" t="str">
        <f>'Chấm công KT'!D114</f>
        <v>T. Huôn</v>
      </c>
      <c r="E118" s="795"/>
      <c r="F118" s="1060">
        <v>70</v>
      </c>
      <c r="G118" s="1060">
        <v>74</v>
      </c>
      <c r="H118" s="1060">
        <v>63</v>
      </c>
      <c r="I118" s="1060">
        <v>73</v>
      </c>
      <c r="J118" s="1060">
        <v>53</v>
      </c>
      <c r="K118" s="1060">
        <v>80</v>
      </c>
      <c r="L118" s="1060">
        <v>109</v>
      </c>
      <c r="M118" s="1060">
        <v>165</v>
      </c>
      <c r="N118" s="1060">
        <v>157</v>
      </c>
      <c r="O118" s="1060">
        <v>70</v>
      </c>
      <c r="P118" s="1060">
        <v>91</v>
      </c>
      <c r="Q118" s="1060">
        <v>102</v>
      </c>
      <c r="R118" s="1060">
        <v>74</v>
      </c>
      <c r="S118" s="1060">
        <v>0</v>
      </c>
      <c r="T118" s="1060">
        <v>0</v>
      </c>
      <c r="U118" s="1060">
        <v>0</v>
      </c>
      <c r="V118" s="1060">
        <v>66</v>
      </c>
      <c r="W118" s="1060">
        <v>100</v>
      </c>
      <c r="X118" s="1060">
        <v>58</v>
      </c>
      <c r="Y118" s="1060">
        <v>183</v>
      </c>
      <c r="Z118" s="1075">
        <v>113</v>
      </c>
      <c r="AA118" s="1075">
        <v>104</v>
      </c>
      <c r="AB118" s="1076">
        <v>63</v>
      </c>
      <c r="AC118" s="1076">
        <v>95</v>
      </c>
      <c r="AD118" s="1076">
        <v>121</v>
      </c>
      <c r="AE118" s="1076">
        <v>80</v>
      </c>
      <c r="AF118" s="1076">
        <v>0</v>
      </c>
      <c r="AG118" s="1076">
        <v>97</v>
      </c>
      <c r="AH118" s="1076">
        <v>99</v>
      </c>
      <c r="AI118" s="1076">
        <v>66</v>
      </c>
      <c r="AJ118" s="1076"/>
      <c r="AK118" s="1069">
        <f t="shared" si="12"/>
        <v>2426</v>
      </c>
      <c r="AL118" s="1091">
        <v>46.175677538477103</v>
      </c>
      <c r="AM118" s="1070">
        <f t="shared" si="13"/>
        <v>1120.2219370834546</v>
      </c>
      <c r="AN118" s="1090" t="s">
        <v>38</v>
      </c>
      <c r="AO118" s="449"/>
      <c r="AP118" s="449"/>
    </row>
    <row r="119" spans="1:42" ht="54" customHeight="1">
      <c r="A119" s="788">
        <v>102</v>
      </c>
      <c r="B119" s="788">
        <v>21</v>
      </c>
      <c r="C119" s="788" t="str">
        <f>'Chấm công KT'!C115</f>
        <v>02729</v>
      </c>
      <c r="D119" s="795" t="str">
        <f>'Chấm công KT'!D115</f>
        <v>N. Lay</v>
      </c>
      <c r="E119" s="795"/>
      <c r="F119" s="1060">
        <v>67</v>
      </c>
      <c r="G119" s="1060">
        <v>82</v>
      </c>
      <c r="H119" s="1060">
        <v>57</v>
      </c>
      <c r="I119" s="1060">
        <v>70</v>
      </c>
      <c r="J119" s="1060">
        <v>67</v>
      </c>
      <c r="K119" s="1060">
        <v>57</v>
      </c>
      <c r="L119" s="1060">
        <v>113</v>
      </c>
      <c r="M119" s="1060">
        <v>163</v>
      </c>
      <c r="N119" s="1060">
        <v>176</v>
      </c>
      <c r="O119" s="1060">
        <v>78</v>
      </c>
      <c r="P119" s="1060">
        <v>78</v>
      </c>
      <c r="Q119" s="1060">
        <v>100</v>
      </c>
      <c r="R119" s="1060">
        <v>119</v>
      </c>
      <c r="S119" s="1060">
        <v>0</v>
      </c>
      <c r="T119" s="1060">
        <v>0</v>
      </c>
      <c r="U119" s="1060">
        <v>0</v>
      </c>
      <c r="V119" s="1060">
        <v>81</v>
      </c>
      <c r="W119" s="1060">
        <v>108</v>
      </c>
      <c r="X119" s="1060">
        <v>72</v>
      </c>
      <c r="Y119" s="1060">
        <v>182</v>
      </c>
      <c r="Z119" s="1075">
        <v>102</v>
      </c>
      <c r="AA119" s="1075">
        <v>70</v>
      </c>
      <c r="AB119" s="1076">
        <v>44</v>
      </c>
      <c r="AC119" s="1076">
        <v>95</v>
      </c>
      <c r="AD119" s="1076">
        <v>130</v>
      </c>
      <c r="AE119" s="1076">
        <v>81</v>
      </c>
      <c r="AF119" s="1076">
        <v>0</v>
      </c>
      <c r="AG119" s="1076">
        <v>99</v>
      </c>
      <c r="AH119" s="1076">
        <v>96</v>
      </c>
      <c r="AI119" s="1076">
        <v>90</v>
      </c>
      <c r="AJ119" s="1076"/>
      <c r="AK119" s="1069">
        <f t="shared" si="12"/>
        <v>2477</v>
      </c>
      <c r="AL119" s="1091">
        <v>46.175677538477103</v>
      </c>
      <c r="AM119" s="1070">
        <f t="shared" si="13"/>
        <v>1143.7715326280779</v>
      </c>
      <c r="AN119" s="1090" t="s">
        <v>38</v>
      </c>
      <c r="AO119" s="449"/>
      <c r="AP119" s="449"/>
    </row>
    <row r="120" spans="1:42" ht="54" customHeight="1">
      <c r="A120" s="788">
        <v>103</v>
      </c>
      <c r="B120" s="788">
        <v>22</v>
      </c>
      <c r="C120" s="788" t="str">
        <f>'Chấm công KT'!C116</f>
        <v>03608</v>
      </c>
      <c r="D120" s="795" t="str">
        <f>'Chấm công KT'!D116</f>
        <v>N. Pon</v>
      </c>
      <c r="E120" s="795"/>
      <c r="F120" s="1060">
        <v>118</v>
      </c>
      <c r="G120" s="1060">
        <v>87</v>
      </c>
      <c r="H120" s="1060">
        <v>42</v>
      </c>
      <c r="I120" s="1060">
        <v>74</v>
      </c>
      <c r="J120" s="1060">
        <v>98</v>
      </c>
      <c r="K120" s="1060">
        <v>59</v>
      </c>
      <c r="L120" s="1060">
        <v>80</v>
      </c>
      <c r="M120" s="1060">
        <v>178</v>
      </c>
      <c r="N120" s="1060">
        <v>0</v>
      </c>
      <c r="O120" s="1060">
        <v>76</v>
      </c>
      <c r="P120" s="1060">
        <v>69</v>
      </c>
      <c r="Q120" s="1060">
        <v>121</v>
      </c>
      <c r="R120" s="1060">
        <v>0</v>
      </c>
      <c r="S120" s="1060">
        <v>0</v>
      </c>
      <c r="T120" s="1060">
        <v>0</v>
      </c>
      <c r="U120" s="1060">
        <v>97</v>
      </c>
      <c r="V120" s="1060">
        <v>302</v>
      </c>
      <c r="W120" s="1060">
        <v>129</v>
      </c>
      <c r="X120" s="1060">
        <v>49</v>
      </c>
      <c r="Y120" s="1060">
        <v>76</v>
      </c>
      <c r="Z120" s="1075">
        <v>0</v>
      </c>
      <c r="AA120" s="1075">
        <v>120</v>
      </c>
      <c r="AB120" s="1076">
        <v>39</v>
      </c>
      <c r="AC120" s="1076">
        <v>82</v>
      </c>
      <c r="AD120" s="1076">
        <v>224</v>
      </c>
      <c r="AE120" s="1076">
        <v>97</v>
      </c>
      <c r="AF120" s="1076">
        <v>48</v>
      </c>
      <c r="AG120" s="1076">
        <v>73</v>
      </c>
      <c r="AH120" s="1076">
        <v>146</v>
      </c>
      <c r="AI120" s="1076">
        <v>94</v>
      </c>
      <c r="AJ120" s="1076"/>
      <c r="AK120" s="1069">
        <f t="shared" si="12"/>
        <v>2578</v>
      </c>
      <c r="AL120" s="1091">
        <v>46.175677538477103</v>
      </c>
      <c r="AM120" s="1070">
        <f t="shared" si="13"/>
        <v>1190.4089669419398</v>
      </c>
      <c r="AN120" s="1090" t="s">
        <v>38</v>
      </c>
      <c r="AO120" s="449"/>
      <c r="AP120" s="449"/>
    </row>
    <row r="121" spans="1:42" ht="54" customHeight="1">
      <c r="A121" s="788">
        <v>104</v>
      </c>
      <c r="B121" s="788">
        <v>23</v>
      </c>
      <c r="C121" s="788" t="str">
        <f>'Chấm công KT'!C117</f>
        <v>03609</v>
      </c>
      <c r="D121" s="795" t="str">
        <f>'Chấm công KT'!D117</f>
        <v>N. Bun Đi</v>
      </c>
      <c r="E121" s="795"/>
      <c r="F121" s="1060">
        <v>73</v>
      </c>
      <c r="G121" s="1060">
        <v>46</v>
      </c>
      <c r="H121" s="1060">
        <v>34</v>
      </c>
      <c r="I121" s="1060">
        <v>73</v>
      </c>
      <c r="J121" s="1060">
        <v>55</v>
      </c>
      <c r="K121" s="1060">
        <v>40</v>
      </c>
      <c r="L121" s="1060">
        <v>77</v>
      </c>
      <c r="M121" s="1060">
        <v>148</v>
      </c>
      <c r="N121" s="1060">
        <v>149</v>
      </c>
      <c r="O121" s="1060">
        <v>0</v>
      </c>
      <c r="P121" s="1060">
        <v>65</v>
      </c>
      <c r="Q121" s="1060">
        <v>121</v>
      </c>
      <c r="R121" s="1060">
        <v>0</v>
      </c>
      <c r="S121" s="1060">
        <v>82</v>
      </c>
      <c r="T121" s="1060">
        <v>0</v>
      </c>
      <c r="U121" s="1060">
        <v>102</v>
      </c>
      <c r="V121" s="1060">
        <v>149</v>
      </c>
      <c r="W121" s="1060">
        <v>44</v>
      </c>
      <c r="X121" s="1060">
        <v>48</v>
      </c>
      <c r="Y121" s="1060">
        <v>93</v>
      </c>
      <c r="Z121" s="1075">
        <v>104</v>
      </c>
      <c r="AA121" s="1075">
        <v>83</v>
      </c>
      <c r="AB121" s="1076">
        <v>46</v>
      </c>
      <c r="AC121" s="1076">
        <v>115</v>
      </c>
      <c r="AD121" s="1076">
        <v>110</v>
      </c>
      <c r="AE121" s="1076">
        <v>63</v>
      </c>
      <c r="AF121" s="1076">
        <v>48</v>
      </c>
      <c r="AG121" s="1076">
        <v>110</v>
      </c>
      <c r="AH121" s="1076">
        <v>110</v>
      </c>
      <c r="AI121" s="1076">
        <v>60</v>
      </c>
      <c r="AJ121" s="1076"/>
      <c r="AK121" s="1069">
        <f t="shared" si="12"/>
        <v>2248</v>
      </c>
      <c r="AL121" s="1091">
        <v>46.175677538477103</v>
      </c>
      <c r="AM121" s="1070">
        <f t="shared" si="13"/>
        <v>1038.0292310649652</v>
      </c>
      <c r="AN121" s="1090" t="s">
        <v>38</v>
      </c>
      <c r="AO121" s="449"/>
      <c r="AP121" s="449"/>
    </row>
    <row r="122" spans="1:42" ht="54" customHeight="1">
      <c r="A122" s="788">
        <v>105</v>
      </c>
      <c r="B122" s="788">
        <v>24</v>
      </c>
      <c r="C122" s="788" t="str">
        <f>'Chấm công KT'!C118</f>
        <v>03610</v>
      </c>
      <c r="D122" s="795" t="str">
        <f>'Chấm công KT'!D118</f>
        <v>N. Phon</v>
      </c>
      <c r="E122" s="795"/>
      <c r="F122" s="1060">
        <v>76</v>
      </c>
      <c r="G122" s="1060">
        <v>60</v>
      </c>
      <c r="H122" s="1060">
        <v>34</v>
      </c>
      <c r="I122" s="1060">
        <v>63</v>
      </c>
      <c r="J122" s="1060">
        <v>68</v>
      </c>
      <c r="K122" s="1060">
        <v>49</v>
      </c>
      <c r="L122" s="1060">
        <v>76</v>
      </c>
      <c r="M122" s="1060">
        <v>143</v>
      </c>
      <c r="N122" s="1060">
        <v>146</v>
      </c>
      <c r="O122" s="1060">
        <v>0</v>
      </c>
      <c r="P122" s="1060">
        <v>75</v>
      </c>
      <c r="Q122" s="1060">
        <v>122</v>
      </c>
      <c r="R122" s="1060">
        <v>0</v>
      </c>
      <c r="S122" s="1060">
        <v>84</v>
      </c>
      <c r="T122" s="1060">
        <v>0</v>
      </c>
      <c r="U122" s="1060">
        <v>102</v>
      </c>
      <c r="V122" s="1060">
        <v>144</v>
      </c>
      <c r="W122" s="1060">
        <v>47</v>
      </c>
      <c r="X122" s="1060">
        <v>42</v>
      </c>
      <c r="Y122" s="1060">
        <v>92</v>
      </c>
      <c r="Z122" s="1075">
        <v>95</v>
      </c>
      <c r="AA122" s="1075">
        <v>83</v>
      </c>
      <c r="AB122" s="1076">
        <v>38</v>
      </c>
      <c r="AC122" s="1076">
        <v>115</v>
      </c>
      <c r="AD122" s="1076">
        <v>115</v>
      </c>
      <c r="AE122" s="1076">
        <v>82</v>
      </c>
      <c r="AF122" s="1076">
        <v>40</v>
      </c>
      <c r="AG122" s="1076">
        <v>130</v>
      </c>
      <c r="AH122" s="1076">
        <v>117</v>
      </c>
      <c r="AI122" s="1076">
        <v>90</v>
      </c>
      <c r="AJ122" s="1076"/>
      <c r="AK122" s="1069">
        <f t="shared" si="12"/>
        <v>2328</v>
      </c>
      <c r="AL122" s="1091">
        <v>46.175677538477103</v>
      </c>
      <c r="AM122" s="1070">
        <f t="shared" si="13"/>
        <v>1074.9697730957469</v>
      </c>
      <c r="AN122" s="1090" t="s">
        <v>38</v>
      </c>
      <c r="AO122" s="449"/>
      <c r="AP122" s="449"/>
    </row>
    <row r="123" spans="1:42" ht="54" customHeight="1">
      <c r="A123" s="788">
        <v>106</v>
      </c>
      <c r="B123" s="788">
        <v>25</v>
      </c>
      <c r="C123" s="788" t="str">
        <f>'Chấm công KT'!C119</f>
        <v>04076</v>
      </c>
      <c r="D123" s="795" t="str">
        <f>'Chấm công KT'!D119</f>
        <v xml:space="preserve">N. Bun </v>
      </c>
      <c r="E123" s="795"/>
      <c r="F123" s="1060">
        <v>136</v>
      </c>
      <c r="G123" s="1060">
        <v>75</v>
      </c>
      <c r="H123" s="1060">
        <v>60</v>
      </c>
      <c r="I123" s="1060">
        <v>100</v>
      </c>
      <c r="J123" s="1060">
        <v>121</v>
      </c>
      <c r="K123" s="1060">
        <v>63</v>
      </c>
      <c r="L123" s="1060">
        <v>127</v>
      </c>
      <c r="M123" s="1060">
        <v>198</v>
      </c>
      <c r="N123" s="1060">
        <v>275</v>
      </c>
      <c r="O123" s="1060">
        <v>65</v>
      </c>
      <c r="P123" s="1060">
        <v>124</v>
      </c>
      <c r="Q123" s="1060">
        <v>188</v>
      </c>
      <c r="R123" s="1060">
        <v>235</v>
      </c>
      <c r="S123" s="1060">
        <v>0</v>
      </c>
      <c r="T123" s="1060">
        <v>0</v>
      </c>
      <c r="U123" s="1060">
        <v>0</v>
      </c>
      <c r="V123" s="1060">
        <v>280</v>
      </c>
      <c r="W123" s="1060">
        <v>112</v>
      </c>
      <c r="X123" s="1060">
        <v>0</v>
      </c>
      <c r="Y123" s="1060">
        <v>124</v>
      </c>
      <c r="Z123" s="1075">
        <v>177</v>
      </c>
      <c r="AA123" s="1075">
        <v>84</v>
      </c>
      <c r="AB123" s="1076">
        <v>80</v>
      </c>
      <c r="AC123" s="1076">
        <v>134</v>
      </c>
      <c r="AD123" s="1076">
        <v>210</v>
      </c>
      <c r="AE123" s="1076">
        <v>66</v>
      </c>
      <c r="AF123" s="1076">
        <v>69</v>
      </c>
      <c r="AG123" s="1076">
        <v>119</v>
      </c>
      <c r="AH123" s="1076">
        <v>0</v>
      </c>
      <c r="AI123" s="1076">
        <v>0</v>
      </c>
      <c r="AJ123" s="1076"/>
      <c r="AK123" s="1069">
        <f t="shared" si="12"/>
        <v>3222</v>
      </c>
      <c r="AL123" s="1091">
        <v>46.175677538477103</v>
      </c>
      <c r="AM123" s="1070">
        <f t="shared" si="13"/>
        <v>1487.7803302897323</v>
      </c>
      <c r="AN123" s="1090" t="s">
        <v>46</v>
      </c>
      <c r="AO123" s="449"/>
      <c r="AP123" s="449"/>
    </row>
    <row r="124" spans="1:42" ht="54" customHeight="1">
      <c r="A124" s="788">
        <v>107</v>
      </c>
      <c r="B124" s="788">
        <v>26</v>
      </c>
      <c r="C124" s="788" t="str">
        <f>'Chấm công KT'!C120</f>
        <v>03612</v>
      </c>
      <c r="D124" s="795" t="str">
        <f>'Chấm công KT'!D120</f>
        <v>N. Phu Văn</v>
      </c>
      <c r="E124" s="795"/>
      <c r="F124" s="1060">
        <v>0</v>
      </c>
      <c r="G124" s="1060">
        <v>60</v>
      </c>
      <c r="H124" s="1060">
        <v>44</v>
      </c>
      <c r="I124" s="1060">
        <v>109</v>
      </c>
      <c r="J124" s="1060">
        <v>166</v>
      </c>
      <c r="K124" s="1060">
        <v>56</v>
      </c>
      <c r="L124" s="1060">
        <v>109</v>
      </c>
      <c r="M124" s="1060">
        <v>194</v>
      </c>
      <c r="N124" s="1060">
        <v>218</v>
      </c>
      <c r="O124" s="1060">
        <v>49</v>
      </c>
      <c r="P124" s="1060">
        <v>108</v>
      </c>
      <c r="Q124" s="1060">
        <v>116</v>
      </c>
      <c r="R124" s="1060">
        <v>0</v>
      </c>
      <c r="S124" s="1060">
        <v>0</v>
      </c>
      <c r="T124" s="1060">
        <v>0</v>
      </c>
      <c r="U124" s="1060">
        <v>0</v>
      </c>
      <c r="V124" s="1060">
        <v>252</v>
      </c>
      <c r="W124" s="1060">
        <v>59</v>
      </c>
      <c r="X124" s="1060">
        <v>81</v>
      </c>
      <c r="Y124" s="1060">
        <v>172</v>
      </c>
      <c r="Z124" s="1075">
        <v>146</v>
      </c>
      <c r="AA124" s="1075">
        <v>102</v>
      </c>
      <c r="AB124" s="1076">
        <v>78</v>
      </c>
      <c r="AC124" s="1076">
        <v>120</v>
      </c>
      <c r="AD124" s="1076">
        <v>183</v>
      </c>
      <c r="AE124" s="1076">
        <v>81</v>
      </c>
      <c r="AF124" s="1076">
        <v>81</v>
      </c>
      <c r="AG124" s="1076">
        <v>121</v>
      </c>
      <c r="AH124" s="1076">
        <v>194</v>
      </c>
      <c r="AI124" s="1076">
        <v>84</v>
      </c>
      <c r="AJ124" s="1076"/>
      <c r="AK124" s="1069">
        <f t="shared" si="12"/>
        <v>2983</v>
      </c>
      <c r="AL124" s="1091">
        <v>46.175677538477103</v>
      </c>
      <c r="AM124" s="1070">
        <f t="shared" si="13"/>
        <v>1377.4204609727719</v>
      </c>
      <c r="AN124" s="1090" t="s">
        <v>38</v>
      </c>
      <c r="AO124" s="449"/>
      <c r="AP124" s="449"/>
    </row>
    <row r="125" spans="1:42" ht="54" customHeight="1">
      <c r="A125" s="788">
        <v>108</v>
      </c>
      <c r="B125" s="788">
        <v>27</v>
      </c>
      <c r="C125" s="788" t="str">
        <f>'Chấm công KT'!C121</f>
        <v>03613</v>
      </c>
      <c r="D125" s="795" t="str">
        <f>'Chấm công KT'!D121</f>
        <v>N. Lỷ</v>
      </c>
      <c r="E125" s="795"/>
      <c r="F125" s="1060">
        <v>0</v>
      </c>
      <c r="G125" s="1060">
        <v>0</v>
      </c>
      <c r="H125" s="1060">
        <v>15</v>
      </c>
      <c r="I125" s="1060">
        <v>34</v>
      </c>
      <c r="J125" s="1060">
        <v>105</v>
      </c>
      <c r="K125" s="1060">
        <v>63</v>
      </c>
      <c r="L125" s="1060">
        <v>101</v>
      </c>
      <c r="M125" s="1060">
        <v>107</v>
      </c>
      <c r="N125" s="1060">
        <v>177</v>
      </c>
      <c r="O125" s="1060">
        <v>57</v>
      </c>
      <c r="P125" s="1060">
        <v>77</v>
      </c>
      <c r="Q125" s="1060">
        <v>0</v>
      </c>
      <c r="R125" s="1060">
        <v>155</v>
      </c>
      <c r="S125" s="1060">
        <v>57</v>
      </c>
      <c r="T125" s="1060">
        <v>0</v>
      </c>
      <c r="U125" s="1060">
        <v>116</v>
      </c>
      <c r="V125" s="1060">
        <v>176</v>
      </c>
      <c r="W125" s="1060">
        <v>69</v>
      </c>
      <c r="X125" s="1060">
        <v>60</v>
      </c>
      <c r="Y125" s="1060">
        <v>59</v>
      </c>
      <c r="Z125" s="1075">
        <v>177</v>
      </c>
      <c r="AA125" s="1075">
        <v>93</v>
      </c>
      <c r="AB125" s="1076">
        <v>63</v>
      </c>
      <c r="AC125" s="1076">
        <v>66</v>
      </c>
      <c r="AD125" s="1076">
        <v>0</v>
      </c>
      <c r="AE125" s="1076">
        <v>81</v>
      </c>
      <c r="AF125" s="1076">
        <v>52</v>
      </c>
      <c r="AG125" s="1076">
        <v>68</v>
      </c>
      <c r="AH125" s="1076">
        <v>271</v>
      </c>
      <c r="AI125" s="1076">
        <v>92</v>
      </c>
      <c r="AJ125" s="1076"/>
      <c r="AK125" s="1069">
        <f t="shared" si="12"/>
        <v>2391</v>
      </c>
      <c r="AL125" s="1091">
        <v>46.175677538477103</v>
      </c>
      <c r="AM125" s="1070">
        <f t="shared" si="13"/>
        <v>1104.0604499449876</v>
      </c>
      <c r="AN125" s="1090" t="s">
        <v>38</v>
      </c>
      <c r="AO125" s="449"/>
      <c r="AP125" s="449"/>
    </row>
    <row r="126" spans="1:42" ht="54" customHeight="1">
      <c r="A126" s="788">
        <v>109</v>
      </c>
      <c r="B126" s="788">
        <v>28</v>
      </c>
      <c r="C126" s="788" t="str">
        <f>'Chấm công KT'!C122</f>
        <v>04077</v>
      </c>
      <c r="D126" s="795" t="str">
        <f>'Chấm công KT'!D122</f>
        <v>N. Quen</v>
      </c>
      <c r="E126" s="795"/>
      <c r="F126" s="1060">
        <v>114</v>
      </c>
      <c r="G126" s="1060">
        <v>100</v>
      </c>
      <c r="H126" s="1060">
        <v>58</v>
      </c>
      <c r="I126" s="1060">
        <v>82</v>
      </c>
      <c r="J126" s="1060">
        <v>122</v>
      </c>
      <c r="K126" s="1060">
        <v>77</v>
      </c>
      <c r="L126" s="1060">
        <v>113</v>
      </c>
      <c r="M126" s="1060">
        <v>160</v>
      </c>
      <c r="N126" s="1060">
        <v>223</v>
      </c>
      <c r="O126" s="1060">
        <v>88</v>
      </c>
      <c r="P126" s="1060">
        <v>0</v>
      </c>
      <c r="Q126" s="1060">
        <v>0</v>
      </c>
      <c r="R126" s="1060">
        <v>0</v>
      </c>
      <c r="S126" s="1060">
        <v>0</v>
      </c>
      <c r="T126" s="1060">
        <v>0</v>
      </c>
      <c r="U126" s="1060">
        <v>145</v>
      </c>
      <c r="V126" s="1060">
        <v>288</v>
      </c>
      <c r="W126" s="1060">
        <v>122</v>
      </c>
      <c r="X126" s="1060">
        <v>144</v>
      </c>
      <c r="Y126" s="1060">
        <v>109</v>
      </c>
      <c r="Z126" s="1075">
        <v>138</v>
      </c>
      <c r="AA126" s="1075">
        <v>90</v>
      </c>
      <c r="AB126" s="1076">
        <v>58</v>
      </c>
      <c r="AC126" s="1076">
        <v>88</v>
      </c>
      <c r="AD126" s="1076">
        <v>151</v>
      </c>
      <c r="AE126" s="1076">
        <v>108</v>
      </c>
      <c r="AF126" s="1076">
        <v>64</v>
      </c>
      <c r="AG126" s="1076">
        <v>105</v>
      </c>
      <c r="AH126" s="1076">
        <v>137</v>
      </c>
      <c r="AI126" s="1076">
        <v>80</v>
      </c>
      <c r="AJ126" s="1076"/>
      <c r="AK126" s="1069">
        <f t="shared" si="12"/>
        <v>2964</v>
      </c>
      <c r="AL126" s="1091">
        <v>46.175677538477103</v>
      </c>
      <c r="AM126" s="1070">
        <f t="shared" si="13"/>
        <v>1368.6470822404613</v>
      </c>
      <c r="AN126" s="1090" t="s">
        <v>38</v>
      </c>
      <c r="AO126" s="449"/>
      <c r="AP126" s="449"/>
    </row>
    <row r="127" spans="1:42" ht="54" customHeight="1">
      <c r="A127" s="788">
        <v>110</v>
      </c>
      <c r="B127" s="788">
        <v>29</v>
      </c>
      <c r="C127" s="788" t="str">
        <f>'Chấm công KT'!C123</f>
        <v>03615</v>
      </c>
      <c r="D127" s="795" t="str">
        <f>'Chấm công KT'!D123</f>
        <v>T. Xi Nuôn</v>
      </c>
      <c r="E127" s="795"/>
      <c r="F127" s="1060">
        <v>0</v>
      </c>
      <c r="G127" s="1060">
        <v>130</v>
      </c>
      <c r="H127" s="1060">
        <v>61</v>
      </c>
      <c r="I127" s="1060">
        <v>55</v>
      </c>
      <c r="J127" s="1060">
        <v>80</v>
      </c>
      <c r="K127" s="1060">
        <v>0</v>
      </c>
      <c r="L127" s="1060">
        <v>0</v>
      </c>
      <c r="M127" s="1060">
        <v>133</v>
      </c>
      <c r="N127" s="1060">
        <v>71</v>
      </c>
      <c r="O127" s="1060">
        <v>50</v>
      </c>
      <c r="P127" s="1060">
        <v>21</v>
      </c>
      <c r="Q127" s="1060">
        <v>0</v>
      </c>
      <c r="R127" s="1060">
        <v>0</v>
      </c>
      <c r="S127" s="1060">
        <v>100</v>
      </c>
      <c r="T127" s="1060">
        <v>0</v>
      </c>
      <c r="U127" s="1060">
        <v>146</v>
      </c>
      <c r="V127" s="1060">
        <v>196</v>
      </c>
      <c r="W127" s="1060">
        <v>0</v>
      </c>
      <c r="X127" s="1060">
        <v>54</v>
      </c>
      <c r="Y127" s="1060">
        <v>78</v>
      </c>
      <c r="Z127" s="1075">
        <v>0</v>
      </c>
      <c r="AA127" s="1075">
        <v>140</v>
      </c>
      <c r="AB127" s="1076">
        <v>54</v>
      </c>
      <c r="AC127" s="1076">
        <v>76</v>
      </c>
      <c r="AD127" s="1076">
        <v>194</v>
      </c>
      <c r="AE127" s="1076">
        <v>87</v>
      </c>
      <c r="AF127" s="1076">
        <v>43</v>
      </c>
      <c r="AG127" s="1076">
        <v>0</v>
      </c>
      <c r="AH127" s="1076">
        <v>98</v>
      </c>
      <c r="AI127" s="1076">
        <v>83</v>
      </c>
      <c r="AJ127" s="1076"/>
      <c r="AK127" s="1069">
        <f t="shared" si="12"/>
        <v>1950</v>
      </c>
      <c r="AL127" s="1091">
        <v>46.175677538477103</v>
      </c>
      <c r="AM127" s="1070">
        <f t="shared" si="13"/>
        <v>900.42571200030352</v>
      </c>
      <c r="AN127" s="1090" t="s">
        <v>46</v>
      </c>
      <c r="AO127" s="449"/>
      <c r="AP127" s="449"/>
    </row>
    <row r="128" spans="1:42" ht="54" customHeight="1">
      <c r="A128" s="788">
        <v>111</v>
      </c>
      <c r="B128" s="788">
        <v>30</v>
      </c>
      <c r="C128" s="788" t="str">
        <f>'Chấm công KT'!C124</f>
        <v>03616</v>
      </c>
      <c r="D128" s="795" t="str">
        <f>'Chấm công KT'!D124</f>
        <v>N. Ốc</v>
      </c>
      <c r="E128" s="795"/>
      <c r="F128" s="1060">
        <v>0</v>
      </c>
      <c r="G128" s="1060">
        <v>0</v>
      </c>
      <c r="H128" s="1060">
        <v>20</v>
      </c>
      <c r="I128" s="1060">
        <v>40</v>
      </c>
      <c r="J128" s="1060">
        <v>104</v>
      </c>
      <c r="K128" s="1060">
        <v>84</v>
      </c>
      <c r="L128" s="1060">
        <v>93</v>
      </c>
      <c r="M128" s="1060">
        <v>100</v>
      </c>
      <c r="N128" s="1060">
        <v>205</v>
      </c>
      <c r="O128" s="1060">
        <v>50</v>
      </c>
      <c r="P128" s="1060">
        <v>75</v>
      </c>
      <c r="Q128" s="1060">
        <v>0</v>
      </c>
      <c r="R128" s="1060">
        <v>195</v>
      </c>
      <c r="S128" s="1060">
        <v>66</v>
      </c>
      <c r="T128" s="1060">
        <v>0</v>
      </c>
      <c r="U128" s="1060">
        <v>111</v>
      </c>
      <c r="V128" s="1060">
        <v>138</v>
      </c>
      <c r="W128" s="1060">
        <v>72</v>
      </c>
      <c r="X128" s="1060">
        <v>50</v>
      </c>
      <c r="Y128" s="1060">
        <v>70</v>
      </c>
      <c r="Z128" s="1075">
        <v>125</v>
      </c>
      <c r="AA128" s="1075">
        <v>93</v>
      </c>
      <c r="AB128" s="1076">
        <v>70</v>
      </c>
      <c r="AC128" s="1076">
        <v>62</v>
      </c>
      <c r="AD128" s="1076">
        <v>0</v>
      </c>
      <c r="AE128" s="1076">
        <v>78</v>
      </c>
      <c r="AF128" s="1076">
        <v>64</v>
      </c>
      <c r="AG128" s="1076">
        <v>64</v>
      </c>
      <c r="AH128" s="1076">
        <v>269</v>
      </c>
      <c r="AI128" s="1076">
        <v>91</v>
      </c>
      <c r="AJ128" s="1076"/>
      <c r="AK128" s="1069">
        <f t="shared" si="12"/>
        <v>2389</v>
      </c>
      <c r="AL128" s="1091">
        <v>46.175677538477103</v>
      </c>
      <c r="AM128" s="1070">
        <f t="shared" si="13"/>
        <v>1103.1369363942181</v>
      </c>
      <c r="AN128" s="1090" t="s">
        <v>38</v>
      </c>
      <c r="AO128" s="449"/>
      <c r="AP128" s="449"/>
    </row>
    <row r="129" spans="1:42" ht="54" customHeight="1">
      <c r="A129" s="788">
        <v>112</v>
      </c>
      <c r="B129" s="788">
        <v>31</v>
      </c>
      <c r="C129" s="788" t="str">
        <f>'Chấm công KT'!C125</f>
        <v>03617</v>
      </c>
      <c r="D129" s="795" t="str">
        <f>'Chấm công KT'!D125</f>
        <v>T. Văn Nô</v>
      </c>
      <c r="E129" s="795"/>
      <c r="F129" s="1060">
        <v>103</v>
      </c>
      <c r="G129" s="1060">
        <v>62</v>
      </c>
      <c r="H129" s="1060">
        <v>81</v>
      </c>
      <c r="I129" s="1060">
        <v>91</v>
      </c>
      <c r="J129" s="1060">
        <v>160</v>
      </c>
      <c r="K129" s="1060">
        <v>67</v>
      </c>
      <c r="L129" s="1060">
        <v>161</v>
      </c>
      <c r="M129" s="1060">
        <v>172</v>
      </c>
      <c r="N129" s="1060">
        <v>221</v>
      </c>
      <c r="O129" s="1060">
        <v>77</v>
      </c>
      <c r="P129" s="1060">
        <v>130</v>
      </c>
      <c r="Q129" s="1060">
        <v>178</v>
      </c>
      <c r="R129" s="1060">
        <v>233</v>
      </c>
      <c r="S129" s="1060">
        <v>91</v>
      </c>
      <c r="T129" s="1060">
        <v>0</v>
      </c>
      <c r="U129" s="1060">
        <v>114</v>
      </c>
      <c r="V129" s="1060">
        <v>119</v>
      </c>
      <c r="W129" s="1060">
        <v>54</v>
      </c>
      <c r="X129" s="1060">
        <v>95</v>
      </c>
      <c r="Y129" s="1060">
        <v>88</v>
      </c>
      <c r="Z129" s="1075">
        <v>173</v>
      </c>
      <c r="AA129" s="1075">
        <v>40</v>
      </c>
      <c r="AB129" s="1076">
        <v>89</v>
      </c>
      <c r="AC129" s="1076">
        <v>98</v>
      </c>
      <c r="AD129" s="1076">
        <v>176</v>
      </c>
      <c r="AE129" s="1076">
        <v>62</v>
      </c>
      <c r="AF129" s="1076">
        <v>80</v>
      </c>
      <c r="AG129" s="1076">
        <v>101</v>
      </c>
      <c r="AH129" s="1076">
        <v>123</v>
      </c>
      <c r="AI129" s="1076">
        <v>71</v>
      </c>
      <c r="AJ129" s="1076"/>
      <c r="AK129" s="1069">
        <f t="shared" si="12"/>
        <v>3310</v>
      </c>
      <c r="AL129" s="1091">
        <v>46.175677538477103</v>
      </c>
      <c r="AM129" s="1070">
        <f t="shared" si="13"/>
        <v>1528.4149265235922</v>
      </c>
      <c r="AN129" s="1090" t="s">
        <v>38</v>
      </c>
      <c r="AO129" s="449"/>
      <c r="AP129" s="449"/>
    </row>
    <row r="130" spans="1:42" ht="54" customHeight="1">
      <c r="A130" s="788">
        <v>113</v>
      </c>
      <c r="B130" s="788">
        <v>32</v>
      </c>
      <c r="C130" s="788" t="str">
        <f>'Chấm công KT'!C126</f>
        <v>03618</v>
      </c>
      <c r="D130" s="795" t="str">
        <f>'Chấm công KT'!D126</f>
        <v>N. Văn Ta</v>
      </c>
      <c r="E130" s="795"/>
      <c r="F130" s="1060">
        <v>0</v>
      </c>
      <c r="G130" s="1060">
        <v>72</v>
      </c>
      <c r="H130" s="1060">
        <v>50</v>
      </c>
      <c r="I130" s="1060">
        <v>84</v>
      </c>
      <c r="J130" s="1060">
        <v>175</v>
      </c>
      <c r="K130" s="1060">
        <v>71</v>
      </c>
      <c r="L130" s="1060">
        <v>101</v>
      </c>
      <c r="M130" s="1060">
        <v>175</v>
      </c>
      <c r="N130" s="1060">
        <v>349</v>
      </c>
      <c r="O130" s="1060">
        <v>65</v>
      </c>
      <c r="P130" s="1060">
        <v>80</v>
      </c>
      <c r="Q130" s="1060">
        <v>120</v>
      </c>
      <c r="R130" s="1060">
        <v>112</v>
      </c>
      <c r="S130" s="1060">
        <v>60</v>
      </c>
      <c r="T130" s="1060">
        <v>0</v>
      </c>
      <c r="U130" s="1060">
        <v>121</v>
      </c>
      <c r="V130" s="1060">
        <v>265</v>
      </c>
      <c r="W130" s="1060">
        <v>65</v>
      </c>
      <c r="X130" s="1060">
        <v>50</v>
      </c>
      <c r="Y130" s="1060">
        <v>112</v>
      </c>
      <c r="Z130" s="1075">
        <v>224</v>
      </c>
      <c r="AA130" s="1075">
        <v>104</v>
      </c>
      <c r="AB130" s="1076">
        <v>61</v>
      </c>
      <c r="AC130" s="1076">
        <v>109</v>
      </c>
      <c r="AD130" s="1076">
        <v>219</v>
      </c>
      <c r="AE130" s="1076">
        <v>0</v>
      </c>
      <c r="AF130" s="1076">
        <v>0</v>
      </c>
      <c r="AG130" s="1076">
        <v>0</v>
      </c>
      <c r="AH130" s="1076">
        <v>0</v>
      </c>
      <c r="AI130" s="1076">
        <v>0</v>
      </c>
      <c r="AJ130" s="1076"/>
      <c r="AK130" s="1069">
        <f t="shared" si="12"/>
        <v>2844</v>
      </c>
      <c r="AL130" s="1091">
        <v>46.175677538477103</v>
      </c>
      <c r="AM130" s="1070">
        <f t="shared" si="13"/>
        <v>1313.2362691942888</v>
      </c>
      <c r="AN130" s="1090" t="s">
        <v>38</v>
      </c>
      <c r="AO130" s="449"/>
      <c r="AP130" s="449"/>
    </row>
    <row r="131" spans="1:42" ht="54" customHeight="1">
      <c r="A131" s="788">
        <v>114</v>
      </c>
      <c r="B131" s="788">
        <v>33</v>
      </c>
      <c r="C131" s="788" t="str">
        <f>'Chấm công KT'!C127</f>
        <v>03619</v>
      </c>
      <c r="D131" s="795" t="str">
        <f>'Chấm công KT'!D127</f>
        <v>T. Thon</v>
      </c>
      <c r="E131" s="795"/>
      <c r="F131" s="1060">
        <v>84</v>
      </c>
      <c r="G131" s="1060">
        <v>91</v>
      </c>
      <c r="H131" s="1060">
        <v>52</v>
      </c>
      <c r="I131" s="1060">
        <v>159</v>
      </c>
      <c r="J131" s="1060">
        <v>102</v>
      </c>
      <c r="K131" s="1060">
        <v>74</v>
      </c>
      <c r="L131" s="1060">
        <v>0</v>
      </c>
      <c r="M131" s="1060">
        <v>156</v>
      </c>
      <c r="N131" s="1060">
        <v>165</v>
      </c>
      <c r="O131" s="1060">
        <v>0</v>
      </c>
      <c r="P131" s="1060">
        <v>144</v>
      </c>
      <c r="Q131" s="1060">
        <v>141</v>
      </c>
      <c r="R131" s="1060">
        <v>0</v>
      </c>
      <c r="S131" s="1060">
        <v>0</v>
      </c>
      <c r="T131" s="1060">
        <v>0</v>
      </c>
      <c r="U131" s="1060">
        <v>126</v>
      </c>
      <c r="V131" s="1060">
        <v>200</v>
      </c>
      <c r="W131" s="1060">
        <v>184</v>
      </c>
      <c r="X131" s="1060">
        <v>63</v>
      </c>
      <c r="Y131" s="1060">
        <v>120</v>
      </c>
      <c r="Z131" s="1075">
        <v>106</v>
      </c>
      <c r="AA131" s="1075">
        <v>109</v>
      </c>
      <c r="AB131" s="1076">
        <v>61</v>
      </c>
      <c r="AC131" s="1076">
        <v>136</v>
      </c>
      <c r="AD131" s="1076">
        <v>133</v>
      </c>
      <c r="AE131" s="1076">
        <v>91</v>
      </c>
      <c r="AF131" s="1076">
        <v>60</v>
      </c>
      <c r="AG131" s="1076">
        <v>107</v>
      </c>
      <c r="AH131" s="1076">
        <v>120</v>
      </c>
      <c r="AI131" s="1076">
        <v>85</v>
      </c>
      <c r="AJ131" s="1076"/>
      <c r="AK131" s="1069">
        <f t="shared" si="12"/>
        <v>2869</v>
      </c>
      <c r="AL131" s="1091">
        <v>46.175677538477103</v>
      </c>
      <c r="AM131" s="1070">
        <f t="shared" ref="AM131:AM160" si="14">AK131*AL131/100</f>
        <v>1324.7801885789079</v>
      </c>
      <c r="AN131" s="1090" t="s">
        <v>38</v>
      </c>
      <c r="AO131" s="449"/>
      <c r="AP131" s="449"/>
    </row>
    <row r="132" spans="1:42" ht="54" customHeight="1">
      <c r="A132" s="788">
        <v>115</v>
      </c>
      <c r="B132" s="788">
        <v>34</v>
      </c>
      <c r="C132" s="788" t="str">
        <f>'Chấm công KT'!C128</f>
        <v>03620</v>
      </c>
      <c r="D132" s="795" t="str">
        <f>'Chấm công KT'!D128</f>
        <v>Bun Thon</v>
      </c>
      <c r="E132" s="795"/>
      <c r="F132" s="1060">
        <v>0</v>
      </c>
      <c r="G132" s="1060">
        <v>0</v>
      </c>
      <c r="H132" s="1060">
        <v>0</v>
      </c>
      <c r="I132" s="1060">
        <v>52</v>
      </c>
      <c r="J132" s="1060">
        <v>107</v>
      </c>
      <c r="K132" s="1060">
        <v>92</v>
      </c>
      <c r="L132" s="1060">
        <v>55</v>
      </c>
      <c r="M132" s="1060">
        <v>95</v>
      </c>
      <c r="N132" s="1060">
        <v>145</v>
      </c>
      <c r="O132" s="1060">
        <v>0</v>
      </c>
      <c r="P132" s="1060">
        <v>88</v>
      </c>
      <c r="Q132" s="1060">
        <v>192</v>
      </c>
      <c r="R132" s="1060">
        <v>0</v>
      </c>
      <c r="S132" s="1060">
        <v>0</v>
      </c>
      <c r="T132" s="1060">
        <v>0</v>
      </c>
      <c r="U132" s="1060">
        <v>165</v>
      </c>
      <c r="V132" s="1060">
        <v>176</v>
      </c>
      <c r="W132" s="1060">
        <v>164</v>
      </c>
      <c r="X132" s="1060">
        <v>0</v>
      </c>
      <c r="Y132" s="1060">
        <v>0</v>
      </c>
      <c r="Z132" s="1075">
        <v>0</v>
      </c>
      <c r="AA132" s="1075">
        <v>26</v>
      </c>
      <c r="AB132" s="1076">
        <v>51</v>
      </c>
      <c r="AC132" s="1076">
        <v>72</v>
      </c>
      <c r="AD132" s="1076">
        <v>129</v>
      </c>
      <c r="AE132" s="1076">
        <v>56</v>
      </c>
      <c r="AF132" s="1076">
        <v>70</v>
      </c>
      <c r="AG132" s="1076">
        <v>167</v>
      </c>
      <c r="AH132" s="1076">
        <v>88</v>
      </c>
      <c r="AI132" s="1076">
        <v>57</v>
      </c>
      <c r="AJ132" s="1076"/>
      <c r="AK132" s="1069">
        <f t="shared" si="12"/>
        <v>2047</v>
      </c>
      <c r="AL132" s="1091">
        <v>46.175677538477103</v>
      </c>
      <c r="AM132" s="1070">
        <f t="shared" si="14"/>
        <v>945.21611921262638</v>
      </c>
      <c r="AN132" s="1090" t="s">
        <v>38</v>
      </c>
      <c r="AO132" s="449"/>
      <c r="AP132" s="449"/>
    </row>
    <row r="133" spans="1:42" ht="54" customHeight="1">
      <c r="A133" s="788">
        <v>116</v>
      </c>
      <c r="B133" s="788">
        <v>35</v>
      </c>
      <c r="C133" s="788" t="str">
        <f>'Chấm công KT'!C129</f>
        <v>04078</v>
      </c>
      <c r="D133" s="795" t="str">
        <f>'Chấm công KT'!D129</f>
        <v>Lăm Thong</v>
      </c>
      <c r="E133" s="795"/>
      <c r="F133" s="1060">
        <v>92</v>
      </c>
      <c r="G133" s="1060">
        <v>65</v>
      </c>
      <c r="H133" s="1060">
        <v>57</v>
      </c>
      <c r="I133" s="1060">
        <v>55</v>
      </c>
      <c r="J133" s="1060">
        <v>70</v>
      </c>
      <c r="K133" s="1060">
        <v>52</v>
      </c>
      <c r="L133" s="1060">
        <v>95</v>
      </c>
      <c r="M133" s="1060">
        <v>123</v>
      </c>
      <c r="N133" s="1060">
        <v>129</v>
      </c>
      <c r="O133" s="1060">
        <v>100</v>
      </c>
      <c r="P133" s="1060">
        <v>71</v>
      </c>
      <c r="Q133" s="1060">
        <v>88</v>
      </c>
      <c r="R133" s="1060">
        <v>100</v>
      </c>
      <c r="S133" s="1060">
        <v>0</v>
      </c>
      <c r="T133" s="1060">
        <v>0</v>
      </c>
      <c r="U133" s="1060">
        <v>0</v>
      </c>
      <c r="V133" s="1060">
        <v>74</v>
      </c>
      <c r="W133" s="1060">
        <v>131</v>
      </c>
      <c r="X133" s="1060">
        <v>86</v>
      </c>
      <c r="Y133" s="1060">
        <v>83</v>
      </c>
      <c r="Z133" s="1075">
        <v>69</v>
      </c>
      <c r="AA133" s="1075">
        <v>60</v>
      </c>
      <c r="AB133" s="1076">
        <v>42</v>
      </c>
      <c r="AC133" s="1076">
        <v>63</v>
      </c>
      <c r="AD133" s="1076">
        <v>100</v>
      </c>
      <c r="AE133" s="1076">
        <v>58</v>
      </c>
      <c r="AF133" s="1076">
        <v>59</v>
      </c>
      <c r="AG133" s="1076">
        <v>191</v>
      </c>
      <c r="AH133" s="1076">
        <v>0</v>
      </c>
      <c r="AI133" s="1076">
        <v>0</v>
      </c>
      <c r="AJ133" s="1076"/>
      <c r="AK133" s="1069">
        <f t="shared" si="12"/>
        <v>2113</v>
      </c>
      <c r="AL133" s="1091">
        <v>46.175677538477103</v>
      </c>
      <c r="AM133" s="1070">
        <f t="shared" si="14"/>
        <v>975.6920663880212</v>
      </c>
      <c r="AN133" s="1090" t="s">
        <v>46</v>
      </c>
      <c r="AO133" s="449"/>
      <c r="AP133" s="449"/>
    </row>
    <row r="134" spans="1:42" ht="54" customHeight="1">
      <c r="A134" s="788">
        <v>117</v>
      </c>
      <c r="B134" s="788">
        <v>36</v>
      </c>
      <c r="C134" s="788" t="str">
        <f>'Chấm công KT'!C130</f>
        <v>03622</v>
      </c>
      <c r="D134" s="795" t="str">
        <f>'Chấm công KT'!D130</f>
        <v>N. Xeo Khăm</v>
      </c>
      <c r="E134" s="795"/>
      <c r="F134" s="1060">
        <v>86</v>
      </c>
      <c r="G134" s="1060">
        <v>116</v>
      </c>
      <c r="H134" s="1060">
        <v>41</v>
      </c>
      <c r="I134" s="1060">
        <v>146</v>
      </c>
      <c r="J134" s="1060">
        <v>93</v>
      </c>
      <c r="K134" s="1060">
        <v>104</v>
      </c>
      <c r="L134" s="1060">
        <v>111</v>
      </c>
      <c r="M134" s="1060">
        <v>237</v>
      </c>
      <c r="N134" s="1060">
        <v>134</v>
      </c>
      <c r="O134" s="1060">
        <v>108</v>
      </c>
      <c r="P134" s="1060">
        <v>73</v>
      </c>
      <c r="Q134" s="1060">
        <v>205</v>
      </c>
      <c r="R134" s="1060">
        <v>113</v>
      </c>
      <c r="S134" s="1060">
        <v>0</v>
      </c>
      <c r="T134" s="1060">
        <v>0</v>
      </c>
      <c r="U134" s="1060">
        <v>66</v>
      </c>
      <c r="V134" s="1060">
        <v>116</v>
      </c>
      <c r="W134" s="1060">
        <v>177</v>
      </c>
      <c r="X134" s="1060">
        <v>51</v>
      </c>
      <c r="Y134" s="1060">
        <v>165</v>
      </c>
      <c r="Z134" s="1075">
        <v>130</v>
      </c>
      <c r="AA134" s="1075">
        <v>148</v>
      </c>
      <c r="AB134" s="1076">
        <v>0</v>
      </c>
      <c r="AC134" s="1076">
        <v>151</v>
      </c>
      <c r="AD134" s="1076">
        <v>119</v>
      </c>
      <c r="AE134" s="1076">
        <v>140</v>
      </c>
      <c r="AF134" s="1076">
        <v>85</v>
      </c>
      <c r="AG134" s="1076">
        <v>151</v>
      </c>
      <c r="AH134" s="1076">
        <v>127</v>
      </c>
      <c r="AI134" s="1076">
        <v>122</v>
      </c>
      <c r="AJ134" s="1076"/>
      <c r="AK134" s="1069">
        <f t="shared" si="12"/>
        <v>3315</v>
      </c>
      <c r="AL134" s="1091">
        <v>46.175677538477103</v>
      </c>
      <c r="AM134" s="1070">
        <f t="shared" si="14"/>
        <v>1530.723710400516</v>
      </c>
      <c r="AN134" s="1090" t="s">
        <v>38</v>
      </c>
      <c r="AO134" s="449"/>
      <c r="AP134" s="449"/>
    </row>
    <row r="135" spans="1:42" ht="54" customHeight="1">
      <c r="A135" s="788">
        <v>118</v>
      </c>
      <c r="B135" s="788">
        <v>37</v>
      </c>
      <c r="C135" s="788" t="str">
        <f>'Chấm công KT'!C131</f>
        <v>03623</v>
      </c>
      <c r="D135" s="795" t="str">
        <f>'Chấm công KT'!D131</f>
        <v>T. Khăm...</v>
      </c>
      <c r="E135" s="795"/>
      <c r="F135" s="1060">
        <v>66</v>
      </c>
      <c r="G135" s="1060">
        <v>161</v>
      </c>
      <c r="H135" s="1060">
        <v>46</v>
      </c>
      <c r="I135" s="1060">
        <v>68</v>
      </c>
      <c r="J135" s="1060">
        <v>63</v>
      </c>
      <c r="K135" s="1060">
        <v>124</v>
      </c>
      <c r="L135" s="1060">
        <v>123</v>
      </c>
      <c r="M135" s="1060">
        <v>97</v>
      </c>
      <c r="N135" s="1060">
        <v>173</v>
      </c>
      <c r="O135" s="1060">
        <v>168</v>
      </c>
      <c r="P135" s="1060">
        <v>93</v>
      </c>
      <c r="Q135" s="1060">
        <v>0</v>
      </c>
      <c r="R135" s="1060">
        <v>0</v>
      </c>
      <c r="S135" s="1060">
        <v>163</v>
      </c>
      <c r="T135" s="1060">
        <v>0</v>
      </c>
      <c r="U135" s="1060">
        <v>139</v>
      </c>
      <c r="V135" s="1060">
        <v>0</v>
      </c>
      <c r="W135" s="1060">
        <v>341</v>
      </c>
      <c r="X135" s="1060">
        <v>0</v>
      </c>
      <c r="Y135" s="1060">
        <v>140</v>
      </c>
      <c r="Z135" s="1075">
        <v>111</v>
      </c>
      <c r="AA135" s="1075">
        <v>148</v>
      </c>
      <c r="AB135" s="1076">
        <v>0</v>
      </c>
      <c r="AC135" s="1076">
        <v>121</v>
      </c>
      <c r="AD135" s="1076">
        <v>118</v>
      </c>
      <c r="AE135" s="1076">
        <v>226</v>
      </c>
      <c r="AF135" s="1076">
        <v>118</v>
      </c>
      <c r="AG135" s="1076">
        <v>115</v>
      </c>
      <c r="AH135" s="1076">
        <v>114</v>
      </c>
      <c r="AI135" s="1076">
        <v>189</v>
      </c>
      <c r="AJ135" s="1076"/>
      <c r="AK135" s="1069">
        <f t="shared" si="12"/>
        <v>3225</v>
      </c>
      <c r="AL135" s="1091">
        <v>46.175677538477103</v>
      </c>
      <c r="AM135" s="1070">
        <f t="shared" si="14"/>
        <v>1489.1656006158864</v>
      </c>
      <c r="AN135" s="1090" t="s">
        <v>38</v>
      </c>
      <c r="AO135" s="449"/>
      <c r="AP135" s="449"/>
    </row>
    <row r="136" spans="1:42" ht="54" customHeight="1">
      <c r="A136" s="788">
        <v>119</v>
      </c>
      <c r="B136" s="788">
        <v>38</v>
      </c>
      <c r="C136" s="788" t="str">
        <f>'Chấm công KT'!C132</f>
        <v>03532</v>
      </c>
      <c r="D136" s="795" t="str">
        <f>'Chấm công KT'!D132</f>
        <v>N. Túc</v>
      </c>
      <c r="E136" s="795"/>
      <c r="F136" s="1060">
        <v>225</v>
      </c>
      <c r="G136" s="1060">
        <v>94</v>
      </c>
      <c r="H136" s="1060">
        <v>0</v>
      </c>
      <c r="I136" s="1060">
        <v>88</v>
      </c>
      <c r="J136" s="1060">
        <v>102</v>
      </c>
      <c r="K136" s="1060">
        <v>67</v>
      </c>
      <c r="L136" s="1060">
        <v>131</v>
      </c>
      <c r="M136" s="1060">
        <v>181</v>
      </c>
      <c r="N136" s="1060">
        <v>192</v>
      </c>
      <c r="O136" s="1060">
        <v>95</v>
      </c>
      <c r="P136" s="1060">
        <v>0</v>
      </c>
      <c r="Q136" s="1060">
        <v>134</v>
      </c>
      <c r="R136" s="1060">
        <v>149</v>
      </c>
      <c r="S136" s="1060">
        <v>100</v>
      </c>
      <c r="T136" s="1060">
        <v>0</v>
      </c>
      <c r="U136" s="1060">
        <v>99</v>
      </c>
      <c r="V136" s="1060">
        <v>148</v>
      </c>
      <c r="W136" s="1060">
        <v>64</v>
      </c>
      <c r="X136" s="1060">
        <v>134</v>
      </c>
      <c r="Y136" s="1060">
        <v>88</v>
      </c>
      <c r="Z136" s="1075">
        <v>128</v>
      </c>
      <c r="AA136" s="1075">
        <v>127</v>
      </c>
      <c r="AB136" s="1076">
        <v>0</v>
      </c>
      <c r="AC136" s="1076">
        <v>80</v>
      </c>
      <c r="AD136" s="1076">
        <v>115</v>
      </c>
      <c r="AE136" s="1076">
        <v>98</v>
      </c>
      <c r="AF136" s="1076">
        <v>88</v>
      </c>
      <c r="AG136" s="1076">
        <v>85</v>
      </c>
      <c r="AH136" s="1076">
        <v>107</v>
      </c>
      <c r="AI136" s="1076">
        <v>96</v>
      </c>
      <c r="AJ136" s="1076"/>
      <c r="AK136" s="1069">
        <f t="shared" si="12"/>
        <v>3015</v>
      </c>
      <c r="AL136" s="1091">
        <v>46.175677538477103</v>
      </c>
      <c r="AM136" s="1070">
        <f t="shared" si="14"/>
        <v>1392.1966777850848</v>
      </c>
      <c r="AN136" s="1090" t="s">
        <v>38</v>
      </c>
      <c r="AO136" s="449"/>
      <c r="AP136" s="449"/>
    </row>
    <row r="137" spans="1:42" ht="54" customHeight="1">
      <c r="A137" s="788">
        <v>120</v>
      </c>
      <c r="B137" s="788">
        <v>39</v>
      </c>
      <c r="C137" s="788" t="str">
        <f>'Chấm công KT'!C133</f>
        <v>03625</v>
      </c>
      <c r="D137" s="795" t="str">
        <f>'Chấm công KT'!D133</f>
        <v>N. Pheng</v>
      </c>
      <c r="E137" s="795"/>
      <c r="F137" s="1060">
        <v>121</v>
      </c>
      <c r="G137" s="1060">
        <v>103</v>
      </c>
      <c r="H137" s="1060">
        <v>67</v>
      </c>
      <c r="I137" s="1060">
        <v>111</v>
      </c>
      <c r="J137" s="1060">
        <v>110</v>
      </c>
      <c r="K137" s="1060">
        <v>97</v>
      </c>
      <c r="L137" s="1060">
        <v>146</v>
      </c>
      <c r="M137" s="1060">
        <v>155</v>
      </c>
      <c r="N137" s="1060">
        <v>213</v>
      </c>
      <c r="O137" s="1060">
        <v>100</v>
      </c>
      <c r="P137" s="1060">
        <v>96</v>
      </c>
      <c r="Q137" s="1060">
        <v>183</v>
      </c>
      <c r="R137" s="1060">
        <v>157</v>
      </c>
      <c r="S137" s="1060">
        <v>93</v>
      </c>
      <c r="T137" s="1060">
        <v>0</v>
      </c>
      <c r="U137" s="1060">
        <v>0</v>
      </c>
      <c r="V137" s="1060">
        <v>147</v>
      </c>
      <c r="W137" s="1060">
        <v>103</v>
      </c>
      <c r="X137" s="1060">
        <v>79</v>
      </c>
      <c r="Y137" s="1060">
        <v>210</v>
      </c>
      <c r="Z137" s="1075">
        <v>205</v>
      </c>
      <c r="AA137" s="1075">
        <v>130</v>
      </c>
      <c r="AB137" s="1076">
        <v>74</v>
      </c>
      <c r="AC137" s="1076">
        <v>157</v>
      </c>
      <c r="AD137" s="1076">
        <v>131</v>
      </c>
      <c r="AE137" s="1076">
        <v>126</v>
      </c>
      <c r="AF137" s="1076">
        <v>74</v>
      </c>
      <c r="AG137" s="1076">
        <v>102</v>
      </c>
      <c r="AH137" s="1076">
        <v>146</v>
      </c>
      <c r="AI137" s="1076">
        <v>113</v>
      </c>
      <c r="AJ137" s="1076"/>
      <c r="AK137" s="1069">
        <f t="shared" si="12"/>
        <v>3549</v>
      </c>
      <c r="AL137" s="1091">
        <v>46.175677538477103</v>
      </c>
      <c r="AM137" s="1070">
        <f t="shared" si="14"/>
        <v>1638.7747958405523</v>
      </c>
      <c r="AN137" s="1090" t="s">
        <v>38</v>
      </c>
      <c r="AO137" s="449"/>
      <c r="AP137" s="449"/>
    </row>
    <row r="138" spans="1:42" ht="54" customHeight="1">
      <c r="A138" s="788">
        <v>121</v>
      </c>
      <c r="B138" s="788">
        <v>40</v>
      </c>
      <c r="C138" s="788" t="str">
        <f>'Chấm công KT'!C134</f>
        <v>03587</v>
      </c>
      <c r="D138" s="795" t="str">
        <f>'Chấm công KT'!D134</f>
        <v>N. Mom</v>
      </c>
      <c r="E138" s="795"/>
      <c r="F138" s="1060">
        <v>91</v>
      </c>
      <c r="G138" s="1060">
        <v>102</v>
      </c>
      <c r="H138" s="1060">
        <v>69</v>
      </c>
      <c r="I138" s="1060">
        <v>91</v>
      </c>
      <c r="J138" s="1060">
        <v>108</v>
      </c>
      <c r="K138" s="1060">
        <v>73</v>
      </c>
      <c r="L138" s="1060">
        <v>150</v>
      </c>
      <c r="M138" s="1060">
        <v>192</v>
      </c>
      <c r="N138" s="1060">
        <v>225</v>
      </c>
      <c r="O138" s="1060">
        <v>61</v>
      </c>
      <c r="P138" s="1060">
        <v>150</v>
      </c>
      <c r="Q138" s="1060">
        <v>168</v>
      </c>
      <c r="R138" s="1060">
        <v>177</v>
      </c>
      <c r="S138" s="1060">
        <v>66</v>
      </c>
      <c r="T138" s="1060">
        <v>0</v>
      </c>
      <c r="U138" s="1060">
        <v>108</v>
      </c>
      <c r="V138" s="1060">
        <v>135</v>
      </c>
      <c r="W138" s="1060">
        <v>64</v>
      </c>
      <c r="X138" s="1060">
        <v>77</v>
      </c>
      <c r="Y138" s="1060">
        <v>94</v>
      </c>
      <c r="Z138" s="1075">
        <v>113</v>
      </c>
      <c r="AA138" s="1075">
        <v>104</v>
      </c>
      <c r="AB138" s="1076">
        <v>67</v>
      </c>
      <c r="AC138" s="1076">
        <v>102</v>
      </c>
      <c r="AD138" s="1076">
        <v>180</v>
      </c>
      <c r="AE138" s="1076">
        <v>61</v>
      </c>
      <c r="AF138" s="1076">
        <v>61</v>
      </c>
      <c r="AG138" s="1076">
        <v>112</v>
      </c>
      <c r="AH138" s="1076">
        <v>167</v>
      </c>
      <c r="AI138" s="1076">
        <v>60</v>
      </c>
      <c r="AJ138" s="1076"/>
      <c r="AK138" s="1069">
        <f t="shared" si="12"/>
        <v>3228</v>
      </c>
      <c r="AL138" s="1091">
        <v>46.175677538477103</v>
      </c>
      <c r="AM138" s="1070">
        <f t="shared" si="14"/>
        <v>1490.550870942041</v>
      </c>
      <c r="AN138" s="1090" t="s">
        <v>38</v>
      </c>
      <c r="AO138" s="449"/>
      <c r="AP138" s="449"/>
    </row>
    <row r="139" spans="1:42" ht="54" customHeight="1">
      <c r="A139" s="788">
        <v>122</v>
      </c>
      <c r="B139" s="788">
        <v>41</v>
      </c>
      <c r="C139" s="788" t="str">
        <f>'Chấm công KT'!C135</f>
        <v>04079</v>
      </c>
      <c r="D139" s="795" t="str">
        <f>'Chấm công KT'!D135</f>
        <v>T. Môn</v>
      </c>
      <c r="E139" s="795"/>
      <c r="F139" s="1060">
        <v>53</v>
      </c>
      <c r="G139" s="1060">
        <v>50</v>
      </c>
      <c r="H139" s="1060">
        <v>46</v>
      </c>
      <c r="I139" s="1060">
        <v>104</v>
      </c>
      <c r="J139" s="1060">
        <v>54</v>
      </c>
      <c r="K139" s="1060">
        <v>52</v>
      </c>
      <c r="L139" s="1060">
        <v>87</v>
      </c>
      <c r="M139" s="1060">
        <v>146</v>
      </c>
      <c r="N139" s="1060">
        <v>113</v>
      </c>
      <c r="O139" s="1060">
        <v>49</v>
      </c>
      <c r="P139" s="1060">
        <v>61</v>
      </c>
      <c r="Q139" s="1060">
        <v>138</v>
      </c>
      <c r="R139" s="1060">
        <v>77</v>
      </c>
      <c r="S139" s="1060">
        <v>0</v>
      </c>
      <c r="T139" s="1060">
        <v>0</v>
      </c>
      <c r="U139" s="1060">
        <v>0</v>
      </c>
      <c r="V139" s="1060">
        <v>76</v>
      </c>
      <c r="W139" s="1060">
        <v>0</v>
      </c>
      <c r="X139" s="1060">
        <v>0</v>
      </c>
      <c r="Y139" s="1060">
        <v>155</v>
      </c>
      <c r="Z139" s="1075">
        <v>79</v>
      </c>
      <c r="AA139" s="1075">
        <v>102</v>
      </c>
      <c r="AB139" s="1076">
        <v>82</v>
      </c>
      <c r="AC139" s="1076">
        <v>103</v>
      </c>
      <c r="AD139" s="1076">
        <v>88</v>
      </c>
      <c r="AE139" s="1076">
        <v>72</v>
      </c>
      <c r="AF139" s="1076">
        <v>46</v>
      </c>
      <c r="AG139" s="1076">
        <v>107</v>
      </c>
      <c r="AH139" s="1076">
        <v>70</v>
      </c>
      <c r="AI139" s="1076">
        <v>60</v>
      </c>
      <c r="AJ139" s="1076"/>
      <c r="AK139" s="1069">
        <f t="shared" si="12"/>
        <v>2070</v>
      </c>
      <c r="AL139" s="1091">
        <v>46.175677538477103</v>
      </c>
      <c r="AM139" s="1070">
        <f t="shared" si="14"/>
        <v>955.83652504647603</v>
      </c>
      <c r="AN139" s="1090" t="s">
        <v>46</v>
      </c>
      <c r="AO139" s="449"/>
      <c r="AP139" s="449"/>
    </row>
    <row r="140" spans="1:42" ht="54" customHeight="1">
      <c r="A140" s="788">
        <v>123</v>
      </c>
      <c r="B140" s="788">
        <v>42</v>
      </c>
      <c r="C140" s="788" t="str">
        <f>'Chấm công KT'!C136</f>
        <v>03628</v>
      </c>
      <c r="D140" s="795" t="str">
        <f>'Chấm công KT'!D136</f>
        <v>Khăn Hạ</v>
      </c>
      <c r="E140" s="795"/>
      <c r="F140" s="1060">
        <v>132</v>
      </c>
      <c r="G140" s="1060">
        <v>0</v>
      </c>
      <c r="H140" s="1060">
        <v>57</v>
      </c>
      <c r="I140" s="1060">
        <v>83</v>
      </c>
      <c r="J140" s="1060">
        <v>0</v>
      </c>
      <c r="K140" s="1060">
        <v>34</v>
      </c>
      <c r="L140" s="1060">
        <v>96</v>
      </c>
      <c r="M140" s="1060">
        <v>140</v>
      </c>
      <c r="N140" s="1060">
        <v>199</v>
      </c>
      <c r="O140" s="1060">
        <v>50</v>
      </c>
      <c r="P140" s="1060">
        <v>50</v>
      </c>
      <c r="Q140" s="1060">
        <v>0</v>
      </c>
      <c r="R140" s="1060">
        <v>0</v>
      </c>
      <c r="S140" s="1060">
        <v>0</v>
      </c>
      <c r="T140" s="1060">
        <v>0</v>
      </c>
      <c r="U140" s="1060">
        <v>185</v>
      </c>
      <c r="V140" s="1060">
        <v>195</v>
      </c>
      <c r="W140" s="1060">
        <v>28</v>
      </c>
      <c r="X140" s="1060">
        <v>68</v>
      </c>
      <c r="Y140" s="1060">
        <v>94</v>
      </c>
      <c r="Z140" s="1075">
        <v>100</v>
      </c>
      <c r="AA140" s="1075">
        <v>48</v>
      </c>
      <c r="AB140" s="1076">
        <v>70</v>
      </c>
      <c r="AC140" s="1076">
        <v>101</v>
      </c>
      <c r="AD140" s="1076">
        <v>102</v>
      </c>
      <c r="AE140" s="1076">
        <v>30</v>
      </c>
      <c r="AF140" s="1076">
        <v>70</v>
      </c>
      <c r="AG140" s="1076">
        <v>0</v>
      </c>
      <c r="AH140" s="1076">
        <v>90</v>
      </c>
      <c r="AI140" s="1076">
        <v>40</v>
      </c>
      <c r="AJ140" s="1076"/>
      <c r="AK140" s="1069">
        <f t="shared" si="12"/>
        <v>2062</v>
      </c>
      <c r="AL140" s="1091">
        <v>46.175677538477103</v>
      </c>
      <c r="AM140" s="1070">
        <f t="shared" si="14"/>
        <v>952.14247084339786</v>
      </c>
      <c r="AN140" s="1090" t="s">
        <v>46</v>
      </c>
      <c r="AO140" s="449"/>
      <c r="AP140" s="449"/>
    </row>
    <row r="141" spans="1:42" ht="54" customHeight="1">
      <c r="A141" s="788">
        <v>124</v>
      </c>
      <c r="B141" s="788">
        <v>43</v>
      </c>
      <c r="C141" s="788" t="str">
        <f>'Chấm công KT'!C137</f>
        <v>03629</v>
      </c>
      <c r="D141" s="795" t="str">
        <f>'Chấm công KT'!D137</f>
        <v>T. Chăn La .</v>
      </c>
      <c r="E141" s="795"/>
      <c r="F141" s="1060">
        <v>152</v>
      </c>
      <c r="G141" s="1060">
        <v>0</v>
      </c>
      <c r="H141" s="1060">
        <v>0</v>
      </c>
      <c r="I141" s="1060">
        <v>86</v>
      </c>
      <c r="J141" s="1060">
        <v>59</v>
      </c>
      <c r="K141" s="1060">
        <v>40</v>
      </c>
      <c r="L141" s="1060">
        <v>83</v>
      </c>
      <c r="M141" s="1060">
        <v>168</v>
      </c>
      <c r="N141" s="1060">
        <v>181</v>
      </c>
      <c r="O141" s="1060">
        <v>70</v>
      </c>
      <c r="P141" s="1060">
        <v>85</v>
      </c>
      <c r="Q141" s="1060">
        <v>0</v>
      </c>
      <c r="R141" s="1060">
        <v>127</v>
      </c>
      <c r="S141" s="1060">
        <v>0</v>
      </c>
      <c r="T141" s="1060">
        <v>0</v>
      </c>
      <c r="U141" s="1060">
        <v>121</v>
      </c>
      <c r="V141" s="1060">
        <v>128</v>
      </c>
      <c r="W141" s="1060">
        <v>61</v>
      </c>
      <c r="X141" s="1060">
        <v>0</v>
      </c>
      <c r="Y141" s="1060">
        <v>126</v>
      </c>
      <c r="Z141" s="1075">
        <v>139</v>
      </c>
      <c r="AA141" s="1075">
        <v>0</v>
      </c>
      <c r="AB141" s="1076">
        <v>52</v>
      </c>
      <c r="AC141" s="1076">
        <v>86</v>
      </c>
      <c r="AD141" s="1076">
        <v>0</v>
      </c>
      <c r="AE141" s="1076">
        <v>119</v>
      </c>
      <c r="AF141" s="1076">
        <v>0</v>
      </c>
      <c r="AG141" s="1076">
        <v>108</v>
      </c>
      <c r="AH141" s="1076">
        <v>169</v>
      </c>
      <c r="AI141" s="1076">
        <v>76</v>
      </c>
      <c r="AJ141" s="1076"/>
      <c r="AK141" s="1069">
        <f t="shared" si="12"/>
        <v>2236</v>
      </c>
      <c r="AL141" s="1091">
        <v>46.175677538477103</v>
      </c>
      <c r="AM141" s="1070">
        <f t="shared" si="14"/>
        <v>1032.4881497603481</v>
      </c>
      <c r="AN141" s="1090" t="s">
        <v>38</v>
      </c>
      <c r="AO141" s="449"/>
      <c r="AP141" s="449"/>
    </row>
    <row r="142" spans="1:42" ht="54" customHeight="1">
      <c r="A142" s="788">
        <v>125</v>
      </c>
      <c r="B142" s="788">
        <v>44</v>
      </c>
      <c r="C142" s="788" t="str">
        <f>'Chấm công KT'!C138</f>
        <v>03630</v>
      </c>
      <c r="D142" s="795" t="str">
        <f>'Chấm công KT'!D138</f>
        <v>T. Nú</v>
      </c>
      <c r="E142" s="795"/>
      <c r="F142" s="1060">
        <v>124</v>
      </c>
      <c r="G142" s="1060">
        <v>0</v>
      </c>
      <c r="H142" s="1060">
        <v>60</v>
      </c>
      <c r="I142" s="1060">
        <v>50</v>
      </c>
      <c r="J142" s="1060">
        <v>0</v>
      </c>
      <c r="K142" s="1060">
        <v>30</v>
      </c>
      <c r="L142" s="1060">
        <v>99</v>
      </c>
      <c r="M142" s="1060">
        <v>149</v>
      </c>
      <c r="N142" s="1060">
        <v>205</v>
      </c>
      <c r="O142" s="1060">
        <v>47</v>
      </c>
      <c r="P142" s="1060">
        <v>50</v>
      </c>
      <c r="Q142" s="1060">
        <v>0</v>
      </c>
      <c r="R142" s="1060">
        <v>0</v>
      </c>
      <c r="S142" s="1060">
        <v>0</v>
      </c>
      <c r="T142" s="1060">
        <v>0</v>
      </c>
      <c r="U142" s="1060">
        <v>167</v>
      </c>
      <c r="V142" s="1060">
        <v>199</v>
      </c>
      <c r="W142" s="1060">
        <v>30</v>
      </c>
      <c r="X142" s="1060">
        <v>77</v>
      </c>
      <c r="Y142" s="1060">
        <v>96</v>
      </c>
      <c r="Z142" s="1075">
        <v>110</v>
      </c>
      <c r="AA142" s="1075">
        <v>52</v>
      </c>
      <c r="AB142" s="1076">
        <v>74</v>
      </c>
      <c r="AC142" s="1076">
        <v>102</v>
      </c>
      <c r="AD142" s="1076">
        <v>97</v>
      </c>
      <c r="AE142" s="1076">
        <v>30</v>
      </c>
      <c r="AF142" s="1076">
        <v>70</v>
      </c>
      <c r="AG142" s="1076">
        <v>0</v>
      </c>
      <c r="AH142" s="1076">
        <v>125</v>
      </c>
      <c r="AI142" s="1076">
        <v>38</v>
      </c>
      <c r="AJ142" s="1076"/>
      <c r="AK142" s="1069">
        <f t="shared" si="12"/>
        <v>2081</v>
      </c>
      <c r="AL142" s="1091">
        <v>46.175677538477103</v>
      </c>
      <c r="AM142" s="1070">
        <f t="shared" si="14"/>
        <v>960.91584957570853</v>
      </c>
      <c r="AN142" s="1090" t="s">
        <v>46</v>
      </c>
      <c r="AO142" s="449"/>
      <c r="AP142" s="449"/>
    </row>
    <row r="143" spans="1:42" ht="54" customHeight="1">
      <c r="A143" s="788">
        <v>126</v>
      </c>
      <c r="B143" s="788">
        <v>45</v>
      </c>
      <c r="C143" s="788" t="str">
        <f>'Chấm công KT'!C139</f>
        <v>03631</v>
      </c>
      <c r="D143" s="795" t="str">
        <f>'Chấm công KT'!D139</f>
        <v>T. Xan Nha</v>
      </c>
      <c r="E143" s="795"/>
      <c r="F143" s="1060">
        <v>150</v>
      </c>
      <c r="G143" s="1060">
        <v>0</v>
      </c>
      <c r="H143" s="1060">
        <v>0</v>
      </c>
      <c r="I143" s="1060">
        <v>88</v>
      </c>
      <c r="J143" s="1060">
        <v>90</v>
      </c>
      <c r="K143" s="1060">
        <v>40</v>
      </c>
      <c r="L143" s="1060">
        <v>122</v>
      </c>
      <c r="M143" s="1060">
        <v>162</v>
      </c>
      <c r="N143" s="1060">
        <v>142</v>
      </c>
      <c r="O143" s="1060">
        <v>46</v>
      </c>
      <c r="P143" s="1060">
        <v>47</v>
      </c>
      <c r="Q143" s="1060">
        <v>0</v>
      </c>
      <c r="R143" s="1060">
        <v>128</v>
      </c>
      <c r="S143" s="1060">
        <v>0</v>
      </c>
      <c r="T143" s="1060">
        <v>0</v>
      </c>
      <c r="U143" s="1060">
        <v>131</v>
      </c>
      <c r="V143" s="1060">
        <v>125</v>
      </c>
      <c r="W143" s="1060">
        <v>75</v>
      </c>
      <c r="X143" s="1060">
        <v>0</v>
      </c>
      <c r="Y143" s="1060">
        <v>132</v>
      </c>
      <c r="Z143" s="1075">
        <v>113</v>
      </c>
      <c r="AA143" s="1075">
        <v>0</v>
      </c>
      <c r="AB143" s="1076">
        <v>105</v>
      </c>
      <c r="AC143" s="1076">
        <v>86</v>
      </c>
      <c r="AD143" s="1076">
        <v>0</v>
      </c>
      <c r="AE143" s="1076">
        <v>93</v>
      </c>
      <c r="AF143" s="1076">
        <v>0</v>
      </c>
      <c r="AG143" s="1076">
        <v>101</v>
      </c>
      <c r="AH143" s="1076">
        <v>165</v>
      </c>
      <c r="AI143" s="1076">
        <v>60</v>
      </c>
      <c r="AJ143" s="1076"/>
      <c r="AK143" s="1069">
        <f t="shared" si="12"/>
        <v>2201</v>
      </c>
      <c r="AL143" s="1091">
        <v>46.175677538477103</v>
      </c>
      <c r="AM143" s="1070">
        <f t="shared" si="14"/>
        <v>1016.3266626218812</v>
      </c>
      <c r="AN143" s="1090" t="s">
        <v>38</v>
      </c>
      <c r="AO143" s="449"/>
      <c r="AP143" s="449"/>
    </row>
    <row r="144" spans="1:42" ht="54" customHeight="1">
      <c r="A144" s="788">
        <v>127</v>
      </c>
      <c r="B144" s="788">
        <v>46</v>
      </c>
      <c r="C144" s="788" t="str">
        <f>'Chấm công KT'!C140</f>
        <v>03632</v>
      </c>
      <c r="D144" s="795" t="str">
        <f>'Chấm công KT'!D140</f>
        <v>T. A lem</v>
      </c>
      <c r="E144" s="795"/>
      <c r="F144" s="1060">
        <v>0</v>
      </c>
      <c r="G144" s="1060">
        <v>0</v>
      </c>
      <c r="H144" s="1060">
        <v>45</v>
      </c>
      <c r="I144" s="1060">
        <v>101</v>
      </c>
      <c r="J144" s="1060">
        <v>89</v>
      </c>
      <c r="K144" s="1060">
        <v>60</v>
      </c>
      <c r="L144" s="1060">
        <v>70</v>
      </c>
      <c r="M144" s="1060">
        <v>178</v>
      </c>
      <c r="N144" s="1060">
        <v>202</v>
      </c>
      <c r="O144" s="1060">
        <v>50</v>
      </c>
      <c r="P144" s="1060">
        <v>0</v>
      </c>
      <c r="Q144" s="1060">
        <v>0</v>
      </c>
      <c r="R144" s="1060">
        <v>0</v>
      </c>
      <c r="S144" s="1060">
        <v>0</v>
      </c>
      <c r="T144" s="1060">
        <v>0</v>
      </c>
      <c r="U144" s="1060">
        <v>0</v>
      </c>
      <c r="V144" s="1060">
        <v>342</v>
      </c>
      <c r="W144" s="1060">
        <v>0</v>
      </c>
      <c r="X144" s="1060">
        <v>117</v>
      </c>
      <c r="Y144" s="1060">
        <v>90</v>
      </c>
      <c r="Z144" s="1075">
        <v>110</v>
      </c>
      <c r="AA144" s="1075">
        <v>61</v>
      </c>
      <c r="AB144" s="1076">
        <v>36</v>
      </c>
      <c r="AC144" s="1076">
        <v>0</v>
      </c>
      <c r="AD144" s="1076">
        <v>0</v>
      </c>
      <c r="AE144" s="1076">
        <v>98</v>
      </c>
      <c r="AF144" s="1076">
        <v>30</v>
      </c>
      <c r="AG144" s="1076">
        <v>125</v>
      </c>
      <c r="AH144" s="1076">
        <v>0</v>
      </c>
      <c r="AI144" s="1076">
        <v>248</v>
      </c>
      <c r="AJ144" s="1076"/>
      <c r="AK144" s="1069">
        <f t="shared" si="12"/>
        <v>2052</v>
      </c>
      <c r="AL144" s="1091">
        <v>46.175677538477103</v>
      </c>
      <c r="AM144" s="1070">
        <f t="shared" si="14"/>
        <v>947.52490308955021</v>
      </c>
      <c r="AN144" s="1090" t="s">
        <v>46</v>
      </c>
      <c r="AO144" s="449"/>
      <c r="AP144" s="449"/>
    </row>
    <row r="145" spans="1:42" ht="54" customHeight="1">
      <c r="A145" s="788">
        <v>128</v>
      </c>
      <c r="B145" s="788">
        <v>47</v>
      </c>
      <c r="C145" s="788" t="str">
        <f>'Chấm công KT'!C141</f>
        <v>04080</v>
      </c>
      <c r="D145" s="795" t="str">
        <f>'Chấm công KT'!D141</f>
        <v>T. Phan</v>
      </c>
      <c r="E145" s="795"/>
      <c r="F145" s="1060">
        <v>53</v>
      </c>
      <c r="G145" s="1060">
        <v>40</v>
      </c>
      <c r="H145" s="1060">
        <v>58</v>
      </c>
      <c r="I145" s="1060">
        <v>80</v>
      </c>
      <c r="J145" s="1060">
        <v>74</v>
      </c>
      <c r="K145" s="1060">
        <v>36</v>
      </c>
      <c r="L145" s="1060">
        <v>111</v>
      </c>
      <c r="M145" s="1060">
        <v>186</v>
      </c>
      <c r="N145" s="1060">
        <v>139</v>
      </c>
      <c r="O145" s="1060">
        <v>46</v>
      </c>
      <c r="P145" s="1060">
        <v>83</v>
      </c>
      <c r="Q145" s="1060">
        <v>155</v>
      </c>
      <c r="R145" s="1060">
        <v>102</v>
      </c>
      <c r="S145" s="1060">
        <v>54</v>
      </c>
      <c r="T145" s="1060">
        <v>0</v>
      </c>
      <c r="U145" s="1060">
        <v>0</v>
      </c>
      <c r="V145" s="1060">
        <v>95</v>
      </c>
      <c r="W145" s="1060">
        <v>67</v>
      </c>
      <c r="X145" s="1060">
        <v>67</v>
      </c>
      <c r="Y145" s="1060">
        <v>246</v>
      </c>
      <c r="Z145" s="1075">
        <v>94</v>
      </c>
      <c r="AA145" s="1075">
        <v>0</v>
      </c>
      <c r="AB145" s="1076">
        <v>0</v>
      </c>
      <c r="AC145" s="1076">
        <v>118</v>
      </c>
      <c r="AD145" s="1076">
        <v>72</v>
      </c>
      <c r="AE145" s="1076">
        <v>75</v>
      </c>
      <c r="AF145" s="1076">
        <v>92</v>
      </c>
      <c r="AG145" s="1076">
        <v>142</v>
      </c>
      <c r="AH145" s="1076">
        <v>84</v>
      </c>
      <c r="AI145" s="1076">
        <v>30</v>
      </c>
      <c r="AJ145" s="1076"/>
      <c r="AK145" s="1069">
        <f t="shared" si="12"/>
        <v>2399</v>
      </c>
      <c r="AL145" s="1091">
        <v>46.175677538477103</v>
      </c>
      <c r="AM145" s="1070">
        <f t="shared" si="14"/>
        <v>1107.7545041480657</v>
      </c>
      <c r="AN145" s="1090" t="s">
        <v>46</v>
      </c>
      <c r="AO145" s="449"/>
      <c r="AP145" s="449"/>
    </row>
    <row r="146" spans="1:42" ht="54" customHeight="1">
      <c r="A146" s="788">
        <v>129</v>
      </c>
      <c r="B146" s="788">
        <v>48</v>
      </c>
      <c r="C146" s="788" t="str">
        <f>'Chấm công KT'!C142</f>
        <v>03634</v>
      </c>
      <c r="D146" s="795" t="str">
        <f>'Chấm công KT'!D142</f>
        <v>T . Cổ</v>
      </c>
      <c r="E146" s="795"/>
      <c r="F146" s="1060">
        <v>100</v>
      </c>
      <c r="G146" s="1060">
        <v>0</v>
      </c>
      <c r="H146" s="1060">
        <v>131</v>
      </c>
      <c r="I146" s="1060">
        <v>89</v>
      </c>
      <c r="J146" s="1060">
        <v>244</v>
      </c>
      <c r="K146" s="1060">
        <v>0</v>
      </c>
      <c r="L146" s="1060">
        <v>129</v>
      </c>
      <c r="M146" s="1060">
        <v>178</v>
      </c>
      <c r="N146" s="1060">
        <v>164</v>
      </c>
      <c r="O146" s="1060">
        <v>0</v>
      </c>
      <c r="P146" s="1060">
        <v>116</v>
      </c>
      <c r="Q146" s="1060">
        <v>172</v>
      </c>
      <c r="R146" s="1060">
        <v>0</v>
      </c>
      <c r="S146" s="1060">
        <v>0</v>
      </c>
      <c r="T146" s="1060">
        <v>0</v>
      </c>
      <c r="U146" s="1060">
        <v>127</v>
      </c>
      <c r="V146" s="1060">
        <v>350</v>
      </c>
      <c r="W146" s="1060">
        <v>110</v>
      </c>
      <c r="X146" s="1060">
        <v>0</v>
      </c>
      <c r="Y146" s="1060">
        <v>123</v>
      </c>
      <c r="Z146" s="1075">
        <v>0</v>
      </c>
      <c r="AA146" s="1075">
        <v>0</v>
      </c>
      <c r="AB146" s="1076">
        <v>51</v>
      </c>
      <c r="AC146" s="1076">
        <v>0</v>
      </c>
      <c r="AD146" s="1076">
        <v>352</v>
      </c>
      <c r="AE146" s="1076">
        <v>0</v>
      </c>
      <c r="AF146" s="1076">
        <v>0</v>
      </c>
      <c r="AG146" s="1076">
        <v>73</v>
      </c>
      <c r="AH146" s="1076">
        <v>0</v>
      </c>
      <c r="AI146" s="1076">
        <v>0</v>
      </c>
      <c r="AJ146" s="1076"/>
      <c r="AK146" s="1069">
        <f t="shared" si="12"/>
        <v>2509</v>
      </c>
      <c r="AL146" s="1091">
        <v>46.175677538477103</v>
      </c>
      <c r="AM146" s="1070">
        <f t="shared" si="14"/>
        <v>1158.5477494403904</v>
      </c>
      <c r="AN146" s="1090" t="s">
        <v>46</v>
      </c>
      <c r="AO146" s="449"/>
      <c r="AP146" s="449"/>
    </row>
    <row r="147" spans="1:42" ht="54" customHeight="1">
      <c r="A147" s="788">
        <v>130</v>
      </c>
      <c r="B147" s="788">
        <v>49</v>
      </c>
      <c r="C147" s="788" t="str">
        <f>'Chấm công KT'!C143</f>
        <v>03635</v>
      </c>
      <c r="D147" s="795" t="str">
        <f>'Chấm công KT'!D143</f>
        <v>N. Phim Pha</v>
      </c>
      <c r="E147" s="795"/>
      <c r="F147" s="1060">
        <v>0</v>
      </c>
      <c r="G147" s="1060">
        <v>0</v>
      </c>
      <c r="H147" s="1060">
        <v>61</v>
      </c>
      <c r="I147" s="1060">
        <v>76</v>
      </c>
      <c r="J147" s="1060">
        <v>54</v>
      </c>
      <c r="K147" s="1060">
        <v>40</v>
      </c>
      <c r="L147" s="1060">
        <v>45</v>
      </c>
      <c r="M147" s="1060">
        <v>151</v>
      </c>
      <c r="N147" s="1060">
        <v>146</v>
      </c>
      <c r="O147" s="1060">
        <v>0</v>
      </c>
      <c r="P147" s="1060">
        <v>156</v>
      </c>
      <c r="Q147" s="1060">
        <v>166</v>
      </c>
      <c r="R147" s="1060">
        <v>0</v>
      </c>
      <c r="S147" s="1060">
        <v>0</v>
      </c>
      <c r="T147" s="1060">
        <v>0</v>
      </c>
      <c r="U147" s="1060">
        <v>0</v>
      </c>
      <c r="V147" s="1060">
        <v>331</v>
      </c>
      <c r="W147" s="1060">
        <v>0</v>
      </c>
      <c r="X147" s="1060">
        <v>121</v>
      </c>
      <c r="Y147" s="1060">
        <v>38</v>
      </c>
      <c r="Z147" s="1075">
        <v>118</v>
      </c>
      <c r="AA147" s="1075">
        <v>137</v>
      </c>
      <c r="AB147" s="1076">
        <v>0</v>
      </c>
      <c r="AC147" s="1076">
        <v>0</v>
      </c>
      <c r="AD147" s="1076">
        <v>104</v>
      </c>
      <c r="AE147" s="1076">
        <v>0</v>
      </c>
      <c r="AF147" s="1076">
        <v>0</v>
      </c>
      <c r="AG147" s="1076">
        <v>69</v>
      </c>
      <c r="AH147" s="1076">
        <v>0</v>
      </c>
      <c r="AI147" s="1076">
        <v>194</v>
      </c>
      <c r="AJ147" s="1076"/>
      <c r="AK147" s="1069">
        <f t="shared" si="12"/>
        <v>2007</v>
      </c>
      <c r="AL147" s="1091">
        <v>46.175677538477103</v>
      </c>
      <c r="AM147" s="1070">
        <f t="shared" si="14"/>
        <v>926.74584819723543</v>
      </c>
      <c r="AN147" s="1090" t="s">
        <v>46</v>
      </c>
      <c r="AO147" s="449"/>
      <c r="AP147" s="449"/>
    </row>
    <row r="148" spans="1:42" ht="54" customHeight="1">
      <c r="A148" s="788">
        <v>131</v>
      </c>
      <c r="B148" s="788">
        <v>50</v>
      </c>
      <c r="C148" s="788" t="str">
        <f>'Chấm công KT'!C144</f>
        <v>03636</v>
      </c>
      <c r="D148" s="795" t="str">
        <f>'Chấm công KT'!D144</f>
        <v xml:space="preserve">T. Xeng </v>
      </c>
      <c r="E148" s="795"/>
      <c r="F148" s="1060">
        <v>99</v>
      </c>
      <c r="G148" s="1060">
        <v>60</v>
      </c>
      <c r="H148" s="1060">
        <v>46</v>
      </c>
      <c r="I148" s="1060">
        <v>97</v>
      </c>
      <c r="J148" s="1060">
        <v>85</v>
      </c>
      <c r="K148" s="1060">
        <v>48</v>
      </c>
      <c r="L148" s="1060">
        <v>99</v>
      </c>
      <c r="M148" s="1060">
        <v>208</v>
      </c>
      <c r="N148" s="1060">
        <v>209</v>
      </c>
      <c r="O148" s="1060">
        <v>97</v>
      </c>
      <c r="P148" s="1060">
        <v>98</v>
      </c>
      <c r="Q148" s="1060">
        <v>144</v>
      </c>
      <c r="R148" s="1060">
        <v>152</v>
      </c>
      <c r="S148" s="1060">
        <v>0</v>
      </c>
      <c r="T148" s="1060">
        <v>0</v>
      </c>
      <c r="U148" s="1060">
        <v>0</v>
      </c>
      <c r="V148" s="1060">
        <v>121</v>
      </c>
      <c r="W148" s="1060">
        <v>128</v>
      </c>
      <c r="X148" s="1060">
        <v>72</v>
      </c>
      <c r="Y148" s="1060">
        <v>70</v>
      </c>
      <c r="Z148" s="1075">
        <v>113</v>
      </c>
      <c r="AA148" s="1075">
        <v>122</v>
      </c>
      <c r="AB148" s="1076">
        <v>60</v>
      </c>
      <c r="AC148" s="1076">
        <v>143</v>
      </c>
      <c r="AD148" s="1076">
        <v>131</v>
      </c>
      <c r="AE148" s="1076">
        <v>87</v>
      </c>
      <c r="AF148" s="1076">
        <v>55</v>
      </c>
      <c r="AG148" s="1076">
        <v>123</v>
      </c>
      <c r="AH148" s="1076">
        <v>165</v>
      </c>
      <c r="AI148" s="1076">
        <v>87</v>
      </c>
      <c r="AJ148" s="1076"/>
      <c r="AK148" s="1069">
        <f t="shared" si="12"/>
        <v>2919</v>
      </c>
      <c r="AL148" s="1091">
        <v>46.175677538477103</v>
      </c>
      <c r="AM148" s="1070">
        <f t="shared" si="14"/>
        <v>1347.8680273481468</v>
      </c>
      <c r="AN148" s="1090" t="s">
        <v>38</v>
      </c>
      <c r="AO148" s="449"/>
      <c r="AP148" s="449"/>
    </row>
    <row r="149" spans="1:42" ht="54" customHeight="1">
      <c r="A149" s="788">
        <v>132</v>
      </c>
      <c r="B149" s="788">
        <v>51</v>
      </c>
      <c r="C149" s="788" t="str">
        <f>'Chấm công KT'!C145</f>
        <v>03637</v>
      </c>
      <c r="D149" s="795" t="str">
        <f>'Chấm công KT'!D145</f>
        <v>T. Vạt</v>
      </c>
      <c r="E149" s="795"/>
      <c r="F149" s="1060">
        <v>102</v>
      </c>
      <c r="G149" s="1060">
        <v>0</v>
      </c>
      <c r="H149" s="1060">
        <v>78</v>
      </c>
      <c r="I149" s="1060">
        <v>91</v>
      </c>
      <c r="J149" s="1060">
        <v>0</v>
      </c>
      <c r="K149" s="1060">
        <v>60</v>
      </c>
      <c r="L149" s="1060">
        <v>66</v>
      </c>
      <c r="M149" s="1060">
        <v>192</v>
      </c>
      <c r="N149" s="1060">
        <v>192</v>
      </c>
      <c r="O149" s="1060">
        <v>50</v>
      </c>
      <c r="P149" s="1060">
        <v>160</v>
      </c>
      <c r="Q149" s="1060">
        <v>0</v>
      </c>
      <c r="R149" s="1060">
        <v>0</v>
      </c>
      <c r="S149" s="1060">
        <v>0</v>
      </c>
      <c r="T149" s="1060">
        <v>0</v>
      </c>
      <c r="U149" s="1060">
        <v>157</v>
      </c>
      <c r="V149" s="1060">
        <v>117</v>
      </c>
      <c r="W149" s="1060">
        <v>73</v>
      </c>
      <c r="X149" s="1060">
        <v>100</v>
      </c>
      <c r="Y149" s="1060">
        <v>129</v>
      </c>
      <c r="Z149" s="1075">
        <v>119</v>
      </c>
      <c r="AA149" s="1075">
        <v>107</v>
      </c>
      <c r="AB149" s="1076">
        <v>79</v>
      </c>
      <c r="AC149" s="1076">
        <v>121</v>
      </c>
      <c r="AD149" s="1076">
        <v>0</v>
      </c>
      <c r="AE149" s="1076">
        <v>0</v>
      </c>
      <c r="AF149" s="1076">
        <v>79</v>
      </c>
      <c r="AG149" s="1076">
        <v>0</v>
      </c>
      <c r="AH149" s="1076">
        <v>43</v>
      </c>
      <c r="AI149" s="1076">
        <v>0</v>
      </c>
      <c r="AJ149" s="1076"/>
      <c r="AK149" s="1069">
        <f t="shared" si="12"/>
        <v>2115</v>
      </c>
      <c r="AL149" s="1091">
        <v>46.175677538477103</v>
      </c>
      <c r="AM149" s="1070">
        <f t="shared" si="14"/>
        <v>976.6155799387908</v>
      </c>
      <c r="AN149" s="1090" t="s">
        <v>46</v>
      </c>
      <c r="AO149" s="449"/>
      <c r="AP149" s="449"/>
    </row>
    <row r="150" spans="1:42" ht="54" customHeight="1">
      <c r="A150" s="788">
        <v>133</v>
      </c>
      <c r="B150" s="788">
        <v>52</v>
      </c>
      <c r="C150" s="788" t="str">
        <f>'Chấm công KT'!C146</f>
        <v>03638</v>
      </c>
      <c r="D150" s="795" t="str">
        <f>'Chấm công KT'!D146</f>
        <v>T. Lay</v>
      </c>
      <c r="E150" s="795"/>
      <c r="F150" s="1060">
        <v>67</v>
      </c>
      <c r="G150" s="1060">
        <v>144</v>
      </c>
      <c r="H150" s="1060">
        <v>71</v>
      </c>
      <c r="I150" s="1060">
        <v>105</v>
      </c>
      <c r="J150" s="1060">
        <v>59</v>
      </c>
      <c r="K150" s="1060">
        <v>126</v>
      </c>
      <c r="L150" s="1060">
        <v>197</v>
      </c>
      <c r="M150" s="1060">
        <v>219</v>
      </c>
      <c r="N150" s="1060">
        <v>164</v>
      </c>
      <c r="O150" s="1060">
        <v>184</v>
      </c>
      <c r="P150" s="1060">
        <v>95</v>
      </c>
      <c r="Q150" s="1060">
        <v>148</v>
      </c>
      <c r="R150" s="1060">
        <v>0</v>
      </c>
      <c r="S150" s="1060">
        <v>0</v>
      </c>
      <c r="T150" s="1060">
        <v>0</v>
      </c>
      <c r="U150" s="1060">
        <v>0</v>
      </c>
      <c r="V150" s="1060">
        <v>0</v>
      </c>
      <c r="W150" s="1060">
        <v>210</v>
      </c>
      <c r="X150" s="1060">
        <v>0</v>
      </c>
      <c r="Y150" s="1060">
        <v>135</v>
      </c>
      <c r="Z150" s="1075">
        <v>235</v>
      </c>
      <c r="AA150" s="1075">
        <v>152</v>
      </c>
      <c r="AB150" s="1076">
        <v>119</v>
      </c>
      <c r="AC150" s="1076">
        <v>153</v>
      </c>
      <c r="AD150" s="1076">
        <v>82</v>
      </c>
      <c r="AE150" s="1076">
        <v>218</v>
      </c>
      <c r="AF150" s="1076">
        <v>71</v>
      </c>
      <c r="AG150" s="1076">
        <v>135</v>
      </c>
      <c r="AH150" s="1076">
        <v>92</v>
      </c>
      <c r="AI150" s="1076">
        <v>175</v>
      </c>
      <c r="AJ150" s="1076"/>
      <c r="AK150" s="1069">
        <f t="shared" si="12"/>
        <v>3356</v>
      </c>
      <c r="AL150" s="1091">
        <v>46.175677538477103</v>
      </c>
      <c r="AM150" s="1070">
        <f t="shared" si="14"/>
        <v>1549.6557381912914</v>
      </c>
      <c r="AN150" s="1090" t="s">
        <v>38</v>
      </c>
      <c r="AO150" s="449"/>
      <c r="AP150" s="449"/>
    </row>
    <row r="151" spans="1:42" ht="54" customHeight="1">
      <c r="A151" s="788">
        <v>134</v>
      </c>
      <c r="B151" s="788">
        <v>53</v>
      </c>
      <c r="C151" s="788" t="str">
        <f>'Chấm công KT'!C147</f>
        <v>04081</v>
      </c>
      <c r="D151" s="795" t="str">
        <f>'Chấm công KT'!D147</f>
        <v>N. Nọi</v>
      </c>
      <c r="E151" s="795"/>
      <c r="F151" s="1060">
        <v>76</v>
      </c>
      <c r="G151" s="1060">
        <v>156</v>
      </c>
      <c r="H151" s="1060">
        <v>64</v>
      </c>
      <c r="I151" s="1060">
        <v>94</v>
      </c>
      <c r="J151" s="1060">
        <v>63</v>
      </c>
      <c r="K151" s="1060">
        <v>117</v>
      </c>
      <c r="L151" s="1060">
        <v>82</v>
      </c>
      <c r="M151" s="1060">
        <v>207</v>
      </c>
      <c r="N151" s="1060">
        <v>168</v>
      </c>
      <c r="O151" s="1060">
        <v>147</v>
      </c>
      <c r="P151" s="1060">
        <v>107</v>
      </c>
      <c r="Q151" s="1060">
        <v>159</v>
      </c>
      <c r="R151" s="1060">
        <v>0</v>
      </c>
      <c r="S151" s="1060">
        <v>0</v>
      </c>
      <c r="T151" s="1060">
        <v>0</v>
      </c>
      <c r="U151" s="1060">
        <v>0</v>
      </c>
      <c r="V151" s="1060">
        <v>0</v>
      </c>
      <c r="W151" s="1060">
        <v>235</v>
      </c>
      <c r="X151" s="1060">
        <v>0</v>
      </c>
      <c r="Y151" s="1060">
        <v>165</v>
      </c>
      <c r="Z151" s="1075">
        <v>216</v>
      </c>
      <c r="AA151" s="1075">
        <v>121</v>
      </c>
      <c r="AB151" s="1076">
        <v>123</v>
      </c>
      <c r="AC151" s="1076">
        <v>162</v>
      </c>
      <c r="AD151" s="1076">
        <v>97</v>
      </c>
      <c r="AE151" s="1076">
        <v>189</v>
      </c>
      <c r="AF151" s="1076">
        <v>46</v>
      </c>
      <c r="AG151" s="1076">
        <v>146</v>
      </c>
      <c r="AH151" s="1076">
        <v>104</v>
      </c>
      <c r="AI151" s="1076">
        <v>174</v>
      </c>
      <c r="AJ151" s="1076"/>
      <c r="AK151" s="1069">
        <f t="shared" si="12"/>
        <v>3218</v>
      </c>
      <c r="AL151" s="1091">
        <v>46.175677538477103</v>
      </c>
      <c r="AM151" s="1070">
        <f t="shared" si="14"/>
        <v>1485.9333031881933</v>
      </c>
      <c r="AN151" s="1090" t="s">
        <v>38</v>
      </c>
      <c r="AO151" s="449"/>
      <c r="AP151" s="449"/>
    </row>
    <row r="152" spans="1:42" ht="54" customHeight="1">
      <c r="A152" s="788">
        <v>135</v>
      </c>
      <c r="B152" s="788">
        <v>54</v>
      </c>
      <c r="C152" s="788" t="str">
        <f>'Chấm công KT'!C148</f>
        <v>04082</v>
      </c>
      <c r="D152" s="795" t="str">
        <f>'Chấm công KT'!D148</f>
        <v>T Bun Xi</v>
      </c>
      <c r="E152" s="795"/>
      <c r="F152" s="1060">
        <v>109</v>
      </c>
      <c r="G152" s="1060">
        <v>59</v>
      </c>
      <c r="H152" s="1060">
        <v>62</v>
      </c>
      <c r="I152" s="1060">
        <v>85</v>
      </c>
      <c r="J152" s="1060">
        <v>99</v>
      </c>
      <c r="K152" s="1060">
        <v>34</v>
      </c>
      <c r="L152" s="1060">
        <v>145</v>
      </c>
      <c r="M152" s="1060">
        <v>190</v>
      </c>
      <c r="N152" s="1060">
        <v>214</v>
      </c>
      <c r="O152" s="1060">
        <v>24</v>
      </c>
      <c r="P152" s="1060">
        <v>81</v>
      </c>
      <c r="Q152" s="1060">
        <v>133</v>
      </c>
      <c r="R152" s="1060">
        <v>149</v>
      </c>
      <c r="S152" s="1060">
        <v>0</v>
      </c>
      <c r="T152" s="1060">
        <v>0</v>
      </c>
      <c r="U152" s="1060">
        <v>133</v>
      </c>
      <c r="V152" s="1060">
        <v>159</v>
      </c>
      <c r="W152" s="1060">
        <v>53</v>
      </c>
      <c r="X152" s="1060">
        <v>87</v>
      </c>
      <c r="Y152" s="1060">
        <v>124</v>
      </c>
      <c r="Z152" s="1075">
        <v>146</v>
      </c>
      <c r="AA152" s="1075">
        <v>74</v>
      </c>
      <c r="AB152" s="1076">
        <v>75</v>
      </c>
      <c r="AC152" s="1076">
        <v>0</v>
      </c>
      <c r="AD152" s="1076">
        <v>148</v>
      </c>
      <c r="AE152" s="1076">
        <v>52</v>
      </c>
      <c r="AF152" s="1076">
        <v>33</v>
      </c>
      <c r="AG152" s="1076">
        <v>200</v>
      </c>
      <c r="AH152" s="1076">
        <v>173</v>
      </c>
      <c r="AI152" s="1076">
        <v>53</v>
      </c>
      <c r="AJ152" s="1076"/>
      <c r="AK152" s="1069">
        <f t="shared" si="12"/>
        <v>2894</v>
      </c>
      <c r="AL152" s="1091">
        <v>46.175677538477103</v>
      </c>
      <c r="AM152" s="1070">
        <f t="shared" si="14"/>
        <v>1336.3241079635275</v>
      </c>
      <c r="AN152" s="1090" t="s">
        <v>46</v>
      </c>
      <c r="AO152" s="449"/>
      <c r="AP152" s="449"/>
    </row>
    <row r="153" spans="1:42" ht="54" customHeight="1">
      <c r="A153" s="788">
        <v>136</v>
      </c>
      <c r="B153" s="788">
        <v>55</v>
      </c>
      <c r="C153" s="788" t="str">
        <f>'Chấm công KT'!C149</f>
        <v>04083</v>
      </c>
      <c r="D153" s="795" t="str">
        <f>'Chấm công KT'!D149</f>
        <v>N. Bù</v>
      </c>
      <c r="E153" s="795"/>
      <c r="F153" s="1060">
        <v>91</v>
      </c>
      <c r="G153" s="1060">
        <v>74</v>
      </c>
      <c r="H153" s="1060">
        <v>40</v>
      </c>
      <c r="I153" s="1060">
        <v>57</v>
      </c>
      <c r="J153" s="1060">
        <v>60</v>
      </c>
      <c r="K153" s="1060">
        <v>62</v>
      </c>
      <c r="L153" s="1060">
        <v>93</v>
      </c>
      <c r="M153" s="1060">
        <v>99</v>
      </c>
      <c r="N153" s="1060">
        <v>142</v>
      </c>
      <c r="O153" s="1060">
        <v>100</v>
      </c>
      <c r="P153" s="1060">
        <v>66</v>
      </c>
      <c r="Q153" s="1060">
        <v>100</v>
      </c>
      <c r="R153" s="1060">
        <v>100</v>
      </c>
      <c r="S153" s="1060">
        <v>0</v>
      </c>
      <c r="T153" s="1060">
        <v>0</v>
      </c>
      <c r="U153" s="1060">
        <v>0</v>
      </c>
      <c r="V153" s="1060">
        <v>105</v>
      </c>
      <c r="W153" s="1060">
        <v>103</v>
      </c>
      <c r="X153" s="1060">
        <v>111</v>
      </c>
      <c r="Y153" s="1060">
        <v>81</v>
      </c>
      <c r="Z153" s="1075">
        <v>120</v>
      </c>
      <c r="AA153" s="1075">
        <v>53</v>
      </c>
      <c r="AB153" s="1076">
        <v>50</v>
      </c>
      <c r="AC153" s="1076">
        <v>70</v>
      </c>
      <c r="AD153" s="1076">
        <v>100</v>
      </c>
      <c r="AE153" s="1076">
        <v>58</v>
      </c>
      <c r="AF153" s="1076">
        <v>47</v>
      </c>
      <c r="AG153" s="1076">
        <v>189</v>
      </c>
      <c r="AH153" s="1076">
        <v>0</v>
      </c>
      <c r="AI153" s="1076">
        <v>0</v>
      </c>
      <c r="AJ153" s="1076"/>
      <c r="AK153" s="1069">
        <f t="shared" si="12"/>
        <v>2171</v>
      </c>
      <c r="AL153" s="1091">
        <v>46.175677538477103</v>
      </c>
      <c r="AM153" s="1070">
        <f t="shared" si="14"/>
        <v>1002.4739593603379</v>
      </c>
      <c r="AN153" s="1090" t="s">
        <v>46</v>
      </c>
      <c r="AO153" s="449"/>
      <c r="AP153" s="449"/>
    </row>
    <row r="154" spans="1:42" ht="54" customHeight="1">
      <c r="A154" s="788">
        <v>137</v>
      </c>
      <c r="B154" s="788">
        <v>56</v>
      </c>
      <c r="C154" s="788" t="str">
        <f>'Chấm công KT'!C150</f>
        <v>03642</v>
      </c>
      <c r="D154" s="795" t="str">
        <f>'Chấm công KT'!D150</f>
        <v>T. Xơn</v>
      </c>
      <c r="E154" s="795"/>
      <c r="F154" s="1060">
        <v>118</v>
      </c>
      <c r="G154" s="1060">
        <v>46</v>
      </c>
      <c r="H154" s="1060">
        <v>90</v>
      </c>
      <c r="I154" s="1060">
        <v>110</v>
      </c>
      <c r="J154" s="1060">
        <v>94</v>
      </c>
      <c r="K154" s="1060">
        <v>30</v>
      </c>
      <c r="L154" s="1060">
        <v>127</v>
      </c>
      <c r="M154" s="1060">
        <v>173</v>
      </c>
      <c r="N154" s="1060">
        <v>214</v>
      </c>
      <c r="O154" s="1060">
        <v>30</v>
      </c>
      <c r="P154" s="1060">
        <v>108</v>
      </c>
      <c r="Q154" s="1060">
        <v>140</v>
      </c>
      <c r="R154" s="1060">
        <v>150</v>
      </c>
      <c r="S154" s="1060">
        <v>0</v>
      </c>
      <c r="T154" s="1060">
        <v>0</v>
      </c>
      <c r="U154" s="1060">
        <v>131</v>
      </c>
      <c r="V154" s="1060">
        <v>151</v>
      </c>
      <c r="W154" s="1060">
        <v>50</v>
      </c>
      <c r="X154" s="1060">
        <v>77</v>
      </c>
      <c r="Y154" s="1060">
        <v>102</v>
      </c>
      <c r="Z154" s="1075">
        <v>144</v>
      </c>
      <c r="AA154" s="1075">
        <v>70</v>
      </c>
      <c r="AB154" s="1076">
        <v>52</v>
      </c>
      <c r="AC154" s="1076">
        <v>0</v>
      </c>
      <c r="AD154" s="1076">
        <v>141</v>
      </c>
      <c r="AE154" s="1076">
        <v>53</v>
      </c>
      <c r="AF154" s="1076">
        <v>33</v>
      </c>
      <c r="AG154" s="1076">
        <v>224</v>
      </c>
      <c r="AH154" s="1076">
        <v>144</v>
      </c>
      <c r="AI154" s="1076">
        <v>55</v>
      </c>
      <c r="AJ154" s="1076"/>
      <c r="AK154" s="1069">
        <f t="shared" si="12"/>
        <v>2857</v>
      </c>
      <c r="AL154" s="1091">
        <v>46.175677538477103</v>
      </c>
      <c r="AM154" s="1070">
        <f t="shared" si="14"/>
        <v>1319.239107274291</v>
      </c>
      <c r="AN154" s="1090" t="s">
        <v>46</v>
      </c>
      <c r="AO154" s="449"/>
      <c r="AP154" s="449"/>
    </row>
    <row r="155" spans="1:42" ht="54" customHeight="1">
      <c r="A155" s="788">
        <v>138</v>
      </c>
      <c r="B155" s="788">
        <v>57</v>
      </c>
      <c r="C155" s="788" t="str">
        <f>'Chấm công KT'!C151</f>
        <v>04084</v>
      </c>
      <c r="D155" s="795" t="str">
        <f>'Chấm công KT'!D151</f>
        <v>T. Thi</v>
      </c>
      <c r="E155" s="795"/>
      <c r="F155" s="1060">
        <v>75</v>
      </c>
      <c r="G155" s="1060">
        <v>40</v>
      </c>
      <c r="H155" s="1060">
        <v>54</v>
      </c>
      <c r="I155" s="1060">
        <v>58</v>
      </c>
      <c r="J155" s="1060">
        <v>80</v>
      </c>
      <c r="K155" s="1060">
        <v>34</v>
      </c>
      <c r="L155" s="1060">
        <v>116</v>
      </c>
      <c r="M155" s="1060">
        <v>161</v>
      </c>
      <c r="N155" s="1060">
        <v>223</v>
      </c>
      <c r="O155" s="1060">
        <v>36</v>
      </c>
      <c r="P155" s="1060">
        <v>113</v>
      </c>
      <c r="Q155" s="1060">
        <v>125</v>
      </c>
      <c r="R155" s="1060">
        <v>124</v>
      </c>
      <c r="S155" s="1060">
        <v>100</v>
      </c>
      <c r="T155" s="1060">
        <v>0</v>
      </c>
      <c r="U155" s="1060">
        <v>96</v>
      </c>
      <c r="V155" s="1060">
        <v>137</v>
      </c>
      <c r="W155" s="1060">
        <v>53</v>
      </c>
      <c r="X155" s="1060">
        <v>49</v>
      </c>
      <c r="Y155" s="1060">
        <v>0</v>
      </c>
      <c r="Z155" s="1075">
        <v>127</v>
      </c>
      <c r="AA155" s="1075">
        <v>0</v>
      </c>
      <c r="AB155" s="1076">
        <v>0</v>
      </c>
      <c r="AC155" s="1076">
        <v>229</v>
      </c>
      <c r="AD155" s="1076">
        <v>138</v>
      </c>
      <c r="AE155" s="1076">
        <v>50</v>
      </c>
      <c r="AF155" s="1076">
        <v>80</v>
      </c>
      <c r="AG155" s="1076">
        <v>87</v>
      </c>
      <c r="AH155" s="1076">
        <v>139</v>
      </c>
      <c r="AI155" s="1076">
        <v>37</v>
      </c>
      <c r="AJ155" s="1076"/>
      <c r="AK155" s="1069">
        <f t="shared" si="12"/>
        <v>2561</v>
      </c>
      <c r="AL155" s="1091">
        <v>46.175677538477103</v>
      </c>
      <c r="AM155" s="1070">
        <f t="shared" si="14"/>
        <v>1182.5591017603986</v>
      </c>
      <c r="AN155" s="1090" t="s">
        <v>38</v>
      </c>
      <c r="AO155" s="449"/>
      <c r="AP155" s="449"/>
    </row>
    <row r="156" spans="1:42" ht="54" customHeight="1">
      <c r="A156" s="788">
        <v>139</v>
      </c>
      <c r="B156" s="788">
        <v>58</v>
      </c>
      <c r="C156" s="788" t="str">
        <f>'Chấm công KT'!C152</f>
        <v>04085</v>
      </c>
      <c r="D156" s="795" t="str">
        <f>'Chấm công KT'!D152</f>
        <v>On chay</v>
      </c>
      <c r="E156" s="795"/>
      <c r="F156" s="1060">
        <v>58</v>
      </c>
      <c r="G156" s="1060">
        <v>0</v>
      </c>
      <c r="H156" s="1060">
        <v>111</v>
      </c>
      <c r="I156" s="1060">
        <v>45</v>
      </c>
      <c r="J156" s="1060">
        <v>54</v>
      </c>
      <c r="K156" s="1060">
        <v>46</v>
      </c>
      <c r="L156" s="1060">
        <v>49</v>
      </c>
      <c r="M156" s="1060">
        <v>135</v>
      </c>
      <c r="N156" s="1060">
        <v>152</v>
      </c>
      <c r="O156" s="1060">
        <v>36</v>
      </c>
      <c r="P156" s="1060">
        <v>129</v>
      </c>
      <c r="Q156" s="1060">
        <v>123</v>
      </c>
      <c r="R156" s="1060">
        <v>0</v>
      </c>
      <c r="S156" s="1060">
        <v>0</v>
      </c>
      <c r="T156" s="1060">
        <v>0</v>
      </c>
      <c r="U156" s="1060">
        <v>110</v>
      </c>
      <c r="V156" s="1060">
        <v>239</v>
      </c>
      <c r="W156" s="1060">
        <v>82</v>
      </c>
      <c r="X156" s="1060">
        <v>110</v>
      </c>
      <c r="Y156" s="1060">
        <v>111</v>
      </c>
      <c r="Z156" s="1075">
        <v>130</v>
      </c>
      <c r="AA156" s="1075">
        <v>98</v>
      </c>
      <c r="AB156" s="1076">
        <v>109</v>
      </c>
      <c r="AC156" s="1076">
        <v>0</v>
      </c>
      <c r="AD156" s="1076">
        <v>130</v>
      </c>
      <c r="AE156" s="1076">
        <v>82</v>
      </c>
      <c r="AF156" s="1076">
        <v>116</v>
      </c>
      <c r="AG156" s="1076">
        <v>175</v>
      </c>
      <c r="AH156" s="1076">
        <v>144</v>
      </c>
      <c r="AI156" s="1076">
        <v>82</v>
      </c>
      <c r="AJ156" s="1076"/>
      <c r="AK156" s="1069">
        <f t="shared" si="12"/>
        <v>2656</v>
      </c>
      <c r="AL156" s="1091">
        <v>46.175677538477103</v>
      </c>
      <c r="AM156" s="1070">
        <f t="shared" si="14"/>
        <v>1226.4259954219517</v>
      </c>
      <c r="AN156" s="1090" t="s">
        <v>38</v>
      </c>
      <c r="AO156" s="449"/>
      <c r="AP156" s="449"/>
    </row>
    <row r="157" spans="1:42" ht="54" customHeight="1">
      <c r="A157" s="788">
        <v>140</v>
      </c>
      <c r="B157" s="788">
        <v>59</v>
      </c>
      <c r="C157" s="788"/>
      <c r="D157" s="795" t="str">
        <f>'Chấm công KT'!D153</f>
        <v>T. Thong</v>
      </c>
      <c r="E157" s="795"/>
      <c r="F157" s="1077">
        <v>70</v>
      </c>
      <c r="G157" s="1077">
        <v>80</v>
      </c>
      <c r="H157" s="1077">
        <v>40</v>
      </c>
      <c r="I157" s="1077">
        <v>90</v>
      </c>
      <c r="J157" s="1077">
        <v>50</v>
      </c>
      <c r="K157" s="1077">
        <v>40</v>
      </c>
      <c r="L157" s="1077">
        <v>0</v>
      </c>
      <c r="M157" s="1077">
        <v>0</v>
      </c>
      <c r="N157" s="1077">
        <v>61</v>
      </c>
      <c r="O157" s="1077">
        <v>60</v>
      </c>
      <c r="P157" s="1077">
        <v>68</v>
      </c>
      <c r="Q157" s="1077">
        <v>96</v>
      </c>
      <c r="R157" s="1078">
        <v>0</v>
      </c>
      <c r="S157" s="1078">
        <v>76</v>
      </c>
      <c r="T157" s="1078">
        <v>0</v>
      </c>
      <c r="U157" s="1078">
        <v>42</v>
      </c>
      <c r="V157" s="1078">
        <v>90</v>
      </c>
      <c r="W157" s="1078">
        <v>0</v>
      </c>
      <c r="X157" s="1078">
        <v>50</v>
      </c>
      <c r="Y157" s="1078">
        <v>60</v>
      </c>
      <c r="Z157" s="1078">
        <v>73</v>
      </c>
      <c r="AA157" s="1078">
        <v>61</v>
      </c>
      <c r="AB157" s="1078">
        <v>70</v>
      </c>
      <c r="AC157" s="1078">
        <v>96</v>
      </c>
      <c r="AD157" s="1078">
        <v>61</v>
      </c>
      <c r="AE157" s="1078">
        <v>41</v>
      </c>
      <c r="AF157" s="1078">
        <v>28</v>
      </c>
      <c r="AG157" s="1078">
        <v>72</v>
      </c>
      <c r="AH157" s="1078">
        <v>50</v>
      </c>
      <c r="AI157" s="1078">
        <v>68</v>
      </c>
      <c r="AJ157" s="1079"/>
      <c r="AK157" s="1069">
        <f t="shared" ref="AK157:AK158" si="15">SUM(F157:AJ157)</f>
        <v>1593</v>
      </c>
      <c r="AL157" s="1091">
        <v>46.175677538477103</v>
      </c>
      <c r="AM157" s="1070">
        <f t="shared" si="14"/>
        <v>735.57854318794023</v>
      </c>
      <c r="AN157" s="1074" t="s">
        <v>394</v>
      </c>
      <c r="AO157" s="449"/>
      <c r="AP157" s="449"/>
    </row>
    <row r="158" spans="1:42" ht="54" customHeight="1">
      <c r="A158" s="788">
        <v>141</v>
      </c>
      <c r="B158" s="788">
        <v>60</v>
      </c>
      <c r="C158" s="788"/>
      <c r="D158" s="795" t="str">
        <f>'Chấm công KT'!D154</f>
        <v>T. Khách</v>
      </c>
      <c r="E158" s="795"/>
      <c r="F158" s="1077">
        <v>60</v>
      </c>
      <c r="G158" s="1077">
        <v>0</v>
      </c>
      <c r="H158" s="1077">
        <v>0</v>
      </c>
      <c r="I158" s="1077">
        <v>100</v>
      </c>
      <c r="J158" s="1077">
        <v>51</v>
      </c>
      <c r="K158" s="1077">
        <v>80</v>
      </c>
      <c r="L158" s="1077">
        <v>0</v>
      </c>
      <c r="M158" s="1077">
        <v>0</v>
      </c>
      <c r="N158" s="1077">
        <v>94</v>
      </c>
      <c r="O158" s="1077">
        <v>0</v>
      </c>
      <c r="P158" s="1077">
        <v>81</v>
      </c>
      <c r="Q158" s="1077">
        <v>58</v>
      </c>
      <c r="R158" s="1078">
        <v>0</v>
      </c>
      <c r="S158" s="1078">
        <v>0</v>
      </c>
      <c r="T158" s="1078">
        <v>0</v>
      </c>
      <c r="U158" s="1078">
        <v>100</v>
      </c>
      <c r="V158" s="1078">
        <v>64</v>
      </c>
      <c r="W158" s="1078">
        <v>32</v>
      </c>
      <c r="X158" s="1078">
        <v>0</v>
      </c>
      <c r="Y158" s="1078">
        <v>98</v>
      </c>
      <c r="Z158" s="1078">
        <v>0</v>
      </c>
      <c r="AA158" s="1078">
        <v>62</v>
      </c>
      <c r="AB158" s="1078">
        <v>71</v>
      </c>
      <c r="AC158" s="1078">
        <v>71</v>
      </c>
      <c r="AD158" s="1078">
        <v>92</v>
      </c>
      <c r="AE158" s="1078">
        <v>30</v>
      </c>
      <c r="AF158" s="1078">
        <v>27</v>
      </c>
      <c r="AG158" s="1078">
        <v>71</v>
      </c>
      <c r="AH158" s="1078">
        <v>76</v>
      </c>
      <c r="AI158" s="1078">
        <v>0</v>
      </c>
      <c r="AJ158" s="1079"/>
      <c r="AK158" s="1069">
        <f t="shared" si="15"/>
        <v>1318</v>
      </c>
      <c r="AL158" s="1091">
        <v>46.175677538477103</v>
      </c>
      <c r="AM158" s="1070">
        <f t="shared" si="14"/>
        <v>608.5954299571282</v>
      </c>
      <c r="AN158" s="1074" t="s">
        <v>394</v>
      </c>
      <c r="AO158" s="449"/>
      <c r="AP158" s="449"/>
    </row>
    <row r="159" spans="1:42" ht="54" customHeight="1">
      <c r="A159" s="788">
        <v>142</v>
      </c>
      <c r="B159" s="788">
        <v>61</v>
      </c>
      <c r="C159" s="788"/>
      <c r="D159" s="795" t="str">
        <f>'Chấm công KT'!D155</f>
        <v>Nang On Xi</v>
      </c>
      <c r="E159" s="795"/>
      <c r="F159" s="1077">
        <v>0</v>
      </c>
      <c r="G159" s="1077">
        <v>0</v>
      </c>
      <c r="H159" s="1077">
        <v>0</v>
      </c>
      <c r="I159" s="1077">
        <v>0</v>
      </c>
      <c r="J159" s="1077">
        <v>0</v>
      </c>
      <c r="K159" s="1077">
        <v>0</v>
      </c>
      <c r="L159" s="1077">
        <v>0</v>
      </c>
      <c r="M159" s="1077">
        <v>82</v>
      </c>
      <c r="N159" s="1077">
        <v>0</v>
      </c>
      <c r="O159" s="1077">
        <v>0</v>
      </c>
      <c r="P159" s="1077">
        <v>0</v>
      </c>
      <c r="Q159" s="1077">
        <v>0</v>
      </c>
      <c r="R159" s="1078">
        <v>0</v>
      </c>
      <c r="S159" s="1078">
        <v>0</v>
      </c>
      <c r="T159" s="1078">
        <v>0</v>
      </c>
      <c r="U159" s="1078">
        <v>0</v>
      </c>
      <c r="V159" s="1078">
        <v>82</v>
      </c>
      <c r="W159" s="1078">
        <v>51</v>
      </c>
      <c r="X159" s="1078">
        <v>0</v>
      </c>
      <c r="Y159" s="1078">
        <v>151</v>
      </c>
      <c r="Z159" s="1078">
        <v>0</v>
      </c>
      <c r="AA159" s="1078">
        <v>38</v>
      </c>
      <c r="AB159" s="1078">
        <v>0</v>
      </c>
      <c r="AC159" s="1078">
        <v>81</v>
      </c>
      <c r="AD159" s="1078">
        <v>0</v>
      </c>
      <c r="AE159" s="1078">
        <v>0</v>
      </c>
      <c r="AF159" s="1078">
        <v>34</v>
      </c>
      <c r="AG159" s="1078">
        <v>0</v>
      </c>
      <c r="AH159" s="1078">
        <v>0</v>
      </c>
      <c r="AI159" s="1078">
        <v>0</v>
      </c>
      <c r="AJ159" s="1079"/>
      <c r="AK159" s="1069">
        <f t="shared" ref="AK159:AK160" si="16">SUM(F159:AJ159)</f>
        <v>519</v>
      </c>
      <c r="AL159" s="1091">
        <v>46.175677538477103</v>
      </c>
      <c r="AM159" s="1070">
        <f t="shared" si="14"/>
        <v>239.65176642469618</v>
      </c>
      <c r="AN159" s="1074" t="s">
        <v>394</v>
      </c>
      <c r="AO159" s="449"/>
      <c r="AP159" s="449"/>
    </row>
    <row r="160" spans="1:42" ht="54" customHeight="1">
      <c r="A160" s="788">
        <v>143</v>
      </c>
      <c r="B160" s="788">
        <v>62</v>
      </c>
      <c r="C160" s="788"/>
      <c r="D160" s="795" t="str">
        <f>'Chấm công KT'!D156</f>
        <v>Thảo Túc</v>
      </c>
      <c r="E160" s="795"/>
      <c r="F160" s="1077">
        <v>0</v>
      </c>
      <c r="G160" s="1077">
        <v>0</v>
      </c>
      <c r="H160" s="1077">
        <v>0</v>
      </c>
      <c r="I160" s="1077">
        <v>0</v>
      </c>
      <c r="J160" s="1077">
        <v>0</v>
      </c>
      <c r="K160" s="1077">
        <v>0</v>
      </c>
      <c r="L160" s="1077">
        <v>0</v>
      </c>
      <c r="M160" s="1077">
        <v>0</v>
      </c>
      <c r="N160" s="1077">
        <v>0</v>
      </c>
      <c r="O160" s="1077">
        <v>0</v>
      </c>
      <c r="P160" s="1077">
        <v>0</v>
      </c>
      <c r="Q160" s="1077">
        <v>0</v>
      </c>
      <c r="R160" s="1078">
        <v>0</v>
      </c>
      <c r="S160" s="1078">
        <v>0</v>
      </c>
      <c r="T160" s="1078">
        <v>0</v>
      </c>
      <c r="U160" s="1078">
        <v>0</v>
      </c>
      <c r="V160" s="1078">
        <v>0</v>
      </c>
      <c r="W160" s="1078">
        <v>0</v>
      </c>
      <c r="X160" s="1078">
        <v>0</v>
      </c>
      <c r="Y160" s="1078">
        <v>0</v>
      </c>
      <c r="Z160" s="1078">
        <v>0</v>
      </c>
      <c r="AA160" s="1078">
        <v>0</v>
      </c>
      <c r="AB160" s="1078">
        <v>0</v>
      </c>
      <c r="AC160" s="1078">
        <v>0</v>
      </c>
      <c r="AD160" s="1078">
        <v>0</v>
      </c>
      <c r="AE160" s="1078">
        <v>0</v>
      </c>
      <c r="AF160" s="1078">
        <v>118</v>
      </c>
      <c r="AG160" s="1078">
        <v>0</v>
      </c>
      <c r="AH160" s="1078">
        <v>0</v>
      </c>
      <c r="AI160" s="1078">
        <v>0</v>
      </c>
      <c r="AJ160" s="1079"/>
      <c r="AK160" s="1069">
        <f t="shared" si="16"/>
        <v>118</v>
      </c>
      <c r="AL160" s="1091">
        <v>46.175677538477103</v>
      </c>
      <c r="AM160" s="1070">
        <f t="shared" si="14"/>
        <v>54.487299495402986</v>
      </c>
      <c r="AN160" s="1074" t="s">
        <v>394</v>
      </c>
      <c r="AO160" s="449"/>
      <c r="AP160" s="449"/>
    </row>
    <row r="161" spans="1:42" ht="54" customHeight="1">
      <c r="A161" s="1379" t="s">
        <v>157</v>
      </c>
      <c r="B161" s="1379"/>
      <c r="C161" s="1379"/>
      <c r="D161" s="1379"/>
      <c r="E161" s="1080"/>
      <c r="F161" s="1081">
        <f t="shared" ref="F161:AM161" si="17">F16+F98</f>
        <v>8825</v>
      </c>
      <c r="G161" s="1081">
        <f t="shared" si="17"/>
        <v>7849</v>
      </c>
      <c r="H161" s="1081">
        <f t="shared" si="17"/>
        <v>7474</v>
      </c>
      <c r="I161" s="1081">
        <f t="shared" si="17"/>
        <v>9788</v>
      </c>
      <c r="J161" s="1081">
        <f t="shared" si="17"/>
        <v>9254</v>
      </c>
      <c r="K161" s="1081">
        <f t="shared" si="17"/>
        <v>8619</v>
      </c>
      <c r="L161" s="1081">
        <f t="shared" si="17"/>
        <v>15650</v>
      </c>
      <c r="M161" s="1081">
        <f t="shared" si="17"/>
        <v>19234</v>
      </c>
      <c r="N161" s="1081">
        <f t="shared" si="17"/>
        <v>19923</v>
      </c>
      <c r="O161" s="1081">
        <f t="shared" si="17"/>
        <v>12167</v>
      </c>
      <c r="P161" s="1081">
        <f t="shared" si="17"/>
        <v>13473</v>
      </c>
      <c r="Q161" s="1081">
        <f t="shared" si="17"/>
        <v>11342</v>
      </c>
      <c r="R161" s="1081">
        <f t="shared" si="17"/>
        <v>9407</v>
      </c>
      <c r="S161" s="1081">
        <f t="shared" si="17"/>
        <v>6356</v>
      </c>
      <c r="T161" s="1081">
        <f t="shared" si="17"/>
        <v>0</v>
      </c>
      <c r="U161" s="1081">
        <f t="shared" si="17"/>
        <v>6114</v>
      </c>
      <c r="V161" s="1081">
        <f t="shared" si="17"/>
        <v>14724</v>
      </c>
      <c r="W161" s="1081">
        <f t="shared" si="17"/>
        <v>9511</v>
      </c>
      <c r="X161" s="1081">
        <f t="shared" si="17"/>
        <v>8340</v>
      </c>
      <c r="Y161" s="1081">
        <f t="shared" si="17"/>
        <v>11431</v>
      </c>
      <c r="Z161" s="1081">
        <f t="shared" si="17"/>
        <v>13049</v>
      </c>
      <c r="AA161" s="1081">
        <f t="shared" si="17"/>
        <v>13285</v>
      </c>
      <c r="AB161" s="1081">
        <f t="shared" si="17"/>
        <v>10066</v>
      </c>
      <c r="AC161" s="1081">
        <f t="shared" si="17"/>
        <v>12174</v>
      </c>
      <c r="AD161" s="1081">
        <f t="shared" si="17"/>
        <v>13557</v>
      </c>
      <c r="AE161" s="1081">
        <f t="shared" si="17"/>
        <v>10850</v>
      </c>
      <c r="AF161" s="1081">
        <f t="shared" si="17"/>
        <v>8482</v>
      </c>
      <c r="AG161" s="1081">
        <f t="shared" si="17"/>
        <v>12509</v>
      </c>
      <c r="AH161" s="1081">
        <f t="shared" si="17"/>
        <v>12765</v>
      </c>
      <c r="AI161" s="1081">
        <f t="shared" si="17"/>
        <v>10839</v>
      </c>
      <c r="AJ161" s="1081">
        <f t="shared" si="17"/>
        <v>0</v>
      </c>
      <c r="AK161" s="1081">
        <f t="shared" si="17"/>
        <v>327057</v>
      </c>
      <c r="AL161" s="1081">
        <f t="shared" si="17"/>
        <v>0</v>
      </c>
      <c r="AM161" s="1081">
        <f t="shared" si="17"/>
        <v>151351.57400000002</v>
      </c>
      <c r="AN161" s="795"/>
      <c r="AO161" s="449"/>
      <c r="AP161" s="466" t="e">
        <f>SUM(#REF!)</f>
        <v>#REF!</v>
      </c>
    </row>
    <row r="162" spans="1:42" ht="41.25" customHeight="1">
      <c r="A162" s="464"/>
      <c r="B162" s="465"/>
      <c r="C162" s="465"/>
      <c r="D162" s="465"/>
      <c r="E162" s="465"/>
      <c r="F162" s="465"/>
      <c r="G162" s="465"/>
      <c r="H162" s="465"/>
      <c r="I162" s="465"/>
      <c r="J162" s="465"/>
      <c r="K162" s="465"/>
      <c r="L162" s="465"/>
      <c r="M162" s="465"/>
      <c r="N162" s="465"/>
      <c r="O162" s="465"/>
      <c r="P162" s="465"/>
      <c r="Q162" s="465"/>
      <c r="R162" s="465"/>
      <c r="S162" s="465"/>
      <c r="T162" s="465"/>
      <c r="U162" s="465"/>
      <c r="V162" s="465"/>
      <c r="W162" s="465"/>
      <c r="X162" s="465"/>
      <c r="Y162" s="465"/>
      <c r="Z162" s="465"/>
      <c r="AA162" s="464"/>
      <c r="AB162" s="464"/>
      <c r="AC162" s="464"/>
      <c r="AD162" s="464"/>
      <c r="AE162" s="464"/>
      <c r="AF162" s="464"/>
      <c r="AG162" s="464"/>
      <c r="AH162" s="464"/>
      <c r="AI162" s="464"/>
      <c r="AJ162" s="464"/>
      <c r="AK162" s="464"/>
      <c r="AL162" s="464"/>
      <c r="AM162" s="464"/>
      <c r="AN162" s="464"/>
      <c r="AO162" s="449"/>
      <c r="AP162" s="449"/>
    </row>
    <row r="163" spans="1:42" ht="41.25" hidden="1" customHeight="1">
      <c r="A163" s="1378" t="s">
        <v>4</v>
      </c>
      <c r="B163" s="1378"/>
      <c r="C163" s="1378"/>
      <c r="D163" s="1378"/>
      <c r="E163" s="940"/>
      <c r="F163" s="1341" t="s">
        <v>385</v>
      </c>
      <c r="G163" s="1342"/>
      <c r="H163" s="1343"/>
      <c r="I163" s="1378" t="s">
        <v>387</v>
      </c>
      <c r="J163" s="1378"/>
      <c r="K163" s="1378"/>
      <c r="L163" s="1378"/>
      <c r="M163" s="1341" t="s">
        <v>390</v>
      </c>
      <c r="N163" s="1342"/>
      <c r="O163" s="1342"/>
      <c r="P163" s="1342"/>
      <c r="Q163" s="1343"/>
      <c r="R163" s="1341" t="s">
        <v>391</v>
      </c>
      <c r="S163" s="1342"/>
      <c r="T163" s="1342"/>
      <c r="U163" s="1342"/>
      <c r="V163" s="1343"/>
      <c r="W163" s="1359" t="s">
        <v>468</v>
      </c>
      <c r="X163" s="1360"/>
      <c r="Y163" s="1360"/>
      <c r="Z163" s="1360"/>
      <c r="AA163" s="1360"/>
      <c r="AB163" s="1360"/>
      <c r="AC163" s="1360"/>
      <c r="AD163" s="1361"/>
      <c r="AE163" s="1359" t="s">
        <v>469</v>
      </c>
      <c r="AF163" s="1360"/>
      <c r="AG163" s="1361"/>
      <c r="AH163" s="457"/>
      <c r="AI163" s="457"/>
      <c r="AJ163" s="457"/>
      <c r="AK163" s="457"/>
      <c r="AL163" s="1391"/>
      <c r="AM163" s="1391"/>
      <c r="AN163" s="464"/>
      <c r="AO163" s="449"/>
      <c r="AP163" s="466" t="e">
        <f>SUM(AP13:AP161)</f>
        <v>#REF!</v>
      </c>
    </row>
    <row r="164" spans="1:42" ht="41.25" hidden="1" customHeight="1">
      <c r="A164" s="774" t="s">
        <v>392</v>
      </c>
      <c r="B164" s="775"/>
      <c r="C164" s="775"/>
      <c r="D164" s="775"/>
      <c r="E164" s="775"/>
      <c r="F164" s="1342">
        <f>SUM(F165:H168)</f>
        <v>131</v>
      </c>
      <c r="G164" s="1342"/>
      <c r="H164" s="1343"/>
      <c r="I164" s="1341"/>
      <c r="J164" s="1342"/>
      <c r="K164" s="1342"/>
      <c r="L164" s="1343"/>
      <c r="M164" s="1374">
        <f>SUM(M165:Q168)</f>
        <v>318229</v>
      </c>
      <c r="N164" s="1375"/>
      <c r="O164" s="1375"/>
      <c r="P164" s="1375"/>
      <c r="Q164" s="1376"/>
      <c r="R164" s="1374">
        <f>SUM(R165:V168)</f>
        <v>147264.84505338588</v>
      </c>
      <c r="S164" s="1375"/>
      <c r="T164" s="1375"/>
      <c r="U164" s="1375"/>
      <c r="V164" s="1376"/>
      <c r="W164" s="1362">
        <f>SUM(W165:AD167)</f>
        <v>97.29984377525264</v>
      </c>
      <c r="X164" s="1363"/>
      <c r="Y164" s="1363"/>
      <c r="Z164" s="1363"/>
      <c r="AA164" s="1363"/>
      <c r="AB164" s="1363"/>
      <c r="AC164" s="1363"/>
      <c r="AD164" s="1363"/>
      <c r="AE164" s="1346"/>
      <c r="AF164" s="1347"/>
      <c r="AG164" s="1348"/>
      <c r="AH164" s="457"/>
      <c r="AI164" s="457"/>
      <c r="AJ164" s="457"/>
      <c r="AK164" s="457"/>
      <c r="AL164" s="457"/>
      <c r="AM164" s="457"/>
      <c r="AN164" s="464"/>
      <c r="AO164" s="449"/>
      <c r="AP164" s="449"/>
    </row>
    <row r="165" spans="1:42" ht="41.25" hidden="1" customHeight="1">
      <c r="A165" s="1364">
        <v>1</v>
      </c>
      <c r="B165" s="1364"/>
      <c r="C165" s="1364"/>
      <c r="D165" s="1364"/>
      <c r="E165" s="937"/>
      <c r="F165" s="1364">
        <f>SUM(COUNTIF(AN16:AN160,"A"))</f>
        <v>92</v>
      </c>
      <c r="G165" s="1364"/>
      <c r="H165" s="1364"/>
      <c r="I165" s="1364" t="s">
        <v>38</v>
      </c>
      <c r="J165" s="1364"/>
      <c r="K165" s="1364"/>
      <c r="L165" s="1364"/>
      <c r="M165" s="1365">
        <f>SUMIF($AN$15:$AN$160,"A",$AK$15:$AK$160)</f>
        <v>231883</v>
      </c>
      <c r="N165" s="1366"/>
      <c r="O165" s="1366"/>
      <c r="P165" s="1366"/>
      <c r="Q165" s="1367"/>
      <c r="R165" s="1344">
        <f>SUMIF($AN$15:$AN$160,"A",$AM$15:$AM$160)</f>
        <v>107329.30014897724</v>
      </c>
      <c r="S165" s="1344"/>
      <c r="T165" s="1344"/>
      <c r="U165" s="1344"/>
      <c r="V165" s="1344"/>
      <c r="W165" s="1381">
        <f>R165/R171*100</f>
        <v>70.913897564737084</v>
      </c>
      <c r="X165" s="1381"/>
      <c r="Y165" s="1381"/>
      <c r="Z165" s="1381"/>
      <c r="AA165" s="1381"/>
      <c r="AB165" s="1381"/>
      <c r="AC165" s="1381"/>
      <c r="AD165" s="1381"/>
      <c r="AE165" s="1346"/>
      <c r="AF165" s="1347"/>
      <c r="AG165" s="1348"/>
      <c r="AH165" s="457"/>
      <c r="AI165" s="457"/>
      <c r="AJ165" s="457"/>
      <c r="AK165" s="457"/>
      <c r="AL165" s="457"/>
      <c r="AM165" s="457"/>
      <c r="AN165" s="464"/>
      <c r="AO165" s="449"/>
      <c r="AP165" s="449"/>
    </row>
    <row r="166" spans="1:42" ht="41.25" hidden="1" customHeight="1">
      <c r="A166" s="1364">
        <v>2</v>
      </c>
      <c r="B166" s="1364"/>
      <c r="C166" s="1364"/>
      <c r="D166" s="1364"/>
      <c r="E166" s="937"/>
      <c r="F166" s="1364">
        <f>SUM(COUNTIF(AN16:AN160,"B"))</f>
        <v>39</v>
      </c>
      <c r="G166" s="1364"/>
      <c r="H166" s="1364"/>
      <c r="I166" s="1364" t="s">
        <v>46</v>
      </c>
      <c r="J166" s="1364"/>
      <c r="K166" s="1364"/>
      <c r="L166" s="1364"/>
      <c r="M166" s="1344">
        <f>SUMIF($AN$15:$AN$160,"B",$AK$15:$AK$160)</f>
        <v>86346</v>
      </c>
      <c r="N166" s="1344"/>
      <c r="O166" s="1344"/>
      <c r="P166" s="1344"/>
      <c r="Q166" s="1344"/>
      <c r="R166" s="1344">
        <f>SUMIF($AN$15:$AN$160,"B",$AM$15:$AM$160)</f>
        <v>39935.544904408634</v>
      </c>
      <c r="S166" s="1344"/>
      <c r="T166" s="1344"/>
      <c r="U166" s="1344"/>
      <c r="V166" s="1344"/>
      <c r="W166" s="1381">
        <f>R166/R171*100</f>
        <v>26.385946210515549</v>
      </c>
      <c r="X166" s="1381"/>
      <c r="Y166" s="1381"/>
      <c r="Z166" s="1381"/>
      <c r="AA166" s="1381"/>
      <c r="AB166" s="1381"/>
      <c r="AC166" s="1381"/>
      <c r="AD166" s="1381"/>
      <c r="AE166" s="1346"/>
      <c r="AF166" s="1347"/>
      <c r="AG166" s="1348"/>
      <c r="AH166" s="457"/>
      <c r="AI166" s="457"/>
      <c r="AJ166" s="457"/>
      <c r="AK166" s="457"/>
      <c r="AL166" s="457"/>
      <c r="AM166" s="542">
        <f>AM161+'BTH mủ Sỉum'!AJ20</f>
        <v>151351.57400000002</v>
      </c>
      <c r="AN166" s="464"/>
      <c r="AO166" s="449"/>
      <c r="AP166" s="449"/>
    </row>
    <row r="167" spans="1:42" ht="41.25" hidden="1" customHeight="1">
      <c r="A167" s="1364">
        <v>3</v>
      </c>
      <c r="B167" s="1364"/>
      <c r="C167" s="1364"/>
      <c r="D167" s="1364"/>
      <c r="E167" s="937"/>
      <c r="F167" s="1364">
        <f>SUM(COUNTIF(AN16:AN160,"C"))</f>
        <v>0</v>
      </c>
      <c r="G167" s="1364"/>
      <c r="H167" s="1364"/>
      <c r="I167" s="1364" t="s">
        <v>386</v>
      </c>
      <c r="J167" s="1364"/>
      <c r="K167" s="1364"/>
      <c r="L167" s="1364"/>
      <c r="M167" s="1344">
        <f>SUMIF($AN$15:$AN$160,"C",$AK$15:$AK$160)</f>
        <v>0</v>
      </c>
      <c r="N167" s="1344"/>
      <c r="O167" s="1344"/>
      <c r="P167" s="1344"/>
      <c r="Q167" s="1344"/>
      <c r="R167" s="1344">
        <f>SUMIF($AN$15:$AN$160,"C",$AM$15:$AM$160)</f>
        <v>0</v>
      </c>
      <c r="S167" s="1344"/>
      <c r="T167" s="1344"/>
      <c r="U167" s="1344"/>
      <c r="V167" s="1344"/>
      <c r="W167" s="1381">
        <f>R167/R171*100</f>
        <v>0</v>
      </c>
      <c r="X167" s="1381"/>
      <c r="Y167" s="1381"/>
      <c r="Z167" s="1381"/>
      <c r="AA167" s="1381"/>
      <c r="AB167" s="1381"/>
      <c r="AC167" s="1381"/>
      <c r="AD167" s="1381"/>
      <c r="AE167" s="1346"/>
      <c r="AF167" s="1347"/>
      <c r="AG167" s="1348"/>
      <c r="AH167" s="457"/>
      <c r="AI167" s="457"/>
      <c r="AJ167" s="457"/>
      <c r="AK167" s="457"/>
      <c r="AL167" s="457"/>
      <c r="AM167" s="457"/>
      <c r="AN167" s="464"/>
      <c r="AO167" s="449"/>
      <c r="AP167" s="449"/>
    </row>
    <row r="168" spans="1:42" ht="41.25" hidden="1" customHeight="1">
      <c r="A168" s="1364">
        <v>4</v>
      </c>
      <c r="B168" s="1364"/>
      <c r="C168" s="1364"/>
      <c r="D168" s="1364"/>
      <c r="E168" s="937"/>
      <c r="F168" s="1364">
        <f>SUM(COUNTIF(AN16:AN160,"D"))</f>
        <v>0</v>
      </c>
      <c r="G168" s="1364"/>
      <c r="H168" s="1364"/>
      <c r="I168" s="1364" t="s">
        <v>47</v>
      </c>
      <c r="J168" s="1364"/>
      <c r="K168" s="1364"/>
      <c r="L168" s="1364"/>
      <c r="M168" s="1344">
        <f>SUMIF($AN$15:$AN$160,"D",$AK$15:$AK$160)</f>
        <v>0</v>
      </c>
      <c r="N168" s="1344"/>
      <c r="O168" s="1344"/>
      <c r="P168" s="1344"/>
      <c r="Q168" s="1344"/>
      <c r="R168" s="1344">
        <f>SUMIF($AN$15:$AN$160,"D",$AM$15:$AM$160)</f>
        <v>0</v>
      </c>
      <c r="S168" s="1344"/>
      <c r="T168" s="1344"/>
      <c r="U168" s="1344"/>
      <c r="V168" s="1344"/>
      <c r="W168" s="1381">
        <f>R168/R171*100</f>
        <v>0</v>
      </c>
      <c r="X168" s="1381"/>
      <c r="Y168" s="1381"/>
      <c r="Z168" s="1381"/>
      <c r="AA168" s="1381"/>
      <c r="AB168" s="1381"/>
      <c r="AC168" s="1381"/>
      <c r="AD168" s="1381"/>
      <c r="AE168" s="1346"/>
      <c r="AF168" s="1347"/>
      <c r="AG168" s="1348"/>
      <c r="AH168" s="457"/>
      <c r="AI168" s="457"/>
      <c r="AJ168" s="457"/>
      <c r="AK168" s="457"/>
      <c r="AL168" s="457"/>
      <c r="AM168" s="457"/>
      <c r="AN168" s="464"/>
      <c r="AO168" s="449"/>
      <c r="AP168" s="449"/>
    </row>
    <row r="169" spans="1:42" s="472" customFormat="1" ht="41.25" hidden="1" customHeight="1">
      <c r="A169" s="774" t="s">
        <v>393</v>
      </c>
      <c r="B169" s="775"/>
      <c r="C169" s="775"/>
      <c r="D169" s="775"/>
      <c r="E169" s="775"/>
      <c r="F169" s="1342">
        <f>F170</f>
        <v>12</v>
      </c>
      <c r="G169" s="1342"/>
      <c r="H169" s="1343"/>
      <c r="I169" s="1341"/>
      <c r="J169" s="1342"/>
      <c r="K169" s="1342"/>
      <c r="L169" s="1343"/>
      <c r="M169" s="1374">
        <f>M170</f>
        <v>8828</v>
      </c>
      <c r="N169" s="1375"/>
      <c r="O169" s="1375"/>
      <c r="P169" s="1375"/>
      <c r="Q169" s="1376"/>
      <c r="R169" s="1374">
        <f>R170</f>
        <v>4086.7289466141133</v>
      </c>
      <c r="S169" s="1375"/>
      <c r="T169" s="1375"/>
      <c r="U169" s="1375"/>
      <c r="V169" s="1376"/>
      <c r="W169" s="1349">
        <f>W170</f>
        <v>2.7001562247473641</v>
      </c>
      <c r="X169" s="1350"/>
      <c r="Y169" s="1350"/>
      <c r="Z169" s="1350"/>
      <c r="AA169" s="1350"/>
      <c r="AB169" s="1350"/>
      <c r="AC169" s="1350"/>
      <c r="AD169" s="1351"/>
      <c r="AE169" s="1346"/>
      <c r="AF169" s="1347"/>
      <c r="AG169" s="1348"/>
      <c r="AH169" s="470"/>
      <c r="AI169" s="470"/>
      <c r="AJ169" s="470"/>
      <c r="AK169" s="470"/>
      <c r="AL169" s="470"/>
      <c r="AM169" s="470"/>
      <c r="AN169" s="471"/>
    </row>
    <row r="170" spans="1:42" ht="41.25" hidden="1" customHeight="1">
      <c r="A170" s="1368">
        <v>1</v>
      </c>
      <c r="B170" s="1369"/>
      <c r="C170" s="1369"/>
      <c r="D170" s="1370"/>
      <c r="E170" s="939"/>
      <c r="F170" s="1364">
        <f>SUM(COUNTIF(AN19:AN163,"C."))</f>
        <v>12</v>
      </c>
      <c r="G170" s="1364"/>
      <c r="H170" s="1364"/>
      <c r="I170" s="1368" t="s">
        <v>394</v>
      </c>
      <c r="J170" s="1369"/>
      <c r="K170" s="1369"/>
      <c r="L170" s="1370"/>
      <c r="M170" s="1344">
        <f>SUMIF($AN$15:$AN$160,"C.",$AK$15:$AK$160)</f>
        <v>8828</v>
      </c>
      <c r="N170" s="1344"/>
      <c r="O170" s="1344"/>
      <c r="P170" s="1344"/>
      <c r="Q170" s="1344"/>
      <c r="R170" s="1344">
        <f>SUMIF($AN$15:$AN$160,"C.",$AM$15:$AM$160)</f>
        <v>4086.7289466141133</v>
      </c>
      <c r="S170" s="1344"/>
      <c r="T170" s="1344"/>
      <c r="U170" s="1344"/>
      <c r="V170" s="1344"/>
      <c r="W170" s="1381">
        <f>R170/R171*100</f>
        <v>2.7001562247473641</v>
      </c>
      <c r="X170" s="1381"/>
      <c r="Y170" s="1381"/>
      <c r="Z170" s="1381"/>
      <c r="AA170" s="1381"/>
      <c r="AB170" s="1381"/>
      <c r="AC170" s="1381"/>
      <c r="AD170" s="1381"/>
      <c r="AE170" s="1346"/>
      <c r="AF170" s="1347"/>
      <c r="AG170" s="1348"/>
      <c r="AH170" s="457"/>
      <c r="AI170" s="457"/>
      <c r="AJ170" s="457"/>
      <c r="AK170" s="457"/>
      <c r="AL170" s="457"/>
      <c r="AM170" s="457"/>
      <c r="AN170" s="464"/>
      <c r="AO170" s="449"/>
      <c r="AP170" s="449"/>
    </row>
    <row r="171" spans="1:42" ht="41.25" hidden="1" customHeight="1">
      <c r="A171" s="1378" t="s">
        <v>157</v>
      </c>
      <c r="B171" s="1378"/>
      <c r="C171" s="1378"/>
      <c r="D171" s="1378"/>
      <c r="E171" s="938"/>
      <c r="F171" s="1378">
        <f>F164+F169</f>
        <v>143</v>
      </c>
      <c r="G171" s="1378"/>
      <c r="H171" s="1378"/>
      <c r="I171" s="1341"/>
      <c r="J171" s="1342"/>
      <c r="K171" s="1342"/>
      <c r="L171" s="1343"/>
      <c r="M171" s="1371">
        <f>M164+M169</f>
        <v>327057</v>
      </c>
      <c r="N171" s="1372"/>
      <c r="O171" s="1372"/>
      <c r="P171" s="1372"/>
      <c r="Q171" s="1373"/>
      <c r="R171" s="1371">
        <f>R164+R169</f>
        <v>151351.57399999999</v>
      </c>
      <c r="S171" s="1372"/>
      <c r="T171" s="1372"/>
      <c r="U171" s="1372"/>
      <c r="V171" s="1373"/>
      <c r="W171" s="1385">
        <f>W164+W169</f>
        <v>100</v>
      </c>
      <c r="X171" s="1385"/>
      <c r="Y171" s="1385"/>
      <c r="Z171" s="1385"/>
      <c r="AA171" s="1385"/>
      <c r="AB171" s="1385"/>
      <c r="AC171" s="1385"/>
      <c r="AD171" s="1385"/>
      <c r="AE171" s="1386"/>
      <c r="AF171" s="1387"/>
      <c r="AG171" s="1388"/>
      <c r="AH171" s="457"/>
      <c r="AI171" s="457"/>
      <c r="AJ171" s="457"/>
      <c r="AK171" s="457"/>
      <c r="AL171" s="457"/>
      <c r="AM171" s="457"/>
      <c r="AN171" s="464"/>
      <c r="AO171" s="449"/>
      <c r="AP171" s="449"/>
    </row>
    <row r="172" spans="1:42" ht="41.25" hidden="1" customHeight="1">
      <c r="A172" s="1034"/>
      <c r="B172" s="1034"/>
      <c r="C172" s="1034"/>
      <c r="D172" s="1034"/>
      <c r="E172" s="1034"/>
      <c r="F172" s="1034"/>
      <c r="G172" s="1034"/>
      <c r="H172" s="1034"/>
      <c r="I172" s="1034"/>
      <c r="J172" s="1034"/>
      <c r="K172" s="1034"/>
      <c r="L172" s="1034"/>
      <c r="M172" s="1034"/>
      <c r="N172" s="1034"/>
      <c r="O172" s="1034"/>
      <c r="P172" s="1034"/>
      <c r="Q172" s="1034"/>
      <c r="R172" s="1034"/>
      <c r="S172" s="1034"/>
      <c r="T172" s="1034"/>
      <c r="U172" s="1034"/>
      <c r="V172" s="1034"/>
      <c r="W172" s="1034"/>
      <c r="X172" s="1034"/>
      <c r="Y172" s="1034"/>
      <c r="Z172" s="1034"/>
      <c r="AA172" s="1034"/>
      <c r="AB172" s="1034"/>
      <c r="AC172" s="1034"/>
      <c r="AD172" s="1034"/>
      <c r="AE172" s="1034"/>
      <c r="AF172" s="1034"/>
      <c r="AG172" s="1034"/>
      <c r="AH172" s="1034"/>
      <c r="AI172" s="1034"/>
      <c r="AJ172" s="1034"/>
      <c r="AK172" s="1034"/>
      <c r="AL172" s="1034"/>
      <c r="AM172" s="1034"/>
      <c r="AN172" s="1034"/>
      <c r="AO172" s="449"/>
      <c r="AP172" s="449"/>
    </row>
    <row r="173" spans="1:42" ht="52.9" customHeight="1">
      <c r="A173" s="1036"/>
      <c r="B173" s="1036"/>
      <c r="C173" s="1036"/>
      <c r="D173" s="1323" t="s">
        <v>4</v>
      </c>
      <c r="E173" s="1323"/>
      <c r="F173" s="1325" t="s">
        <v>785</v>
      </c>
      <c r="G173" s="1325"/>
      <c r="H173" s="1325"/>
      <c r="I173" s="1325"/>
      <c r="J173" s="1325"/>
      <c r="K173" s="1325"/>
      <c r="L173" s="1325"/>
      <c r="M173" s="1325" t="s">
        <v>397</v>
      </c>
      <c r="N173" s="1325"/>
      <c r="O173" s="1325"/>
      <c r="P173" s="1325"/>
      <c r="Q173" s="1325"/>
      <c r="R173" s="1325"/>
      <c r="S173" s="1325"/>
      <c r="T173" s="1335" t="s">
        <v>786</v>
      </c>
      <c r="U173" s="1336"/>
      <c r="V173" s="1336"/>
      <c r="W173" s="1336"/>
      <c r="X173" s="1336"/>
      <c r="Y173" s="1336"/>
      <c r="Z173" s="1336"/>
      <c r="AA173" s="1336"/>
      <c r="AB173" s="1336"/>
      <c r="AC173" s="1336"/>
      <c r="AD173" s="1336"/>
      <c r="AE173" s="1336"/>
      <c r="AF173" s="1336"/>
      <c r="AG173" s="1336"/>
      <c r="AH173" s="1336"/>
      <c r="AI173" s="1336"/>
      <c r="AJ173" s="1336"/>
      <c r="AK173" s="1337"/>
      <c r="AL173" s="1327" t="s">
        <v>67</v>
      </c>
      <c r="AM173" s="1327"/>
      <c r="AN173" s="1037"/>
      <c r="AO173" s="449"/>
      <c r="AP173" s="449"/>
    </row>
    <row r="174" spans="1:42" ht="52.9" customHeight="1">
      <c r="A174" s="1036"/>
      <c r="B174" s="1036"/>
      <c r="C174" s="1036"/>
      <c r="D174" s="1323"/>
      <c r="E174" s="1323"/>
      <c r="F174" s="1325"/>
      <c r="G174" s="1325"/>
      <c r="H174" s="1325"/>
      <c r="I174" s="1325"/>
      <c r="J174" s="1325"/>
      <c r="K174" s="1325"/>
      <c r="L174" s="1325"/>
      <c r="M174" s="1325" t="s">
        <v>787</v>
      </c>
      <c r="N174" s="1325"/>
      <c r="O174" s="1325"/>
      <c r="P174" s="1325"/>
      <c r="Q174" s="1325" t="s">
        <v>788</v>
      </c>
      <c r="R174" s="1325"/>
      <c r="S174" s="1325"/>
      <c r="T174" s="1335" t="s">
        <v>789</v>
      </c>
      <c r="U174" s="1336"/>
      <c r="V174" s="1336"/>
      <c r="W174" s="1336"/>
      <c r="X174" s="1336"/>
      <c r="Y174" s="1336"/>
      <c r="Z174" s="1337"/>
      <c r="AA174" s="1335" t="s">
        <v>790</v>
      </c>
      <c r="AB174" s="1336"/>
      <c r="AC174" s="1336"/>
      <c r="AD174" s="1336"/>
      <c r="AE174" s="1336"/>
      <c r="AF174" s="1336"/>
      <c r="AG174" s="1337"/>
      <c r="AH174" s="1338" t="s">
        <v>791</v>
      </c>
      <c r="AI174" s="1339"/>
      <c r="AJ174" s="1339"/>
      <c r="AK174" s="1340"/>
      <c r="AL174" s="1327"/>
      <c r="AM174" s="1327"/>
      <c r="AN174" s="1037"/>
      <c r="AO174" s="449"/>
      <c r="AP174" s="449"/>
    </row>
    <row r="175" spans="1:42" ht="52.9" customHeight="1">
      <c r="A175" s="1038"/>
      <c r="B175" s="1038"/>
      <c r="C175" s="1038"/>
      <c r="D175" s="1323" t="s">
        <v>792</v>
      </c>
      <c r="E175" s="1323"/>
      <c r="F175" s="1325">
        <f>SUM(F176:L179)</f>
        <v>73</v>
      </c>
      <c r="G175" s="1325"/>
      <c r="H175" s="1325"/>
      <c r="I175" s="1325"/>
      <c r="J175" s="1325"/>
      <c r="K175" s="1325"/>
      <c r="L175" s="1325"/>
      <c r="M175" s="1325"/>
      <c r="N175" s="1325"/>
      <c r="O175" s="1325"/>
      <c r="P175" s="1325"/>
      <c r="Q175" s="1332">
        <f>SUM(Q176:S179)</f>
        <v>100</v>
      </c>
      <c r="R175" s="1332"/>
      <c r="S175" s="1332"/>
      <c r="T175" s="1332">
        <f>SUM(T176:Z179)</f>
        <v>163631</v>
      </c>
      <c r="U175" s="1332"/>
      <c r="V175" s="1332"/>
      <c r="W175" s="1332"/>
      <c r="X175" s="1332"/>
      <c r="Y175" s="1332"/>
      <c r="Z175" s="1332"/>
      <c r="AA175" s="1332">
        <f>SUM(AA176:AG179)</f>
        <v>75878.171092451055</v>
      </c>
      <c r="AB175" s="1332"/>
      <c r="AC175" s="1332"/>
      <c r="AD175" s="1332"/>
      <c r="AE175" s="1332"/>
      <c r="AF175" s="1332"/>
      <c r="AG175" s="1332"/>
      <c r="AH175" s="1332">
        <f>SUM(AH176:AK179)</f>
        <v>100.00000000000001</v>
      </c>
      <c r="AI175" s="1332"/>
      <c r="AJ175" s="1332"/>
      <c r="AK175" s="1332"/>
      <c r="AL175" s="1327"/>
      <c r="AM175" s="1327"/>
      <c r="AN175" s="1039"/>
      <c r="AO175" s="449"/>
      <c r="AP175" s="449"/>
    </row>
    <row r="176" spans="1:42" ht="52.9" customHeight="1">
      <c r="A176" s="1041"/>
      <c r="B176" s="1041"/>
      <c r="C176" s="1041"/>
      <c r="D176" s="1318"/>
      <c r="E176" s="1318"/>
      <c r="F176" s="1319">
        <f>COUNTIF($AN$17:$AN$97,"A")</f>
        <v>56</v>
      </c>
      <c r="G176" s="1319"/>
      <c r="H176" s="1319"/>
      <c r="I176" s="1319"/>
      <c r="J176" s="1319"/>
      <c r="K176" s="1319"/>
      <c r="L176" s="1319"/>
      <c r="M176" s="1319" t="s">
        <v>38</v>
      </c>
      <c r="N176" s="1319"/>
      <c r="O176" s="1319"/>
      <c r="P176" s="1319"/>
      <c r="Q176" s="1320">
        <f>+F176/$F$175*100</f>
        <v>76.712328767123282</v>
      </c>
      <c r="R176" s="1320"/>
      <c r="S176" s="1320"/>
      <c r="T176" s="1324">
        <f>SUMIF($AN$17:$AN$97,"A",$AK$17:$AK$97)</f>
        <v>130596</v>
      </c>
      <c r="U176" s="1324"/>
      <c r="V176" s="1324"/>
      <c r="W176" s="1324"/>
      <c r="X176" s="1324"/>
      <c r="Y176" s="1324"/>
      <c r="Z176" s="1324"/>
      <c r="AA176" s="1321">
        <f>SUMIF($AN$17:$AN$97,"A",$AM$17:$AM$97)</f>
        <v>60559.341640579958</v>
      </c>
      <c r="AB176" s="1321"/>
      <c r="AC176" s="1321"/>
      <c r="AD176" s="1321"/>
      <c r="AE176" s="1321"/>
      <c r="AF176" s="1321"/>
      <c r="AG176" s="1321"/>
      <c r="AH176" s="1320">
        <f>+AA176/$AA$175*100</f>
        <v>79.811282703155285</v>
      </c>
      <c r="AI176" s="1320"/>
      <c r="AJ176" s="1320"/>
      <c r="AK176" s="1320"/>
      <c r="AL176" s="1322"/>
      <c r="AM176" s="1322"/>
      <c r="AN176" s="1042"/>
      <c r="AO176" s="449"/>
      <c r="AP176" s="449"/>
    </row>
    <row r="177" spans="1:42" ht="52.9" customHeight="1">
      <c r="A177" s="1041"/>
      <c r="B177" s="1041"/>
      <c r="C177" s="1041"/>
      <c r="D177" s="1318"/>
      <c r="E177" s="1318"/>
      <c r="F177" s="1319">
        <f>COUNTIF($AN$17:$AN$96,"B")</f>
        <v>17</v>
      </c>
      <c r="G177" s="1319"/>
      <c r="H177" s="1319"/>
      <c r="I177" s="1319"/>
      <c r="J177" s="1319"/>
      <c r="K177" s="1319"/>
      <c r="L177" s="1319"/>
      <c r="M177" s="1319" t="s">
        <v>46</v>
      </c>
      <c r="N177" s="1319"/>
      <c r="O177" s="1319"/>
      <c r="P177" s="1319"/>
      <c r="Q177" s="1320">
        <f>+F177/$F$175*100</f>
        <v>23.287671232876711</v>
      </c>
      <c r="R177" s="1320"/>
      <c r="S177" s="1320"/>
      <c r="T177" s="1324">
        <f>SUMIF($AN$17:$AN$97,"B",$AK$17:$AK$97)</f>
        <v>33035</v>
      </c>
      <c r="U177" s="1324"/>
      <c r="V177" s="1324"/>
      <c r="W177" s="1324"/>
      <c r="X177" s="1324"/>
      <c r="Y177" s="1324"/>
      <c r="Z177" s="1324"/>
      <c r="AA177" s="1321">
        <f>SUMIF($AN$17:$AN$97,"B",$AM$17:$AM$97)</f>
        <v>15318.829451871101</v>
      </c>
      <c r="AB177" s="1321"/>
      <c r="AC177" s="1321"/>
      <c r="AD177" s="1321"/>
      <c r="AE177" s="1321"/>
      <c r="AF177" s="1321"/>
      <c r="AG177" s="1321"/>
      <c r="AH177" s="1320">
        <f>+AA177/$AA$175*100</f>
        <v>20.188717296844729</v>
      </c>
      <c r="AI177" s="1320"/>
      <c r="AJ177" s="1320"/>
      <c r="AK177" s="1320"/>
      <c r="AL177" s="1322"/>
      <c r="AM177" s="1322"/>
      <c r="AN177" s="1042"/>
      <c r="AO177" s="449"/>
      <c r="AP177" s="449"/>
    </row>
    <row r="178" spans="1:42" ht="52.9" customHeight="1">
      <c r="A178" s="1041"/>
      <c r="B178" s="1041"/>
      <c r="C178" s="1041"/>
      <c r="D178" s="1318"/>
      <c r="E178" s="1318"/>
      <c r="F178" s="1319">
        <f>COUNTIF($AN$17:$AN$96,"C")</f>
        <v>0</v>
      </c>
      <c r="G178" s="1319"/>
      <c r="H178" s="1319"/>
      <c r="I178" s="1319"/>
      <c r="J178" s="1319"/>
      <c r="K178" s="1319"/>
      <c r="L178" s="1319"/>
      <c r="M178" s="1319" t="s">
        <v>450</v>
      </c>
      <c r="N178" s="1319"/>
      <c r="O178" s="1319"/>
      <c r="P178" s="1319"/>
      <c r="Q178" s="1320">
        <f>+F178/$F$175*100</f>
        <v>0</v>
      </c>
      <c r="R178" s="1320"/>
      <c r="S178" s="1320"/>
      <c r="T178" s="1324">
        <f>SUMIF($AN$17:$AN$97,"C",$AK$17:$AK$97)</f>
        <v>0</v>
      </c>
      <c r="U178" s="1324"/>
      <c r="V178" s="1324"/>
      <c r="W178" s="1324"/>
      <c r="X178" s="1324"/>
      <c r="Y178" s="1324"/>
      <c r="Z178" s="1324"/>
      <c r="AA178" s="1321">
        <f>SUMIF($AN$17:$AN$97,"C",$AM$17:$AM$97)</f>
        <v>0</v>
      </c>
      <c r="AB178" s="1321"/>
      <c r="AC178" s="1321"/>
      <c r="AD178" s="1321"/>
      <c r="AE178" s="1321"/>
      <c r="AF178" s="1321"/>
      <c r="AG178" s="1321"/>
      <c r="AH178" s="1320">
        <f>+AA178/$AA$175*100</f>
        <v>0</v>
      </c>
      <c r="AI178" s="1320"/>
      <c r="AJ178" s="1320"/>
      <c r="AK178" s="1320"/>
      <c r="AL178" s="1322"/>
      <c r="AM178" s="1322"/>
      <c r="AN178" s="1042"/>
      <c r="AO178" s="449"/>
      <c r="AP178" s="449"/>
    </row>
    <row r="179" spans="1:42" ht="52.9" customHeight="1">
      <c r="A179" s="1041"/>
      <c r="B179" s="1041"/>
      <c r="C179" s="1041"/>
      <c r="D179" s="1318"/>
      <c r="E179" s="1318"/>
      <c r="F179" s="1319">
        <f>COUNTIF($AN$17:$AN$97,"D")</f>
        <v>0</v>
      </c>
      <c r="G179" s="1319"/>
      <c r="H179" s="1319"/>
      <c r="I179" s="1319"/>
      <c r="J179" s="1319"/>
      <c r="K179" s="1319"/>
      <c r="L179" s="1319"/>
      <c r="M179" s="1319" t="s">
        <v>47</v>
      </c>
      <c r="N179" s="1319"/>
      <c r="O179" s="1319"/>
      <c r="P179" s="1319"/>
      <c r="Q179" s="1320">
        <f>+F179/$F$175*100</f>
        <v>0</v>
      </c>
      <c r="R179" s="1320"/>
      <c r="S179" s="1320"/>
      <c r="T179" s="1324">
        <f>SUMIF($AN$17:$AN$97,"D",$AK$17:$AK$97)</f>
        <v>0</v>
      </c>
      <c r="U179" s="1324"/>
      <c r="V179" s="1324"/>
      <c r="W179" s="1324"/>
      <c r="X179" s="1324"/>
      <c r="Y179" s="1324"/>
      <c r="Z179" s="1324"/>
      <c r="AA179" s="1321">
        <f>SUMIF($AN$17:$AN$97,"D",$AM$17:$AM$97)</f>
        <v>0</v>
      </c>
      <c r="AB179" s="1321"/>
      <c r="AC179" s="1321"/>
      <c r="AD179" s="1321"/>
      <c r="AE179" s="1321"/>
      <c r="AF179" s="1321"/>
      <c r="AG179" s="1321"/>
      <c r="AH179" s="1320">
        <f>+AA179/$AA$175*100</f>
        <v>0</v>
      </c>
      <c r="AI179" s="1320"/>
      <c r="AJ179" s="1320"/>
      <c r="AK179" s="1320"/>
      <c r="AL179" s="1322"/>
      <c r="AM179" s="1322"/>
      <c r="AN179" s="1042"/>
      <c r="AO179" s="449"/>
      <c r="AP179" s="449"/>
    </row>
    <row r="180" spans="1:42" ht="52.9" customHeight="1">
      <c r="A180" s="1041"/>
      <c r="B180" s="1041"/>
      <c r="C180" s="1041"/>
      <c r="D180" s="1333" t="s">
        <v>793</v>
      </c>
      <c r="E180" s="1334"/>
      <c r="F180" s="1319">
        <f>COUNTIF($AN$17:$AN$97,"C.")</f>
        <v>8</v>
      </c>
      <c r="G180" s="1319"/>
      <c r="H180" s="1319"/>
      <c r="I180" s="1319"/>
      <c r="J180" s="1319"/>
      <c r="K180" s="1319"/>
      <c r="L180" s="1319"/>
      <c r="M180" s="1325" t="s">
        <v>394</v>
      </c>
      <c r="N180" s="1325"/>
      <c r="O180" s="1325"/>
      <c r="P180" s="1325"/>
      <c r="Q180" s="1331"/>
      <c r="R180" s="1331"/>
      <c r="S180" s="1331"/>
      <c r="T180" s="1324">
        <f>SUMIF($AN$17:$AN$97,"C.",$AK$17:$AK$97)</f>
        <v>5280</v>
      </c>
      <c r="U180" s="1324"/>
      <c r="V180" s="1324"/>
      <c r="W180" s="1324"/>
      <c r="X180" s="1324"/>
      <c r="Y180" s="1324"/>
      <c r="Z180" s="1324"/>
      <c r="AA180" s="1321">
        <f>SUMIF($AN$17:$AN$97,"C.",$AM$17:$AM$97)</f>
        <v>2448.4159075489456</v>
      </c>
      <c r="AB180" s="1321"/>
      <c r="AC180" s="1321"/>
      <c r="AD180" s="1321"/>
      <c r="AE180" s="1321"/>
      <c r="AF180" s="1321"/>
      <c r="AG180" s="1321"/>
      <c r="AH180" s="1331"/>
      <c r="AI180" s="1331"/>
      <c r="AJ180" s="1331"/>
      <c r="AK180" s="1331"/>
      <c r="AL180" s="1327"/>
      <c r="AM180" s="1327"/>
      <c r="AN180" s="1042"/>
      <c r="AO180" s="449"/>
      <c r="AP180" s="449"/>
    </row>
    <row r="181" spans="1:42" ht="52.9" customHeight="1">
      <c r="A181" s="1043"/>
      <c r="B181" s="1043"/>
      <c r="C181" s="1043"/>
      <c r="D181" s="1308" t="s">
        <v>794</v>
      </c>
      <c r="E181" s="1308"/>
      <c r="F181" s="1309">
        <f>+F175+F180</f>
        <v>81</v>
      </c>
      <c r="G181" s="1309"/>
      <c r="H181" s="1309"/>
      <c r="I181" s="1309"/>
      <c r="J181" s="1309"/>
      <c r="K181" s="1309"/>
      <c r="L181" s="1309"/>
      <c r="M181" s="1309"/>
      <c r="N181" s="1309"/>
      <c r="O181" s="1309"/>
      <c r="P181" s="1309"/>
      <c r="Q181" s="1328"/>
      <c r="R181" s="1329"/>
      <c r="S181" s="1330"/>
      <c r="T181" s="1313">
        <f>+T175+T180</f>
        <v>168911</v>
      </c>
      <c r="U181" s="1313"/>
      <c r="V181" s="1313"/>
      <c r="W181" s="1313"/>
      <c r="X181" s="1313"/>
      <c r="Y181" s="1313"/>
      <c r="Z181" s="1313"/>
      <c r="AA181" s="1313">
        <f>AA175+AA180</f>
        <v>78326.587</v>
      </c>
      <c r="AB181" s="1313"/>
      <c r="AC181" s="1313"/>
      <c r="AD181" s="1313"/>
      <c r="AE181" s="1313"/>
      <c r="AF181" s="1313"/>
      <c r="AG181" s="1313"/>
      <c r="AH181" s="1331"/>
      <c r="AI181" s="1331"/>
      <c r="AJ181" s="1331"/>
      <c r="AK181" s="1331"/>
      <c r="AL181" s="1314"/>
      <c r="AM181" s="1316"/>
      <c r="AN181" s="1044"/>
      <c r="AO181" s="449"/>
      <c r="AP181" s="449"/>
    </row>
    <row r="182" spans="1:42" ht="52.9" customHeight="1">
      <c r="A182" s="1038"/>
      <c r="B182" s="1038"/>
      <c r="C182" s="1038"/>
      <c r="D182" s="1323" t="s">
        <v>792</v>
      </c>
      <c r="E182" s="1323"/>
      <c r="F182" s="1325">
        <f>SUM(F183:L186)</f>
        <v>58</v>
      </c>
      <c r="G182" s="1325"/>
      <c r="H182" s="1325"/>
      <c r="I182" s="1325"/>
      <c r="J182" s="1325"/>
      <c r="K182" s="1325"/>
      <c r="L182" s="1325"/>
      <c r="M182" s="1325"/>
      <c r="N182" s="1325"/>
      <c r="O182" s="1325"/>
      <c r="P182" s="1325"/>
      <c r="Q182" s="1326">
        <f>SUM(Q183:S186)</f>
        <v>100</v>
      </c>
      <c r="R182" s="1326"/>
      <c r="S182" s="1326"/>
      <c r="T182" s="1332">
        <f>SUM(T183:Z186)</f>
        <v>154598</v>
      </c>
      <c r="U182" s="1332"/>
      <c r="V182" s="1332"/>
      <c r="W182" s="1332"/>
      <c r="X182" s="1332"/>
      <c r="Y182" s="1332"/>
      <c r="Z182" s="1332"/>
      <c r="AA182" s="1332">
        <f>SUM(AA183:AG186)</f>
        <v>71386.67396093483</v>
      </c>
      <c r="AB182" s="1332"/>
      <c r="AC182" s="1332"/>
      <c r="AD182" s="1332"/>
      <c r="AE182" s="1332"/>
      <c r="AF182" s="1332"/>
      <c r="AG182" s="1332"/>
      <c r="AH182" s="1326">
        <f>SUM(AH183:AK186)</f>
        <v>100</v>
      </c>
      <c r="AI182" s="1326"/>
      <c r="AJ182" s="1326"/>
      <c r="AK182" s="1326"/>
      <c r="AL182" s="1327"/>
      <c r="AM182" s="1327"/>
      <c r="AN182" s="1039"/>
      <c r="AO182" s="449"/>
      <c r="AP182" s="449"/>
    </row>
    <row r="183" spans="1:42" ht="52.9" customHeight="1">
      <c r="A183" s="1041"/>
      <c r="B183" s="1041"/>
      <c r="C183" s="1041"/>
      <c r="D183" s="1318"/>
      <c r="E183" s="1318"/>
      <c r="F183" s="1319">
        <f>COUNTIF($AN$99:$AN$160,"A")</f>
        <v>36</v>
      </c>
      <c r="G183" s="1319"/>
      <c r="H183" s="1319"/>
      <c r="I183" s="1319"/>
      <c r="J183" s="1319"/>
      <c r="K183" s="1319"/>
      <c r="L183" s="1319"/>
      <c r="M183" s="1319" t="s">
        <v>38</v>
      </c>
      <c r="N183" s="1319"/>
      <c r="O183" s="1319"/>
      <c r="P183" s="1319"/>
      <c r="Q183" s="1320">
        <f>+F183/$F$182*100</f>
        <v>62.068965517241381</v>
      </c>
      <c r="R183" s="1320"/>
      <c r="S183" s="1320"/>
      <c r="T183" s="1324">
        <f>SUMIF($AN$99:$AN$160,"A",$AK$99:$AK$160)</f>
        <v>101287</v>
      </c>
      <c r="U183" s="1324"/>
      <c r="V183" s="1324"/>
      <c r="W183" s="1324"/>
      <c r="X183" s="1324"/>
      <c r="Y183" s="1324"/>
      <c r="Z183" s="1324"/>
      <c r="AA183" s="1324">
        <f>SUMIF($AN$99:$AN$160,"A",$AM$99:$AM$160)</f>
        <v>46769.9585083973</v>
      </c>
      <c r="AB183" s="1324"/>
      <c r="AC183" s="1324"/>
      <c r="AD183" s="1324"/>
      <c r="AE183" s="1324"/>
      <c r="AF183" s="1324"/>
      <c r="AG183" s="1324"/>
      <c r="AH183" s="1320">
        <f>+AA183/$AA$182*100</f>
        <v>65.516371492516072</v>
      </c>
      <c r="AI183" s="1320"/>
      <c r="AJ183" s="1320"/>
      <c r="AK183" s="1320"/>
      <c r="AL183" s="1322"/>
      <c r="AM183" s="1322"/>
      <c r="AN183" s="1042"/>
      <c r="AO183" s="449"/>
      <c r="AP183" s="449"/>
    </row>
    <row r="184" spans="1:42" ht="52.9" customHeight="1">
      <c r="A184" s="1041"/>
      <c r="B184" s="1041"/>
      <c r="C184" s="1041"/>
      <c r="D184" s="1318"/>
      <c r="E184" s="1318"/>
      <c r="F184" s="1319">
        <f>COUNTIF($AN$99:$AN$160,"B")</f>
        <v>22</v>
      </c>
      <c r="G184" s="1319"/>
      <c r="H184" s="1319"/>
      <c r="I184" s="1319"/>
      <c r="J184" s="1319"/>
      <c r="K184" s="1319"/>
      <c r="L184" s="1319"/>
      <c r="M184" s="1319" t="s">
        <v>46</v>
      </c>
      <c r="N184" s="1319"/>
      <c r="O184" s="1319"/>
      <c r="P184" s="1319"/>
      <c r="Q184" s="1320">
        <f>+F184/$F$182*100</f>
        <v>37.931034482758619</v>
      </c>
      <c r="R184" s="1320"/>
      <c r="S184" s="1320"/>
      <c r="T184" s="1324">
        <f>SUMIF($AN$99:$AN$160,"B",$AK$99:$AK$160)</f>
        <v>53311</v>
      </c>
      <c r="U184" s="1324"/>
      <c r="V184" s="1324"/>
      <c r="W184" s="1324"/>
      <c r="X184" s="1324"/>
      <c r="Y184" s="1324"/>
      <c r="Z184" s="1324"/>
      <c r="AA184" s="1324">
        <f>SUMIF($AN$99:$AN$160,"B",$AM$99:$AM$160)</f>
        <v>24616.715452537526</v>
      </c>
      <c r="AB184" s="1324"/>
      <c r="AC184" s="1324"/>
      <c r="AD184" s="1324"/>
      <c r="AE184" s="1324"/>
      <c r="AF184" s="1324"/>
      <c r="AG184" s="1324"/>
      <c r="AH184" s="1320">
        <f>+AA184/$AA$182*100</f>
        <v>34.483628507483928</v>
      </c>
      <c r="AI184" s="1320"/>
      <c r="AJ184" s="1320"/>
      <c r="AK184" s="1320"/>
      <c r="AL184" s="1322"/>
      <c r="AM184" s="1322"/>
      <c r="AN184" s="1042"/>
      <c r="AO184" s="449"/>
      <c r="AP184" s="449"/>
    </row>
    <row r="185" spans="1:42" ht="52.9" customHeight="1">
      <c r="A185" s="1041"/>
      <c r="B185" s="1041"/>
      <c r="C185" s="1041"/>
      <c r="D185" s="1318"/>
      <c r="E185" s="1318"/>
      <c r="F185" s="1319">
        <f>COUNTIF($AN$99:$AN$160,"C")</f>
        <v>0</v>
      </c>
      <c r="G185" s="1319"/>
      <c r="H185" s="1319"/>
      <c r="I185" s="1319"/>
      <c r="J185" s="1319"/>
      <c r="K185" s="1319"/>
      <c r="L185" s="1319"/>
      <c r="M185" s="1319" t="s">
        <v>450</v>
      </c>
      <c r="N185" s="1319"/>
      <c r="O185" s="1319"/>
      <c r="P185" s="1319"/>
      <c r="Q185" s="1320">
        <f t="shared" ref="Q185:Q186" si="18">+F185/$F$195*100</f>
        <v>0</v>
      </c>
      <c r="R185" s="1320"/>
      <c r="S185" s="1320"/>
      <c r="T185" s="1324">
        <f>SUMIF($AN$99:$AN$160,"C",$AK$99:$AK$160)</f>
        <v>0</v>
      </c>
      <c r="U185" s="1324"/>
      <c r="V185" s="1324"/>
      <c r="W185" s="1324"/>
      <c r="X185" s="1324"/>
      <c r="Y185" s="1324"/>
      <c r="Z185" s="1324"/>
      <c r="AA185" s="1324">
        <f>SUMIF($AN$99:$AN$160,"C",$AM$99:$AM$160)</f>
        <v>0</v>
      </c>
      <c r="AB185" s="1324"/>
      <c r="AC185" s="1324"/>
      <c r="AD185" s="1324"/>
      <c r="AE185" s="1324"/>
      <c r="AF185" s="1324"/>
      <c r="AG185" s="1324"/>
      <c r="AH185" s="1320">
        <f>+AA185/$AA$181*100</f>
        <v>0</v>
      </c>
      <c r="AI185" s="1320"/>
      <c r="AJ185" s="1320"/>
      <c r="AK185" s="1320"/>
      <c r="AL185" s="1322"/>
      <c r="AM185" s="1322"/>
      <c r="AN185" s="1042"/>
      <c r="AO185" s="449"/>
      <c r="AP185" s="449"/>
    </row>
    <row r="186" spans="1:42" ht="52.9" customHeight="1">
      <c r="A186" s="1041"/>
      <c r="B186" s="1041"/>
      <c r="C186" s="1041"/>
      <c r="D186" s="1318"/>
      <c r="E186" s="1318"/>
      <c r="F186" s="1319">
        <f>COUNTIF($AN$99:$AN$160,"D")</f>
        <v>0</v>
      </c>
      <c r="G186" s="1319"/>
      <c r="H186" s="1319"/>
      <c r="I186" s="1319"/>
      <c r="J186" s="1319"/>
      <c r="K186" s="1319"/>
      <c r="L186" s="1319"/>
      <c r="M186" s="1319" t="s">
        <v>47</v>
      </c>
      <c r="N186" s="1319"/>
      <c r="O186" s="1319"/>
      <c r="P186" s="1319"/>
      <c r="Q186" s="1320">
        <f t="shared" si="18"/>
        <v>0</v>
      </c>
      <c r="R186" s="1320"/>
      <c r="S186" s="1320"/>
      <c r="T186" s="1324">
        <f>SUMIF($AN$99:$AN$160,"D",$AK$99:$AK$160)</f>
        <v>0</v>
      </c>
      <c r="U186" s="1324"/>
      <c r="V186" s="1324"/>
      <c r="W186" s="1324"/>
      <c r="X186" s="1324"/>
      <c r="Y186" s="1324"/>
      <c r="Z186" s="1324"/>
      <c r="AA186" s="1324">
        <f>SUMIF($AN$99:$AN$160,"D",$AM$99:$AM$160)</f>
        <v>0</v>
      </c>
      <c r="AB186" s="1324"/>
      <c r="AC186" s="1324"/>
      <c r="AD186" s="1324"/>
      <c r="AE186" s="1324"/>
      <c r="AF186" s="1324"/>
      <c r="AG186" s="1324"/>
      <c r="AH186" s="1320">
        <f>+AA186/$AA$181*100</f>
        <v>0</v>
      </c>
      <c r="AI186" s="1320"/>
      <c r="AJ186" s="1320"/>
      <c r="AK186" s="1320"/>
      <c r="AL186" s="1322"/>
      <c r="AM186" s="1322"/>
      <c r="AN186" s="1042"/>
      <c r="AO186" s="449"/>
      <c r="AP186" s="449"/>
    </row>
    <row r="187" spans="1:42" ht="52.9" customHeight="1">
      <c r="A187" s="1041"/>
      <c r="B187" s="1041"/>
      <c r="C187" s="1041"/>
      <c r="D187" s="1323" t="s">
        <v>793</v>
      </c>
      <c r="E187" s="1323"/>
      <c r="F187" s="1319">
        <f>COUNTIF($AN$99:$AN$160,"C.")</f>
        <v>4</v>
      </c>
      <c r="G187" s="1319"/>
      <c r="H187" s="1319"/>
      <c r="I187" s="1319"/>
      <c r="J187" s="1319"/>
      <c r="K187" s="1319"/>
      <c r="L187" s="1319"/>
      <c r="M187" s="1319" t="s">
        <v>394</v>
      </c>
      <c r="N187" s="1319"/>
      <c r="O187" s="1319"/>
      <c r="P187" s="1319"/>
      <c r="Q187" s="1320"/>
      <c r="R187" s="1320"/>
      <c r="S187" s="1320"/>
      <c r="T187" s="1324">
        <f>SUMIF($AN$99:$AN$160,"C.",$AK$99:$AK$160)</f>
        <v>3548</v>
      </c>
      <c r="U187" s="1324"/>
      <c r="V187" s="1324"/>
      <c r="W187" s="1324"/>
      <c r="X187" s="1324"/>
      <c r="Y187" s="1324"/>
      <c r="Z187" s="1324"/>
      <c r="AA187" s="1324">
        <f>SUMIF($AN$99:$AN$160,"C.",$AM$99:$AM$160)</f>
        <v>1638.3130390651677</v>
      </c>
      <c r="AB187" s="1324"/>
      <c r="AC187" s="1324"/>
      <c r="AD187" s="1324"/>
      <c r="AE187" s="1324"/>
      <c r="AF187" s="1324"/>
      <c r="AG187" s="1324"/>
      <c r="AH187" s="1320"/>
      <c r="AI187" s="1320"/>
      <c r="AJ187" s="1320"/>
      <c r="AK187" s="1320"/>
      <c r="AL187" s="1322"/>
      <c r="AM187" s="1322"/>
      <c r="AN187" s="1042"/>
      <c r="AO187" s="449"/>
      <c r="AP187" s="449"/>
    </row>
    <row r="188" spans="1:42" ht="52.9" customHeight="1">
      <c r="A188" s="1045"/>
      <c r="B188" s="1045"/>
      <c r="C188" s="1045"/>
      <c r="D188" s="1308" t="s">
        <v>795</v>
      </c>
      <c r="E188" s="1308"/>
      <c r="F188" s="1309">
        <f>+F182+F187</f>
        <v>62</v>
      </c>
      <c r="G188" s="1309"/>
      <c r="H188" s="1309"/>
      <c r="I188" s="1309"/>
      <c r="J188" s="1309"/>
      <c r="K188" s="1309"/>
      <c r="L188" s="1309"/>
      <c r="M188" s="1310"/>
      <c r="N188" s="1311"/>
      <c r="O188" s="1311"/>
      <c r="P188" s="1312"/>
      <c r="Q188" s="1328"/>
      <c r="R188" s="1329"/>
      <c r="S188" s="1330"/>
      <c r="T188" s="1313">
        <f>+T182+T187</f>
        <v>158146</v>
      </c>
      <c r="U188" s="1313"/>
      <c r="V188" s="1313"/>
      <c r="W188" s="1313"/>
      <c r="X188" s="1313"/>
      <c r="Y188" s="1313"/>
      <c r="Z188" s="1313"/>
      <c r="AA188" s="1313">
        <f>AA182+AA187</f>
        <v>73024.986999999994</v>
      </c>
      <c r="AB188" s="1313"/>
      <c r="AC188" s="1313"/>
      <c r="AD188" s="1313"/>
      <c r="AE188" s="1313"/>
      <c r="AF188" s="1313"/>
      <c r="AG188" s="1313"/>
      <c r="AH188" s="1328"/>
      <c r="AI188" s="1329"/>
      <c r="AJ188" s="1329"/>
      <c r="AK188" s="1330"/>
      <c r="AL188" s="1314"/>
      <c r="AM188" s="1316"/>
      <c r="AN188" s="1046"/>
      <c r="AO188" s="449"/>
      <c r="AP188" s="449"/>
    </row>
    <row r="189" spans="1:42" ht="52.9" customHeight="1">
      <c r="A189" s="1041"/>
      <c r="B189" s="1041"/>
      <c r="C189" s="1041"/>
      <c r="D189" s="1323" t="s">
        <v>792</v>
      </c>
      <c r="E189" s="1323"/>
      <c r="F189" s="1325">
        <f>SUM(F190:L193)</f>
        <v>131</v>
      </c>
      <c r="G189" s="1325"/>
      <c r="H189" s="1325"/>
      <c r="I189" s="1325"/>
      <c r="J189" s="1325"/>
      <c r="K189" s="1325"/>
      <c r="L189" s="1325"/>
      <c r="M189" s="1325"/>
      <c r="N189" s="1325"/>
      <c r="O189" s="1325"/>
      <c r="P189" s="1325"/>
      <c r="Q189" s="1326">
        <f>SUM(Q190:S193)</f>
        <v>100</v>
      </c>
      <c r="R189" s="1326"/>
      <c r="S189" s="1326"/>
      <c r="T189" s="1326">
        <f>SUM(T190:Z193)</f>
        <v>318229</v>
      </c>
      <c r="U189" s="1326"/>
      <c r="V189" s="1326"/>
      <c r="W189" s="1326"/>
      <c r="X189" s="1326"/>
      <c r="Y189" s="1326"/>
      <c r="Z189" s="1326"/>
      <c r="AA189" s="1326">
        <f>SUM(AA190:AG193)</f>
        <v>147264.84505338588</v>
      </c>
      <c r="AB189" s="1326"/>
      <c r="AC189" s="1326"/>
      <c r="AD189" s="1326"/>
      <c r="AE189" s="1326"/>
      <c r="AF189" s="1326"/>
      <c r="AG189" s="1326"/>
      <c r="AH189" s="1326">
        <f>SUM(AH190:AK193)</f>
        <v>100</v>
      </c>
      <c r="AI189" s="1326"/>
      <c r="AJ189" s="1326"/>
      <c r="AK189" s="1326"/>
      <c r="AL189" s="1327"/>
      <c r="AM189" s="1327"/>
      <c r="AN189" s="1042"/>
      <c r="AO189" s="449"/>
      <c r="AP189" s="449"/>
    </row>
    <row r="190" spans="1:42" ht="52.9" customHeight="1">
      <c r="A190" s="1041"/>
      <c r="B190" s="1041"/>
      <c r="C190" s="1041"/>
      <c r="D190" s="1318"/>
      <c r="E190" s="1318"/>
      <c r="F190" s="1319">
        <f>F176+F183</f>
        <v>92</v>
      </c>
      <c r="G190" s="1319"/>
      <c r="H190" s="1319"/>
      <c r="I190" s="1319"/>
      <c r="J190" s="1319"/>
      <c r="K190" s="1319"/>
      <c r="L190" s="1319"/>
      <c r="M190" s="1319" t="s">
        <v>38</v>
      </c>
      <c r="N190" s="1319"/>
      <c r="O190" s="1319"/>
      <c r="P190" s="1319"/>
      <c r="Q190" s="1320">
        <f>+F190/$F$189*100</f>
        <v>70.229007633587784</v>
      </c>
      <c r="R190" s="1320"/>
      <c r="S190" s="1320"/>
      <c r="T190" s="1321">
        <f>T183+T176</f>
        <v>231883</v>
      </c>
      <c r="U190" s="1321"/>
      <c r="V190" s="1321"/>
      <c r="W190" s="1321"/>
      <c r="X190" s="1321"/>
      <c r="Y190" s="1321"/>
      <c r="Z190" s="1321"/>
      <c r="AA190" s="1321">
        <f>AA176+AA183</f>
        <v>107329.30014897726</v>
      </c>
      <c r="AB190" s="1321"/>
      <c r="AC190" s="1321"/>
      <c r="AD190" s="1321"/>
      <c r="AE190" s="1321"/>
      <c r="AF190" s="1321"/>
      <c r="AG190" s="1321"/>
      <c r="AH190" s="1320">
        <f>+AA190/$AA$189*100</f>
        <v>72.881820579832649</v>
      </c>
      <c r="AI190" s="1320"/>
      <c r="AJ190" s="1320"/>
      <c r="AK190" s="1320"/>
      <c r="AL190" s="1322"/>
      <c r="AM190" s="1322"/>
      <c r="AN190" s="1042"/>
      <c r="AO190" s="449"/>
      <c r="AP190" s="449"/>
    </row>
    <row r="191" spans="1:42" ht="52.9" customHeight="1">
      <c r="A191" s="1041"/>
      <c r="B191" s="1041"/>
      <c r="C191" s="1041"/>
      <c r="D191" s="1318"/>
      <c r="E191" s="1318"/>
      <c r="F191" s="1319">
        <f>F177+F184</f>
        <v>39</v>
      </c>
      <c r="G191" s="1319"/>
      <c r="H191" s="1319"/>
      <c r="I191" s="1319"/>
      <c r="J191" s="1319"/>
      <c r="K191" s="1319"/>
      <c r="L191" s="1319"/>
      <c r="M191" s="1319" t="s">
        <v>46</v>
      </c>
      <c r="N191" s="1319"/>
      <c r="O191" s="1319"/>
      <c r="P191" s="1319"/>
      <c r="Q191" s="1320">
        <f>+F191/$F$189*100</f>
        <v>29.770992366412212</v>
      </c>
      <c r="R191" s="1320"/>
      <c r="S191" s="1320"/>
      <c r="T191" s="1321">
        <f>T184+T177</f>
        <v>86346</v>
      </c>
      <c r="U191" s="1321"/>
      <c r="V191" s="1321"/>
      <c r="W191" s="1321"/>
      <c r="X191" s="1321"/>
      <c r="Y191" s="1321"/>
      <c r="Z191" s="1321"/>
      <c r="AA191" s="1321">
        <f>AA177+AA184</f>
        <v>39935.544904408627</v>
      </c>
      <c r="AB191" s="1321"/>
      <c r="AC191" s="1321"/>
      <c r="AD191" s="1321"/>
      <c r="AE191" s="1321"/>
      <c r="AF191" s="1321"/>
      <c r="AG191" s="1321"/>
      <c r="AH191" s="1320">
        <f>+AA191/$AA$189*100</f>
        <v>27.118179420167348</v>
      </c>
      <c r="AI191" s="1320"/>
      <c r="AJ191" s="1320"/>
      <c r="AK191" s="1320"/>
      <c r="AL191" s="1322"/>
      <c r="AM191" s="1322"/>
      <c r="AN191" s="1042"/>
      <c r="AO191" s="449"/>
      <c r="AP191" s="449"/>
    </row>
    <row r="192" spans="1:42" ht="52.9" customHeight="1">
      <c r="A192" s="1041"/>
      <c r="B192" s="1041"/>
      <c r="C192" s="1041"/>
      <c r="D192" s="1318"/>
      <c r="E192" s="1318"/>
      <c r="F192" s="1319">
        <f>F178+F185</f>
        <v>0</v>
      </c>
      <c r="G192" s="1319"/>
      <c r="H192" s="1319"/>
      <c r="I192" s="1319"/>
      <c r="J192" s="1319"/>
      <c r="K192" s="1319"/>
      <c r="L192" s="1319"/>
      <c r="M192" s="1319" t="s">
        <v>450</v>
      </c>
      <c r="N192" s="1319"/>
      <c r="O192" s="1319"/>
      <c r="P192" s="1319"/>
      <c r="Q192" s="1320">
        <f>+F192/$F$189*100</f>
        <v>0</v>
      </c>
      <c r="R192" s="1320"/>
      <c r="S192" s="1320"/>
      <c r="T192" s="1321">
        <f>T185+T178</f>
        <v>0</v>
      </c>
      <c r="U192" s="1321"/>
      <c r="V192" s="1321"/>
      <c r="W192" s="1321"/>
      <c r="X192" s="1321"/>
      <c r="Y192" s="1321"/>
      <c r="Z192" s="1321"/>
      <c r="AA192" s="1321">
        <f>AA178+AA185</f>
        <v>0</v>
      </c>
      <c r="AB192" s="1321"/>
      <c r="AC192" s="1321"/>
      <c r="AD192" s="1321"/>
      <c r="AE192" s="1321"/>
      <c r="AF192" s="1321"/>
      <c r="AG192" s="1321"/>
      <c r="AH192" s="1320">
        <f>+AA192/$AA$189*100</f>
        <v>0</v>
      </c>
      <c r="AI192" s="1320"/>
      <c r="AJ192" s="1320"/>
      <c r="AK192" s="1320"/>
      <c r="AL192" s="1322"/>
      <c r="AM192" s="1322"/>
      <c r="AN192" s="1042"/>
      <c r="AO192" s="1035"/>
      <c r="AP192" s="449"/>
    </row>
    <row r="193" spans="1:42" ht="52.9" customHeight="1">
      <c r="A193" s="1041"/>
      <c r="B193" s="1041"/>
      <c r="C193" s="1041"/>
      <c r="D193" s="1318"/>
      <c r="E193" s="1318"/>
      <c r="F193" s="1319">
        <f>F179+F186</f>
        <v>0</v>
      </c>
      <c r="G193" s="1319"/>
      <c r="H193" s="1319"/>
      <c r="I193" s="1319"/>
      <c r="J193" s="1319"/>
      <c r="K193" s="1319"/>
      <c r="L193" s="1319"/>
      <c r="M193" s="1319" t="s">
        <v>47</v>
      </c>
      <c r="N193" s="1319"/>
      <c r="O193" s="1319"/>
      <c r="P193" s="1319"/>
      <c r="Q193" s="1320">
        <f>+F193/$F$195*100</f>
        <v>0</v>
      </c>
      <c r="R193" s="1320"/>
      <c r="S193" s="1320"/>
      <c r="T193" s="1320">
        <f>T186+T179</f>
        <v>0</v>
      </c>
      <c r="U193" s="1320"/>
      <c r="V193" s="1320"/>
      <c r="W193" s="1320"/>
      <c r="X193" s="1320"/>
      <c r="Y193" s="1320"/>
      <c r="Z193" s="1320"/>
      <c r="AA193" s="1321">
        <f>AA179+AA186</f>
        <v>0</v>
      </c>
      <c r="AB193" s="1321"/>
      <c r="AC193" s="1321"/>
      <c r="AD193" s="1321"/>
      <c r="AE193" s="1321"/>
      <c r="AF193" s="1321"/>
      <c r="AG193" s="1321"/>
      <c r="AH193" s="1320">
        <f>+AA193/$AA$189*100</f>
        <v>0</v>
      </c>
      <c r="AI193" s="1320"/>
      <c r="AJ193" s="1320"/>
      <c r="AK193" s="1320"/>
      <c r="AL193" s="1322"/>
      <c r="AM193" s="1322"/>
      <c r="AN193" s="1042"/>
      <c r="AO193" s="449"/>
      <c r="AP193" s="449"/>
    </row>
    <row r="194" spans="1:42" ht="52.9" customHeight="1">
      <c r="A194" s="1041"/>
      <c r="B194" s="1041"/>
      <c r="C194" s="1041"/>
      <c r="D194" s="1323" t="s">
        <v>793</v>
      </c>
      <c r="E194" s="1323"/>
      <c r="F194" s="1319">
        <f>F187+F180</f>
        <v>12</v>
      </c>
      <c r="G194" s="1319"/>
      <c r="H194" s="1319"/>
      <c r="I194" s="1319"/>
      <c r="J194" s="1319"/>
      <c r="K194" s="1319"/>
      <c r="L194" s="1319"/>
      <c r="M194" s="1319" t="s">
        <v>394</v>
      </c>
      <c r="N194" s="1319"/>
      <c r="O194" s="1319"/>
      <c r="P194" s="1319"/>
      <c r="Q194" s="1319"/>
      <c r="R194" s="1319"/>
      <c r="S194" s="1319"/>
      <c r="T194" s="1324">
        <f>T187+T180</f>
        <v>8828</v>
      </c>
      <c r="U194" s="1324"/>
      <c r="V194" s="1324"/>
      <c r="W194" s="1324"/>
      <c r="X194" s="1324"/>
      <c r="Y194" s="1324"/>
      <c r="Z194" s="1324"/>
      <c r="AA194" s="1321">
        <f>AA180+AA187</f>
        <v>4086.7289466141133</v>
      </c>
      <c r="AB194" s="1321"/>
      <c r="AC194" s="1321"/>
      <c r="AD194" s="1321"/>
      <c r="AE194" s="1321"/>
      <c r="AF194" s="1321"/>
      <c r="AG194" s="1321"/>
      <c r="AH194" s="1322"/>
      <c r="AI194" s="1322"/>
      <c r="AJ194" s="1322"/>
      <c r="AK194" s="1322"/>
      <c r="AL194" s="1322"/>
      <c r="AM194" s="1322"/>
      <c r="AN194" s="1042"/>
      <c r="AO194" s="449"/>
      <c r="AP194" s="449"/>
    </row>
    <row r="195" spans="1:42" ht="52.9" customHeight="1">
      <c r="A195" s="1038"/>
      <c r="B195" s="1038"/>
      <c r="C195" s="1038"/>
      <c r="D195" s="1308" t="s">
        <v>796</v>
      </c>
      <c r="E195" s="1308"/>
      <c r="F195" s="1309">
        <f>+F189+F194</f>
        <v>143</v>
      </c>
      <c r="G195" s="1309"/>
      <c r="H195" s="1309"/>
      <c r="I195" s="1309"/>
      <c r="J195" s="1309"/>
      <c r="K195" s="1309"/>
      <c r="L195" s="1309"/>
      <c r="M195" s="1310"/>
      <c r="N195" s="1311"/>
      <c r="O195" s="1311"/>
      <c r="P195" s="1312"/>
      <c r="Q195" s="1310"/>
      <c r="R195" s="1311"/>
      <c r="S195" s="1312"/>
      <c r="T195" s="1313">
        <f>+T189+T194</f>
        <v>327057</v>
      </c>
      <c r="U195" s="1313"/>
      <c r="V195" s="1313"/>
      <c r="W195" s="1313"/>
      <c r="X195" s="1313"/>
      <c r="Y195" s="1313"/>
      <c r="Z195" s="1313"/>
      <c r="AA195" s="1313">
        <f>+AA189+AA194</f>
        <v>151351.57399999999</v>
      </c>
      <c r="AB195" s="1313"/>
      <c r="AC195" s="1313"/>
      <c r="AD195" s="1313"/>
      <c r="AE195" s="1313"/>
      <c r="AF195" s="1313"/>
      <c r="AG195" s="1313"/>
      <c r="AH195" s="1314"/>
      <c r="AI195" s="1315"/>
      <c r="AJ195" s="1315"/>
      <c r="AK195" s="1316"/>
      <c r="AL195" s="1314"/>
      <c r="AM195" s="1316"/>
      <c r="AN195" s="1040"/>
      <c r="AO195" s="449"/>
      <c r="AP195" s="449"/>
    </row>
    <row r="196" spans="1:42" ht="28.5" customHeight="1">
      <c r="A196" s="1038"/>
      <c r="B196" s="1038"/>
      <c r="C196" s="1038"/>
      <c r="D196" s="1038"/>
      <c r="E196" s="1047"/>
      <c r="F196" s="1047"/>
      <c r="G196" s="1047"/>
      <c r="H196" s="1047"/>
      <c r="I196" s="1047"/>
      <c r="J196" s="1047"/>
      <c r="K196" s="1047"/>
      <c r="L196" s="1047"/>
      <c r="M196" s="1047"/>
      <c r="N196" s="1047"/>
      <c r="O196" s="1047"/>
      <c r="P196" s="1047"/>
      <c r="Q196" s="1047"/>
      <c r="R196" s="1047"/>
      <c r="S196" s="1047"/>
      <c r="T196" s="1047"/>
      <c r="U196" s="1047"/>
      <c r="V196" s="1047"/>
      <c r="W196" s="1047"/>
      <c r="X196" s="1047"/>
      <c r="Y196" s="1047"/>
      <c r="Z196" s="1047"/>
      <c r="AA196" s="1047"/>
      <c r="AB196" s="1047"/>
      <c r="AC196" s="1047"/>
      <c r="AD196" s="1047"/>
      <c r="AE196" s="1047"/>
      <c r="AF196" s="1047"/>
      <c r="AG196" s="1047"/>
      <c r="AH196" s="1047"/>
      <c r="AI196" s="1047"/>
      <c r="AJ196" s="1047"/>
      <c r="AK196" s="1048"/>
      <c r="AL196" s="1048"/>
      <c r="AM196" s="1047"/>
      <c r="AN196" s="1047"/>
      <c r="AO196" s="449"/>
      <c r="AP196" s="449"/>
    </row>
    <row r="197" spans="1:42" ht="69" customHeight="1">
      <c r="A197" s="1049"/>
      <c r="B197" s="1049"/>
      <c r="C197" s="1049"/>
      <c r="D197" s="1050"/>
      <c r="E197" s="1051"/>
      <c r="F197" s="1051"/>
      <c r="G197" s="1041"/>
      <c r="H197" s="1041"/>
      <c r="I197" s="1041"/>
      <c r="J197" s="1041"/>
      <c r="K197" s="1041"/>
      <c r="L197" s="1041"/>
      <c r="M197" s="1041"/>
      <c r="N197" s="1041"/>
      <c r="O197" s="1041"/>
      <c r="P197" s="1052"/>
      <c r="Q197" s="1052"/>
      <c r="R197" s="1052"/>
      <c r="S197" s="1052"/>
      <c r="T197" s="1041"/>
      <c r="U197" s="1041"/>
      <c r="V197" s="1041"/>
      <c r="W197" s="1041"/>
      <c r="X197" s="1041"/>
      <c r="Y197" s="1053"/>
      <c r="Z197" s="1053"/>
      <c r="AA197" s="1040"/>
      <c r="AB197" s="1053"/>
      <c r="AC197" s="1053"/>
      <c r="AD197" s="1317" t="s">
        <v>797</v>
      </c>
      <c r="AE197" s="1317"/>
      <c r="AF197" s="1317"/>
      <c r="AG197" s="1317"/>
      <c r="AH197" s="1317"/>
      <c r="AI197" s="1317"/>
      <c r="AJ197" s="1317"/>
      <c r="AK197" s="1317"/>
      <c r="AL197" s="1317"/>
      <c r="AM197" s="1317"/>
      <c r="AN197" s="1317"/>
      <c r="AO197" s="449"/>
      <c r="AP197" s="449"/>
    </row>
    <row r="198" spans="1:42" ht="81" customHeight="1">
      <c r="A198" s="1306" t="s">
        <v>31</v>
      </c>
      <c r="B198" s="1306"/>
      <c r="C198" s="1306"/>
      <c r="D198" s="1306"/>
      <c r="E198" s="1054"/>
      <c r="F198" s="1307" t="s">
        <v>798</v>
      </c>
      <c r="G198" s="1307"/>
      <c r="H198" s="1307"/>
      <c r="I198" s="1307"/>
      <c r="J198" s="1307"/>
      <c r="K198" s="1307"/>
      <c r="L198" s="1307"/>
      <c r="M198" s="1054"/>
      <c r="N198" s="1054"/>
      <c r="O198" s="1306" t="s">
        <v>29</v>
      </c>
      <c r="P198" s="1306"/>
      <c r="Q198" s="1306"/>
      <c r="R198" s="1306"/>
      <c r="S198" s="1306"/>
      <c r="T198" s="1306"/>
      <c r="U198" s="1055"/>
      <c r="V198" s="1054"/>
      <c r="W198" s="1306" t="s">
        <v>799</v>
      </c>
      <c r="X198" s="1306"/>
      <c r="Y198" s="1306"/>
      <c r="Z198" s="1306"/>
      <c r="AA198" s="1306"/>
      <c r="AB198" s="1306"/>
      <c r="AC198" s="1306"/>
      <c r="AD198" s="1054"/>
      <c r="AE198" s="1306" t="s">
        <v>800</v>
      </c>
      <c r="AF198" s="1306"/>
      <c r="AG198" s="1306"/>
      <c r="AH198" s="1306"/>
      <c r="AI198" s="1306"/>
      <c r="AJ198" s="1306"/>
      <c r="AK198" s="1307" t="s">
        <v>134</v>
      </c>
      <c r="AL198" s="1307"/>
      <c r="AM198" s="1307"/>
      <c r="AN198" s="1307"/>
      <c r="AO198" s="449"/>
      <c r="AP198" s="449"/>
    </row>
    <row r="199" spans="1:42" ht="28.5" customHeight="1">
      <c r="A199" s="476"/>
      <c r="B199" s="474"/>
      <c r="C199" s="474"/>
      <c r="D199" s="474"/>
      <c r="E199" s="474"/>
      <c r="F199" s="474"/>
      <c r="G199" s="474"/>
      <c r="H199" s="474"/>
      <c r="I199" s="474"/>
      <c r="J199" s="474"/>
      <c r="K199" s="474"/>
      <c r="L199" s="474"/>
      <c r="M199" s="474"/>
      <c r="N199" s="474"/>
      <c r="O199" s="474"/>
      <c r="P199" s="474"/>
      <c r="Q199" s="474"/>
      <c r="R199" s="474"/>
      <c r="S199" s="474"/>
      <c r="T199" s="474"/>
      <c r="U199" s="474"/>
      <c r="V199" s="474"/>
      <c r="W199" s="474"/>
      <c r="X199" s="474"/>
      <c r="Y199" s="474"/>
      <c r="Z199" s="474"/>
      <c r="AA199" s="771"/>
      <c r="AB199" s="771"/>
      <c r="AC199" s="771"/>
      <c r="AD199" s="771"/>
      <c r="AE199" s="771"/>
      <c r="AF199" s="771"/>
      <c r="AG199" s="771"/>
      <c r="AH199" s="771"/>
      <c r="AI199" s="771"/>
      <c r="AJ199" s="771"/>
      <c r="AK199" s="771"/>
      <c r="AL199" s="771"/>
      <c r="AM199" s="771"/>
      <c r="AN199" s="476"/>
      <c r="AO199" s="449"/>
      <c r="AP199" s="449"/>
    </row>
    <row r="200" spans="1:42" ht="85.5" customHeight="1">
      <c r="A200" s="476"/>
      <c r="B200" s="474"/>
      <c r="C200" s="474"/>
      <c r="D200" s="474"/>
      <c r="E200" s="474"/>
      <c r="F200" s="474"/>
      <c r="G200" s="474"/>
      <c r="H200" s="474"/>
      <c r="I200" s="474"/>
      <c r="J200" s="474"/>
      <c r="K200" s="474"/>
      <c r="L200" s="474"/>
      <c r="M200" s="474"/>
      <c r="N200" s="474"/>
      <c r="O200" s="474"/>
      <c r="P200" s="474"/>
      <c r="Q200" s="474"/>
      <c r="R200" s="474"/>
      <c r="S200" s="474"/>
      <c r="T200" s="474"/>
      <c r="U200" s="474"/>
      <c r="V200" s="474"/>
      <c r="W200" s="474"/>
      <c r="X200" s="474"/>
      <c r="Y200" s="474"/>
      <c r="Z200" s="474"/>
      <c r="AA200" s="771"/>
      <c r="AB200" s="771"/>
      <c r="AC200" s="771"/>
      <c r="AD200" s="771"/>
      <c r="AE200" s="771"/>
      <c r="AF200" s="771"/>
      <c r="AG200" s="476"/>
      <c r="AH200" s="476"/>
      <c r="AI200" s="476"/>
      <c r="AJ200" s="476"/>
      <c r="AK200" s="1390"/>
      <c r="AL200" s="1390"/>
      <c r="AM200" s="1390"/>
      <c r="AN200" s="1390"/>
      <c r="AO200" s="449"/>
      <c r="AP200" s="449"/>
    </row>
    <row r="201" spans="1:42" ht="28.5" customHeight="1">
      <c r="A201" s="464"/>
      <c r="B201" s="465"/>
      <c r="C201" s="465"/>
      <c r="D201" s="474"/>
      <c r="E201" s="474"/>
      <c r="F201" s="474"/>
      <c r="G201" s="474"/>
      <c r="H201" s="474"/>
      <c r="I201" s="474"/>
      <c r="J201" s="474"/>
      <c r="K201" s="474"/>
      <c r="L201" s="474"/>
      <c r="M201" s="474"/>
      <c r="N201" s="474"/>
      <c r="O201" s="474"/>
      <c r="P201" s="474"/>
      <c r="Q201" s="474"/>
      <c r="R201" s="474"/>
      <c r="S201" s="474"/>
      <c r="T201" s="474"/>
      <c r="U201" s="474"/>
      <c r="V201" s="474"/>
      <c r="W201" s="474"/>
      <c r="X201" s="474"/>
      <c r="Y201" s="474"/>
      <c r="Z201" s="474"/>
      <c r="AA201" s="771"/>
      <c r="AB201" s="771"/>
      <c r="AC201" s="771"/>
      <c r="AD201" s="771"/>
      <c r="AE201" s="771"/>
      <c r="AF201" s="771"/>
      <c r="AG201" s="771"/>
      <c r="AH201" s="771"/>
      <c r="AI201" s="771"/>
      <c r="AJ201" s="771"/>
      <c r="AK201" s="771"/>
      <c r="AL201" s="771"/>
      <c r="AM201" s="771"/>
      <c r="AN201" s="476"/>
      <c r="AO201" s="449"/>
      <c r="AP201" s="449"/>
    </row>
    <row r="202" spans="1:42" ht="28.5" customHeight="1">
      <c r="A202" s="455"/>
      <c r="B202" s="456"/>
      <c r="C202" s="456"/>
      <c r="D202" s="474"/>
      <c r="E202" s="474"/>
      <c r="F202" s="474"/>
      <c r="G202" s="474"/>
      <c r="H202" s="474"/>
      <c r="I202" s="474"/>
      <c r="J202" s="474"/>
      <c r="K202" s="474"/>
      <c r="L202" s="474"/>
      <c r="M202" s="474"/>
      <c r="N202" s="474"/>
      <c r="O202" s="474"/>
      <c r="P202" s="474"/>
      <c r="Q202" s="474"/>
      <c r="R202" s="474"/>
      <c r="S202" s="474"/>
      <c r="T202" s="474"/>
      <c r="U202" s="474"/>
      <c r="V202" s="474"/>
      <c r="W202" s="474"/>
      <c r="X202" s="474"/>
      <c r="Y202" s="474"/>
      <c r="Z202" s="474"/>
      <c r="AA202" s="771"/>
      <c r="AB202" s="771"/>
      <c r="AC202" s="771"/>
      <c r="AD202" s="771"/>
      <c r="AE202" s="771"/>
      <c r="AF202" s="771"/>
      <c r="AG202" s="771"/>
      <c r="AH202" s="771"/>
      <c r="AI202" s="771"/>
      <c r="AJ202" s="771"/>
      <c r="AK202" s="771"/>
      <c r="AL202" s="771"/>
      <c r="AM202" s="771"/>
      <c r="AN202" s="476"/>
      <c r="AO202" s="449"/>
      <c r="AP202" s="449"/>
    </row>
    <row r="203" spans="1:42" ht="28.5" customHeight="1">
      <c r="A203" s="455"/>
      <c r="B203" s="456"/>
      <c r="C203" s="456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771"/>
      <c r="AB203" s="771"/>
      <c r="AC203" s="771"/>
      <c r="AD203" s="771"/>
      <c r="AE203" s="1377"/>
      <c r="AF203" s="1377"/>
      <c r="AG203" s="771"/>
      <c r="AH203" s="771"/>
      <c r="AI203" s="771"/>
      <c r="AJ203" s="771"/>
      <c r="AK203" s="771"/>
      <c r="AL203" s="771"/>
      <c r="AM203" s="771"/>
      <c r="AN203" s="476"/>
      <c r="AO203" s="449"/>
      <c r="AP203" s="449"/>
    </row>
    <row r="204" spans="1:42" ht="28.5" customHeight="1">
      <c r="A204" s="455"/>
      <c r="B204" s="456"/>
      <c r="C204" s="456"/>
      <c r="D204" s="474"/>
      <c r="E204" s="474"/>
      <c r="F204" s="474"/>
      <c r="G204" s="474"/>
      <c r="H204" s="474"/>
      <c r="I204" s="474"/>
      <c r="J204" s="474"/>
      <c r="K204" s="474"/>
      <c r="L204" s="474"/>
      <c r="M204" s="474"/>
      <c r="N204" s="474"/>
      <c r="O204" s="474"/>
      <c r="P204" s="474"/>
      <c r="Q204" s="474"/>
      <c r="R204" s="474"/>
      <c r="S204" s="474"/>
      <c r="T204" s="474"/>
      <c r="U204" s="474"/>
      <c r="V204" s="474"/>
      <c r="W204" s="474"/>
      <c r="X204" s="474"/>
      <c r="Y204" s="474"/>
      <c r="Z204" s="474"/>
      <c r="AA204" s="771"/>
      <c r="AB204" s="771"/>
      <c r="AC204" s="771"/>
      <c r="AD204" s="771"/>
      <c r="AE204" s="771"/>
      <c r="AF204" s="771"/>
      <c r="AG204" s="771"/>
      <c r="AH204" s="771"/>
      <c r="AI204" s="771"/>
      <c r="AJ204" s="771"/>
      <c r="AK204" s="771"/>
      <c r="AL204" s="771"/>
      <c r="AM204" s="771"/>
      <c r="AN204" s="476"/>
      <c r="AO204" s="449"/>
      <c r="AP204" s="449"/>
    </row>
    <row r="205" spans="1:42" ht="28.5" customHeight="1">
      <c r="A205" s="455"/>
      <c r="B205" s="456"/>
      <c r="C205" s="456"/>
      <c r="D205" s="456"/>
      <c r="E205" s="456"/>
      <c r="F205" s="456"/>
      <c r="G205" s="456"/>
      <c r="H205" s="456"/>
      <c r="I205" s="456"/>
      <c r="J205" s="456"/>
      <c r="K205" s="456"/>
      <c r="L205" s="456"/>
      <c r="M205" s="456"/>
      <c r="N205" s="456"/>
      <c r="O205" s="456"/>
      <c r="P205" s="456"/>
      <c r="Q205" s="456"/>
      <c r="R205" s="456"/>
      <c r="S205" s="456"/>
      <c r="T205" s="456"/>
      <c r="U205" s="456"/>
      <c r="V205" s="456"/>
      <c r="W205" s="456"/>
      <c r="X205" s="456"/>
      <c r="Y205" s="456"/>
      <c r="Z205" s="456"/>
      <c r="AA205" s="532"/>
      <c r="AB205" s="532"/>
      <c r="AC205" s="532"/>
      <c r="AD205" s="532"/>
      <c r="AE205" s="532"/>
      <c r="AF205" s="532"/>
      <c r="AG205" s="532"/>
      <c r="AH205" s="532"/>
      <c r="AI205" s="532"/>
      <c r="AJ205" s="532"/>
      <c r="AK205" s="532"/>
      <c r="AL205" s="532"/>
      <c r="AM205" s="532"/>
      <c r="AN205" s="455"/>
      <c r="AO205" s="449"/>
      <c r="AP205" s="449"/>
    </row>
    <row r="206" spans="1:42" ht="28.5" customHeight="1">
      <c r="A206" s="455"/>
      <c r="B206" s="456"/>
      <c r="C206" s="456"/>
      <c r="D206" s="456"/>
      <c r="E206" s="456"/>
      <c r="F206" s="456"/>
      <c r="G206" s="456"/>
      <c r="H206" s="456"/>
      <c r="I206" s="456"/>
      <c r="J206" s="456"/>
      <c r="K206" s="456"/>
      <c r="L206" s="456"/>
      <c r="M206" s="456"/>
      <c r="N206" s="456"/>
      <c r="O206" s="456"/>
      <c r="P206" s="456"/>
      <c r="Q206" s="456"/>
      <c r="R206" s="456"/>
      <c r="S206" s="456"/>
      <c r="T206" s="456"/>
      <c r="U206" s="456"/>
      <c r="V206" s="456"/>
      <c r="W206" s="456"/>
      <c r="X206" s="456"/>
      <c r="Y206" s="456"/>
      <c r="Z206" s="456"/>
      <c r="AA206" s="532"/>
      <c r="AB206" s="532"/>
      <c r="AC206" s="532"/>
      <c r="AD206" s="532"/>
      <c r="AE206" s="532"/>
      <c r="AF206" s="532"/>
      <c r="AG206" s="532"/>
      <c r="AH206" s="532"/>
      <c r="AI206" s="532"/>
      <c r="AJ206" s="532"/>
      <c r="AK206" s="532"/>
      <c r="AL206" s="532"/>
      <c r="AM206" s="532"/>
      <c r="AN206" s="455"/>
      <c r="AO206" s="449"/>
      <c r="AP206" s="449"/>
    </row>
    <row r="207" spans="1:42" ht="28.5" customHeight="1">
      <c r="A207" s="455"/>
      <c r="B207" s="456"/>
      <c r="C207" s="456"/>
      <c r="D207" s="456"/>
      <c r="E207" s="456"/>
      <c r="F207" s="456"/>
      <c r="G207" s="456"/>
      <c r="H207" s="456"/>
      <c r="I207" s="456"/>
      <c r="J207" s="456"/>
      <c r="K207" s="456"/>
      <c r="L207" s="456"/>
      <c r="M207" s="456"/>
      <c r="N207" s="456"/>
      <c r="O207" s="456"/>
      <c r="P207" s="456"/>
      <c r="Q207" s="456"/>
      <c r="R207" s="456"/>
      <c r="S207" s="456"/>
      <c r="T207" s="456"/>
      <c r="U207" s="456"/>
      <c r="V207" s="456"/>
      <c r="W207" s="456"/>
      <c r="X207" s="456"/>
      <c r="Y207" s="456"/>
      <c r="Z207" s="456"/>
      <c r="AA207" s="532"/>
      <c r="AB207" s="532"/>
      <c r="AC207" s="532"/>
      <c r="AD207" s="532"/>
      <c r="AE207" s="532"/>
      <c r="AF207" s="532"/>
      <c r="AG207" s="532"/>
      <c r="AH207" s="532"/>
      <c r="AI207" s="532"/>
      <c r="AJ207" s="532"/>
      <c r="AK207" s="532"/>
      <c r="AL207" s="532"/>
      <c r="AM207" s="532"/>
      <c r="AN207" s="455"/>
      <c r="AO207" s="449"/>
      <c r="AP207" s="449"/>
    </row>
    <row r="208" spans="1:42" ht="28.5" customHeight="1">
      <c r="A208" s="455"/>
      <c r="B208" s="456"/>
      <c r="C208" s="456"/>
      <c r="D208" s="456"/>
      <c r="E208" s="456"/>
      <c r="F208" s="456"/>
      <c r="G208" s="456"/>
      <c r="H208" s="456"/>
      <c r="I208" s="456"/>
      <c r="J208" s="456"/>
      <c r="K208" s="456"/>
      <c r="L208" s="456"/>
      <c r="M208" s="456"/>
      <c r="N208" s="456"/>
      <c r="O208" s="456"/>
      <c r="P208" s="456"/>
      <c r="Q208" s="456"/>
      <c r="R208" s="456"/>
      <c r="S208" s="456"/>
      <c r="T208" s="456"/>
      <c r="U208" s="456"/>
      <c r="V208" s="456"/>
      <c r="W208" s="456"/>
      <c r="X208" s="456"/>
      <c r="Y208" s="456"/>
      <c r="Z208" s="456"/>
      <c r="AA208" s="532"/>
      <c r="AB208" s="532"/>
      <c r="AC208" s="532"/>
      <c r="AD208" s="532"/>
      <c r="AE208" s="532"/>
      <c r="AF208" s="532"/>
      <c r="AG208" s="532"/>
      <c r="AH208" s="532"/>
      <c r="AI208" s="532"/>
      <c r="AJ208" s="532"/>
      <c r="AK208" s="532"/>
      <c r="AL208" s="532"/>
      <c r="AM208" s="532"/>
      <c r="AN208" s="455"/>
      <c r="AO208" s="449"/>
      <c r="AP208" s="449"/>
    </row>
    <row r="209" spans="1:42" ht="28.5" customHeight="1">
      <c r="A209" s="455"/>
      <c r="B209" s="456"/>
      <c r="C209" s="456"/>
      <c r="D209" s="456"/>
      <c r="E209" s="456"/>
      <c r="F209" s="456"/>
      <c r="G209" s="456"/>
      <c r="H209" s="456"/>
      <c r="I209" s="456"/>
      <c r="J209" s="456"/>
      <c r="K209" s="456"/>
      <c r="L209" s="456"/>
      <c r="M209" s="456"/>
      <c r="N209" s="456"/>
      <c r="O209" s="456"/>
      <c r="P209" s="456"/>
      <c r="Q209" s="456"/>
      <c r="R209" s="456"/>
      <c r="S209" s="456"/>
      <c r="T209" s="456"/>
      <c r="U209" s="456"/>
      <c r="V209" s="456"/>
      <c r="W209" s="456"/>
      <c r="X209" s="456"/>
      <c r="Y209" s="456"/>
      <c r="Z209" s="456"/>
      <c r="AA209" s="532"/>
      <c r="AB209" s="532"/>
      <c r="AC209" s="532"/>
      <c r="AD209" s="532"/>
      <c r="AE209" s="532"/>
      <c r="AF209" s="532"/>
      <c r="AG209" s="532"/>
      <c r="AH209" s="532"/>
      <c r="AI209" s="532"/>
      <c r="AJ209" s="532"/>
      <c r="AK209" s="532"/>
      <c r="AL209" s="532"/>
      <c r="AM209" s="532"/>
      <c r="AN209" s="455"/>
      <c r="AO209" s="449"/>
      <c r="AP209" s="449"/>
    </row>
    <row r="210" spans="1:42" ht="28.5" customHeight="1">
      <c r="A210" s="455"/>
      <c r="B210" s="456"/>
      <c r="C210" s="456"/>
      <c r="D210" s="456"/>
      <c r="E210" s="456"/>
      <c r="F210" s="456"/>
      <c r="G210" s="456"/>
      <c r="H210" s="456"/>
      <c r="I210" s="456"/>
      <c r="J210" s="456"/>
      <c r="K210" s="456"/>
      <c r="L210" s="456"/>
      <c r="M210" s="456"/>
      <c r="N210" s="456"/>
      <c r="O210" s="456"/>
      <c r="P210" s="456"/>
      <c r="Q210" s="456"/>
      <c r="R210" s="456"/>
      <c r="S210" s="456"/>
      <c r="T210" s="456"/>
      <c r="U210" s="456"/>
      <c r="V210" s="456"/>
      <c r="W210" s="456"/>
      <c r="X210" s="456"/>
      <c r="Y210" s="456"/>
      <c r="Z210" s="456"/>
      <c r="AA210" s="532"/>
      <c r="AB210" s="532"/>
      <c r="AC210" s="532"/>
      <c r="AD210" s="532"/>
      <c r="AE210" s="532"/>
      <c r="AF210" s="532"/>
      <c r="AG210" s="532"/>
      <c r="AH210" s="532"/>
      <c r="AI210" s="532"/>
      <c r="AJ210" s="532"/>
      <c r="AK210" s="532"/>
      <c r="AL210" s="532"/>
      <c r="AM210" s="532"/>
      <c r="AN210" s="455"/>
      <c r="AO210" s="449"/>
      <c r="AP210" s="449"/>
    </row>
    <row r="211" spans="1:42" ht="28.5" customHeight="1">
      <c r="A211" s="455"/>
      <c r="B211" s="456"/>
      <c r="C211" s="456"/>
      <c r="D211" s="456"/>
      <c r="E211" s="456"/>
      <c r="F211" s="456"/>
      <c r="G211" s="456"/>
      <c r="H211" s="456"/>
      <c r="I211" s="456"/>
      <c r="J211" s="456"/>
      <c r="K211" s="456"/>
      <c r="L211" s="456"/>
      <c r="M211" s="456"/>
      <c r="N211" s="456"/>
      <c r="O211" s="456"/>
      <c r="P211" s="456"/>
      <c r="Q211" s="456"/>
      <c r="R211" s="456"/>
      <c r="S211" s="456"/>
      <c r="T211" s="456"/>
      <c r="U211" s="456"/>
      <c r="V211" s="456"/>
      <c r="W211" s="456"/>
      <c r="X211" s="456"/>
      <c r="Y211" s="456"/>
      <c r="Z211" s="456"/>
      <c r="AA211" s="532"/>
      <c r="AB211" s="532"/>
      <c r="AC211" s="532"/>
      <c r="AD211" s="532"/>
      <c r="AE211" s="532"/>
      <c r="AF211" s="532"/>
      <c r="AG211" s="532"/>
      <c r="AH211" s="532"/>
      <c r="AI211" s="532"/>
      <c r="AJ211" s="532"/>
      <c r="AK211" s="532"/>
      <c r="AL211" s="532"/>
      <c r="AM211" s="532"/>
      <c r="AN211" s="455"/>
      <c r="AO211" s="449"/>
      <c r="AP211" s="449"/>
    </row>
    <row r="212" spans="1:42" ht="28.5" customHeight="1">
      <c r="A212" s="455"/>
      <c r="B212" s="456"/>
      <c r="C212" s="456"/>
      <c r="D212" s="456"/>
      <c r="E212" s="456"/>
      <c r="F212" s="456"/>
      <c r="G212" s="456"/>
      <c r="H212" s="456"/>
      <c r="I212" s="456"/>
      <c r="J212" s="456"/>
      <c r="K212" s="456"/>
      <c r="L212" s="456"/>
      <c r="M212" s="456"/>
      <c r="N212" s="456"/>
      <c r="O212" s="456"/>
      <c r="P212" s="456"/>
      <c r="Q212" s="456"/>
      <c r="R212" s="456"/>
      <c r="S212" s="456"/>
      <c r="T212" s="456"/>
      <c r="U212" s="456"/>
      <c r="V212" s="456"/>
      <c r="W212" s="456"/>
      <c r="X212" s="456"/>
      <c r="Y212" s="456"/>
      <c r="Z212" s="456"/>
      <c r="AA212" s="532"/>
      <c r="AB212" s="532"/>
      <c r="AC212" s="532"/>
      <c r="AD212" s="532"/>
      <c r="AE212" s="532"/>
      <c r="AF212" s="532"/>
      <c r="AG212" s="532"/>
      <c r="AH212" s="532"/>
      <c r="AI212" s="532"/>
      <c r="AJ212" s="532"/>
      <c r="AK212" s="532"/>
      <c r="AL212" s="532"/>
      <c r="AM212" s="532"/>
      <c r="AN212" s="455"/>
      <c r="AO212" s="449"/>
      <c r="AP212" s="449"/>
    </row>
    <row r="213" spans="1:42" ht="28.5" customHeight="1">
      <c r="A213" s="455"/>
      <c r="B213" s="456"/>
      <c r="C213" s="456"/>
      <c r="D213" s="456"/>
      <c r="E213" s="456"/>
      <c r="F213" s="456"/>
      <c r="G213" s="456"/>
      <c r="H213" s="456"/>
      <c r="I213" s="456"/>
      <c r="J213" s="456"/>
      <c r="K213" s="456"/>
      <c r="L213" s="456"/>
      <c r="M213" s="456"/>
      <c r="N213" s="456"/>
      <c r="O213" s="456"/>
      <c r="P213" s="456"/>
      <c r="Q213" s="456"/>
      <c r="R213" s="456"/>
      <c r="S213" s="456"/>
      <c r="T213" s="456"/>
      <c r="U213" s="456"/>
      <c r="V213" s="456"/>
      <c r="W213" s="456"/>
      <c r="X213" s="456"/>
      <c r="Y213" s="456"/>
      <c r="Z213" s="456"/>
      <c r="AA213" s="532"/>
      <c r="AB213" s="532"/>
      <c r="AC213" s="532"/>
      <c r="AD213" s="532"/>
      <c r="AE213" s="532"/>
      <c r="AF213" s="532"/>
      <c r="AG213" s="532"/>
      <c r="AH213" s="532"/>
      <c r="AI213" s="532"/>
      <c r="AJ213" s="532"/>
      <c r="AK213" s="532"/>
      <c r="AL213" s="532"/>
      <c r="AM213" s="532"/>
      <c r="AN213" s="455"/>
      <c r="AO213" s="449"/>
      <c r="AP213" s="449"/>
    </row>
    <row r="214" spans="1:42" ht="28.5" customHeight="1">
      <c r="A214" s="455"/>
      <c r="B214" s="456"/>
      <c r="C214" s="456"/>
      <c r="D214" s="456"/>
      <c r="E214" s="456"/>
      <c r="F214" s="456"/>
      <c r="G214" s="456"/>
      <c r="H214" s="456"/>
      <c r="I214" s="456"/>
      <c r="J214" s="456"/>
      <c r="K214" s="456"/>
      <c r="L214" s="456"/>
      <c r="M214" s="456"/>
      <c r="N214" s="456"/>
      <c r="O214" s="456"/>
      <c r="P214" s="456"/>
      <c r="Q214" s="456"/>
      <c r="R214" s="456"/>
      <c r="S214" s="456"/>
      <c r="T214" s="456"/>
      <c r="U214" s="456"/>
      <c r="V214" s="456"/>
      <c r="W214" s="456"/>
      <c r="X214" s="456"/>
      <c r="Y214" s="456"/>
      <c r="Z214" s="456"/>
      <c r="AA214" s="532"/>
      <c r="AB214" s="532"/>
      <c r="AC214" s="532"/>
      <c r="AD214" s="532"/>
      <c r="AE214" s="532"/>
      <c r="AF214" s="532"/>
      <c r="AG214" s="532"/>
      <c r="AH214" s="532"/>
      <c r="AI214" s="532"/>
      <c r="AJ214" s="532"/>
      <c r="AK214" s="532"/>
      <c r="AL214" s="532"/>
      <c r="AM214" s="532"/>
      <c r="AN214" s="455"/>
      <c r="AO214" s="449"/>
      <c r="AP214" s="449"/>
    </row>
    <row r="215" spans="1:42" ht="28.5" customHeight="1">
      <c r="A215" s="455"/>
      <c r="B215" s="456"/>
      <c r="C215" s="456"/>
      <c r="D215" s="456"/>
      <c r="E215" s="456"/>
      <c r="F215" s="456"/>
      <c r="G215" s="456"/>
      <c r="H215" s="456"/>
      <c r="I215" s="456"/>
      <c r="J215" s="456"/>
      <c r="K215" s="456"/>
      <c r="L215" s="456"/>
      <c r="M215" s="456"/>
      <c r="N215" s="456"/>
      <c r="O215" s="456"/>
      <c r="P215" s="456"/>
      <c r="Q215" s="456"/>
      <c r="R215" s="456"/>
      <c r="S215" s="456"/>
      <c r="T215" s="456"/>
      <c r="U215" s="456"/>
      <c r="V215" s="456"/>
      <c r="W215" s="456"/>
      <c r="X215" s="456"/>
      <c r="Y215" s="456"/>
      <c r="Z215" s="456"/>
      <c r="AA215" s="532"/>
      <c r="AB215" s="532"/>
      <c r="AC215" s="532"/>
      <c r="AD215" s="532"/>
      <c r="AE215" s="532"/>
      <c r="AF215" s="532"/>
      <c r="AG215" s="532"/>
      <c r="AH215" s="532"/>
      <c r="AI215" s="532"/>
      <c r="AJ215" s="532"/>
      <c r="AK215" s="532"/>
      <c r="AL215" s="532"/>
      <c r="AM215" s="532"/>
      <c r="AN215" s="455"/>
      <c r="AO215" s="449"/>
      <c r="AP215" s="449"/>
    </row>
    <row r="216" spans="1:42">
      <c r="AO216" s="449"/>
      <c r="AP216" s="449"/>
    </row>
    <row r="217" spans="1:42" ht="16.5">
      <c r="A217" s="455"/>
      <c r="B217" s="772"/>
      <c r="C217" s="772"/>
      <c r="D217" s="772"/>
      <c r="E217" s="772"/>
      <c r="F217" s="455"/>
      <c r="G217" s="455"/>
      <c r="H217" s="455"/>
      <c r="I217" s="455"/>
      <c r="J217" s="455"/>
      <c r="K217" s="455"/>
      <c r="L217" s="455"/>
      <c r="M217" s="455"/>
      <c r="N217" s="455"/>
      <c r="O217" s="455"/>
      <c r="P217" s="455"/>
      <c r="Q217" s="455"/>
      <c r="R217" s="455"/>
      <c r="S217" s="455"/>
      <c r="T217" s="455"/>
      <c r="U217" s="455"/>
      <c r="V217" s="455"/>
      <c r="W217" s="455"/>
      <c r="X217" s="455"/>
      <c r="Y217" s="455"/>
      <c r="Z217" s="455"/>
      <c r="AA217" s="455"/>
      <c r="AB217" s="455"/>
      <c r="AC217" s="455"/>
      <c r="AD217" s="455"/>
      <c r="AE217" s="455"/>
      <c r="AF217" s="455"/>
      <c r="AG217" s="455"/>
      <c r="AH217" s="455"/>
      <c r="AI217" s="455"/>
      <c r="AJ217" s="455"/>
      <c r="AK217" s="455"/>
      <c r="AL217" s="455"/>
      <c r="AM217" s="455"/>
      <c r="AN217" s="455"/>
      <c r="AO217" s="449"/>
      <c r="AP217" s="449"/>
    </row>
    <row r="218" spans="1:42" ht="16.5">
      <c r="A218" s="455"/>
      <c r="B218" s="772"/>
      <c r="C218" s="772"/>
      <c r="D218" s="772"/>
      <c r="E218" s="772"/>
      <c r="F218" s="455"/>
      <c r="G218" s="455"/>
      <c r="H218" s="455"/>
      <c r="I218" s="455"/>
      <c r="J218" s="455"/>
      <c r="K218" s="455"/>
      <c r="L218" s="455"/>
      <c r="M218" s="455"/>
      <c r="N218" s="455"/>
      <c r="O218" s="455"/>
      <c r="P218" s="455"/>
      <c r="Q218" s="455"/>
      <c r="R218" s="455"/>
      <c r="S218" s="455"/>
      <c r="T218" s="455"/>
      <c r="U218" s="455"/>
      <c r="V218" s="455"/>
      <c r="W218" s="455"/>
      <c r="X218" s="455"/>
      <c r="Y218" s="455"/>
      <c r="Z218" s="455"/>
      <c r="AA218" s="455"/>
      <c r="AB218" s="455"/>
      <c r="AC218" s="455"/>
      <c r="AD218" s="455"/>
      <c r="AE218" s="455"/>
      <c r="AF218" s="455"/>
      <c r="AG218" s="455"/>
      <c r="AH218" s="455"/>
      <c r="AI218" s="455"/>
      <c r="AJ218" s="455"/>
      <c r="AK218" s="455"/>
      <c r="AL218" s="455"/>
      <c r="AM218" s="455"/>
      <c r="AN218" s="455"/>
      <c r="AO218" s="449"/>
      <c r="AP218" s="449"/>
    </row>
    <row r="219" spans="1:42" ht="16.5">
      <c r="A219" s="455"/>
      <c r="B219" s="772"/>
      <c r="C219" s="772"/>
      <c r="D219" s="772"/>
      <c r="E219" s="772"/>
      <c r="F219" s="455"/>
      <c r="G219" s="455"/>
      <c r="H219" s="455"/>
      <c r="I219" s="455"/>
      <c r="J219" s="455"/>
      <c r="K219" s="455"/>
      <c r="L219" s="455"/>
      <c r="M219" s="455"/>
      <c r="N219" s="455"/>
      <c r="O219" s="455"/>
      <c r="P219" s="455"/>
      <c r="Q219" s="455"/>
      <c r="R219" s="455"/>
      <c r="S219" s="455"/>
      <c r="T219" s="455"/>
      <c r="U219" s="455"/>
      <c r="V219" s="455"/>
      <c r="W219" s="455"/>
      <c r="X219" s="455"/>
      <c r="Y219" s="455"/>
      <c r="Z219" s="455"/>
      <c r="AA219" s="455"/>
      <c r="AB219" s="455"/>
      <c r="AC219" s="455"/>
      <c r="AD219" s="455"/>
      <c r="AE219" s="455"/>
      <c r="AF219" s="455"/>
      <c r="AG219" s="455"/>
      <c r="AH219" s="455"/>
      <c r="AI219" s="455"/>
      <c r="AJ219" s="455"/>
      <c r="AK219" s="455"/>
      <c r="AL219" s="455"/>
      <c r="AM219" s="455"/>
      <c r="AN219" s="455"/>
      <c r="AO219" s="449"/>
      <c r="AP219" s="449"/>
    </row>
    <row r="220" spans="1:42" ht="16.5">
      <c r="A220" s="455"/>
      <c r="B220" s="455"/>
      <c r="C220" s="455"/>
      <c r="D220" s="455"/>
      <c r="E220" s="455"/>
      <c r="F220" s="455"/>
      <c r="G220" s="455"/>
      <c r="H220" s="455"/>
      <c r="I220" s="455"/>
      <c r="J220" s="455"/>
      <c r="K220" s="455"/>
      <c r="L220" s="455"/>
      <c r="M220" s="455"/>
      <c r="N220" s="455"/>
      <c r="O220" s="455"/>
      <c r="P220" s="455"/>
      <c r="Q220" s="455"/>
      <c r="R220" s="455"/>
      <c r="S220" s="455"/>
      <c r="T220" s="455"/>
      <c r="U220" s="455"/>
      <c r="V220" s="455"/>
      <c r="W220" s="455"/>
      <c r="X220" s="455"/>
      <c r="Y220" s="455"/>
      <c r="Z220" s="455"/>
      <c r="AA220" s="455"/>
      <c r="AB220" s="455"/>
      <c r="AC220" s="455"/>
      <c r="AD220" s="455"/>
      <c r="AE220" s="455"/>
      <c r="AF220" s="455"/>
      <c r="AG220" s="455"/>
      <c r="AH220" s="455"/>
      <c r="AI220" s="455"/>
      <c r="AJ220" s="455"/>
      <c r="AK220" s="455"/>
      <c r="AL220" s="455"/>
      <c r="AM220" s="455"/>
      <c r="AN220" s="455"/>
      <c r="AO220" s="449"/>
      <c r="AP220" s="449"/>
    </row>
    <row r="221" spans="1:42" ht="15.75" customHeight="1">
      <c r="A221" s="455"/>
      <c r="B221" s="455"/>
      <c r="C221" s="455"/>
      <c r="D221" s="455"/>
      <c r="E221" s="455"/>
      <c r="F221" s="455"/>
      <c r="G221" s="455"/>
      <c r="H221" s="455"/>
      <c r="I221" s="455"/>
      <c r="J221" s="455"/>
      <c r="K221" s="455"/>
      <c r="L221" s="455"/>
      <c r="M221" s="455"/>
      <c r="N221" s="455"/>
      <c r="O221" s="455"/>
      <c r="P221" s="455"/>
      <c r="Q221" s="455"/>
      <c r="R221" s="455"/>
      <c r="S221" s="455"/>
      <c r="T221" s="455"/>
      <c r="U221" s="455"/>
      <c r="V221" s="455"/>
      <c r="W221" s="455"/>
      <c r="X221" s="455"/>
      <c r="Y221" s="455"/>
      <c r="Z221" s="455"/>
      <c r="AA221" s="455"/>
      <c r="AB221" s="455"/>
      <c r="AC221" s="455"/>
      <c r="AD221" s="455"/>
      <c r="AE221" s="455"/>
      <c r="AF221" s="455"/>
      <c r="AG221" s="455"/>
      <c r="AH221" s="455"/>
      <c r="AI221" s="455"/>
      <c r="AJ221" s="455"/>
      <c r="AK221" s="455"/>
      <c r="AL221" s="455"/>
      <c r="AM221" s="455"/>
      <c r="AN221" s="455"/>
      <c r="AO221" s="449"/>
      <c r="AP221" s="449"/>
    </row>
    <row r="222" spans="1:42" ht="16.5">
      <c r="A222" s="455"/>
      <c r="B222" s="455"/>
      <c r="C222" s="455"/>
      <c r="D222" s="455"/>
      <c r="E222" s="455"/>
      <c r="F222" s="455"/>
      <c r="G222" s="455"/>
      <c r="H222" s="455"/>
      <c r="I222" s="455"/>
      <c r="J222" s="455"/>
      <c r="K222" s="455"/>
      <c r="L222" s="455"/>
      <c r="M222" s="455"/>
      <c r="N222" s="455"/>
      <c r="O222" s="455"/>
      <c r="P222" s="455"/>
      <c r="Q222" s="455"/>
      <c r="R222" s="455"/>
      <c r="S222" s="455"/>
      <c r="T222" s="455"/>
      <c r="U222" s="455"/>
      <c r="V222" s="455"/>
      <c r="W222" s="455"/>
      <c r="X222" s="455"/>
      <c r="Y222" s="455"/>
      <c r="Z222" s="455"/>
      <c r="AA222" s="455"/>
      <c r="AB222" s="455"/>
      <c r="AC222" s="455"/>
      <c r="AD222" s="455"/>
      <c r="AE222" s="455"/>
      <c r="AF222" s="455"/>
      <c r="AG222" s="455"/>
      <c r="AH222" s="455"/>
      <c r="AI222" s="455"/>
      <c r="AJ222" s="455"/>
      <c r="AK222" s="455"/>
      <c r="AL222" s="455"/>
      <c r="AM222" s="455"/>
      <c r="AN222" s="455"/>
      <c r="AO222" s="449"/>
      <c r="AP222" s="449"/>
    </row>
    <row r="223" spans="1:42" ht="16.5">
      <c r="A223" s="455"/>
      <c r="B223" s="455"/>
      <c r="C223" s="455"/>
      <c r="D223" s="455"/>
      <c r="E223" s="455"/>
      <c r="F223" s="455"/>
      <c r="G223" s="1382"/>
      <c r="H223" s="1382"/>
      <c r="I223" s="1382"/>
      <c r="J223" s="1382"/>
      <c r="K223" s="1382"/>
      <c r="L223" s="455"/>
      <c r="M223" s="455"/>
      <c r="N223" s="455"/>
      <c r="O223" s="455"/>
      <c r="P223" s="1382"/>
      <c r="Q223" s="1382"/>
      <c r="R223" s="1382"/>
      <c r="S223" s="1382"/>
      <c r="T223" s="1382"/>
      <c r="U223" s="1382"/>
      <c r="V223" s="1382"/>
      <c r="W223" s="455"/>
      <c r="X223" s="1382"/>
      <c r="Y223" s="1382"/>
      <c r="Z223" s="1382"/>
      <c r="AA223" s="1382"/>
      <c r="AB223" s="1382"/>
      <c r="AC223" s="1382"/>
      <c r="AD223" s="1382"/>
      <c r="AE223" s="1382"/>
      <c r="AF223" s="455"/>
      <c r="AN223" s="455"/>
      <c r="AO223" s="449"/>
      <c r="AP223" s="449"/>
    </row>
    <row r="224" spans="1:42">
      <c r="O224" s="454"/>
      <c r="P224" s="454"/>
      <c r="Q224" s="454"/>
      <c r="R224" s="454"/>
      <c r="S224" s="454"/>
      <c r="AO224" s="449"/>
      <c r="AP224" s="449"/>
    </row>
    <row r="228" spans="2:42">
      <c r="B228" s="1384"/>
      <c r="C228" s="1384"/>
      <c r="D228" s="1384"/>
      <c r="E228" s="1384"/>
      <c r="F228" s="1384"/>
      <c r="AO228" s="449"/>
      <c r="AP228" s="449"/>
    </row>
    <row r="229" spans="2:42">
      <c r="B229" s="452"/>
      <c r="C229" s="452"/>
      <c r="D229" s="453"/>
      <c r="E229" s="453"/>
      <c r="F229" s="1384"/>
      <c r="G229" s="1384"/>
      <c r="H229" s="1384"/>
      <c r="I229" s="1384"/>
      <c r="J229" s="1384"/>
      <c r="K229" s="1384"/>
      <c r="AO229" s="449"/>
      <c r="AP229" s="449"/>
    </row>
    <row r="230" spans="2:42">
      <c r="B230" s="451"/>
      <c r="C230" s="451"/>
      <c r="D230" s="454"/>
      <c r="E230" s="454"/>
      <c r="F230" s="1383"/>
      <c r="G230" s="1383"/>
      <c r="H230" s="1383"/>
      <c r="I230" s="1383"/>
      <c r="J230" s="1383"/>
      <c r="K230" s="1383"/>
      <c r="AO230" s="449"/>
      <c r="AP230" s="449"/>
    </row>
    <row r="231" spans="2:42">
      <c r="B231" s="451"/>
      <c r="C231" s="451"/>
      <c r="D231" s="454"/>
      <c r="E231" s="454"/>
      <c r="F231" s="1383"/>
      <c r="G231" s="1383"/>
      <c r="H231" s="1383"/>
      <c r="I231" s="1383"/>
      <c r="J231" s="1383"/>
      <c r="K231" s="1383"/>
      <c r="AO231" s="449"/>
      <c r="AP231" s="449"/>
    </row>
    <row r="232" spans="2:42">
      <c r="B232" s="451"/>
      <c r="C232" s="451"/>
      <c r="D232" s="454"/>
      <c r="E232" s="454"/>
      <c r="F232" s="1383"/>
      <c r="G232" s="1383"/>
      <c r="H232" s="1383"/>
      <c r="I232" s="1383"/>
      <c r="J232" s="1383"/>
      <c r="K232" s="1383"/>
      <c r="AO232" s="449"/>
      <c r="AP232" s="449"/>
    </row>
    <row r="233" spans="2:42">
      <c r="B233" s="450"/>
      <c r="C233" s="450"/>
      <c r="F233" s="1383"/>
      <c r="G233" s="1383"/>
      <c r="H233" s="1383"/>
      <c r="I233" s="1383"/>
      <c r="J233" s="1383"/>
      <c r="K233" s="1383"/>
      <c r="AO233" s="449"/>
      <c r="AP233" s="449"/>
    </row>
    <row r="234" spans="2:42">
      <c r="B234" s="450"/>
      <c r="C234" s="450"/>
      <c r="F234" s="1383"/>
      <c r="G234" s="1383"/>
      <c r="H234" s="1383"/>
      <c r="I234" s="1383"/>
      <c r="J234" s="1383"/>
      <c r="K234" s="1383"/>
      <c r="AO234" s="449"/>
      <c r="AP234" s="449"/>
    </row>
    <row r="235" spans="2:42">
      <c r="B235" s="450"/>
      <c r="C235" s="450"/>
      <c r="F235" s="1383"/>
      <c r="G235" s="1383"/>
      <c r="H235" s="1383"/>
      <c r="I235" s="1383"/>
      <c r="J235" s="1383"/>
      <c r="K235" s="1383"/>
      <c r="AO235" s="449"/>
      <c r="AP235" s="449"/>
    </row>
    <row r="236" spans="2:42">
      <c r="B236" s="450"/>
      <c r="C236" s="450"/>
      <c r="F236" s="1383"/>
      <c r="G236" s="1383"/>
      <c r="H236" s="1383"/>
      <c r="I236" s="1383"/>
      <c r="J236" s="1383"/>
      <c r="K236" s="1383"/>
      <c r="AO236" s="449"/>
      <c r="AP236" s="449"/>
    </row>
  </sheetData>
  <mergeCells count="284">
    <mergeCell ref="A15:E15"/>
    <mergeCell ref="F167:H167"/>
    <mergeCell ref="R170:V170"/>
    <mergeCell ref="AK200:AN200"/>
    <mergeCell ref="R164:V164"/>
    <mergeCell ref="R163:V163"/>
    <mergeCell ref="R171:V171"/>
    <mergeCell ref="R169:V169"/>
    <mergeCell ref="AL163:AM163"/>
    <mergeCell ref="A171:D171"/>
    <mergeCell ref="A170:D170"/>
    <mergeCell ref="F170:H170"/>
    <mergeCell ref="AH175:AK175"/>
    <mergeCell ref="A16:D16"/>
    <mergeCell ref="A163:D163"/>
    <mergeCell ref="A165:D165"/>
    <mergeCell ref="F169:H169"/>
    <mergeCell ref="F163:H163"/>
    <mergeCell ref="F164:H164"/>
    <mergeCell ref="F165:H165"/>
    <mergeCell ref="F166:H166"/>
    <mergeCell ref="T175:Z175"/>
    <mergeCell ref="AA175:AG175"/>
    <mergeCell ref="M166:Q166"/>
    <mergeCell ref="AE165:AG165"/>
    <mergeCell ref="W166:AD166"/>
    <mergeCell ref="AE166:AG166"/>
    <mergeCell ref="W170:AD170"/>
    <mergeCell ref="AE170:AG170"/>
    <mergeCell ref="W171:AD171"/>
    <mergeCell ref="AE171:AG171"/>
    <mergeCell ref="AL13:AL14"/>
    <mergeCell ref="W167:AD167"/>
    <mergeCell ref="AE167:AG167"/>
    <mergeCell ref="W168:AD168"/>
    <mergeCell ref="P223:V223"/>
    <mergeCell ref="X223:AE223"/>
    <mergeCell ref="F234:K234"/>
    <mergeCell ref="F235:K235"/>
    <mergeCell ref="F236:K236"/>
    <mergeCell ref="B228:F228"/>
    <mergeCell ref="F229:K229"/>
    <mergeCell ref="F230:K230"/>
    <mergeCell ref="F231:K231"/>
    <mergeCell ref="F232:K232"/>
    <mergeCell ref="F233:K233"/>
    <mergeCell ref="G223:K223"/>
    <mergeCell ref="M164:Q164"/>
    <mergeCell ref="I164:L164"/>
    <mergeCell ref="A166:D166"/>
    <mergeCell ref="AE203:AF203"/>
    <mergeCell ref="A2:AN2"/>
    <mergeCell ref="A3:AN3"/>
    <mergeCell ref="R165:V165"/>
    <mergeCell ref="R166:V166"/>
    <mergeCell ref="R167:V167"/>
    <mergeCell ref="R168:V168"/>
    <mergeCell ref="F168:H168"/>
    <mergeCell ref="F171:H171"/>
    <mergeCell ref="I163:L163"/>
    <mergeCell ref="I165:L165"/>
    <mergeCell ref="I166:L166"/>
    <mergeCell ref="I167:L167"/>
    <mergeCell ref="I168:L168"/>
    <mergeCell ref="A161:D161"/>
    <mergeCell ref="D13:D14"/>
    <mergeCell ref="F13:AJ13"/>
    <mergeCell ref="A98:D98"/>
    <mergeCell ref="AN13:AN14"/>
    <mergeCell ref="AE164:AG164"/>
    <mergeCell ref="W165:AD165"/>
    <mergeCell ref="D173:E174"/>
    <mergeCell ref="F173:L174"/>
    <mergeCell ref="M173:S173"/>
    <mergeCell ref="T173:AK173"/>
    <mergeCell ref="I169:L169"/>
    <mergeCell ref="I170:L170"/>
    <mergeCell ref="M171:Q171"/>
    <mergeCell ref="M169:Q169"/>
    <mergeCell ref="M170:Q170"/>
    <mergeCell ref="AP14:AP15"/>
    <mergeCell ref="AE168:AG168"/>
    <mergeCell ref="W169:AD169"/>
    <mergeCell ref="AE169:AG169"/>
    <mergeCell ref="A4:AN4"/>
    <mergeCell ref="B6:R6"/>
    <mergeCell ref="B7:R7"/>
    <mergeCell ref="B8:AM8"/>
    <mergeCell ref="A9:AN9"/>
    <mergeCell ref="A10:AN10"/>
    <mergeCell ref="A13:B14"/>
    <mergeCell ref="C13:C14"/>
    <mergeCell ref="E13:E14"/>
    <mergeCell ref="AK12:AL12"/>
    <mergeCell ref="AK13:AK14"/>
    <mergeCell ref="AM13:AM14"/>
    <mergeCell ref="W163:AD163"/>
    <mergeCell ref="AE163:AG163"/>
    <mergeCell ref="W164:AD164"/>
    <mergeCell ref="A167:D167"/>
    <mergeCell ref="A168:D168"/>
    <mergeCell ref="M167:Q167"/>
    <mergeCell ref="M163:Q163"/>
    <mergeCell ref="M165:Q165"/>
    <mergeCell ref="D176:E176"/>
    <mergeCell ref="F176:L176"/>
    <mergeCell ref="M176:P176"/>
    <mergeCell ref="Q176:S176"/>
    <mergeCell ref="T176:Z176"/>
    <mergeCell ref="AA176:AG176"/>
    <mergeCell ref="AH176:AK176"/>
    <mergeCell ref="AL176:AM176"/>
    <mergeCell ref="D175:E175"/>
    <mergeCell ref="F175:L175"/>
    <mergeCell ref="M175:P175"/>
    <mergeCell ref="Q175:S175"/>
    <mergeCell ref="AL173:AM174"/>
    <mergeCell ref="M174:P174"/>
    <mergeCell ref="Q174:S174"/>
    <mergeCell ref="T174:Z174"/>
    <mergeCell ref="AA174:AG174"/>
    <mergeCell ref="AH174:AK174"/>
    <mergeCell ref="I171:L171"/>
    <mergeCell ref="M168:Q168"/>
    <mergeCell ref="Q177:S177"/>
    <mergeCell ref="T177:Z177"/>
    <mergeCell ref="AA177:AG177"/>
    <mergeCell ref="AH177:AK177"/>
    <mergeCell ref="AL177:AM177"/>
    <mergeCell ref="AL175:AM175"/>
    <mergeCell ref="D178:E178"/>
    <mergeCell ref="F178:L178"/>
    <mergeCell ref="M178:P178"/>
    <mergeCell ref="Q178:S178"/>
    <mergeCell ref="T178:Z178"/>
    <mergeCell ref="AA178:AG178"/>
    <mergeCell ref="AH178:AK178"/>
    <mergeCell ref="AL178:AM178"/>
    <mergeCell ref="D177:E177"/>
    <mergeCell ref="F177:L177"/>
    <mergeCell ref="M177:P177"/>
    <mergeCell ref="D179:E179"/>
    <mergeCell ref="F179:L179"/>
    <mergeCell ref="M179:P179"/>
    <mergeCell ref="Q179:S179"/>
    <mergeCell ref="T179:Z179"/>
    <mergeCell ref="AA179:AG179"/>
    <mergeCell ref="AH179:AK179"/>
    <mergeCell ref="AL179:AM179"/>
    <mergeCell ref="D180:E180"/>
    <mergeCell ref="F180:L180"/>
    <mergeCell ref="M180:P180"/>
    <mergeCell ref="Q180:S180"/>
    <mergeCell ref="T180:Z180"/>
    <mergeCell ref="AA180:AG180"/>
    <mergeCell ref="AH180:AK180"/>
    <mergeCell ref="AL180:AM180"/>
    <mergeCell ref="D181:E181"/>
    <mergeCell ref="F181:L181"/>
    <mergeCell ref="M181:P181"/>
    <mergeCell ref="Q181:S181"/>
    <mergeCell ref="T181:Z181"/>
    <mergeCell ref="AA181:AG181"/>
    <mergeCell ref="AH181:AK181"/>
    <mergeCell ref="AL181:AM181"/>
    <mergeCell ref="D182:E182"/>
    <mergeCell ref="F182:L182"/>
    <mergeCell ref="M182:P182"/>
    <mergeCell ref="Q182:S182"/>
    <mergeCell ref="T182:Z182"/>
    <mergeCell ref="AA182:AG182"/>
    <mergeCell ref="AH182:AK182"/>
    <mergeCell ref="AL182:AM182"/>
    <mergeCell ref="D183:E183"/>
    <mergeCell ref="F183:L183"/>
    <mergeCell ref="M183:P183"/>
    <mergeCell ref="Q183:S183"/>
    <mergeCell ref="T183:Z183"/>
    <mergeCell ref="AA183:AG183"/>
    <mergeCell ref="AH183:AK183"/>
    <mergeCell ref="AL183:AM183"/>
    <mergeCell ref="D184:E184"/>
    <mergeCell ref="F184:L184"/>
    <mergeCell ref="M184:P184"/>
    <mergeCell ref="Q184:S184"/>
    <mergeCell ref="T184:Z184"/>
    <mergeCell ref="AA184:AG184"/>
    <mergeCell ref="AH184:AK184"/>
    <mergeCell ref="AL184:AM184"/>
    <mergeCell ref="D185:E185"/>
    <mergeCell ref="F185:L185"/>
    <mergeCell ref="M185:P185"/>
    <mergeCell ref="Q185:S185"/>
    <mergeCell ref="T185:Z185"/>
    <mergeCell ref="AA185:AG185"/>
    <mergeCell ref="AH185:AK185"/>
    <mergeCell ref="AL185:AM185"/>
    <mergeCell ref="D186:E186"/>
    <mergeCell ref="F186:L186"/>
    <mergeCell ref="M186:P186"/>
    <mergeCell ref="Q186:S186"/>
    <mergeCell ref="T186:Z186"/>
    <mergeCell ref="AA186:AG186"/>
    <mergeCell ref="AH186:AK186"/>
    <mergeCell ref="AL186:AM186"/>
    <mergeCell ref="D187:E187"/>
    <mergeCell ref="F187:L187"/>
    <mergeCell ref="M187:P187"/>
    <mergeCell ref="Q187:S187"/>
    <mergeCell ref="T187:Z187"/>
    <mergeCell ref="AA187:AG187"/>
    <mergeCell ref="AH187:AK187"/>
    <mergeCell ref="AL187:AM187"/>
    <mergeCell ref="D188:E188"/>
    <mergeCell ref="F188:L188"/>
    <mergeCell ref="M188:P188"/>
    <mergeCell ref="Q188:S188"/>
    <mergeCell ref="T188:Z188"/>
    <mergeCell ref="AA188:AG188"/>
    <mergeCell ref="AH188:AK188"/>
    <mergeCell ref="AL188:AM188"/>
    <mergeCell ref="D189:E189"/>
    <mergeCell ref="F189:L189"/>
    <mergeCell ref="M189:P189"/>
    <mergeCell ref="Q189:S189"/>
    <mergeCell ref="T189:Z189"/>
    <mergeCell ref="AA189:AG189"/>
    <mergeCell ref="AH189:AK189"/>
    <mergeCell ref="AL189:AM189"/>
    <mergeCell ref="D190:E190"/>
    <mergeCell ref="F190:L190"/>
    <mergeCell ref="M190:P190"/>
    <mergeCell ref="Q190:S190"/>
    <mergeCell ref="T190:Z190"/>
    <mergeCell ref="AA190:AG190"/>
    <mergeCell ref="AH190:AK190"/>
    <mergeCell ref="AL190:AM190"/>
    <mergeCell ref="D191:E191"/>
    <mergeCell ref="F191:L191"/>
    <mergeCell ref="M191:P191"/>
    <mergeCell ref="Q191:S191"/>
    <mergeCell ref="T191:Z191"/>
    <mergeCell ref="AA191:AG191"/>
    <mergeCell ref="AH191:AK191"/>
    <mergeCell ref="AL191:AM191"/>
    <mergeCell ref="D192:E192"/>
    <mergeCell ref="F192:L192"/>
    <mergeCell ref="M192:P192"/>
    <mergeCell ref="Q192:S192"/>
    <mergeCell ref="T192:Z192"/>
    <mergeCell ref="AA192:AG192"/>
    <mergeCell ref="AH192:AK192"/>
    <mergeCell ref="AL192:AM192"/>
    <mergeCell ref="D193:E193"/>
    <mergeCell ref="F193:L193"/>
    <mergeCell ref="M193:P193"/>
    <mergeCell ref="Q193:S193"/>
    <mergeCell ref="T193:Z193"/>
    <mergeCell ref="AA193:AG193"/>
    <mergeCell ref="AH193:AK193"/>
    <mergeCell ref="AL193:AM193"/>
    <mergeCell ref="D194:E194"/>
    <mergeCell ref="F194:L194"/>
    <mergeCell ref="M194:P194"/>
    <mergeCell ref="Q194:S194"/>
    <mergeCell ref="T194:Z194"/>
    <mergeCell ref="AA194:AG194"/>
    <mergeCell ref="AH194:AK194"/>
    <mergeCell ref="AL194:AM194"/>
    <mergeCell ref="A198:D198"/>
    <mergeCell ref="F198:L198"/>
    <mergeCell ref="O198:T198"/>
    <mergeCell ref="W198:AC198"/>
    <mergeCell ref="AE198:AJ198"/>
    <mergeCell ref="AK198:AN198"/>
    <mergeCell ref="D195:E195"/>
    <mergeCell ref="F195:L195"/>
    <mergeCell ref="M195:P195"/>
    <mergeCell ref="Q195:S195"/>
    <mergeCell ref="T195:Z195"/>
    <mergeCell ref="AA195:AG195"/>
    <mergeCell ref="AH195:AK195"/>
    <mergeCell ref="AL195:AM195"/>
    <mergeCell ref="AD197:AN197"/>
  </mergeCells>
  <conditionalFormatting sqref="H90 J90:AJ90">
    <cfRule type="expression" dxfId="2" priority="3">
      <formula>#REF!="x"</formula>
    </cfRule>
  </conditionalFormatting>
  <printOptions horizontalCentered="1"/>
  <pageMargins left="0" right="0" top="0.27559055118110237" bottom="0.35433070866141736" header="0.27559055118110237" footer="0.31496062992125984"/>
  <pageSetup paperSize="9" scale="21" orientation="landscape" r:id="rId1"/>
  <headerFooter alignWithMargins="0">
    <oddFooter>Page &amp;P</oddFooter>
  </headerFooter>
  <rowBreaks count="1" manualBreakCount="1">
    <brk id="57" max="38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82727459-F8A2-4C1F-9623-75EC68ADA819}">
            <xm:f>'\Users\Lan\Documents\Zalo Received Files\[ĐỘI 1 THÁNG 8 NĂM 2024 (5) (3) (3) (4) (3) (1) (2) (8).xlsx]axit đánh đông'!#REF!="x"</xm:f>
            <x14:dxf>
              <fill>
                <patternFill>
                  <bgColor rgb="FF00B050"/>
                </patternFill>
              </fill>
            </x14:dxf>
          </x14:cfRule>
          <xm:sqref>F90:G90 I90</xm:sqref>
        </x14:conditionalFormatting>
        <x14:conditionalFormatting xmlns:xm="http://schemas.microsoft.com/office/excel/2006/main">
          <x14:cfRule type="expression" priority="1" id="{DCCE0C30-0B6E-4D34-8414-D26FAB6CC647}">
            <xm:f>'\Users\Lan\Documents\Zalo Received Files\[ĐỘI 1 THÁNG 8 NĂM 2024 (5) (3) (3) (4) (3) (1) (2) (8).xlsx]axit đánh đông'!#REF!="x"</xm:f>
            <x14:dxf>
              <fill>
                <patternFill>
                  <bgColor rgb="FF00B050"/>
                </patternFill>
              </fill>
            </x14:dxf>
          </x14:cfRule>
          <xm:sqref>F17:M17 J18:M86 F18:I89 J87:AI89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R67"/>
  <sheetViews>
    <sheetView zoomScale="25" zoomScaleNormal="25" zoomScaleSheetLayoutView="25" zoomScalePageLayoutView="40" workbookViewId="0">
      <selection activeCell="A23" sqref="A23:AN23"/>
    </sheetView>
  </sheetViews>
  <sheetFormatPr defaultColWidth="5.28515625" defaultRowHeight="15"/>
  <cols>
    <col min="1" max="1" width="8.42578125" style="449" customWidth="1"/>
    <col min="2" max="2" width="35.5703125" style="449" customWidth="1"/>
    <col min="3" max="30" width="14.28515625" style="449" customWidth="1"/>
    <col min="31" max="31" width="31.28515625" style="449" customWidth="1"/>
    <col min="32" max="32" width="31.140625" style="449" customWidth="1"/>
    <col min="33" max="33" width="30.85546875" style="449" hidden="1" customWidth="1"/>
    <col min="34" max="34" width="30.85546875" style="449" customWidth="1"/>
    <col min="35" max="35" width="31" style="449" customWidth="1"/>
    <col min="36" max="36" width="34.85546875" style="449" customWidth="1"/>
    <col min="37" max="37" width="14.85546875" style="449" hidden="1" customWidth="1"/>
    <col min="38" max="38" width="31.42578125" style="448" customWidth="1"/>
    <col min="39" max="39" width="5.28515625" style="448"/>
    <col min="40" max="40" width="14.5703125" style="448" customWidth="1"/>
    <col min="41" max="16384" width="5.28515625" style="449"/>
  </cols>
  <sheetData>
    <row r="1" spans="1:40" ht="45">
      <c r="A1" s="1392" t="s">
        <v>54</v>
      </c>
      <c r="B1" s="1392"/>
      <c r="C1" s="1392"/>
      <c r="D1" s="1392"/>
      <c r="E1" s="1392"/>
      <c r="F1" s="1392"/>
      <c r="G1" s="1392"/>
      <c r="H1" s="1392"/>
      <c r="I1" s="1392"/>
      <c r="J1" s="1392"/>
      <c r="K1" s="1392"/>
      <c r="L1" s="1392"/>
      <c r="M1" s="1392"/>
      <c r="N1" s="1392"/>
      <c r="O1" s="1392"/>
      <c r="P1" s="1392"/>
      <c r="Q1" s="1392"/>
      <c r="R1" s="1392"/>
      <c r="S1" s="1392"/>
      <c r="T1" s="1392"/>
      <c r="U1" s="1392"/>
      <c r="V1" s="1392"/>
      <c r="W1" s="1392"/>
      <c r="X1" s="1392"/>
      <c r="Y1" s="1392"/>
      <c r="Z1" s="1392"/>
      <c r="AA1" s="1392"/>
      <c r="AB1" s="1392"/>
      <c r="AC1" s="1392"/>
      <c r="AD1" s="1392"/>
      <c r="AE1" s="1392"/>
      <c r="AF1" s="1392"/>
      <c r="AG1" s="1392"/>
      <c r="AH1" s="1392"/>
      <c r="AI1" s="1392"/>
      <c r="AJ1" s="1392"/>
      <c r="AK1" s="1392"/>
      <c r="AL1" s="1392"/>
    </row>
    <row r="2" spans="1:40" ht="44.25" customHeight="1">
      <c r="A2" s="1392" t="s">
        <v>55</v>
      </c>
      <c r="B2" s="1392"/>
      <c r="C2" s="1392"/>
      <c r="D2" s="1392"/>
      <c r="E2" s="1392"/>
      <c r="F2" s="1392"/>
      <c r="G2" s="1392"/>
      <c r="H2" s="1392"/>
      <c r="I2" s="1392"/>
      <c r="J2" s="1392"/>
      <c r="K2" s="1392"/>
      <c r="L2" s="1392"/>
      <c r="M2" s="1392"/>
      <c r="N2" s="1392"/>
      <c r="O2" s="1392"/>
      <c r="P2" s="1392"/>
      <c r="Q2" s="1392"/>
      <c r="R2" s="1392"/>
      <c r="S2" s="1392"/>
      <c r="T2" s="1392"/>
      <c r="U2" s="1392"/>
      <c r="V2" s="1392"/>
      <c r="W2" s="1392"/>
      <c r="X2" s="1392"/>
      <c r="Y2" s="1392"/>
      <c r="Z2" s="1392"/>
      <c r="AA2" s="1392"/>
      <c r="AB2" s="1392"/>
      <c r="AC2" s="1392"/>
      <c r="AD2" s="1392"/>
      <c r="AE2" s="1392"/>
      <c r="AF2" s="1392"/>
      <c r="AG2" s="1392"/>
      <c r="AH2" s="1392"/>
      <c r="AI2" s="1392"/>
      <c r="AJ2" s="1392"/>
      <c r="AK2" s="1392"/>
      <c r="AL2" s="1392"/>
      <c r="AM2" s="449"/>
      <c r="AN2" s="449"/>
    </row>
    <row r="3" spans="1:40" ht="40.5" customHeight="1">
      <c r="A3" s="1393" t="s">
        <v>292</v>
      </c>
      <c r="B3" s="1393"/>
      <c r="C3" s="1393"/>
      <c r="D3" s="1393"/>
      <c r="E3" s="1393"/>
      <c r="F3" s="1393"/>
      <c r="G3" s="1393"/>
      <c r="H3" s="1393"/>
      <c r="I3" s="1393"/>
      <c r="J3" s="1393"/>
      <c r="K3" s="1393"/>
      <c r="L3" s="1393"/>
      <c r="M3" s="1393"/>
      <c r="N3" s="1393"/>
      <c r="O3" s="1393"/>
      <c r="P3" s="1393"/>
      <c r="Q3" s="1393"/>
      <c r="R3" s="1393"/>
      <c r="S3" s="1393"/>
      <c r="T3" s="1393"/>
      <c r="U3" s="1393"/>
      <c r="V3" s="1393"/>
      <c r="W3" s="1393"/>
      <c r="X3" s="1393"/>
      <c r="Y3" s="1393"/>
      <c r="Z3" s="1393"/>
      <c r="AA3" s="1393"/>
      <c r="AB3" s="1393"/>
      <c r="AC3" s="1393"/>
      <c r="AD3" s="1393"/>
      <c r="AE3" s="1393"/>
      <c r="AF3" s="1393"/>
      <c r="AG3" s="1393"/>
      <c r="AH3" s="1393"/>
      <c r="AI3" s="1393"/>
      <c r="AJ3" s="1393"/>
      <c r="AK3" s="1393"/>
      <c r="AL3" s="1393"/>
      <c r="AM3" s="449"/>
      <c r="AN3" s="449"/>
    </row>
    <row r="4" spans="1:40" ht="40.5" customHeight="1">
      <c r="A4" s="781"/>
      <c r="B4" s="781"/>
      <c r="C4" s="781"/>
      <c r="D4" s="781"/>
      <c r="E4" s="781"/>
      <c r="F4" s="781"/>
      <c r="G4" s="781"/>
      <c r="H4" s="781"/>
      <c r="I4" s="781"/>
      <c r="J4" s="781"/>
      <c r="K4" s="781"/>
      <c r="L4" s="781"/>
      <c r="M4" s="782"/>
      <c r="N4" s="782"/>
      <c r="O4" s="782"/>
      <c r="P4" s="782"/>
      <c r="Q4" s="782"/>
      <c r="R4" s="782"/>
      <c r="S4" s="782"/>
      <c r="T4" s="782"/>
      <c r="U4" s="782"/>
      <c r="V4" s="782"/>
      <c r="W4" s="782"/>
      <c r="X4" s="782"/>
      <c r="Y4" s="782"/>
      <c r="Z4" s="782"/>
      <c r="AA4" s="782"/>
      <c r="AB4" s="782"/>
      <c r="AC4" s="782"/>
      <c r="AD4" s="782"/>
      <c r="AE4" s="782"/>
      <c r="AF4" s="782"/>
      <c r="AG4" s="782"/>
      <c r="AH4" s="782"/>
      <c r="AI4" s="782"/>
      <c r="AJ4" s="475"/>
      <c r="AK4" s="476"/>
      <c r="AL4" s="476"/>
      <c r="AM4" s="449"/>
      <c r="AN4" s="449"/>
    </row>
    <row r="5" spans="1:40" ht="40.5" customHeight="1">
      <c r="A5" s="1392" t="s">
        <v>598</v>
      </c>
      <c r="B5" s="1392"/>
      <c r="C5" s="1392"/>
      <c r="D5" s="1392"/>
      <c r="E5" s="1392"/>
      <c r="F5" s="1392"/>
      <c r="G5" s="1392"/>
      <c r="H5" s="1392"/>
      <c r="I5" s="1392"/>
      <c r="J5" s="1392"/>
      <c r="K5" s="1392"/>
      <c r="L5" s="1392"/>
      <c r="M5" s="1392"/>
      <c r="N5" s="1392"/>
      <c r="O5" s="1392"/>
      <c r="P5" s="782"/>
      <c r="Q5" s="782"/>
      <c r="R5" s="782"/>
      <c r="S5" s="782"/>
      <c r="T5" s="782"/>
      <c r="U5" s="782"/>
      <c r="V5" s="782"/>
      <c r="W5" s="782"/>
      <c r="X5" s="782"/>
      <c r="Y5" s="782"/>
      <c r="Z5" s="782"/>
      <c r="AA5" s="782"/>
      <c r="AB5" s="782"/>
      <c r="AC5" s="782"/>
      <c r="AD5" s="782"/>
      <c r="AE5" s="782"/>
      <c r="AF5" s="782"/>
      <c r="AG5" s="782"/>
      <c r="AH5" s="782"/>
      <c r="AI5" s="782"/>
      <c r="AJ5" s="475"/>
      <c r="AK5" s="476"/>
      <c r="AL5" s="476"/>
      <c r="AM5" s="449"/>
      <c r="AN5" s="449"/>
    </row>
    <row r="6" spans="1:40" ht="40.5" customHeight="1">
      <c r="A6" s="1392" t="s">
        <v>583</v>
      </c>
      <c r="B6" s="1392"/>
      <c r="C6" s="1392"/>
      <c r="D6" s="1392"/>
      <c r="E6" s="1392"/>
      <c r="F6" s="1392"/>
      <c r="G6" s="1392"/>
      <c r="H6" s="1392"/>
      <c r="I6" s="1392"/>
      <c r="J6" s="1392"/>
      <c r="K6" s="1392"/>
      <c r="L6" s="1392"/>
      <c r="M6" s="1392"/>
      <c r="N6" s="1392"/>
      <c r="O6" s="1392"/>
      <c r="P6" s="782"/>
      <c r="Q6" s="782"/>
      <c r="R6" s="782"/>
      <c r="S6" s="782"/>
      <c r="T6" s="782"/>
      <c r="U6" s="782"/>
      <c r="V6" s="782"/>
      <c r="W6" s="782"/>
      <c r="X6" s="782"/>
      <c r="Y6" s="782"/>
      <c r="Z6" s="782"/>
      <c r="AA6" s="782"/>
      <c r="AB6" s="782"/>
      <c r="AC6" s="782"/>
      <c r="AD6" s="782"/>
      <c r="AE6" s="782"/>
      <c r="AF6" s="782"/>
      <c r="AG6" s="782"/>
      <c r="AH6" s="782"/>
      <c r="AI6" s="782"/>
      <c r="AJ6" s="475"/>
      <c r="AK6" s="476"/>
      <c r="AL6" s="476"/>
      <c r="AM6" s="449"/>
      <c r="AN6" s="449"/>
    </row>
    <row r="7" spans="1:40" ht="36.75" customHeight="1">
      <c r="A7" s="1392"/>
      <c r="B7" s="1392"/>
      <c r="C7" s="1392"/>
      <c r="D7" s="1392"/>
      <c r="E7" s="1392"/>
      <c r="F7" s="1392"/>
      <c r="G7" s="1392"/>
      <c r="H7" s="1392"/>
      <c r="I7" s="1392"/>
      <c r="J7" s="1392"/>
      <c r="K7" s="1392"/>
      <c r="L7" s="1392"/>
      <c r="M7" s="1392"/>
      <c r="N7" s="1392"/>
      <c r="O7" s="1392"/>
      <c r="P7" s="1392"/>
      <c r="Q7" s="1392"/>
      <c r="R7" s="1392"/>
      <c r="S7" s="1392"/>
      <c r="T7" s="1392"/>
      <c r="U7" s="1392"/>
      <c r="V7" s="1392"/>
      <c r="W7" s="1392"/>
      <c r="X7" s="1392"/>
      <c r="Y7" s="1392"/>
      <c r="Z7" s="1392"/>
      <c r="AA7" s="1392"/>
      <c r="AB7" s="1392"/>
      <c r="AC7" s="1392"/>
      <c r="AD7" s="1392"/>
      <c r="AE7" s="1392"/>
      <c r="AF7" s="1392"/>
      <c r="AG7" s="1392"/>
      <c r="AH7" s="1392"/>
      <c r="AI7" s="1392"/>
      <c r="AJ7" s="1392"/>
      <c r="AK7" s="476"/>
      <c r="AL7" s="476"/>
      <c r="AM7" s="449"/>
      <c r="AN7" s="449"/>
    </row>
    <row r="8" spans="1:40" ht="16.5" customHeight="1">
      <c r="A8" s="781"/>
      <c r="B8" s="781"/>
      <c r="C8" s="781"/>
      <c r="D8" s="781"/>
      <c r="E8" s="781"/>
      <c r="F8" s="781"/>
      <c r="G8" s="781"/>
      <c r="H8" s="781"/>
      <c r="I8" s="781"/>
      <c r="J8" s="781"/>
      <c r="K8" s="781"/>
      <c r="L8" s="781"/>
      <c r="M8" s="782"/>
      <c r="N8" s="782"/>
      <c r="O8" s="782"/>
      <c r="P8" s="782"/>
      <c r="Q8" s="782"/>
      <c r="R8" s="782"/>
      <c r="S8" s="782"/>
      <c r="T8" s="782"/>
      <c r="U8" s="782"/>
      <c r="V8" s="782"/>
      <c r="W8" s="782"/>
      <c r="X8" s="782"/>
      <c r="Y8" s="782"/>
      <c r="Z8" s="782"/>
      <c r="AA8" s="782"/>
      <c r="AB8" s="782"/>
      <c r="AC8" s="782"/>
      <c r="AD8" s="782"/>
      <c r="AE8" s="782"/>
      <c r="AF8" s="782"/>
      <c r="AG8" s="782"/>
      <c r="AH8" s="782"/>
      <c r="AI8" s="782"/>
      <c r="AJ8" s="475"/>
      <c r="AK8" s="476"/>
      <c r="AL8" s="476"/>
      <c r="AM8" s="449"/>
      <c r="AN8" s="449"/>
    </row>
    <row r="9" spans="1:40" ht="42" customHeight="1">
      <c r="A9" s="1392"/>
      <c r="B9" s="1392"/>
      <c r="C9" s="1392"/>
      <c r="D9" s="1392"/>
      <c r="E9" s="1392"/>
      <c r="F9" s="1392"/>
      <c r="G9" s="1392"/>
      <c r="H9" s="1392"/>
      <c r="I9" s="1392"/>
      <c r="J9" s="1392"/>
      <c r="K9" s="1392"/>
      <c r="L9" s="1392"/>
      <c r="M9" s="1392"/>
      <c r="N9" s="1392"/>
      <c r="O9" s="1392"/>
      <c r="P9" s="782"/>
      <c r="Q9" s="782"/>
      <c r="R9" s="782"/>
      <c r="S9" s="782"/>
      <c r="T9" s="782"/>
      <c r="U9" s="782"/>
      <c r="V9" s="782"/>
      <c r="W9" s="782"/>
      <c r="X9" s="782"/>
      <c r="Y9" s="782"/>
      <c r="Z9" s="782"/>
      <c r="AA9" s="782"/>
      <c r="AB9" s="782"/>
      <c r="AC9" s="782"/>
      <c r="AD9" s="782"/>
      <c r="AE9" s="782"/>
      <c r="AF9" s="782"/>
      <c r="AG9" s="782"/>
      <c r="AH9" s="782"/>
      <c r="AI9" s="782"/>
      <c r="AJ9" s="475"/>
      <c r="AK9" s="476"/>
      <c r="AL9" s="476"/>
      <c r="AM9" s="449"/>
      <c r="AN9" s="449"/>
    </row>
    <row r="10" spans="1:40" ht="39" customHeight="1">
      <c r="A10" s="1392"/>
      <c r="B10" s="1392"/>
      <c r="C10" s="1392"/>
      <c r="D10" s="1392"/>
      <c r="E10" s="1392"/>
      <c r="F10" s="1392"/>
      <c r="G10" s="1392"/>
      <c r="H10" s="1392"/>
      <c r="I10" s="1392"/>
      <c r="J10" s="1392"/>
      <c r="K10" s="1392"/>
      <c r="L10" s="1392"/>
      <c r="M10" s="1392"/>
      <c r="N10" s="1392"/>
      <c r="O10" s="1392"/>
      <c r="P10" s="782"/>
      <c r="Q10" s="782"/>
      <c r="R10" s="782"/>
      <c r="S10" s="782"/>
      <c r="T10" s="782"/>
      <c r="U10" s="782"/>
      <c r="V10" s="782"/>
      <c r="W10" s="782"/>
      <c r="X10" s="782"/>
      <c r="Y10" s="782"/>
      <c r="Z10" s="782"/>
      <c r="AA10" s="782"/>
      <c r="AB10" s="782"/>
      <c r="AC10" s="782"/>
      <c r="AD10" s="782"/>
      <c r="AE10" s="782"/>
      <c r="AF10" s="782"/>
      <c r="AG10" s="782"/>
      <c r="AH10" s="782"/>
      <c r="AI10" s="782"/>
      <c r="AJ10" s="475"/>
      <c r="AK10" s="476"/>
      <c r="AL10" s="476"/>
      <c r="AM10" s="449"/>
      <c r="AN10" s="449"/>
    </row>
    <row r="11" spans="1:40" ht="15" customHeight="1">
      <c r="A11" s="1392"/>
      <c r="B11" s="1392"/>
      <c r="C11" s="1392"/>
      <c r="D11" s="1392"/>
      <c r="E11" s="1392"/>
      <c r="F11" s="1392"/>
      <c r="G11" s="1392"/>
      <c r="H11" s="1392"/>
      <c r="I11" s="1392"/>
      <c r="J11" s="1392"/>
      <c r="K11" s="1392"/>
      <c r="L11" s="1392"/>
      <c r="M11" s="1392"/>
      <c r="N11" s="1392"/>
      <c r="O11" s="1392"/>
      <c r="P11" s="1392"/>
      <c r="Q11" s="1392"/>
      <c r="R11" s="1392"/>
      <c r="S11" s="1392"/>
      <c r="T11" s="1392"/>
      <c r="U11" s="1392"/>
      <c r="V11" s="1392"/>
      <c r="W11" s="1392"/>
      <c r="X11" s="1392"/>
      <c r="Y11" s="1392"/>
      <c r="Z11" s="1392"/>
      <c r="AA11" s="1392"/>
      <c r="AB11" s="1392"/>
      <c r="AC11" s="1392"/>
      <c r="AD11" s="1392"/>
      <c r="AE11" s="1392"/>
      <c r="AF11" s="1392"/>
      <c r="AG11" s="1392"/>
      <c r="AH11" s="1392"/>
      <c r="AI11" s="1392"/>
      <c r="AJ11" s="1392"/>
      <c r="AK11" s="476"/>
      <c r="AL11" s="476"/>
      <c r="AM11" s="449"/>
      <c r="AN11" s="449"/>
    </row>
    <row r="12" spans="1:40" ht="89.25" customHeight="1">
      <c r="A12" s="1353" t="s">
        <v>826</v>
      </c>
      <c r="B12" s="1353"/>
      <c r="C12" s="1353"/>
      <c r="D12" s="1353"/>
      <c r="E12" s="1353"/>
      <c r="F12" s="1353"/>
      <c r="G12" s="1353"/>
      <c r="H12" s="1353"/>
      <c r="I12" s="1353"/>
      <c r="J12" s="1353"/>
      <c r="K12" s="1353"/>
      <c r="L12" s="1353"/>
      <c r="M12" s="1353"/>
      <c r="N12" s="1353"/>
      <c r="O12" s="1353"/>
      <c r="P12" s="1353"/>
      <c r="Q12" s="1353"/>
      <c r="R12" s="1353"/>
      <c r="S12" s="1353"/>
      <c r="T12" s="1353"/>
      <c r="U12" s="1353"/>
      <c r="V12" s="1353"/>
      <c r="W12" s="1353"/>
      <c r="X12" s="1353"/>
      <c r="Y12" s="1353"/>
      <c r="Z12" s="1353"/>
      <c r="AA12" s="1353"/>
      <c r="AB12" s="1353"/>
      <c r="AC12" s="1353"/>
      <c r="AD12" s="1353"/>
      <c r="AE12" s="1353"/>
      <c r="AF12" s="1353"/>
      <c r="AG12" s="1353"/>
      <c r="AH12" s="1353"/>
      <c r="AI12" s="1353"/>
      <c r="AJ12" s="1353"/>
      <c r="AL12" s="449"/>
      <c r="AM12" s="449"/>
      <c r="AN12" s="449"/>
    </row>
    <row r="13" spans="1:40" ht="36.75" customHeight="1">
      <c r="A13" s="451"/>
      <c r="B13" s="451"/>
      <c r="C13" s="451"/>
      <c r="D13" s="451"/>
      <c r="E13" s="451"/>
      <c r="F13" s="451"/>
      <c r="G13" s="451"/>
      <c r="H13" s="451"/>
      <c r="I13" s="451"/>
      <c r="J13" s="451"/>
      <c r="K13" s="451"/>
      <c r="L13" s="451"/>
      <c r="M13" s="451"/>
      <c r="N13" s="451"/>
      <c r="O13" s="451"/>
      <c r="P13" s="451"/>
      <c r="Q13" s="451"/>
      <c r="R13" s="451"/>
      <c r="S13" s="451"/>
      <c r="T13" s="451"/>
      <c r="U13" s="451"/>
      <c r="V13" s="451"/>
      <c r="W13" s="451"/>
      <c r="X13" s="451"/>
      <c r="Y13" s="451"/>
      <c r="Z13" s="451"/>
      <c r="AA13" s="451"/>
      <c r="AB13" s="451"/>
      <c r="AC13" s="451"/>
      <c r="AD13" s="451"/>
      <c r="AE13" s="451"/>
      <c r="AF13" s="451"/>
      <c r="AG13" s="451"/>
      <c r="AH13" s="1357"/>
      <c r="AI13" s="1357"/>
      <c r="AJ13" s="531"/>
      <c r="AK13" s="618" t="s">
        <v>504</v>
      </c>
      <c r="AL13" s="619"/>
      <c r="AM13" s="449"/>
      <c r="AN13" s="449"/>
    </row>
    <row r="14" spans="1:40" ht="48" customHeight="1">
      <c r="A14" s="1356" t="s">
        <v>14</v>
      </c>
      <c r="B14" s="1356" t="s">
        <v>15</v>
      </c>
      <c r="C14" s="1356" t="s">
        <v>52</v>
      </c>
      <c r="D14" s="1356"/>
      <c r="E14" s="1356"/>
      <c r="F14" s="1356"/>
      <c r="G14" s="1356"/>
      <c r="H14" s="1356"/>
      <c r="I14" s="1356"/>
      <c r="J14" s="1356"/>
      <c r="K14" s="1356"/>
      <c r="L14" s="1356"/>
      <c r="M14" s="1356"/>
      <c r="N14" s="1356"/>
      <c r="O14" s="1356"/>
      <c r="P14" s="1356"/>
      <c r="Q14" s="1356"/>
      <c r="R14" s="1356"/>
      <c r="S14" s="1356"/>
      <c r="T14" s="1356"/>
      <c r="U14" s="1356"/>
      <c r="V14" s="1356"/>
      <c r="W14" s="1356"/>
      <c r="X14" s="1356"/>
      <c r="Y14" s="1356"/>
      <c r="Z14" s="1356"/>
      <c r="AA14" s="1356"/>
      <c r="AB14" s="1356"/>
      <c r="AC14" s="1356"/>
      <c r="AD14" s="1356"/>
      <c r="AE14" s="1356"/>
      <c r="AF14" s="1356"/>
      <c r="AG14" s="1356"/>
      <c r="AH14" s="1358" t="s">
        <v>518</v>
      </c>
      <c r="AI14" s="1358" t="s">
        <v>413</v>
      </c>
      <c r="AJ14" s="1358" t="s">
        <v>133</v>
      </c>
      <c r="AK14" s="1358" t="s">
        <v>388</v>
      </c>
      <c r="AL14" s="1356" t="s">
        <v>395</v>
      </c>
      <c r="AM14" s="449"/>
      <c r="AN14" s="449"/>
    </row>
    <row r="15" spans="1:40" ht="99" customHeight="1">
      <c r="A15" s="1356"/>
      <c r="B15" s="1356"/>
      <c r="C15" s="783">
        <v>1</v>
      </c>
      <c r="D15" s="783">
        <v>2</v>
      </c>
      <c r="E15" s="783">
        <v>3</v>
      </c>
      <c r="F15" s="783">
        <v>4</v>
      </c>
      <c r="G15" s="783">
        <v>5</v>
      </c>
      <c r="H15" s="783">
        <v>6</v>
      </c>
      <c r="I15" s="783">
        <v>7</v>
      </c>
      <c r="J15" s="783">
        <v>8</v>
      </c>
      <c r="K15" s="783">
        <v>9</v>
      </c>
      <c r="L15" s="783">
        <v>10</v>
      </c>
      <c r="M15" s="783">
        <v>11</v>
      </c>
      <c r="N15" s="783">
        <v>12</v>
      </c>
      <c r="O15" s="783">
        <v>13</v>
      </c>
      <c r="P15" s="783">
        <v>14</v>
      </c>
      <c r="Q15" s="783">
        <v>15</v>
      </c>
      <c r="R15" s="783">
        <v>16</v>
      </c>
      <c r="S15" s="783">
        <v>17</v>
      </c>
      <c r="T15" s="783">
        <v>18</v>
      </c>
      <c r="U15" s="783">
        <v>19</v>
      </c>
      <c r="V15" s="783">
        <v>20</v>
      </c>
      <c r="W15" s="783">
        <v>21</v>
      </c>
      <c r="X15" s="783">
        <v>22</v>
      </c>
      <c r="Y15" s="783">
        <v>23</v>
      </c>
      <c r="Z15" s="783">
        <v>24</v>
      </c>
      <c r="AA15" s="783">
        <v>25</v>
      </c>
      <c r="AB15" s="783">
        <v>26</v>
      </c>
      <c r="AC15" s="783">
        <v>27</v>
      </c>
      <c r="AD15" s="783">
        <v>28</v>
      </c>
      <c r="AE15" s="783">
        <v>29</v>
      </c>
      <c r="AF15" s="783">
        <v>30</v>
      </c>
      <c r="AG15" s="783"/>
      <c r="AH15" s="1358"/>
      <c r="AI15" s="1358"/>
      <c r="AJ15" s="1358"/>
      <c r="AK15" s="1358"/>
      <c r="AL15" s="1356"/>
      <c r="AM15" s="449"/>
      <c r="AN15" s="449"/>
    </row>
    <row r="16" spans="1:40" ht="99" customHeight="1">
      <c r="A16" s="1380" t="s">
        <v>578</v>
      </c>
      <c r="B16" s="1380"/>
      <c r="C16" s="784">
        <f>C17</f>
        <v>0</v>
      </c>
      <c r="D16" s="784">
        <f t="shared" ref="D16:AD16" si="0">D17</f>
        <v>0</v>
      </c>
      <c r="E16" s="784">
        <f t="shared" si="0"/>
        <v>0</v>
      </c>
      <c r="F16" s="784">
        <f t="shared" si="0"/>
        <v>0</v>
      </c>
      <c r="G16" s="784">
        <f t="shared" si="0"/>
        <v>0</v>
      </c>
      <c r="H16" s="784">
        <f t="shared" si="0"/>
        <v>0</v>
      </c>
      <c r="I16" s="785">
        <f t="shared" si="0"/>
        <v>0</v>
      </c>
      <c r="J16" s="785">
        <f t="shared" si="0"/>
        <v>0</v>
      </c>
      <c r="K16" s="785">
        <f t="shared" si="0"/>
        <v>0</v>
      </c>
      <c r="L16" s="785">
        <f t="shared" si="0"/>
        <v>0</v>
      </c>
      <c r="M16" s="785">
        <f t="shared" si="0"/>
        <v>0</v>
      </c>
      <c r="N16" s="785">
        <f t="shared" si="0"/>
        <v>0</v>
      </c>
      <c r="O16" s="785">
        <f t="shared" si="0"/>
        <v>0</v>
      </c>
      <c r="P16" s="785">
        <f t="shared" si="0"/>
        <v>0</v>
      </c>
      <c r="Q16" s="785">
        <f t="shared" si="0"/>
        <v>0</v>
      </c>
      <c r="R16" s="785">
        <f t="shared" si="0"/>
        <v>0</v>
      </c>
      <c r="S16" s="785">
        <f t="shared" si="0"/>
        <v>0</v>
      </c>
      <c r="T16" s="785">
        <f t="shared" si="0"/>
        <v>0</v>
      </c>
      <c r="U16" s="785">
        <f t="shared" si="0"/>
        <v>0</v>
      </c>
      <c r="V16" s="785">
        <f t="shared" si="0"/>
        <v>0</v>
      </c>
      <c r="W16" s="785">
        <f t="shared" si="0"/>
        <v>0</v>
      </c>
      <c r="X16" s="785">
        <f t="shared" si="0"/>
        <v>0</v>
      </c>
      <c r="Y16" s="785">
        <f t="shared" si="0"/>
        <v>0</v>
      </c>
      <c r="Z16" s="785">
        <f t="shared" si="0"/>
        <v>0</v>
      </c>
      <c r="AA16" s="785">
        <f t="shared" si="0"/>
        <v>0</v>
      </c>
      <c r="AB16" s="785">
        <f t="shared" si="0"/>
        <v>0</v>
      </c>
      <c r="AC16" s="785">
        <f t="shared" si="0"/>
        <v>0</v>
      </c>
      <c r="AD16" s="785">
        <f t="shared" si="0"/>
        <v>0</v>
      </c>
      <c r="AE16" s="785">
        <f>AE17</f>
        <v>0</v>
      </c>
      <c r="AF16" s="785">
        <f t="shared" ref="AF16" si="1">AF17</f>
        <v>0</v>
      </c>
      <c r="AG16" s="785"/>
      <c r="AH16" s="785">
        <f>AH17</f>
        <v>0</v>
      </c>
      <c r="AI16" s="862"/>
      <c r="AJ16" s="785">
        <f t="shared" ref="AJ16:AK16" si="2">AJ17</f>
        <v>0</v>
      </c>
      <c r="AK16" s="786">
        <f t="shared" si="2"/>
        <v>0</v>
      </c>
      <c r="AL16" s="783"/>
      <c r="AM16" s="449"/>
      <c r="AN16" s="449"/>
    </row>
    <row r="17" spans="1:44" ht="99" customHeight="1">
      <c r="A17" s="787">
        <v>1</v>
      </c>
      <c r="B17" s="788" t="s">
        <v>416</v>
      </c>
      <c r="C17" s="787"/>
      <c r="D17" s="787"/>
      <c r="E17" s="787"/>
      <c r="F17" s="787"/>
      <c r="G17" s="787"/>
      <c r="H17" s="787"/>
      <c r="I17" s="789"/>
      <c r="J17" s="789"/>
      <c r="K17" s="789"/>
      <c r="L17" s="789"/>
      <c r="M17" s="789"/>
      <c r="N17" s="789"/>
      <c r="O17" s="789"/>
      <c r="P17" s="789"/>
      <c r="Q17" s="789"/>
      <c r="R17" s="789"/>
      <c r="S17" s="789"/>
      <c r="T17" s="789"/>
      <c r="U17" s="789"/>
      <c r="V17" s="789"/>
      <c r="W17" s="789"/>
      <c r="X17" s="789"/>
      <c r="Y17" s="789"/>
      <c r="Z17" s="789"/>
      <c r="AA17" s="789"/>
      <c r="AB17" s="789"/>
      <c r="AC17" s="789"/>
      <c r="AD17" s="789"/>
      <c r="AE17" s="789"/>
      <c r="AF17" s="794"/>
      <c r="AG17" s="789"/>
      <c r="AH17" s="790">
        <f>SUM(C17:AG17)</f>
        <v>0</v>
      </c>
      <c r="AI17" s="791">
        <v>48.216842105263161</v>
      </c>
      <c r="AJ17" s="792">
        <f>AH17*AI17/100</f>
        <v>0</v>
      </c>
      <c r="AK17" s="793"/>
      <c r="AL17" s="783"/>
      <c r="AM17" s="449"/>
      <c r="AN17" s="449"/>
    </row>
    <row r="18" spans="1:44" s="450" customFormat="1" ht="99" customHeight="1">
      <c r="A18" s="1380" t="s">
        <v>579</v>
      </c>
      <c r="B18" s="1380"/>
      <c r="C18" s="784">
        <f>C19</f>
        <v>0</v>
      </c>
      <c r="D18" s="784">
        <f t="shared" ref="D18:AJ18" si="3">D19</f>
        <v>0</v>
      </c>
      <c r="E18" s="784">
        <f t="shared" si="3"/>
        <v>0</v>
      </c>
      <c r="F18" s="784">
        <f t="shared" si="3"/>
        <v>0</v>
      </c>
      <c r="G18" s="784">
        <f t="shared" si="3"/>
        <v>0</v>
      </c>
      <c r="H18" s="784">
        <f t="shared" si="3"/>
        <v>0</v>
      </c>
      <c r="I18" s="785">
        <f t="shared" si="3"/>
        <v>0</v>
      </c>
      <c r="J18" s="785">
        <f t="shared" si="3"/>
        <v>0</v>
      </c>
      <c r="K18" s="785">
        <f t="shared" si="3"/>
        <v>0</v>
      </c>
      <c r="L18" s="785">
        <f t="shared" si="3"/>
        <v>0</v>
      </c>
      <c r="M18" s="785">
        <f t="shared" si="3"/>
        <v>0</v>
      </c>
      <c r="N18" s="785">
        <f t="shared" si="3"/>
        <v>0</v>
      </c>
      <c r="O18" s="785">
        <f t="shared" si="3"/>
        <v>0</v>
      </c>
      <c r="P18" s="785">
        <f t="shared" si="3"/>
        <v>0</v>
      </c>
      <c r="Q18" s="785">
        <f t="shared" si="3"/>
        <v>0</v>
      </c>
      <c r="R18" s="785">
        <f t="shared" si="3"/>
        <v>0</v>
      </c>
      <c r="S18" s="785">
        <f t="shared" si="3"/>
        <v>0</v>
      </c>
      <c r="T18" s="785">
        <f t="shared" si="3"/>
        <v>0</v>
      </c>
      <c r="U18" s="785">
        <f t="shared" si="3"/>
        <v>0</v>
      </c>
      <c r="V18" s="785">
        <f t="shared" si="3"/>
        <v>0</v>
      </c>
      <c r="W18" s="785">
        <f t="shared" si="3"/>
        <v>0</v>
      </c>
      <c r="X18" s="785">
        <f t="shared" si="3"/>
        <v>0</v>
      </c>
      <c r="Y18" s="785">
        <f t="shared" si="3"/>
        <v>0</v>
      </c>
      <c r="Z18" s="785">
        <f t="shared" si="3"/>
        <v>0</v>
      </c>
      <c r="AA18" s="785">
        <f t="shared" si="3"/>
        <v>0</v>
      </c>
      <c r="AB18" s="785">
        <f t="shared" si="3"/>
        <v>0</v>
      </c>
      <c r="AC18" s="785">
        <f t="shared" si="3"/>
        <v>0</v>
      </c>
      <c r="AD18" s="785">
        <f t="shared" si="3"/>
        <v>0</v>
      </c>
      <c r="AE18" s="785">
        <f t="shared" si="3"/>
        <v>0</v>
      </c>
      <c r="AF18" s="785">
        <f t="shared" si="3"/>
        <v>0</v>
      </c>
      <c r="AG18" s="785"/>
      <c r="AH18" s="785">
        <f t="shared" si="3"/>
        <v>0</v>
      </c>
      <c r="AI18" s="862"/>
      <c r="AJ18" s="785">
        <f t="shared" si="3"/>
        <v>0</v>
      </c>
      <c r="AK18" s="793"/>
      <c r="AL18" s="783"/>
    </row>
    <row r="19" spans="1:44" ht="99" customHeight="1">
      <c r="A19" s="788">
        <v>1</v>
      </c>
      <c r="B19" s="788" t="s">
        <v>416</v>
      </c>
      <c r="C19" s="788"/>
      <c r="D19" s="788"/>
      <c r="E19" s="788"/>
      <c r="F19" s="788"/>
      <c r="G19" s="788"/>
      <c r="H19" s="788"/>
      <c r="I19" s="794"/>
      <c r="J19" s="794"/>
      <c r="K19" s="794"/>
      <c r="L19" s="794"/>
      <c r="M19" s="794"/>
      <c r="N19" s="794"/>
      <c r="O19" s="794"/>
      <c r="P19" s="794"/>
      <c r="Q19" s="794"/>
      <c r="R19" s="794"/>
      <c r="S19" s="794"/>
      <c r="T19" s="794"/>
      <c r="U19" s="794"/>
      <c r="V19" s="794"/>
      <c r="W19" s="794"/>
      <c r="X19" s="794"/>
      <c r="Y19" s="794"/>
      <c r="Z19" s="794"/>
      <c r="AA19" s="794"/>
      <c r="AB19" s="794"/>
      <c r="AC19" s="794"/>
      <c r="AD19" s="794"/>
      <c r="AE19" s="794"/>
      <c r="AF19" s="794"/>
      <c r="AG19" s="794"/>
      <c r="AH19" s="790">
        <f>SUM(C19:AG19)</f>
        <v>0</v>
      </c>
      <c r="AI19" s="791">
        <v>44.234999999999999</v>
      </c>
      <c r="AJ19" s="792">
        <f>AH19*AI19/100</f>
        <v>0</v>
      </c>
      <c r="AK19" s="793"/>
      <c r="AL19" s="783"/>
      <c r="AM19" s="449"/>
      <c r="AN19" s="449"/>
    </row>
    <row r="20" spans="1:44" s="562" customFormat="1" ht="80.25" customHeight="1">
      <c r="A20" s="1356" t="s">
        <v>157</v>
      </c>
      <c r="B20" s="1356"/>
      <c r="C20" s="796"/>
      <c r="D20" s="796"/>
      <c r="E20" s="796"/>
      <c r="F20" s="796"/>
      <c r="G20" s="796"/>
      <c r="H20" s="796"/>
      <c r="I20" s="797"/>
      <c r="J20" s="797"/>
      <c r="K20" s="797"/>
      <c r="L20" s="797"/>
      <c r="M20" s="797"/>
      <c r="N20" s="797"/>
      <c r="O20" s="797"/>
      <c r="P20" s="797"/>
      <c r="Q20" s="797"/>
      <c r="R20" s="797"/>
      <c r="S20" s="797"/>
      <c r="T20" s="797"/>
      <c r="U20" s="797"/>
      <c r="V20" s="797"/>
      <c r="W20" s="797"/>
      <c r="X20" s="797"/>
      <c r="Y20" s="797"/>
      <c r="Z20" s="797"/>
      <c r="AA20" s="797"/>
      <c r="AB20" s="797"/>
      <c r="AC20" s="797"/>
      <c r="AD20" s="797"/>
      <c r="AE20" s="798">
        <f>AE16+AE18</f>
        <v>0</v>
      </c>
      <c r="AF20" s="798">
        <f t="shared" ref="AF20:AJ20" si="4">AF16+AF18</f>
        <v>0</v>
      </c>
      <c r="AG20" s="798">
        <f t="shared" si="4"/>
        <v>0</v>
      </c>
      <c r="AH20" s="798">
        <f t="shared" si="4"/>
        <v>0</v>
      </c>
      <c r="AI20" s="798">
        <f t="shared" si="4"/>
        <v>0</v>
      </c>
      <c r="AJ20" s="798">
        <f t="shared" si="4"/>
        <v>0</v>
      </c>
      <c r="AK20" s="799" t="e">
        <f>AK16+AK18+#REF!+#REF!</f>
        <v>#REF!</v>
      </c>
      <c r="AL20" s="800"/>
      <c r="AM20" s="449"/>
      <c r="AN20" s="449"/>
      <c r="AO20" s="449"/>
      <c r="AP20" s="449"/>
      <c r="AQ20" s="449"/>
      <c r="AR20" s="449"/>
    </row>
    <row r="21" spans="1:44" ht="41.25" customHeight="1">
      <c r="A21" s="465"/>
      <c r="B21" s="465"/>
      <c r="C21" s="465"/>
      <c r="D21" s="465"/>
      <c r="E21" s="465"/>
      <c r="F21" s="465"/>
      <c r="G21" s="465"/>
      <c r="H21" s="465"/>
      <c r="I21" s="465"/>
      <c r="J21" s="465"/>
      <c r="K21" s="465"/>
      <c r="L21" s="465"/>
      <c r="M21" s="465"/>
      <c r="N21" s="465"/>
      <c r="O21" s="465"/>
      <c r="P21" s="465"/>
      <c r="Q21" s="465"/>
      <c r="R21" s="465"/>
      <c r="S21" s="465"/>
      <c r="T21" s="465"/>
      <c r="U21" s="465"/>
      <c r="V21" s="465"/>
      <c r="W21" s="465"/>
      <c r="X21" s="464"/>
      <c r="Y21" s="464"/>
      <c r="Z21" s="464"/>
      <c r="AA21" s="464"/>
      <c r="AB21" s="464"/>
      <c r="AC21" s="464"/>
      <c r="AD21" s="464"/>
      <c r="AE21" s="464"/>
      <c r="AF21" s="464"/>
      <c r="AG21" s="464"/>
      <c r="AH21" s="464"/>
      <c r="AI21" s="464"/>
      <c r="AJ21" s="464"/>
      <c r="AK21" s="464"/>
      <c r="AL21" s="449"/>
      <c r="AM21" s="449"/>
      <c r="AN21" s="449"/>
    </row>
    <row r="22" spans="1:44" ht="79.5" customHeight="1">
      <c r="A22" s="464"/>
      <c r="B22" s="465"/>
      <c r="C22" s="474"/>
      <c r="D22" s="474"/>
      <c r="E22" s="474"/>
      <c r="F22" s="474"/>
      <c r="G22" s="474"/>
      <c r="H22" s="474"/>
      <c r="I22" s="474"/>
      <c r="J22" s="474"/>
      <c r="K22" s="474"/>
      <c r="L22" s="474"/>
      <c r="M22" s="474"/>
      <c r="N22" s="474"/>
      <c r="O22" s="474"/>
      <c r="P22" s="474"/>
      <c r="Q22" s="474"/>
      <c r="R22" s="474"/>
      <c r="S22" s="474"/>
      <c r="T22" s="474"/>
      <c r="U22" s="474"/>
      <c r="V22" s="474"/>
      <c r="W22" s="474"/>
      <c r="X22" s="474"/>
      <c r="Y22" s="1377" t="s">
        <v>580</v>
      </c>
      <c r="Z22" s="1377"/>
      <c r="AA22" s="1377"/>
      <c r="AB22" s="1377"/>
      <c r="AC22" s="1377"/>
      <c r="AD22" s="1377"/>
      <c r="AE22" s="1377"/>
      <c r="AF22" s="1377"/>
      <c r="AG22" s="1377"/>
      <c r="AH22" s="1377"/>
      <c r="AI22" s="1377"/>
      <c r="AJ22" s="1377"/>
      <c r="AK22" s="1377"/>
      <c r="AL22" s="1377"/>
      <c r="AM22" s="449"/>
      <c r="AN22" s="449"/>
    </row>
    <row r="23" spans="1:44" ht="106.5" customHeight="1">
      <c r="A23" s="1394" t="s">
        <v>582</v>
      </c>
      <c r="B23" s="1394"/>
      <c r="C23" s="1394"/>
      <c r="D23" s="1394"/>
      <c r="E23" s="1394"/>
      <c r="F23" s="1394"/>
      <c r="G23" s="1394"/>
      <c r="H23" s="1394"/>
      <c r="I23" s="1394"/>
      <c r="J23" s="1394"/>
      <c r="K23" s="1394"/>
      <c r="L23" s="1394"/>
      <c r="M23" s="1394"/>
      <c r="N23" s="1394"/>
      <c r="O23" s="1394"/>
      <c r="P23" s="1394"/>
      <c r="Q23" s="1394"/>
      <c r="R23" s="1394"/>
      <c r="S23" s="1394"/>
      <c r="T23" s="1394"/>
      <c r="U23" s="1394"/>
      <c r="V23" s="1394"/>
      <c r="W23" s="1394"/>
      <c r="X23" s="1394"/>
      <c r="Y23" s="1394"/>
      <c r="Z23" s="1394"/>
      <c r="AA23" s="1394"/>
      <c r="AB23" s="1394"/>
      <c r="AC23" s="1394"/>
      <c r="AD23" s="1394"/>
      <c r="AE23" s="1394"/>
      <c r="AF23" s="1394"/>
      <c r="AG23" s="1394"/>
      <c r="AH23" s="1394"/>
      <c r="AI23" s="1394"/>
      <c r="AJ23" s="1394"/>
      <c r="AK23" s="1394"/>
      <c r="AL23" s="1394"/>
      <c r="AM23" s="1394"/>
      <c r="AN23" s="1394"/>
    </row>
    <row r="24" spans="1:44" ht="28.5" customHeight="1">
      <c r="A24" s="465"/>
      <c r="B24" s="474"/>
      <c r="C24" s="474"/>
      <c r="D24" s="474"/>
      <c r="E24" s="474"/>
      <c r="F24" s="474"/>
      <c r="G24" s="474"/>
      <c r="H24" s="474"/>
      <c r="I24" s="474"/>
      <c r="J24" s="474"/>
      <c r="K24" s="474"/>
      <c r="L24" s="474"/>
      <c r="M24" s="474"/>
      <c r="N24" s="474"/>
      <c r="O24" s="474"/>
      <c r="P24" s="474"/>
      <c r="Q24" s="474"/>
      <c r="R24" s="474"/>
      <c r="S24" s="474"/>
      <c r="T24" s="474"/>
      <c r="U24" s="474"/>
      <c r="V24" s="474"/>
      <c r="W24" s="474"/>
      <c r="X24" s="771"/>
      <c r="Y24" s="771"/>
      <c r="Z24" s="771"/>
      <c r="AA24" s="771"/>
      <c r="AB24" s="771"/>
      <c r="AC24" s="771"/>
      <c r="AD24" s="771"/>
      <c r="AE24" s="771"/>
      <c r="AF24" s="771"/>
      <c r="AG24" s="771"/>
      <c r="AH24" s="771"/>
      <c r="AI24" s="771"/>
      <c r="AJ24" s="771"/>
      <c r="AK24" s="476"/>
      <c r="AL24" s="449"/>
      <c r="AM24" s="449"/>
      <c r="AN24" s="449"/>
    </row>
    <row r="25" spans="1:44" ht="28.5" customHeight="1">
      <c r="A25" s="465"/>
      <c r="B25" s="474"/>
      <c r="C25" s="474"/>
      <c r="D25" s="474"/>
      <c r="E25" s="474"/>
      <c r="F25" s="474"/>
      <c r="G25" s="474"/>
      <c r="H25" s="474"/>
      <c r="I25" s="474"/>
      <c r="J25" s="474"/>
      <c r="K25" s="474"/>
      <c r="L25" s="474"/>
      <c r="M25" s="474"/>
      <c r="N25" s="474"/>
      <c r="O25" s="474"/>
      <c r="P25" s="474"/>
      <c r="Q25" s="474"/>
      <c r="R25" s="474"/>
      <c r="S25" s="474"/>
      <c r="T25" s="474"/>
      <c r="U25" s="474"/>
      <c r="V25" s="474"/>
      <c r="W25" s="474"/>
      <c r="X25" s="771"/>
      <c r="Y25" s="771"/>
      <c r="Z25" s="771"/>
      <c r="AA25" s="771"/>
      <c r="AB25" s="771"/>
      <c r="AC25" s="771"/>
      <c r="AD25" s="771"/>
      <c r="AE25" s="771"/>
      <c r="AF25" s="771"/>
      <c r="AG25" s="771"/>
      <c r="AH25" s="771"/>
      <c r="AI25" s="771"/>
      <c r="AJ25" s="771"/>
      <c r="AK25" s="476"/>
      <c r="AL25" s="449"/>
      <c r="AM25" s="449"/>
      <c r="AN25" s="449"/>
    </row>
    <row r="26" spans="1:44" ht="28.5" customHeight="1">
      <c r="A26" s="465"/>
      <c r="B26" s="474"/>
      <c r="C26" s="474"/>
      <c r="D26" s="474"/>
      <c r="E26" s="474"/>
      <c r="F26" s="474"/>
      <c r="G26" s="474"/>
      <c r="H26" s="474"/>
      <c r="I26" s="474"/>
      <c r="J26" s="474"/>
      <c r="K26" s="474"/>
      <c r="L26" s="474"/>
      <c r="M26" s="474"/>
      <c r="N26" s="474"/>
      <c r="O26" s="474"/>
      <c r="P26" s="474"/>
      <c r="Q26" s="474"/>
      <c r="R26" s="474"/>
      <c r="S26" s="474"/>
      <c r="T26" s="474"/>
      <c r="U26" s="474"/>
      <c r="V26" s="474"/>
      <c r="W26" s="474"/>
      <c r="X26" s="771"/>
      <c r="Y26" s="771"/>
      <c r="Z26" s="771"/>
      <c r="AA26" s="771"/>
      <c r="AB26" s="771"/>
      <c r="AC26" s="771"/>
      <c r="AD26" s="771"/>
      <c r="AE26" s="771"/>
      <c r="AF26" s="771"/>
      <c r="AG26" s="771"/>
      <c r="AH26" s="771"/>
      <c r="AI26" s="771"/>
      <c r="AJ26" s="771"/>
      <c r="AK26" s="476"/>
      <c r="AL26" s="449"/>
      <c r="AM26" s="449"/>
      <c r="AN26" s="449"/>
    </row>
    <row r="27" spans="1:44" ht="28.5" customHeight="1">
      <c r="A27" s="465"/>
      <c r="B27" s="474"/>
      <c r="C27" s="474"/>
      <c r="D27" s="474"/>
      <c r="E27" s="474"/>
      <c r="F27" s="474"/>
      <c r="G27" s="474"/>
      <c r="H27" s="474"/>
      <c r="I27" s="474"/>
      <c r="J27" s="474"/>
      <c r="K27" s="474"/>
      <c r="L27" s="474"/>
      <c r="M27" s="474"/>
      <c r="N27" s="474"/>
      <c r="O27" s="474"/>
      <c r="P27" s="474"/>
      <c r="Q27" s="474"/>
      <c r="R27" s="474"/>
      <c r="S27" s="474"/>
      <c r="T27" s="474"/>
      <c r="U27" s="474"/>
      <c r="V27" s="474"/>
      <c r="W27" s="474"/>
      <c r="X27" s="771"/>
      <c r="Y27" s="771"/>
      <c r="Z27" s="771"/>
      <c r="AA27" s="771"/>
      <c r="AB27" s="771"/>
      <c r="AC27" s="771"/>
      <c r="AD27" s="771"/>
      <c r="AE27" s="771"/>
      <c r="AF27" s="771"/>
      <c r="AG27" s="771"/>
      <c r="AH27" s="771"/>
      <c r="AI27" s="771"/>
      <c r="AJ27" s="771"/>
      <c r="AK27" s="476"/>
      <c r="AL27" s="449"/>
      <c r="AM27" s="449"/>
      <c r="AN27" s="449"/>
    </row>
    <row r="28" spans="1:44" ht="28.5" customHeight="1">
      <c r="A28" s="465"/>
      <c r="B28" s="474"/>
      <c r="C28" s="474"/>
      <c r="D28" s="474"/>
      <c r="E28" s="474"/>
      <c r="F28" s="474"/>
      <c r="G28" s="474"/>
      <c r="H28" s="474"/>
      <c r="I28" s="474"/>
      <c r="J28" s="474"/>
      <c r="K28" s="474"/>
      <c r="L28" s="474"/>
      <c r="M28" s="474"/>
      <c r="N28" s="474"/>
      <c r="O28" s="474"/>
      <c r="P28" s="474"/>
      <c r="Q28" s="474"/>
      <c r="R28" s="474"/>
      <c r="S28" s="474"/>
      <c r="T28" s="474"/>
      <c r="U28" s="474"/>
      <c r="V28" s="474"/>
      <c r="W28" s="474"/>
      <c r="X28" s="771"/>
      <c r="Y28" s="771"/>
      <c r="Z28" s="771"/>
      <c r="AA28" s="771"/>
      <c r="AB28" s="771"/>
      <c r="AC28" s="771"/>
      <c r="AD28" s="771"/>
      <c r="AE28" s="771"/>
      <c r="AF28" s="771"/>
      <c r="AG28" s="771"/>
      <c r="AH28" s="771"/>
      <c r="AI28" s="771"/>
      <c r="AJ28" s="771"/>
      <c r="AK28" s="476"/>
      <c r="AL28" s="449"/>
      <c r="AM28" s="449"/>
      <c r="AN28" s="449"/>
    </row>
    <row r="29" spans="1:44" ht="28.5" customHeight="1">
      <c r="A29" s="465"/>
      <c r="B29" s="474"/>
      <c r="C29" s="474"/>
      <c r="D29" s="474"/>
      <c r="E29" s="474"/>
      <c r="F29" s="474"/>
      <c r="G29" s="474"/>
      <c r="H29" s="474"/>
      <c r="I29" s="474"/>
      <c r="J29" s="474"/>
      <c r="K29" s="474"/>
      <c r="L29" s="474"/>
      <c r="M29" s="474"/>
      <c r="N29" s="474"/>
      <c r="O29" s="474"/>
      <c r="P29" s="474"/>
      <c r="Q29" s="474"/>
      <c r="R29" s="474"/>
      <c r="S29" s="474"/>
      <c r="T29" s="474"/>
      <c r="U29" s="474"/>
      <c r="V29" s="474"/>
      <c r="W29" s="474"/>
      <c r="X29" s="771"/>
      <c r="Y29" s="771"/>
      <c r="Z29" s="771"/>
      <c r="AA29" s="771"/>
      <c r="AB29" s="771"/>
      <c r="AC29" s="771"/>
      <c r="AD29" s="771"/>
      <c r="AE29" s="771"/>
      <c r="AF29" s="771"/>
      <c r="AG29" s="771"/>
      <c r="AH29" s="771"/>
      <c r="AI29" s="771"/>
      <c r="AJ29" s="771"/>
      <c r="AK29" s="476"/>
      <c r="AL29" s="449"/>
      <c r="AM29" s="449"/>
      <c r="AN29" s="449"/>
    </row>
    <row r="30" spans="1:44" ht="28.5" customHeight="1">
      <c r="A30" s="465"/>
      <c r="B30" s="474"/>
      <c r="C30" s="474"/>
      <c r="D30" s="474"/>
      <c r="E30" s="474"/>
      <c r="F30" s="474"/>
      <c r="G30" s="474"/>
      <c r="H30" s="474"/>
      <c r="I30" s="474"/>
      <c r="J30" s="474"/>
      <c r="K30" s="474"/>
      <c r="L30" s="474"/>
      <c r="M30" s="474"/>
      <c r="N30" s="474"/>
      <c r="O30" s="474"/>
      <c r="P30" s="474"/>
      <c r="Q30" s="474"/>
      <c r="R30" s="474"/>
      <c r="S30" s="474"/>
      <c r="T30" s="474"/>
      <c r="U30" s="474"/>
      <c r="V30" s="474"/>
      <c r="W30" s="474"/>
      <c r="X30" s="771"/>
      <c r="Y30" s="771"/>
      <c r="Z30" s="771"/>
      <c r="AA30" s="771"/>
      <c r="AB30" s="771"/>
      <c r="AC30" s="771"/>
      <c r="AD30" s="771"/>
      <c r="AE30" s="771"/>
      <c r="AF30" s="771"/>
      <c r="AG30" s="771"/>
      <c r="AH30" s="771"/>
      <c r="AI30" s="771"/>
      <c r="AJ30" s="771"/>
      <c r="AK30" s="476"/>
      <c r="AL30" s="449"/>
      <c r="AM30" s="449"/>
      <c r="AN30" s="449"/>
    </row>
    <row r="31" spans="1:44" ht="85.5" customHeight="1">
      <c r="A31" s="465"/>
      <c r="B31" s="474"/>
      <c r="C31" s="474"/>
      <c r="D31" s="474"/>
      <c r="E31" s="474"/>
      <c r="F31" s="474"/>
      <c r="G31" s="474"/>
      <c r="H31" s="474"/>
      <c r="I31" s="474"/>
      <c r="J31" s="474"/>
      <c r="K31" s="474"/>
      <c r="L31" s="474"/>
      <c r="M31" s="474"/>
      <c r="N31" s="474"/>
      <c r="O31" s="474"/>
      <c r="P31" s="474"/>
      <c r="Q31" s="474"/>
      <c r="R31" s="474"/>
      <c r="S31" s="474"/>
      <c r="T31" s="474"/>
      <c r="U31" s="474"/>
      <c r="V31" s="474"/>
      <c r="W31" s="474"/>
      <c r="X31" s="771"/>
      <c r="Y31" s="771"/>
      <c r="Z31" s="771"/>
      <c r="AA31" s="771"/>
      <c r="AB31" s="771"/>
      <c r="AC31" s="771"/>
      <c r="AE31" s="476"/>
      <c r="AG31" s="476"/>
      <c r="AH31" s="1390"/>
      <c r="AI31" s="1390"/>
      <c r="AJ31" s="1390"/>
      <c r="AK31" s="1390"/>
      <c r="AL31" s="449"/>
      <c r="AM31" s="449"/>
      <c r="AN31" s="449"/>
    </row>
    <row r="32" spans="1:44" ht="28.5" customHeight="1">
      <c r="A32" s="465"/>
      <c r="B32" s="474"/>
      <c r="C32" s="474"/>
      <c r="D32" s="474"/>
      <c r="E32" s="474"/>
      <c r="F32" s="474"/>
      <c r="G32" s="474"/>
      <c r="H32" s="474"/>
      <c r="I32" s="474"/>
      <c r="J32" s="474"/>
      <c r="K32" s="474"/>
      <c r="L32" s="474"/>
      <c r="M32" s="474"/>
      <c r="N32" s="474"/>
      <c r="O32" s="474"/>
      <c r="P32" s="474"/>
      <c r="Q32" s="474"/>
      <c r="R32" s="474"/>
      <c r="S32" s="474"/>
      <c r="T32" s="474"/>
      <c r="U32" s="474"/>
      <c r="V32" s="474"/>
      <c r="W32" s="474"/>
      <c r="X32" s="771"/>
      <c r="Y32" s="771"/>
      <c r="Z32" s="771"/>
      <c r="AA32" s="771"/>
      <c r="AB32" s="771"/>
      <c r="AC32" s="771"/>
      <c r="AD32" s="771"/>
      <c r="AE32" s="771"/>
      <c r="AF32" s="771"/>
      <c r="AG32" s="771"/>
      <c r="AH32" s="771"/>
      <c r="AI32" s="771"/>
      <c r="AJ32" s="771"/>
      <c r="AK32" s="476"/>
      <c r="AL32" s="449"/>
      <c r="AM32" s="449"/>
      <c r="AN32" s="449"/>
    </row>
    <row r="33" spans="1:40" ht="28.5" customHeight="1">
      <c r="A33" s="456"/>
      <c r="B33" s="474"/>
      <c r="C33" s="474"/>
      <c r="D33" s="474"/>
      <c r="E33" s="474"/>
      <c r="F33" s="474"/>
      <c r="G33" s="474"/>
      <c r="H33" s="474"/>
      <c r="I33" s="474"/>
      <c r="J33" s="474"/>
      <c r="K33" s="474"/>
      <c r="L33" s="474"/>
      <c r="M33" s="474"/>
      <c r="N33" s="474"/>
      <c r="O33" s="474"/>
      <c r="P33" s="474"/>
      <c r="Q33" s="474"/>
      <c r="R33" s="474"/>
      <c r="S33" s="474"/>
      <c r="T33" s="474"/>
      <c r="U33" s="474"/>
      <c r="V33" s="474"/>
      <c r="W33" s="474"/>
      <c r="X33" s="771"/>
      <c r="Y33" s="771"/>
      <c r="Z33" s="771"/>
      <c r="AA33" s="771"/>
      <c r="AB33" s="771"/>
      <c r="AC33" s="771"/>
      <c r="AD33" s="771"/>
      <c r="AE33" s="771"/>
      <c r="AF33" s="771"/>
      <c r="AG33" s="771"/>
      <c r="AH33" s="771"/>
      <c r="AI33" s="771"/>
      <c r="AJ33" s="771"/>
      <c r="AK33" s="476"/>
      <c r="AL33" s="449"/>
      <c r="AM33" s="449"/>
      <c r="AN33" s="449"/>
    </row>
    <row r="34" spans="1:40" ht="28.5" customHeight="1">
      <c r="A34" s="456"/>
      <c r="B34" s="474"/>
      <c r="C34" s="474"/>
      <c r="D34" s="474"/>
      <c r="E34" s="474"/>
      <c r="F34" s="474"/>
      <c r="G34" s="474"/>
      <c r="H34" s="474"/>
      <c r="I34" s="474"/>
      <c r="J34" s="474"/>
      <c r="K34" s="474"/>
      <c r="L34" s="474"/>
      <c r="M34" s="474"/>
      <c r="N34" s="474"/>
      <c r="O34" s="474"/>
      <c r="P34" s="474"/>
      <c r="Q34" s="474"/>
      <c r="R34" s="474"/>
      <c r="S34" s="474"/>
      <c r="T34" s="474"/>
      <c r="U34" s="474"/>
      <c r="V34" s="474"/>
      <c r="W34" s="474"/>
      <c r="X34" s="771"/>
      <c r="Y34" s="771"/>
      <c r="Z34" s="771"/>
      <c r="AA34" s="771"/>
      <c r="AB34" s="1377"/>
      <c r="AC34" s="1377"/>
      <c r="AD34" s="771"/>
      <c r="AE34" s="771"/>
      <c r="AF34" s="771"/>
      <c r="AG34" s="771"/>
      <c r="AH34" s="771"/>
      <c r="AI34" s="771"/>
      <c r="AJ34" s="771"/>
      <c r="AK34" s="476"/>
      <c r="AL34" s="449"/>
      <c r="AM34" s="449"/>
      <c r="AN34" s="449"/>
    </row>
    <row r="35" spans="1:40" ht="28.5" customHeight="1">
      <c r="A35" s="456"/>
      <c r="B35" s="474"/>
      <c r="C35" s="474"/>
      <c r="D35" s="474"/>
      <c r="E35" s="474"/>
      <c r="F35" s="474"/>
      <c r="G35" s="474"/>
      <c r="H35" s="474"/>
      <c r="I35" s="474"/>
      <c r="J35" s="474"/>
      <c r="K35" s="474"/>
      <c r="L35" s="474"/>
      <c r="M35" s="474"/>
      <c r="N35" s="474"/>
      <c r="O35" s="474"/>
      <c r="P35" s="474"/>
      <c r="Q35" s="474"/>
      <c r="R35" s="474"/>
      <c r="S35" s="474"/>
      <c r="T35" s="474"/>
      <c r="U35" s="474"/>
      <c r="V35" s="474"/>
      <c r="W35" s="474"/>
      <c r="X35" s="771"/>
      <c r="Y35" s="771"/>
      <c r="Z35" s="771"/>
      <c r="AA35" s="771"/>
      <c r="AB35" s="771"/>
      <c r="AC35" s="771"/>
      <c r="AD35" s="771"/>
      <c r="AE35" s="771"/>
      <c r="AF35" s="771"/>
      <c r="AG35" s="771"/>
      <c r="AH35" s="771"/>
      <c r="AI35" s="771"/>
      <c r="AJ35" s="771"/>
      <c r="AK35" s="476"/>
      <c r="AL35" s="449"/>
      <c r="AM35" s="449"/>
      <c r="AN35" s="449"/>
    </row>
    <row r="36" spans="1:40" ht="28.5" customHeight="1">
      <c r="A36" s="456"/>
      <c r="B36" s="456"/>
      <c r="C36" s="456"/>
      <c r="D36" s="456"/>
      <c r="E36" s="456"/>
      <c r="F36" s="456"/>
      <c r="G36" s="456"/>
      <c r="H36" s="456"/>
      <c r="I36" s="456"/>
      <c r="J36" s="456"/>
      <c r="K36" s="456"/>
      <c r="L36" s="456"/>
      <c r="M36" s="456"/>
      <c r="N36" s="456"/>
      <c r="O36" s="456"/>
      <c r="P36" s="456"/>
      <c r="Q36" s="456"/>
      <c r="R36" s="456"/>
      <c r="S36" s="456"/>
      <c r="T36" s="456"/>
      <c r="U36" s="456"/>
      <c r="V36" s="456"/>
      <c r="W36" s="456"/>
      <c r="X36" s="532"/>
      <c r="Y36" s="532"/>
      <c r="Z36" s="532"/>
      <c r="AA36" s="532"/>
      <c r="AB36" s="532"/>
      <c r="AC36" s="532"/>
      <c r="AD36" s="532"/>
      <c r="AE36" s="532"/>
      <c r="AF36" s="532"/>
      <c r="AG36" s="532"/>
      <c r="AH36" s="532"/>
      <c r="AI36" s="532"/>
      <c r="AJ36" s="532"/>
      <c r="AK36" s="455"/>
      <c r="AL36" s="449"/>
      <c r="AM36" s="449"/>
      <c r="AN36" s="449"/>
    </row>
    <row r="37" spans="1:40" ht="28.5" customHeight="1">
      <c r="A37" s="456"/>
      <c r="B37" s="456"/>
      <c r="C37" s="456"/>
      <c r="D37" s="456"/>
      <c r="E37" s="456"/>
      <c r="F37" s="456"/>
      <c r="G37" s="456"/>
      <c r="H37" s="456"/>
      <c r="I37" s="456"/>
      <c r="J37" s="456"/>
      <c r="K37" s="456"/>
      <c r="L37" s="456"/>
      <c r="M37" s="456"/>
      <c r="N37" s="456"/>
      <c r="O37" s="456"/>
      <c r="P37" s="456"/>
      <c r="Q37" s="456"/>
      <c r="R37" s="456"/>
      <c r="S37" s="456"/>
      <c r="T37" s="456"/>
      <c r="U37" s="456"/>
      <c r="V37" s="456"/>
      <c r="W37" s="456"/>
      <c r="X37" s="532"/>
      <c r="Y37" s="532"/>
      <c r="Z37" s="532"/>
      <c r="AA37" s="532"/>
      <c r="AB37" s="532"/>
      <c r="AC37" s="532"/>
      <c r="AD37" s="532"/>
      <c r="AE37" s="532"/>
      <c r="AF37" s="532"/>
      <c r="AG37" s="532"/>
      <c r="AH37" s="532"/>
      <c r="AI37" s="532"/>
      <c r="AJ37" s="532"/>
      <c r="AK37" s="455"/>
      <c r="AL37" s="449"/>
      <c r="AM37" s="449"/>
      <c r="AN37" s="449"/>
    </row>
    <row r="38" spans="1:40" ht="28.5" customHeight="1">
      <c r="A38" s="456"/>
      <c r="B38" s="456"/>
      <c r="C38" s="456"/>
      <c r="D38" s="456"/>
      <c r="E38" s="456"/>
      <c r="F38" s="456"/>
      <c r="G38" s="456"/>
      <c r="H38" s="456"/>
      <c r="I38" s="456"/>
      <c r="J38" s="456"/>
      <c r="K38" s="456"/>
      <c r="L38" s="456"/>
      <c r="M38" s="456"/>
      <c r="N38" s="456"/>
      <c r="O38" s="456"/>
      <c r="P38" s="456"/>
      <c r="Q38" s="456"/>
      <c r="R38" s="456"/>
      <c r="S38" s="456"/>
      <c r="T38" s="456"/>
      <c r="U38" s="456"/>
      <c r="V38" s="456"/>
      <c r="W38" s="456"/>
      <c r="X38" s="532"/>
      <c r="Y38" s="532"/>
      <c r="Z38" s="532"/>
      <c r="AA38" s="532"/>
      <c r="AB38" s="532"/>
      <c r="AC38" s="532"/>
      <c r="AD38" s="532"/>
      <c r="AE38" s="532"/>
      <c r="AF38" s="532"/>
      <c r="AG38" s="532"/>
      <c r="AH38" s="532"/>
      <c r="AI38" s="532"/>
      <c r="AJ38" s="532"/>
      <c r="AK38" s="455"/>
      <c r="AL38" s="449"/>
      <c r="AM38" s="449"/>
      <c r="AN38" s="449"/>
    </row>
    <row r="39" spans="1:40" ht="28.5" customHeight="1">
      <c r="A39" s="456"/>
      <c r="B39" s="456"/>
      <c r="C39" s="456"/>
      <c r="D39" s="456"/>
      <c r="E39" s="456"/>
      <c r="F39" s="456"/>
      <c r="G39" s="456"/>
      <c r="H39" s="456"/>
      <c r="I39" s="456"/>
      <c r="J39" s="456"/>
      <c r="K39" s="456"/>
      <c r="L39" s="456"/>
      <c r="M39" s="456"/>
      <c r="N39" s="456"/>
      <c r="O39" s="456"/>
      <c r="P39" s="456"/>
      <c r="Q39" s="456"/>
      <c r="R39" s="456"/>
      <c r="S39" s="456"/>
      <c r="T39" s="456"/>
      <c r="U39" s="456"/>
      <c r="V39" s="456"/>
      <c r="W39" s="456"/>
      <c r="X39" s="532"/>
      <c r="Y39" s="532"/>
      <c r="Z39" s="532"/>
      <c r="AA39" s="532"/>
      <c r="AB39" s="532"/>
      <c r="AC39" s="532"/>
      <c r="AD39" s="532"/>
      <c r="AE39" s="532"/>
      <c r="AF39" s="532"/>
      <c r="AG39" s="532"/>
      <c r="AH39" s="532"/>
      <c r="AI39" s="532"/>
      <c r="AJ39" s="532"/>
      <c r="AK39" s="455"/>
      <c r="AL39" s="449"/>
      <c r="AM39" s="449"/>
      <c r="AN39" s="449"/>
    </row>
    <row r="40" spans="1:40" ht="28.5" customHeight="1">
      <c r="A40" s="456"/>
      <c r="B40" s="456"/>
      <c r="C40" s="456"/>
      <c r="D40" s="456"/>
      <c r="E40" s="456"/>
      <c r="F40" s="456"/>
      <c r="G40" s="456"/>
      <c r="H40" s="456"/>
      <c r="I40" s="456"/>
      <c r="J40" s="456"/>
      <c r="K40" s="456"/>
      <c r="L40" s="456"/>
      <c r="M40" s="456"/>
      <c r="N40" s="456"/>
      <c r="O40" s="456"/>
      <c r="P40" s="456"/>
      <c r="Q40" s="456"/>
      <c r="R40" s="456"/>
      <c r="S40" s="456"/>
      <c r="T40" s="456"/>
      <c r="U40" s="456"/>
      <c r="V40" s="456"/>
      <c r="W40" s="456"/>
      <c r="X40" s="532"/>
      <c r="Y40" s="532"/>
      <c r="Z40" s="532"/>
      <c r="AA40" s="532"/>
      <c r="AB40" s="532"/>
      <c r="AC40" s="532"/>
      <c r="AD40" s="532"/>
      <c r="AE40" s="532"/>
      <c r="AF40" s="532"/>
      <c r="AG40" s="532"/>
      <c r="AH40" s="532"/>
      <c r="AI40" s="532"/>
      <c r="AJ40" s="532"/>
      <c r="AK40" s="455"/>
      <c r="AL40" s="449"/>
      <c r="AM40" s="449"/>
      <c r="AN40" s="449"/>
    </row>
    <row r="41" spans="1:40" ht="28.5" customHeight="1">
      <c r="A41" s="456"/>
      <c r="B41" s="456"/>
      <c r="C41" s="456"/>
      <c r="D41" s="456"/>
      <c r="E41" s="456"/>
      <c r="F41" s="456"/>
      <c r="G41" s="456"/>
      <c r="H41" s="456"/>
      <c r="I41" s="456"/>
      <c r="J41" s="456"/>
      <c r="K41" s="456"/>
      <c r="L41" s="456"/>
      <c r="M41" s="456"/>
      <c r="N41" s="456"/>
      <c r="O41" s="456"/>
      <c r="P41" s="456"/>
      <c r="Q41" s="456"/>
      <c r="R41" s="456"/>
      <c r="S41" s="456"/>
      <c r="T41" s="456"/>
      <c r="U41" s="456"/>
      <c r="V41" s="456"/>
      <c r="W41" s="456"/>
      <c r="X41" s="532"/>
      <c r="Y41" s="532"/>
      <c r="Z41" s="532"/>
      <c r="AA41" s="532"/>
      <c r="AB41" s="532"/>
      <c r="AC41" s="532"/>
      <c r="AD41" s="532"/>
      <c r="AE41" s="532"/>
      <c r="AF41" s="532"/>
      <c r="AG41" s="532"/>
      <c r="AH41" s="532"/>
      <c r="AI41" s="532"/>
      <c r="AJ41" s="532"/>
      <c r="AK41" s="455"/>
      <c r="AL41" s="449"/>
      <c r="AM41" s="449"/>
      <c r="AN41" s="449"/>
    </row>
    <row r="42" spans="1:40" ht="28.5" customHeight="1">
      <c r="A42" s="456"/>
      <c r="B42" s="456"/>
      <c r="C42" s="456"/>
      <c r="D42" s="456"/>
      <c r="E42" s="456"/>
      <c r="F42" s="456"/>
      <c r="G42" s="456"/>
      <c r="H42" s="456"/>
      <c r="I42" s="456"/>
      <c r="J42" s="456"/>
      <c r="K42" s="456"/>
      <c r="L42" s="456"/>
      <c r="M42" s="456"/>
      <c r="N42" s="456"/>
      <c r="O42" s="456"/>
      <c r="P42" s="456"/>
      <c r="Q42" s="456"/>
      <c r="R42" s="456"/>
      <c r="S42" s="456"/>
      <c r="T42" s="456"/>
      <c r="U42" s="456"/>
      <c r="V42" s="456"/>
      <c r="W42" s="456"/>
      <c r="X42" s="532"/>
      <c r="Y42" s="532"/>
      <c r="Z42" s="532"/>
      <c r="AA42" s="532"/>
      <c r="AB42" s="532"/>
      <c r="AC42" s="532"/>
      <c r="AD42" s="532"/>
      <c r="AE42" s="532"/>
      <c r="AF42" s="532"/>
      <c r="AG42" s="532"/>
      <c r="AH42" s="532"/>
      <c r="AI42" s="532"/>
      <c r="AJ42" s="532"/>
      <c r="AK42" s="455"/>
      <c r="AL42" s="449"/>
      <c r="AM42" s="449"/>
      <c r="AN42" s="449"/>
    </row>
    <row r="43" spans="1:40" ht="28.5" customHeight="1">
      <c r="A43" s="456"/>
      <c r="B43" s="456"/>
      <c r="C43" s="456"/>
      <c r="D43" s="456"/>
      <c r="E43" s="456"/>
      <c r="F43" s="456"/>
      <c r="G43" s="456"/>
      <c r="H43" s="456"/>
      <c r="I43" s="456"/>
      <c r="J43" s="456"/>
      <c r="K43" s="456"/>
      <c r="L43" s="456"/>
      <c r="M43" s="456"/>
      <c r="N43" s="456"/>
      <c r="O43" s="456"/>
      <c r="P43" s="456"/>
      <c r="Q43" s="456"/>
      <c r="R43" s="456"/>
      <c r="S43" s="456"/>
      <c r="T43" s="456"/>
      <c r="U43" s="456"/>
      <c r="V43" s="456"/>
      <c r="W43" s="456"/>
      <c r="X43" s="532"/>
      <c r="Y43" s="532"/>
      <c r="Z43" s="532"/>
      <c r="AA43" s="532"/>
      <c r="AB43" s="532"/>
      <c r="AC43" s="532"/>
      <c r="AD43" s="532"/>
      <c r="AE43" s="532"/>
      <c r="AF43" s="532"/>
      <c r="AG43" s="532"/>
      <c r="AH43" s="532"/>
      <c r="AI43" s="532"/>
      <c r="AJ43" s="532"/>
      <c r="AK43" s="455"/>
      <c r="AL43" s="449"/>
      <c r="AM43" s="449"/>
      <c r="AN43" s="449"/>
    </row>
    <row r="44" spans="1:40" ht="28.5" customHeight="1">
      <c r="A44" s="456"/>
      <c r="B44" s="456"/>
      <c r="C44" s="456"/>
      <c r="D44" s="456"/>
      <c r="E44" s="456"/>
      <c r="F44" s="456"/>
      <c r="G44" s="456"/>
      <c r="H44" s="456"/>
      <c r="I44" s="456"/>
      <c r="J44" s="456"/>
      <c r="K44" s="456"/>
      <c r="L44" s="456"/>
      <c r="M44" s="456"/>
      <c r="N44" s="456"/>
      <c r="O44" s="456"/>
      <c r="P44" s="456"/>
      <c r="Q44" s="456"/>
      <c r="R44" s="456"/>
      <c r="S44" s="456"/>
      <c r="T44" s="456"/>
      <c r="U44" s="456"/>
      <c r="V44" s="456"/>
      <c r="W44" s="456"/>
      <c r="X44" s="532"/>
      <c r="Y44" s="532"/>
      <c r="Z44" s="532"/>
      <c r="AA44" s="532"/>
      <c r="AB44" s="532"/>
      <c r="AC44" s="532"/>
      <c r="AD44" s="532"/>
      <c r="AE44" s="532"/>
      <c r="AF44" s="532"/>
      <c r="AG44" s="532"/>
      <c r="AH44" s="532"/>
      <c r="AI44" s="532"/>
      <c r="AJ44" s="532"/>
      <c r="AK44" s="455"/>
      <c r="AL44" s="449"/>
      <c r="AM44" s="449"/>
      <c r="AN44" s="449"/>
    </row>
    <row r="45" spans="1:40" ht="28.5" customHeight="1">
      <c r="A45" s="456"/>
      <c r="B45" s="456"/>
      <c r="C45" s="456"/>
      <c r="D45" s="456"/>
      <c r="E45" s="456"/>
      <c r="F45" s="456"/>
      <c r="G45" s="456"/>
      <c r="H45" s="456"/>
      <c r="I45" s="456"/>
      <c r="J45" s="456"/>
      <c r="K45" s="456"/>
      <c r="L45" s="456"/>
      <c r="M45" s="456"/>
      <c r="N45" s="456"/>
      <c r="O45" s="456"/>
      <c r="P45" s="456"/>
      <c r="Q45" s="456"/>
      <c r="R45" s="456"/>
      <c r="S45" s="456"/>
      <c r="T45" s="456"/>
      <c r="U45" s="456"/>
      <c r="V45" s="456"/>
      <c r="W45" s="456"/>
      <c r="X45" s="532"/>
      <c r="Y45" s="532"/>
      <c r="Z45" s="532"/>
      <c r="AA45" s="532"/>
      <c r="AB45" s="532"/>
      <c r="AC45" s="532"/>
      <c r="AD45" s="532"/>
      <c r="AE45" s="532"/>
      <c r="AF45" s="532"/>
      <c r="AG45" s="532"/>
      <c r="AH45" s="532"/>
      <c r="AI45" s="532"/>
      <c r="AJ45" s="532"/>
      <c r="AK45" s="455"/>
      <c r="AL45" s="449"/>
      <c r="AM45" s="449"/>
      <c r="AN45" s="449"/>
    </row>
    <row r="46" spans="1:40" ht="28.5" customHeight="1">
      <c r="A46" s="456"/>
      <c r="B46" s="456"/>
      <c r="C46" s="456"/>
      <c r="D46" s="456"/>
      <c r="E46" s="456"/>
      <c r="F46" s="456"/>
      <c r="G46" s="456"/>
      <c r="H46" s="456"/>
      <c r="I46" s="456"/>
      <c r="J46" s="456"/>
      <c r="K46" s="456"/>
      <c r="L46" s="456"/>
      <c r="M46" s="456"/>
      <c r="N46" s="456"/>
      <c r="O46" s="456"/>
      <c r="P46" s="456"/>
      <c r="Q46" s="456"/>
      <c r="R46" s="456"/>
      <c r="S46" s="456"/>
      <c r="T46" s="456"/>
      <c r="U46" s="456"/>
      <c r="V46" s="456"/>
      <c r="W46" s="456"/>
      <c r="X46" s="532"/>
      <c r="Y46" s="532"/>
      <c r="Z46" s="532"/>
      <c r="AA46" s="532"/>
      <c r="AB46" s="532"/>
      <c r="AC46" s="532"/>
      <c r="AD46" s="532"/>
      <c r="AE46" s="532"/>
      <c r="AF46" s="532"/>
      <c r="AG46" s="532"/>
      <c r="AH46" s="532"/>
      <c r="AI46" s="532"/>
      <c r="AJ46" s="532"/>
      <c r="AK46" s="455"/>
      <c r="AL46" s="449"/>
      <c r="AM46" s="449"/>
      <c r="AN46" s="449"/>
    </row>
    <row r="47" spans="1:40">
      <c r="AL47" s="449"/>
      <c r="AM47" s="449"/>
      <c r="AN47" s="449"/>
    </row>
    <row r="48" spans="1:40" ht="16.5">
      <c r="A48" s="772"/>
      <c r="B48" s="772"/>
      <c r="C48" s="455"/>
      <c r="D48" s="455"/>
      <c r="E48" s="455"/>
      <c r="F48" s="455"/>
      <c r="G48" s="455"/>
      <c r="H48" s="455"/>
      <c r="I48" s="455"/>
      <c r="J48" s="455"/>
      <c r="K48" s="455"/>
      <c r="L48" s="455"/>
      <c r="M48" s="455"/>
      <c r="N48" s="455"/>
      <c r="O48" s="455"/>
      <c r="P48" s="455"/>
      <c r="Q48" s="455"/>
      <c r="R48" s="455"/>
      <c r="S48" s="455"/>
      <c r="T48" s="455"/>
      <c r="U48" s="455"/>
      <c r="V48" s="455"/>
      <c r="W48" s="455"/>
      <c r="X48" s="455"/>
      <c r="Y48" s="455"/>
      <c r="Z48" s="455"/>
      <c r="AA48" s="455"/>
      <c r="AB48" s="455"/>
      <c r="AC48" s="455"/>
      <c r="AD48" s="455"/>
      <c r="AE48" s="455"/>
      <c r="AF48" s="455"/>
      <c r="AG48" s="455"/>
      <c r="AH48" s="455"/>
      <c r="AI48" s="455"/>
      <c r="AJ48" s="455"/>
      <c r="AK48" s="455"/>
      <c r="AL48" s="449"/>
      <c r="AM48" s="449"/>
      <c r="AN48" s="449"/>
    </row>
    <row r="49" spans="1:40" ht="16.5">
      <c r="A49" s="772"/>
      <c r="B49" s="772"/>
      <c r="C49" s="455"/>
      <c r="D49" s="455"/>
      <c r="E49" s="455"/>
      <c r="F49" s="455"/>
      <c r="G49" s="455"/>
      <c r="H49" s="455"/>
      <c r="I49" s="455"/>
      <c r="J49" s="455"/>
      <c r="K49" s="455"/>
      <c r="L49" s="455"/>
      <c r="M49" s="455"/>
      <c r="N49" s="455"/>
      <c r="O49" s="455"/>
      <c r="P49" s="455"/>
      <c r="Q49" s="455"/>
      <c r="R49" s="455"/>
      <c r="S49" s="455"/>
      <c r="T49" s="455"/>
      <c r="U49" s="455"/>
      <c r="V49" s="455"/>
      <c r="W49" s="455"/>
      <c r="X49" s="455"/>
      <c r="Y49" s="455"/>
      <c r="Z49" s="455"/>
      <c r="AA49" s="455"/>
      <c r="AB49" s="455"/>
      <c r="AC49" s="455"/>
      <c r="AD49" s="455"/>
      <c r="AE49" s="455"/>
      <c r="AF49" s="455"/>
      <c r="AG49" s="455"/>
      <c r="AH49" s="455"/>
      <c r="AI49" s="455"/>
      <c r="AJ49" s="455"/>
      <c r="AK49" s="455"/>
      <c r="AL49" s="449"/>
      <c r="AM49" s="449"/>
      <c r="AN49" s="449"/>
    </row>
    <row r="50" spans="1:40" ht="16.5">
      <c r="A50" s="772"/>
      <c r="B50" s="772"/>
      <c r="C50" s="455"/>
      <c r="D50" s="455"/>
      <c r="E50" s="455"/>
      <c r="F50" s="455"/>
      <c r="G50" s="455"/>
      <c r="H50" s="455"/>
      <c r="I50" s="455"/>
      <c r="J50" s="455"/>
      <c r="K50" s="455"/>
      <c r="L50" s="455"/>
      <c r="M50" s="455"/>
      <c r="N50" s="455"/>
      <c r="O50" s="455"/>
      <c r="P50" s="455"/>
      <c r="Q50" s="455"/>
      <c r="R50" s="455"/>
      <c r="S50" s="455"/>
      <c r="T50" s="455"/>
      <c r="U50" s="455"/>
      <c r="V50" s="455"/>
      <c r="W50" s="455"/>
      <c r="X50" s="455"/>
      <c r="Y50" s="455"/>
      <c r="Z50" s="455"/>
      <c r="AA50" s="455"/>
      <c r="AB50" s="455"/>
      <c r="AC50" s="455"/>
      <c r="AD50" s="455"/>
      <c r="AE50" s="455"/>
      <c r="AF50" s="455"/>
      <c r="AG50" s="455"/>
      <c r="AH50" s="455"/>
      <c r="AI50" s="455"/>
      <c r="AJ50" s="455"/>
      <c r="AK50" s="455"/>
      <c r="AL50" s="449"/>
      <c r="AM50" s="449"/>
      <c r="AN50" s="449"/>
    </row>
    <row r="51" spans="1:40" ht="16.5">
      <c r="A51" s="455"/>
      <c r="B51" s="455"/>
      <c r="C51" s="455"/>
      <c r="D51" s="455"/>
      <c r="E51" s="455"/>
      <c r="F51" s="455"/>
      <c r="G51" s="455"/>
      <c r="H51" s="455"/>
      <c r="I51" s="455"/>
      <c r="J51" s="455"/>
      <c r="K51" s="455"/>
      <c r="L51" s="455"/>
      <c r="M51" s="455"/>
      <c r="N51" s="455"/>
      <c r="O51" s="455"/>
      <c r="P51" s="455"/>
      <c r="Q51" s="455"/>
      <c r="R51" s="455"/>
      <c r="S51" s="455"/>
      <c r="T51" s="455"/>
      <c r="U51" s="455"/>
      <c r="V51" s="455"/>
      <c r="W51" s="455"/>
      <c r="X51" s="455"/>
      <c r="Y51" s="455"/>
      <c r="Z51" s="455"/>
      <c r="AA51" s="455"/>
      <c r="AB51" s="455"/>
      <c r="AC51" s="455"/>
      <c r="AD51" s="455"/>
      <c r="AE51" s="455"/>
      <c r="AF51" s="455"/>
      <c r="AG51" s="455"/>
      <c r="AH51" s="455"/>
      <c r="AI51" s="455"/>
      <c r="AJ51" s="455"/>
      <c r="AK51" s="455"/>
      <c r="AL51" s="449"/>
      <c r="AM51" s="449"/>
      <c r="AN51" s="449"/>
    </row>
    <row r="52" spans="1:40" ht="15.75" customHeight="1">
      <c r="A52" s="455"/>
      <c r="B52" s="455"/>
      <c r="C52" s="455"/>
      <c r="D52" s="455"/>
      <c r="E52" s="455"/>
      <c r="F52" s="455"/>
      <c r="G52" s="455"/>
      <c r="H52" s="455"/>
      <c r="I52" s="455"/>
      <c r="J52" s="455"/>
      <c r="K52" s="455"/>
      <c r="L52" s="455"/>
      <c r="M52" s="455"/>
      <c r="N52" s="455"/>
      <c r="O52" s="455"/>
      <c r="P52" s="455"/>
      <c r="Q52" s="455"/>
      <c r="R52" s="455"/>
      <c r="S52" s="455"/>
      <c r="T52" s="455"/>
      <c r="U52" s="455"/>
      <c r="V52" s="455"/>
      <c r="W52" s="455"/>
      <c r="X52" s="455"/>
      <c r="Y52" s="455"/>
      <c r="Z52" s="455"/>
      <c r="AA52" s="455"/>
      <c r="AB52" s="455"/>
      <c r="AC52" s="455"/>
      <c r="AD52" s="455"/>
      <c r="AE52" s="455"/>
      <c r="AF52" s="455"/>
      <c r="AG52" s="455"/>
      <c r="AH52" s="455"/>
      <c r="AI52" s="455"/>
      <c r="AJ52" s="455"/>
      <c r="AK52" s="455"/>
      <c r="AL52" s="449"/>
      <c r="AM52" s="449"/>
      <c r="AN52" s="449"/>
    </row>
    <row r="53" spans="1:40" ht="16.5">
      <c r="A53" s="455"/>
      <c r="B53" s="455"/>
      <c r="C53" s="455"/>
      <c r="D53" s="455"/>
      <c r="E53" s="455"/>
      <c r="F53" s="455"/>
      <c r="G53" s="455"/>
      <c r="H53" s="455"/>
      <c r="I53" s="455"/>
      <c r="J53" s="455"/>
      <c r="K53" s="455"/>
      <c r="L53" s="455"/>
      <c r="M53" s="455"/>
      <c r="N53" s="455"/>
      <c r="O53" s="455"/>
      <c r="P53" s="455"/>
      <c r="Q53" s="455"/>
      <c r="R53" s="455"/>
      <c r="S53" s="455"/>
      <c r="T53" s="455"/>
      <c r="U53" s="455"/>
      <c r="V53" s="455"/>
      <c r="W53" s="455"/>
      <c r="X53" s="455"/>
      <c r="Y53" s="455"/>
      <c r="Z53" s="455"/>
      <c r="AA53" s="455"/>
      <c r="AB53" s="455"/>
      <c r="AC53" s="455"/>
      <c r="AD53" s="455"/>
      <c r="AE53" s="455"/>
      <c r="AF53" s="455"/>
      <c r="AG53" s="455"/>
      <c r="AH53" s="455"/>
      <c r="AI53" s="455"/>
      <c r="AJ53" s="455"/>
      <c r="AK53" s="455"/>
      <c r="AL53" s="449"/>
      <c r="AM53" s="449"/>
      <c r="AN53" s="449"/>
    </row>
    <row r="54" spans="1:40" ht="16.5">
      <c r="A54" s="455"/>
      <c r="B54" s="455"/>
      <c r="C54" s="455"/>
      <c r="D54" s="1382"/>
      <c r="E54" s="1382"/>
      <c r="F54" s="1382"/>
      <c r="G54" s="1382"/>
      <c r="H54" s="1382"/>
      <c r="I54" s="455"/>
      <c r="J54" s="455"/>
      <c r="K54" s="455"/>
      <c r="L54" s="455"/>
      <c r="M54" s="1382"/>
      <c r="N54" s="1382"/>
      <c r="O54" s="1382"/>
      <c r="P54" s="1382"/>
      <c r="Q54" s="1382"/>
      <c r="R54" s="1382"/>
      <c r="S54" s="1382"/>
      <c r="T54" s="455"/>
      <c r="U54" s="1382"/>
      <c r="V54" s="1382"/>
      <c r="W54" s="1382"/>
      <c r="X54" s="1382"/>
      <c r="Y54" s="1382"/>
      <c r="Z54" s="1382"/>
      <c r="AA54" s="1382"/>
      <c r="AB54" s="1382"/>
      <c r="AC54" s="455"/>
      <c r="AK54" s="455"/>
      <c r="AL54" s="449"/>
      <c r="AM54" s="449"/>
      <c r="AN54" s="449"/>
    </row>
    <row r="55" spans="1:40">
      <c r="L55" s="454"/>
      <c r="M55" s="454"/>
      <c r="N55" s="454"/>
      <c r="O55" s="454"/>
      <c r="P55" s="454"/>
      <c r="AL55" s="449"/>
      <c r="AM55" s="449"/>
      <c r="AN55" s="449"/>
    </row>
    <row r="59" spans="1:40">
      <c r="A59" s="1384"/>
      <c r="B59" s="1384"/>
      <c r="C59" s="1384"/>
      <c r="AL59" s="449"/>
      <c r="AM59" s="449"/>
      <c r="AN59" s="449"/>
    </row>
    <row r="60" spans="1:40">
      <c r="A60" s="452"/>
      <c r="B60" s="453"/>
      <c r="C60" s="1384"/>
      <c r="D60" s="1384"/>
      <c r="E60" s="1384"/>
      <c r="F60" s="1384"/>
      <c r="G60" s="1384"/>
      <c r="H60" s="1384"/>
      <c r="AL60" s="449"/>
      <c r="AM60" s="449"/>
      <c r="AN60" s="449"/>
    </row>
    <row r="61" spans="1:40">
      <c r="A61" s="451"/>
      <c r="B61" s="454"/>
      <c r="C61" s="1383"/>
      <c r="D61" s="1383"/>
      <c r="E61" s="1383"/>
      <c r="F61" s="1383"/>
      <c r="G61" s="1383"/>
      <c r="H61" s="1383"/>
      <c r="AL61" s="449"/>
      <c r="AM61" s="449"/>
      <c r="AN61" s="449"/>
    </row>
    <row r="62" spans="1:40">
      <c r="A62" s="451"/>
      <c r="B62" s="454"/>
      <c r="C62" s="1383"/>
      <c r="D62" s="1383"/>
      <c r="E62" s="1383"/>
      <c r="F62" s="1383"/>
      <c r="G62" s="1383"/>
      <c r="H62" s="1383"/>
      <c r="AL62" s="449"/>
      <c r="AM62" s="449"/>
      <c r="AN62" s="449"/>
    </row>
    <row r="63" spans="1:40">
      <c r="A63" s="451"/>
      <c r="B63" s="454"/>
      <c r="C63" s="1383"/>
      <c r="D63" s="1383"/>
      <c r="E63" s="1383"/>
      <c r="F63" s="1383"/>
      <c r="G63" s="1383"/>
      <c r="H63" s="1383"/>
      <c r="AL63" s="449"/>
      <c r="AM63" s="449"/>
      <c r="AN63" s="449"/>
    </row>
    <row r="64" spans="1:40">
      <c r="A64" s="450"/>
      <c r="C64" s="1383"/>
      <c r="D64" s="1383"/>
      <c r="E64" s="1383"/>
      <c r="F64" s="1383"/>
      <c r="G64" s="1383"/>
      <c r="H64" s="1383"/>
      <c r="AL64" s="449"/>
      <c r="AM64" s="449"/>
      <c r="AN64" s="449"/>
    </row>
    <row r="65" spans="1:40">
      <c r="A65" s="450"/>
      <c r="C65" s="1383"/>
      <c r="D65" s="1383"/>
      <c r="E65" s="1383"/>
      <c r="F65" s="1383"/>
      <c r="G65" s="1383"/>
      <c r="H65" s="1383"/>
      <c r="AL65" s="449"/>
      <c r="AM65" s="449"/>
      <c r="AN65" s="449"/>
    </row>
    <row r="66" spans="1:40">
      <c r="A66" s="450"/>
      <c r="C66" s="1383"/>
      <c r="D66" s="1383"/>
      <c r="E66" s="1383"/>
      <c r="F66" s="1383"/>
      <c r="G66" s="1383"/>
      <c r="H66" s="1383"/>
      <c r="AL66" s="449"/>
      <c r="AM66" s="449"/>
      <c r="AN66" s="449"/>
    </row>
    <row r="67" spans="1:40">
      <c r="A67" s="450"/>
      <c r="C67" s="1383"/>
      <c r="D67" s="1383"/>
      <c r="E67" s="1383"/>
      <c r="F67" s="1383"/>
      <c r="G67" s="1383"/>
      <c r="H67" s="1383"/>
      <c r="AL67" s="449"/>
      <c r="AM67" s="449"/>
      <c r="AN67" s="449"/>
    </row>
  </sheetData>
  <mergeCells count="38">
    <mergeCell ref="AI14:AI15"/>
    <mergeCell ref="AJ14:AJ15"/>
    <mergeCell ref="AH31:AK31"/>
    <mergeCell ref="A16:B16"/>
    <mergeCell ref="A18:B18"/>
    <mergeCell ref="C14:AG14"/>
    <mergeCell ref="AH14:AH15"/>
    <mergeCell ref="U54:AB54"/>
    <mergeCell ref="A59:C59"/>
    <mergeCell ref="C62:H62"/>
    <mergeCell ref="C63:H63"/>
    <mergeCell ref="A20:B20"/>
    <mergeCell ref="C60:H60"/>
    <mergeCell ref="C61:H61"/>
    <mergeCell ref="D54:H54"/>
    <mergeCell ref="AB34:AC34"/>
    <mergeCell ref="A23:AN23"/>
    <mergeCell ref="C64:H64"/>
    <mergeCell ref="C65:H65"/>
    <mergeCell ref="C66:H66"/>
    <mergeCell ref="C67:H67"/>
    <mergeCell ref="M54:S54"/>
    <mergeCell ref="A1:AL1"/>
    <mergeCell ref="A5:O5"/>
    <mergeCell ref="A6:O6"/>
    <mergeCell ref="A7:AJ7"/>
    <mergeCell ref="Y22:AL22"/>
    <mergeCell ref="A9:O9"/>
    <mergeCell ref="A10:O10"/>
    <mergeCell ref="A11:AJ11"/>
    <mergeCell ref="A2:AL2"/>
    <mergeCell ref="A3:AL3"/>
    <mergeCell ref="AK14:AK15"/>
    <mergeCell ref="AL14:AL15"/>
    <mergeCell ref="A12:AJ12"/>
    <mergeCell ref="AH13:AI13"/>
    <mergeCell ref="A14:A15"/>
    <mergeCell ref="B14:B15"/>
  </mergeCells>
  <printOptions horizontalCentered="1"/>
  <pageMargins left="0" right="0" top="0.27559055118110237" bottom="0.35433070866141736" header="0.27559055118110237" footer="0.31496062992125984"/>
  <pageSetup paperSize="9" scale="22" orientation="landscape" r:id="rId1"/>
  <headerFooter alignWithMargins="0"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FF0000"/>
    <pageSetUpPr fitToPage="1"/>
  </sheetPr>
  <dimension ref="A1:AT208"/>
  <sheetViews>
    <sheetView zoomScale="55" zoomScaleNormal="55" workbookViewId="0">
      <pane ySplit="9" topLeftCell="A83" activePane="bottomLeft" state="frozen"/>
      <selection activeCell="A23" sqref="A23:AN23"/>
      <selection pane="bottomLeft" activeCell="I99" sqref="I99"/>
    </sheetView>
  </sheetViews>
  <sheetFormatPr defaultColWidth="9.140625" defaultRowHeight="15"/>
  <cols>
    <col min="1" max="1" width="3.28515625" style="2" customWidth="1"/>
    <col min="2" max="2" width="11.5703125" style="2" customWidth="1"/>
    <col min="3" max="3" width="15" style="2" customWidth="1"/>
    <col min="4" max="4" width="7.28515625" style="2" customWidth="1"/>
    <col min="5" max="5" width="11.42578125" style="2" customWidth="1"/>
    <col min="6" max="6" width="12" style="2" customWidth="1"/>
    <col min="7" max="7" width="12" style="44" customWidth="1"/>
    <col min="8" max="8" width="11.7109375" style="44" customWidth="1"/>
    <col min="9" max="9" width="8.7109375" style="44" customWidth="1"/>
    <col min="10" max="10" width="12.5703125" style="44" customWidth="1"/>
    <col min="11" max="12" width="12.7109375" style="44" customWidth="1"/>
    <col min="13" max="13" width="9.42578125" style="44" customWidth="1"/>
    <col min="14" max="15" width="9.5703125" style="44" customWidth="1"/>
    <col min="16" max="16" width="10.28515625" style="44" customWidth="1"/>
    <col min="17" max="17" width="14" style="2" customWidth="1"/>
    <col min="18" max="18" width="16.42578125" style="59" bestFit="1" customWidth="1"/>
    <col min="19" max="19" width="12.85546875" style="57" customWidth="1"/>
    <col min="20" max="20" width="12.28515625" style="2" customWidth="1"/>
    <col min="21" max="21" width="15.140625" style="2" customWidth="1"/>
    <col min="22" max="28" width="10.140625" style="2" customWidth="1"/>
    <col min="29" max="29" width="13.42578125" style="60" customWidth="1"/>
    <col min="30" max="30" width="10" style="2" customWidth="1"/>
    <col min="31" max="31" width="14.28515625" style="2" customWidth="1"/>
    <col min="32" max="32" width="15.28515625" style="2" bestFit="1" customWidth="1"/>
    <col min="33" max="33" width="12.5703125" style="2" customWidth="1"/>
    <col min="34" max="34" width="10.85546875" style="2" customWidth="1"/>
    <col min="35" max="35" width="12.42578125" style="2" bestFit="1" customWidth="1"/>
    <col min="36" max="36" width="10.140625" style="2" customWidth="1"/>
    <col min="37" max="37" width="11.85546875" style="2" customWidth="1"/>
    <col min="38" max="38" width="13.140625" style="2" customWidth="1"/>
    <col min="39" max="40" width="10.140625" style="2" customWidth="1"/>
    <col min="41" max="16384" width="9.140625" style="2"/>
  </cols>
  <sheetData>
    <row r="1" spans="1:46" ht="8.25" customHeight="1"/>
    <row r="2" spans="1:46" ht="15.75">
      <c r="A2" s="1403" t="s">
        <v>3</v>
      </c>
      <c r="B2" s="1403"/>
      <c r="C2" s="1403"/>
      <c r="D2" s="1403"/>
      <c r="E2" s="1403"/>
      <c r="F2" s="1403"/>
      <c r="G2" s="1403"/>
      <c r="H2" s="447"/>
      <c r="I2" s="447"/>
      <c r="J2" s="447"/>
      <c r="K2" s="447"/>
      <c r="L2" s="447"/>
      <c r="M2" s="447"/>
      <c r="N2" s="447"/>
      <c r="O2" s="447"/>
      <c r="P2" s="447"/>
      <c r="R2" s="1402" t="s">
        <v>54</v>
      </c>
      <c r="S2" s="1402"/>
      <c r="T2" s="1402"/>
      <c r="U2" s="1402"/>
      <c r="V2" s="1402"/>
      <c r="W2" s="1402"/>
      <c r="X2" s="1402"/>
      <c r="Y2" s="1402"/>
      <c r="Z2" s="1402"/>
      <c r="AA2" s="1402"/>
      <c r="AB2" s="1402"/>
      <c r="AC2" s="1402"/>
      <c r="AD2" s="1402"/>
      <c r="AE2" s="1402"/>
    </row>
    <row r="3" spans="1:46" ht="15.75">
      <c r="A3" s="1404" t="s">
        <v>64</v>
      </c>
      <c r="B3" s="1404"/>
      <c r="C3" s="1404"/>
      <c r="D3" s="1404"/>
      <c r="E3" s="1404"/>
      <c r="F3" s="1404"/>
      <c r="G3" s="1404"/>
      <c r="H3" s="609"/>
      <c r="I3" s="609"/>
      <c r="J3" s="411"/>
      <c r="K3" s="609"/>
      <c r="L3" s="609"/>
      <c r="M3" s="609"/>
      <c r="N3" s="609">
        <f>144/0.67</f>
        <v>214.92537313432834</v>
      </c>
      <c r="O3" s="609"/>
      <c r="P3" s="609"/>
      <c r="Q3" s="61"/>
      <c r="R3" s="1406" t="s">
        <v>40</v>
      </c>
      <c r="S3" s="1406"/>
      <c r="T3" s="1406"/>
      <c r="U3" s="1406"/>
      <c r="V3" s="1406"/>
      <c r="W3" s="1406"/>
      <c r="X3" s="1406"/>
      <c r="Y3" s="1406"/>
      <c r="Z3" s="1406"/>
      <c r="AA3" s="1406"/>
      <c r="AB3" s="1406"/>
      <c r="AC3" s="1406"/>
      <c r="AD3" s="1406"/>
      <c r="AE3" s="1406"/>
    </row>
    <row r="4" spans="1:46" ht="15.75">
      <c r="A4" s="1405" t="s">
        <v>115</v>
      </c>
      <c r="B4" s="1405"/>
      <c r="C4" s="1405"/>
      <c r="D4" s="1405"/>
      <c r="E4" s="1405"/>
      <c r="F4" s="1405"/>
      <c r="G4" s="1405"/>
      <c r="H4" s="478"/>
      <c r="I4" s="478"/>
      <c r="J4" s="478">
        <f>F11*25000</f>
        <v>0</v>
      </c>
      <c r="K4" s="412">
        <f>G11*25000</f>
        <v>0</v>
      </c>
      <c r="L4" s="478"/>
      <c r="M4" s="478"/>
      <c r="N4" s="478"/>
      <c r="O4" s="478"/>
      <c r="P4" s="478"/>
      <c r="Q4" s="62"/>
      <c r="R4" s="63"/>
      <c r="S4" s="64"/>
      <c r="T4" s="561">
        <f>Q9-19035.02</f>
        <v>-16832.72</v>
      </c>
      <c r="U4" s="65"/>
      <c r="V4" s="65"/>
      <c r="W4" s="65"/>
      <c r="X4" s="65"/>
      <c r="Y4" s="65"/>
      <c r="Z4" s="65"/>
      <c r="AA4" s="65"/>
      <c r="AB4" s="65"/>
      <c r="AC4" s="66"/>
      <c r="AD4" s="65"/>
      <c r="AE4" s="5"/>
    </row>
    <row r="5" spans="1:46" ht="19.5" customHeight="1">
      <c r="A5" s="1407" t="s">
        <v>516</v>
      </c>
      <c r="B5" s="1407"/>
      <c r="C5" s="1407"/>
      <c r="D5" s="1407"/>
      <c r="E5" s="1407"/>
      <c r="F5" s="1407"/>
      <c r="G5" s="1407"/>
      <c r="H5" s="1407"/>
      <c r="I5" s="1407"/>
      <c r="J5" s="1407"/>
      <c r="K5" s="1407"/>
      <c r="L5" s="1407"/>
      <c r="M5" s="1407"/>
      <c r="N5" s="1407"/>
      <c r="O5" s="1407"/>
      <c r="P5" s="1407"/>
      <c r="Q5" s="1407"/>
      <c r="R5" s="1407"/>
      <c r="S5" s="1407"/>
      <c r="T5" s="1407"/>
      <c r="U5" s="1407"/>
      <c r="V5" s="1407"/>
      <c r="W5" s="1407"/>
      <c r="X5" s="1407"/>
      <c r="Y5" s="1407"/>
      <c r="Z5" s="1407"/>
      <c r="AA5" s="1407"/>
      <c r="AB5" s="1407"/>
      <c r="AC5" s="1407"/>
      <c r="AD5" s="1407"/>
      <c r="AE5" s="1407"/>
      <c r="AG5" s="49"/>
    </row>
    <row r="6" spans="1:46" ht="16.5" customHeight="1">
      <c r="A6" s="1304" t="s">
        <v>4</v>
      </c>
      <c r="B6" s="1292" t="s">
        <v>95</v>
      </c>
      <c r="C6" s="1304" t="s">
        <v>32</v>
      </c>
      <c r="D6" s="1292" t="s">
        <v>8</v>
      </c>
      <c r="E6" s="1292"/>
      <c r="F6" s="1292"/>
      <c r="G6" s="1292"/>
      <c r="H6" s="1292"/>
      <c r="I6" s="1292"/>
      <c r="J6" s="1292"/>
      <c r="K6" s="1292"/>
      <c r="L6" s="1292"/>
      <c r="M6" s="1292"/>
      <c r="N6" s="1292"/>
      <c r="O6" s="1292"/>
      <c r="P6" s="1292"/>
      <c r="Q6" s="1292"/>
      <c r="R6" s="1292"/>
      <c r="S6" s="1292"/>
      <c r="T6" s="1292"/>
      <c r="U6" s="1292"/>
      <c r="V6" s="1292"/>
      <c r="W6" s="1292"/>
      <c r="X6" s="1292"/>
      <c r="Y6" s="1292"/>
      <c r="Z6" s="1292"/>
      <c r="AA6" s="1292"/>
      <c r="AB6" s="1292"/>
      <c r="AC6" s="1292"/>
      <c r="AD6" s="1292"/>
      <c r="AE6" s="1292"/>
    </row>
    <row r="7" spans="1:46" ht="15.75" customHeight="1">
      <c r="A7" s="1304"/>
      <c r="B7" s="1292"/>
      <c r="C7" s="1304"/>
      <c r="D7" s="1292"/>
      <c r="E7" s="1401" t="s">
        <v>228</v>
      </c>
      <c r="F7" s="1401" t="s">
        <v>834</v>
      </c>
      <c r="G7" s="1292" t="s">
        <v>835</v>
      </c>
      <c r="H7" s="1292" t="s">
        <v>275</v>
      </c>
      <c r="I7" s="1292" t="s">
        <v>541</v>
      </c>
      <c r="J7" s="1399" t="s">
        <v>542</v>
      </c>
      <c r="K7" s="1399" t="s">
        <v>543</v>
      </c>
      <c r="L7" s="1399" t="s">
        <v>544</v>
      </c>
      <c r="M7" s="1399" t="s">
        <v>275</v>
      </c>
      <c r="N7" s="1292" t="s">
        <v>545</v>
      </c>
      <c r="O7" s="606"/>
      <c r="P7" s="1292" t="s">
        <v>537</v>
      </c>
      <c r="Q7" s="1400" t="s">
        <v>124</v>
      </c>
      <c r="R7" s="1304" t="s">
        <v>60</v>
      </c>
      <c r="S7" s="1304"/>
      <c r="T7" s="1304"/>
      <c r="U7" s="608"/>
      <c r="V7" s="1397" t="s">
        <v>61</v>
      </c>
      <c r="W7" s="1398"/>
      <c r="X7" s="1398"/>
      <c r="Y7" s="605"/>
      <c r="Z7" s="605"/>
      <c r="AA7" s="605"/>
      <c r="AB7" s="611"/>
      <c r="AC7" s="1409" t="s">
        <v>123</v>
      </c>
      <c r="AD7" s="1412" t="s">
        <v>39</v>
      </c>
      <c r="AE7" s="1292" t="s">
        <v>36</v>
      </c>
      <c r="AF7" s="70"/>
    </row>
    <row r="8" spans="1:46" ht="88.5" customHeight="1">
      <c r="A8" s="1304"/>
      <c r="B8" s="1292"/>
      <c r="C8" s="1304"/>
      <c r="D8" s="1292"/>
      <c r="E8" s="1401"/>
      <c r="F8" s="1401"/>
      <c r="G8" s="1292"/>
      <c r="H8" s="1292"/>
      <c r="I8" s="1292"/>
      <c r="J8" s="1399"/>
      <c r="K8" s="1399"/>
      <c r="L8" s="1399"/>
      <c r="M8" s="1399"/>
      <c r="N8" s="1292"/>
      <c r="O8" s="606"/>
      <c r="P8" s="1292"/>
      <c r="Q8" s="1400"/>
      <c r="R8" s="67" t="s">
        <v>34</v>
      </c>
      <c r="S8" s="68" t="s">
        <v>416</v>
      </c>
      <c r="T8" s="607" t="s">
        <v>125</v>
      </c>
      <c r="U8" s="607" t="s">
        <v>136</v>
      </c>
      <c r="V8" s="568" t="s">
        <v>258</v>
      </c>
      <c r="W8" s="568" t="s">
        <v>259</v>
      </c>
      <c r="X8" s="568" t="s">
        <v>462</v>
      </c>
      <c r="Y8" s="568" t="s">
        <v>467</v>
      </c>
      <c r="Z8" s="568" t="s">
        <v>460</v>
      </c>
      <c r="AA8" s="568" t="s">
        <v>461</v>
      </c>
      <c r="AB8" s="607" t="s">
        <v>278</v>
      </c>
      <c r="AC8" s="1410"/>
      <c r="AD8" s="1413"/>
      <c r="AE8" s="1408"/>
      <c r="AG8" s="44"/>
      <c r="AI8" s="60">
        <f>5308.01-Q9</f>
        <v>3105.7100000000005</v>
      </c>
    </row>
    <row r="9" spans="1:46" s="31" customFormat="1" ht="31.5" customHeight="1">
      <c r="A9" s="612" t="s">
        <v>71</v>
      </c>
      <c r="B9" s="1304" t="s">
        <v>127</v>
      </c>
      <c r="C9" s="1304"/>
      <c r="D9" s="1304"/>
      <c r="E9" s="1086">
        <f t="shared" ref="E9:AC9" si="0">E10+E95</f>
        <v>419.19999999999953</v>
      </c>
      <c r="F9" s="1086">
        <f t="shared" si="0"/>
        <v>50.399999999999963</v>
      </c>
      <c r="G9" s="1086">
        <f t="shared" si="0"/>
        <v>254.7</v>
      </c>
      <c r="H9" s="1086">
        <f t="shared" si="0"/>
        <v>1340.8000000000002</v>
      </c>
      <c r="I9" s="443">
        <f t="shared" si="0"/>
        <v>0</v>
      </c>
      <c r="J9" s="443">
        <f t="shared" si="0"/>
        <v>0</v>
      </c>
      <c r="K9" s="443">
        <f t="shared" si="0"/>
        <v>0</v>
      </c>
      <c r="L9" s="443">
        <f t="shared" si="0"/>
        <v>0</v>
      </c>
      <c r="M9" s="443">
        <f t="shared" si="0"/>
        <v>0</v>
      </c>
      <c r="N9" s="1086">
        <f t="shared" si="0"/>
        <v>137.19999999999999</v>
      </c>
      <c r="O9" s="443">
        <f t="shared" si="0"/>
        <v>0</v>
      </c>
      <c r="P9" s="443">
        <f t="shared" si="0"/>
        <v>0</v>
      </c>
      <c r="Q9" s="1135">
        <f t="shared" si="0"/>
        <v>2202.2999999999997</v>
      </c>
      <c r="R9" s="443">
        <f t="shared" si="0"/>
        <v>327057</v>
      </c>
      <c r="S9" s="443">
        <f t="shared" si="0"/>
        <v>0</v>
      </c>
      <c r="T9" s="443">
        <f t="shared" si="0"/>
        <v>0</v>
      </c>
      <c r="U9" s="443">
        <f t="shared" si="0"/>
        <v>327057</v>
      </c>
      <c r="V9" s="443">
        <f t="shared" si="0"/>
        <v>3006</v>
      </c>
      <c r="W9" s="443">
        <f t="shared" si="0"/>
        <v>646</v>
      </c>
      <c r="X9" s="443">
        <f t="shared" si="0"/>
        <v>0</v>
      </c>
      <c r="Y9" s="443">
        <f t="shared" si="0"/>
        <v>0</v>
      </c>
      <c r="Z9" s="443">
        <f t="shared" si="0"/>
        <v>0</v>
      </c>
      <c r="AA9" s="443">
        <f t="shared" si="0"/>
        <v>0</v>
      </c>
      <c r="AB9" s="443">
        <f t="shared" si="0"/>
        <v>0</v>
      </c>
      <c r="AC9" s="443">
        <f t="shared" si="0"/>
        <v>2202.2999999999997</v>
      </c>
      <c r="AD9" s="423"/>
      <c r="AE9" s="611"/>
      <c r="AF9" s="69">
        <v>6716.8</v>
      </c>
      <c r="AG9" s="70">
        <f>6716.8-Q9</f>
        <v>4514.5</v>
      </c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1:46" s="806" customFormat="1" ht="18.75" customHeight="1">
      <c r="A10" s="802" t="s">
        <v>38</v>
      </c>
      <c r="B10" s="1416" t="s">
        <v>70</v>
      </c>
      <c r="C10" s="1416"/>
      <c r="D10" s="1416"/>
      <c r="E10" s="639">
        <f>SUM(E11:E94)</f>
        <v>233.59999999999968</v>
      </c>
      <c r="F10" s="639">
        <f t="shared" ref="F10:P10" si="1">SUM(F11:F94)</f>
        <v>3.2</v>
      </c>
      <c r="G10" s="639">
        <f t="shared" si="1"/>
        <v>0</v>
      </c>
      <c r="H10" s="639">
        <f t="shared" si="1"/>
        <v>431.16</v>
      </c>
      <c r="I10" s="639">
        <f t="shared" si="1"/>
        <v>0</v>
      </c>
      <c r="J10" s="639">
        <f t="shared" si="1"/>
        <v>0</v>
      </c>
      <c r="K10" s="639">
        <f t="shared" si="1"/>
        <v>0</v>
      </c>
      <c r="L10" s="639">
        <f t="shared" si="1"/>
        <v>0</v>
      </c>
      <c r="M10" s="639">
        <f t="shared" si="1"/>
        <v>0</v>
      </c>
      <c r="N10" s="639">
        <f t="shared" si="1"/>
        <v>137.19999999999999</v>
      </c>
      <c r="O10" s="639">
        <f t="shared" si="1"/>
        <v>0</v>
      </c>
      <c r="P10" s="639">
        <f t="shared" si="1"/>
        <v>0</v>
      </c>
      <c r="Q10" s="639">
        <f t="shared" ref="Q10:AC10" si="2">SUM(Q11:Q94)</f>
        <v>805.15999999999974</v>
      </c>
      <c r="R10" s="639">
        <f>SUM(R11:R94)</f>
        <v>168911</v>
      </c>
      <c r="S10" s="639">
        <f t="shared" si="2"/>
        <v>0</v>
      </c>
      <c r="T10" s="639">
        <f t="shared" si="2"/>
        <v>0</v>
      </c>
      <c r="U10" s="639">
        <f t="shared" si="2"/>
        <v>168911</v>
      </c>
      <c r="V10" s="639">
        <f>SUM(V11:V94)</f>
        <v>1623</v>
      </c>
      <c r="W10" s="639">
        <f t="shared" si="2"/>
        <v>357</v>
      </c>
      <c r="X10" s="639">
        <f t="shared" si="2"/>
        <v>0</v>
      </c>
      <c r="Y10" s="639">
        <f t="shared" si="2"/>
        <v>0</v>
      </c>
      <c r="Z10" s="639">
        <f t="shared" si="2"/>
        <v>0</v>
      </c>
      <c r="AA10" s="639">
        <f t="shared" si="2"/>
        <v>0</v>
      </c>
      <c r="AB10" s="639">
        <f t="shared" si="2"/>
        <v>0</v>
      </c>
      <c r="AC10" s="639">
        <f t="shared" si="2"/>
        <v>805.15999999999974</v>
      </c>
      <c r="AD10" s="639"/>
      <c r="AE10" s="639"/>
      <c r="AF10" s="803">
        <v>1618</v>
      </c>
      <c r="AG10" s="804">
        <v>194</v>
      </c>
      <c r="AH10" s="805"/>
      <c r="AI10" s="805"/>
      <c r="AJ10" s="805"/>
      <c r="AK10" s="778"/>
      <c r="AL10" s="778"/>
      <c r="AM10" s="778"/>
      <c r="AN10" s="778"/>
      <c r="AO10" s="778"/>
      <c r="AP10" s="778"/>
      <c r="AQ10" s="778"/>
      <c r="AR10" s="778"/>
      <c r="AS10" s="778"/>
      <c r="AT10" s="778"/>
    </row>
    <row r="11" spans="1:46" s="31" customFormat="1" ht="18.75" customHeight="1">
      <c r="A11" s="194">
        <v>1</v>
      </c>
      <c r="B11" s="228" t="str">
        <f>'Chấm công KT'!C13</f>
        <v>03456</v>
      </c>
      <c r="C11" s="195" t="str">
        <f>'Chấm công KT'!D13</f>
        <v>T. Vôn</v>
      </c>
      <c r="D11" s="103" t="s">
        <v>37</v>
      </c>
      <c r="E11" s="239">
        <f>4/1.25</f>
        <v>3.2</v>
      </c>
      <c r="F11" s="239"/>
      <c r="G11" s="239"/>
      <c r="H11" s="239"/>
      <c r="I11" s="239"/>
      <c r="J11" s="229"/>
      <c r="K11" s="178"/>
      <c r="L11" s="178"/>
      <c r="M11" s="229"/>
      <c r="N11" s="229"/>
      <c r="O11" s="229"/>
      <c r="P11" s="229"/>
      <c r="Q11" s="230">
        <f>SUM(E11:P11)</f>
        <v>3.2</v>
      </c>
      <c r="R11" s="621">
        <f>VLOOKUP(C11,'BTH mủ tạp'!D17:AK97,34,0)</f>
        <v>1135</v>
      </c>
      <c r="S11" s="229"/>
      <c r="T11" s="170">
        <f>S11*50/100</f>
        <v>0</v>
      </c>
      <c r="U11" s="232">
        <f>R11</f>
        <v>1135</v>
      </c>
      <c r="V11" s="566">
        <f>VLOOKUP(C11,'Chấm công KT'!D13:AK93,34,0)</f>
        <v>12</v>
      </c>
      <c r="W11" s="566">
        <f>VLOOKUP(C11,'Chấm công KT'!D13:AL93,35,0)</f>
        <v>2</v>
      </c>
      <c r="X11" s="567"/>
      <c r="Y11" s="566"/>
      <c r="Z11" s="566">
        <f>VLOOKUP(C11,'Chấm công KT'!$D$13:$AO$92,38,0)</f>
        <v>0</v>
      </c>
      <c r="AA11" s="566">
        <f>VLOOKUP(C11,'Chấm công KT'!$D$13:$AP$92,39,0)</f>
        <v>0</v>
      </c>
      <c r="AB11" s="233"/>
      <c r="AC11" s="231">
        <f>Q11</f>
        <v>3.2</v>
      </c>
      <c r="AD11" s="105">
        <f>VLOOKUP(C11,'BTH mủ tạp'!$D$17:$AN$160,36,0)</f>
        <v>526.31667709622218</v>
      </c>
      <c r="AE11" s="229"/>
      <c r="AF11" s="226"/>
      <c r="AG11" s="227"/>
      <c r="AH11" s="85"/>
      <c r="AI11" s="85"/>
      <c r="AJ11" s="85"/>
      <c r="AK11" s="2"/>
      <c r="AL11" s="2"/>
      <c r="AM11" s="2"/>
      <c r="AN11" s="2"/>
      <c r="AO11" s="2"/>
      <c r="AP11" s="2"/>
      <c r="AQ11" s="2"/>
      <c r="AR11" s="2"/>
      <c r="AS11" s="2"/>
      <c r="AT11" s="2"/>
    </row>
    <row r="12" spans="1:46" s="31" customFormat="1" ht="18.75" customHeight="1">
      <c r="A12" s="103">
        <v>2</v>
      </c>
      <c r="B12" s="228" t="str">
        <f>'Chấm công KT'!C14</f>
        <v>04052</v>
      </c>
      <c r="C12" s="195" t="str">
        <f>'Chấm công KT'!D14</f>
        <v>T. Feng</v>
      </c>
      <c r="D12" s="103" t="s">
        <v>37</v>
      </c>
      <c r="E12" s="239">
        <f t="shared" ref="E12:E75" si="3">4/1.25</f>
        <v>3.2</v>
      </c>
      <c r="F12" s="239"/>
      <c r="G12" s="239"/>
      <c r="H12" s="239"/>
      <c r="I12" s="239"/>
      <c r="J12" s="229"/>
      <c r="K12" s="178"/>
      <c r="L12" s="178"/>
      <c r="M12" s="229"/>
      <c r="N12" s="229"/>
      <c r="O12" s="240"/>
      <c r="P12" s="104"/>
      <c r="Q12" s="230">
        <f t="shared" ref="Q12:Q75" si="4">SUM(E12:P12)</f>
        <v>3.2</v>
      </c>
      <c r="R12" s="621">
        <f>VLOOKUP(C12,'BTH mủ tạp'!D18:AK98,34,0)</f>
        <v>1955</v>
      </c>
      <c r="S12" s="229"/>
      <c r="T12" s="170">
        <f>S12*50/100</f>
        <v>0</v>
      </c>
      <c r="U12" s="232">
        <f t="shared" ref="U12:U75" si="5">R12</f>
        <v>1955</v>
      </c>
      <c r="V12" s="566">
        <f>VLOOKUP(C12,'Chấm công KT'!D14:AK94,34,0)</f>
        <v>21</v>
      </c>
      <c r="W12" s="566">
        <f>VLOOKUP(C12,'Chấm công KT'!D14:AL94,35,0)</f>
        <v>4</v>
      </c>
      <c r="X12" s="567"/>
      <c r="Y12" s="566"/>
      <c r="Z12" s="566">
        <f>VLOOKUP(C12,'Chấm công KT'!$D$13:$AO$92,38,0)</f>
        <v>0</v>
      </c>
      <c r="AA12" s="566">
        <f>VLOOKUP(C12,'Chấm công KT'!$D$13:$AP$92,39,0)</f>
        <v>0</v>
      </c>
      <c r="AB12" s="233"/>
      <c r="AC12" s="234">
        <f>Q12</f>
        <v>3.2</v>
      </c>
      <c r="AD12" s="105">
        <f>VLOOKUP(C12,'BTH mủ tạp'!$D$17:$AN$160,36,0)</f>
        <v>906.56308698071746</v>
      </c>
      <c r="AE12" s="106"/>
      <c r="AF12" s="98"/>
      <c r="AG12" s="85"/>
      <c r="AH12" s="95"/>
      <c r="AI12" s="96"/>
      <c r="AJ12" s="85"/>
      <c r="AK12" s="73"/>
      <c r="AL12" s="73"/>
      <c r="AM12" s="73"/>
      <c r="AN12" s="73"/>
      <c r="AO12" s="73"/>
      <c r="AP12" s="2"/>
      <c r="AQ12" s="2"/>
      <c r="AR12" s="2"/>
      <c r="AS12" s="2"/>
      <c r="AT12" s="2"/>
    </row>
    <row r="13" spans="1:46" s="31" customFormat="1" ht="18.75" customHeight="1">
      <c r="A13" s="194">
        <v>3</v>
      </c>
      <c r="B13" s="228" t="str">
        <f>'Chấm công KT'!C15</f>
        <v>02725</v>
      </c>
      <c r="C13" s="195" t="str">
        <f>'Chấm công KT'!D15</f>
        <v>T. Sa Văn</v>
      </c>
      <c r="D13" s="103" t="s">
        <v>37</v>
      </c>
      <c r="E13" s="239">
        <f t="shared" si="3"/>
        <v>3.2</v>
      </c>
      <c r="F13" s="239"/>
      <c r="G13" s="239"/>
      <c r="H13" s="239"/>
      <c r="I13" s="239"/>
      <c r="J13" s="229"/>
      <c r="K13" s="178"/>
      <c r="L13" s="108"/>
      <c r="M13" s="108"/>
      <c r="N13" s="104"/>
      <c r="O13" s="104"/>
      <c r="P13" s="104"/>
      <c r="Q13" s="230">
        <f t="shared" si="4"/>
        <v>3.2</v>
      </c>
      <c r="R13" s="621">
        <f>VLOOKUP(C13,'BTH mủ tạp'!D19:AK99,34,0)</f>
        <v>1903</v>
      </c>
      <c r="S13" s="229"/>
      <c r="T13" s="170">
        <f>S13*50/100</f>
        <v>0</v>
      </c>
      <c r="U13" s="232">
        <f t="shared" si="5"/>
        <v>1903</v>
      </c>
      <c r="V13" s="566">
        <f>VLOOKUP(C13,'Chấm công KT'!D15:AK95,34,0)</f>
        <v>19</v>
      </c>
      <c r="W13" s="566">
        <f>VLOOKUP(C13,'Chấm công KT'!D15:AL95,35,0)</f>
        <v>5</v>
      </c>
      <c r="X13" s="567"/>
      <c r="Y13" s="566"/>
      <c r="Z13" s="566">
        <f>VLOOKUP(C13,'Chấm công KT'!$D$13:$AO$92,38,0)</f>
        <v>0</v>
      </c>
      <c r="AA13" s="566">
        <f>VLOOKUP(C13,'Chấm công KT'!$D$13:$AP$92,39,0)</f>
        <v>0</v>
      </c>
      <c r="AB13" s="233"/>
      <c r="AC13" s="234">
        <f t="shared" ref="AC13:AC76" si="6">Q13</f>
        <v>3.2</v>
      </c>
      <c r="AD13" s="105">
        <f>VLOOKUP(C13,'BTH mủ tạp'!$D$17:$AN$160,36,0)</f>
        <v>882.44990001243252</v>
      </c>
      <c r="AE13" s="106"/>
      <c r="AF13" s="98"/>
      <c r="AG13" s="98">
        <v>119657</v>
      </c>
      <c r="AH13" s="98">
        <v>197</v>
      </c>
      <c r="AI13" s="98"/>
      <c r="AJ13" s="98"/>
      <c r="AK13" s="73"/>
      <c r="AL13" s="73"/>
      <c r="AM13" s="73"/>
      <c r="AN13" s="73"/>
      <c r="AO13" s="73"/>
      <c r="AP13" s="99"/>
      <c r="AQ13" s="99"/>
      <c r="AR13" s="99"/>
      <c r="AS13" s="99"/>
      <c r="AT13" s="99"/>
    </row>
    <row r="14" spans="1:46" ht="18.75" customHeight="1">
      <c r="A14" s="103">
        <v>4</v>
      </c>
      <c r="B14" s="228" t="str">
        <f>'Chấm công KT'!C16</f>
        <v>04053</v>
      </c>
      <c r="C14" s="195" t="str">
        <f>'Chấm công KT'!D16</f>
        <v>Lăm Ma Thu</v>
      </c>
      <c r="D14" s="103" t="s">
        <v>37</v>
      </c>
      <c r="E14" s="239">
        <f t="shared" si="3"/>
        <v>3.2</v>
      </c>
      <c r="F14" s="239"/>
      <c r="G14" s="239"/>
      <c r="H14" s="239"/>
      <c r="I14" s="239"/>
      <c r="J14" s="229"/>
      <c r="K14" s="178"/>
      <c r="L14" s="178"/>
      <c r="M14" s="229"/>
      <c r="N14" s="229"/>
      <c r="O14" s="240"/>
      <c r="P14" s="104"/>
      <c r="Q14" s="230">
        <f t="shared" si="4"/>
        <v>3.2</v>
      </c>
      <c r="R14" s="621">
        <f>VLOOKUP(C14,'BTH mủ tạp'!D20:AK100,34,0)</f>
        <v>2145</v>
      </c>
      <c r="S14" s="229"/>
      <c r="T14" s="170">
        <f t="shared" ref="T14:T75" si="7">S14*50/100</f>
        <v>0</v>
      </c>
      <c r="U14" s="232">
        <f t="shared" si="5"/>
        <v>2145</v>
      </c>
      <c r="V14" s="566">
        <f>VLOOKUP(C14,'Chấm công KT'!D16:AK96,34,0)</f>
        <v>20</v>
      </c>
      <c r="W14" s="566">
        <f>VLOOKUP(C14,'Chấm công KT'!D16:AL96,35,0)</f>
        <v>5</v>
      </c>
      <c r="X14" s="567"/>
      <c r="Y14" s="566"/>
      <c r="Z14" s="566">
        <f>VLOOKUP(C14,'Chấm công KT'!$D$13:$AO$92,38,0)</f>
        <v>0</v>
      </c>
      <c r="AA14" s="566">
        <f>VLOOKUP(C14,'Chấm công KT'!$D$13:$AP$92,39,0)</f>
        <v>0</v>
      </c>
      <c r="AB14" s="233"/>
      <c r="AC14" s="234">
        <f t="shared" si="6"/>
        <v>3.2</v>
      </c>
      <c r="AD14" s="105">
        <f>VLOOKUP(C14,'BTH mủ tạp'!$D$17:$AN$160,36,0)</f>
        <v>994.66896244175905</v>
      </c>
      <c r="AE14" s="106"/>
      <c r="AF14" s="90"/>
      <c r="AG14" s="74">
        <v>125408</v>
      </c>
      <c r="AH14" s="71">
        <v>554</v>
      </c>
      <c r="AI14" s="72"/>
      <c r="AJ14" s="73"/>
      <c r="AK14" s="73"/>
      <c r="AL14" s="73"/>
      <c r="AM14" s="73"/>
      <c r="AN14" s="73"/>
      <c r="AO14" s="73"/>
    </row>
    <row r="15" spans="1:46" ht="18.75" customHeight="1">
      <c r="A15" s="194">
        <v>5</v>
      </c>
      <c r="B15" s="228" t="str">
        <f>'Chấm công KT'!C17</f>
        <v>03459</v>
      </c>
      <c r="C15" s="195" t="str">
        <f>'Chấm công KT'!D17</f>
        <v>N. Vạt</v>
      </c>
      <c r="D15" s="103" t="s">
        <v>37</v>
      </c>
      <c r="E15" s="239">
        <f t="shared" si="3"/>
        <v>3.2</v>
      </c>
      <c r="F15" s="239"/>
      <c r="G15" s="239"/>
      <c r="H15" s="239"/>
      <c r="I15" s="239"/>
      <c r="J15" s="229"/>
      <c r="K15" s="178"/>
      <c r="L15" s="108"/>
      <c r="M15" s="229"/>
      <c r="N15" s="104"/>
      <c r="O15" s="104"/>
      <c r="P15" s="104"/>
      <c r="Q15" s="230">
        <f t="shared" si="4"/>
        <v>3.2</v>
      </c>
      <c r="R15" s="621">
        <f>VLOOKUP(C15,'BTH mủ tạp'!D21:AK101,34,0)</f>
        <v>2015</v>
      </c>
      <c r="S15" s="229"/>
      <c r="T15" s="170">
        <f t="shared" si="7"/>
        <v>0</v>
      </c>
      <c r="U15" s="232">
        <f t="shared" si="5"/>
        <v>2015</v>
      </c>
      <c r="V15" s="566">
        <f>VLOOKUP(C15,'Chấm công KT'!D17:AK97,34,0)</f>
        <v>19</v>
      </c>
      <c r="W15" s="566">
        <f>VLOOKUP(C15,'Chấm công KT'!D17:AL97,35,0)</f>
        <v>4</v>
      </c>
      <c r="X15" s="567"/>
      <c r="Y15" s="566"/>
      <c r="Z15" s="566">
        <f>VLOOKUP(C15,'Chấm công KT'!$D$13:$AO$92,38,0)</f>
        <v>0</v>
      </c>
      <c r="AA15" s="566">
        <f>VLOOKUP(C15,'Chấm công KT'!$D$13:$AP$92,39,0)</f>
        <v>0</v>
      </c>
      <c r="AB15" s="233"/>
      <c r="AC15" s="234">
        <f t="shared" si="6"/>
        <v>3.2</v>
      </c>
      <c r="AD15" s="105">
        <f>VLOOKUP(C15,'BTH mủ tạp'!$D$17:$AN$160,36,0)</f>
        <v>934.38599502104637</v>
      </c>
      <c r="AE15" s="106"/>
      <c r="AF15" s="90"/>
      <c r="AG15" s="86">
        <v>97048</v>
      </c>
      <c r="AH15" s="86">
        <v>92</v>
      </c>
      <c r="AI15" s="72"/>
      <c r="AJ15" s="73"/>
      <c r="AK15" s="73"/>
      <c r="AL15" s="73"/>
      <c r="AM15" s="73"/>
      <c r="AN15" s="73"/>
      <c r="AO15" s="73"/>
    </row>
    <row r="16" spans="1:46" ht="18.75" customHeight="1">
      <c r="A16" s="103">
        <v>6</v>
      </c>
      <c r="B16" s="228" t="str">
        <f>'Chấm công KT'!C18</f>
        <v>04054</v>
      </c>
      <c r="C16" s="195" t="str">
        <f>'Chấm công KT'!D18</f>
        <v>N. Kay Son</v>
      </c>
      <c r="D16" s="103" t="s">
        <v>37</v>
      </c>
      <c r="E16" s="239">
        <f t="shared" si="3"/>
        <v>3.2</v>
      </c>
      <c r="F16" s="239"/>
      <c r="G16" s="239"/>
      <c r="H16" s="239"/>
      <c r="I16" s="239"/>
      <c r="J16" s="229"/>
      <c r="K16" s="178"/>
      <c r="L16" s="178"/>
      <c r="M16" s="229"/>
      <c r="N16" s="229"/>
      <c r="O16" s="240"/>
      <c r="P16" s="104"/>
      <c r="Q16" s="230">
        <f t="shared" si="4"/>
        <v>3.2</v>
      </c>
      <c r="R16" s="621">
        <f>VLOOKUP(C16,'BTH mủ tạp'!D22:AK102,34,0)</f>
        <v>2401</v>
      </c>
      <c r="S16" s="229"/>
      <c r="T16" s="170">
        <f t="shared" si="7"/>
        <v>0</v>
      </c>
      <c r="U16" s="232">
        <f t="shared" si="5"/>
        <v>2401</v>
      </c>
      <c r="V16" s="566">
        <f>VLOOKUP(C16,'Chấm công KT'!D18:AK98,34,0)</f>
        <v>20</v>
      </c>
      <c r="W16" s="566">
        <f>VLOOKUP(C16,'Chấm công KT'!D18:AL98,35,0)</f>
        <v>4</v>
      </c>
      <c r="X16" s="567"/>
      <c r="Y16" s="566"/>
      <c r="Z16" s="566">
        <f>VLOOKUP(C16,'Chấm công KT'!$D$13:$AO$92,38,0)</f>
        <v>0</v>
      </c>
      <c r="AA16" s="566">
        <f>VLOOKUP(C16,'Chấm công KT'!$D$13:$AP$92,39,0)</f>
        <v>0</v>
      </c>
      <c r="AB16" s="233"/>
      <c r="AC16" s="234">
        <f t="shared" si="6"/>
        <v>3.2</v>
      </c>
      <c r="AD16" s="105">
        <f>VLOOKUP(C16,'BTH mủ tạp'!$D$17:$AN$160,36,0)</f>
        <v>1113.3800367471624</v>
      </c>
      <c r="AE16" s="106"/>
      <c r="AF16" s="90"/>
      <c r="AG16" s="2">
        <v>46179</v>
      </c>
      <c r="AH16" s="75"/>
      <c r="AI16" s="85"/>
      <c r="AJ16" s="85"/>
      <c r="AK16" s="73"/>
      <c r="AL16" s="73"/>
      <c r="AM16" s="73"/>
      <c r="AN16" s="73"/>
      <c r="AO16" s="73"/>
    </row>
    <row r="17" spans="1:41" ht="18.75" customHeight="1">
      <c r="A17" s="194">
        <v>7</v>
      </c>
      <c r="B17" s="228" t="str">
        <f>'Chấm công KT'!C19</f>
        <v>04055</v>
      </c>
      <c r="C17" s="195" t="str">
        <f>'Chấm công KT'!D19</f>
        <v>T. Đèng 1</v>
      </c>
      <c r="D17" s="103" t="s">
        <v>37</v>
      </c>
      <c r="E17" s="239">
        <f t="shared" si="3"/>
        <v>3.2</v>
      </c>
      <c r="F17" s="239"/>
      <c r="G17" s="239"/>
      <c r="H17" s="239"/>
      <c r="I17" s="239"/>
      <c r="J17" s="229"/>
      <c r="K17" s="178"/>
      <c r="L17" s="178"/>
      <c r="M17" s="229"/>
      <c r="N17" s="229"/>
      <c r="O17" s="240"/>
      <c r="P17" s="104"/>
      <c r="Q17" s="230">
        <f t="shared" si="4"/>
        <v>3.2</v>
      </c>
      <c r="R17" s="621">
        <f>VLOOKUP(C17,'BTH mủ tạp'!D23:AK103,34,0)</f>
        <v>1993</v>
      </c>
      <c r="S17" s="229"/>
      <c r="T17" s="170">
        <f t="shared" si="7"/>
        <v>0</v>
      </c>
      <c r="U17" s="232">
        <f t="shared" si="5"/>
        <v>1993</v>
      </c>
      <c r="V17" s="566">
        <f>VLOOKUP(C17,'Chấm công KT'!D19:AK99,34,0)</f>
        <v>23</v>
      </c>
      <c r="W17" s="566">
        <f>VLOOKUP(C17,'Chấm công KT'!D19:AL99,35,0)</f>
        <v>5</v>
      </c>
      <c r="X17" s="567"/>
      <c r="Y17" s="566"/>
      <c r="Z17" s="566">
        <f>VLOOKUP(C17,'Chấm công KT'!$D$13:$AO$92,38,0)</f>
        <v>0</v>
      </c>
      <c r="AA17" s="566">
        <f>VLOOKUP(C17,'Chấm công KT'!$D$13:$AP$92,39,0)</f>
        <v>0</v>
      </c>
      <c r="AB17" s="233"/>
      <c r="AC17" s="234">
        <f t="shared" si="6"/>
        <v>3.2</v>
      </c>
      <c r="AD17" s="105">
        <f>VLOOKUP(C17,'BTH mủ tạp'!$D$17:$AN$160,36,0)</f>
        <v>924.18426207292578</v>
      </c>
      <c r="AE17" s="106"/>
      <c r="AF17" s="98"/>
      <c r="AG17" s="85"/>
      <c r="AH17" s="93"/>
      <c r="AI17" s="94"/>
      <c r="AJ17" s="73"/>
      <c r="AK17" s="73"/>
      <c r="AL17" s="73"/>
      <c r="AM17" s="73"/>
      <c r="AN17" s="73"/>
      <c r="AO17" s="73"/>
    </row>
    <row r="18" spans="1:41" ht="18.75" customHeight="1">
      <c r="A18" s="103">
        <v>8</v>
      </c>
      <c r="B18" s="228" t="str">
        <f>'Chấm công KT'!C20</f>
        <v>03462</v>
      </c>
      <c r="C18" s="195" t="str">
        <f>'Chấm công KT'!D20</f>
        <v>T . Bua Ngân</v>
      </c>
      <c r="D18" s="103" t="s">
        <v>37</v>
      </c>
      <c r="E18" s="239">
        <f t="shared" si="3"/>
        <v>3.2</v>
      </c>
      <c r="F18" s="239"/>
      <c r="G18" s="239"/>
      <c r="H18" s="239"/>
      <c r="I18" s="239"/>
      <c r="J18" s="229"/>
      <c r="K18" s="178"/>
      <c r="L18" s="178"/>
      <c r="M18" s="229"/>
      <c r="N18" s="229"/>
      <c r="O18" s="240"/>
      <c r="P18" s="104"/>
      <c r="Q18" s="230">
        <f t="shared" si="4"/>
        <v>3.2</v>
      </c>
      <c r="R18" s="621">
        <f>VLOOKUP(C18,'BTH mủ tạp'!D24:AK104,34,0)</f>
        <v>2333</v>
      </c>
      <c r="S18" s="229"/>
      <c r="T18" s="170">
        <f t="shared" si="7"/>
        <v>0</v>
      </c>
      <c r="U18" s="232">
        <f t="shared" si="5"/>
        <v>2333</v>
      </c>
      <c r="V18" s="566">
        <f>VLOOKUP(C18,'Chấm công KT'!D20:AK100,34,0)</f>
        <v>23</v>
      </c>
      <c r="W18" s="566">
        <f>VLOOKUP(C18,'Chấm công KT'!D20:AL100,35,0)</f>
        <v>5</v>
      </c>
      <c r="X18" s="567"/>
      <c r="Y18" s="566"/>
      <c r="Z18" s="566">
        <f>VLOOKUP(C18,'Chấm công KT'!$D$13:$AO$92,38,0)</f>
        <v>0</v>
      </c>
      <c r="AA18" s="566">
        <f>VLOOKUP(C18,'Chấm công KT'!$D$13:$AP$92,39,0)</f>
        <v>0</v>
      </c>
      <c r="AB18" s="233"/>
      <c r="AC18" s="234">
        <f t="shared" si="6"/>
        <v>3.2</v>
      </c>
      <c r="AD18" s="105">
        <f>VLOOKUP(C18,'BTH mủ tạp'!$D$17:$AN$160,36,0)</f>
        <v>1081.8474076347898</v>
      </c>
      <c r="AE18" s="106"/>
      <c r="AF18" s="98"/>
      <c r="AG18" s="102"/>
      <c r="AH18" s="93"/>
      <c r="AI18" s="92">
        <f>1155.43-Q9</f>
        <v>-1046.8699999999997</v>
      </c>
      <c r="AJ18" s="73"/>
      <c r="AK18" s="73"/>
      <c r="AL18" s="73"/>
      <c r="AM18" s="73"/>
      <c r="AN18" s="73"/>
      <c r="AO18" s="73"/>
    </row>
    <row r="19" spans="1:41" ht="18.75" customHeight="1">
      <c r="A19" s="194">
        <v>9</v>
      </c>
      <c r="B19" s="228" t="str">
        <f>'Chấm công KT'!C21</f>
        <v>03463</v>
      </c>
      <c r="C19" s="195" t="str">
        <f>'Chấm công KT'!D21</f>
        <v>T Căng</v>
      </c>
      <c r="D19" s="103" t="s">
        <v>37</v>
      </c>
      <c r="E19" s="239">
        <f t="shared" si="3"/>
        <v>3.2</v>
      </c>
      <c r="F19" s="239"/>
      <c r="G19" s="239"/>
      <c r="H19" s="239"/>
      <c r="I19" s="239"/>
      <c r="J19" s="229"/>
      <c r="K19" s="178"/>
      <c r="L19" s="178"/>
      <c r="M19" s="229"/>
      <c r="N19" s="229"/>
      <c r="O19" s="240"/>
      <c r="P19" s="104"/>
      <c r="Q19" s="230">
        <f t="shared" si="4"/>
        <v>3.2</v>
      </c>
      <c r="R19" s="621">
        <f>VLOOKUP(C19,'BTH mủ tạp'!D25:AK105,34,0)</f>
        <v>2885</v>
      </c>
      <c r="S19" s="229"/>
      <c r="T19" s="170">
        <f t="shared" si="7"/>
        <v>0</v>
      </c>
      <c r="U19" s="232">
        <f t="shared" si="5"/>
        <v>2885</v>
      </c>
      <c r="V19" s="566">
        <f>VLOOKUP(C19,'Chấm công KT'!D21:AK101,34,0)</f>
        <v>23</v>
      </c>
      <c r="W19" s="566">
        <f>VLOOKUP(C19,'Chấm công KT'!D21:AL101,35,0)</f>
        <v>5</v>
      </c>
      <c r="X19" s="567"/>
      <c r="Y19" s="566"/>
      <c r="Z19" s="566">
        <f>VLOOKUP(C19,'Chấm công KT'!$D$13:$AO$92,38,0)</f>
        <v>0</v>
      </c>
      <c r="AA19" s="566">
        <f>VLOOKUP(C19,'Chấm công KT'!$D$13:$AP$92,39,0)</f>
        <v>0</v>
      </c>
      <c r="AB19" s="233"/>
      <c r="AC19" s="234">
        <f t="shared" si="6"/>
        <v>3.2</v>
      </c>
      <c r="AD19" s="105">
        <f>VLOOKUP(C19,'BTH mủ tạp'!$D$17:$AN$160,36,0)</f>
        <v>1337.8181616058159</v>
      </c>
      <c r="AE19" s="106"/>
      <c r="AF19" s="98"/>
      <c r="AG19" s="98"/>
      <c r="AH19" s="98"/>
      <c r="AI19" s="98"/>
      <c r="AJ19" s="73"/>
      <c r="AK19" s="73"/>
      <c r="AL19" s="73"/>
      <c r="AM19" s="73"/>
      <c r="AN19" s="73"/>
      <c r="AO19" s="73"/>
    </row>
    <row r="20" spans="1:41" ht="18.75" customHeight="1">
      <c r="A20" s="103">
        <v>10</v>
      </c>
      <c r="B20" s="228" t="str">
        <f>'Chấm công KT'!C22</f>
        <v>03464</v>
      </c>
      <c r="C20" s="195" t="str">
        <f>'Chấm công KT'!D22</f>
        <v>N. Phôn 1</v>
      </c>
      <c r="D20" s="103" t="s">
        <v>37</v>
      </c>
      <c r="E20" s="239">
        <f t="shared" si="3"/>
        <v>3.2</v>
      </c>
      <c r="F20" s="239"/>
      <c r="G20" s="239"/>
      <c r="H20" s="239"/>
      <c r="I20" s="239"/>
      <c r="J20" s="229"/>
      <c r="K20" s="178"/>
      <c r="L20" s="108"/>
      <c r="M20" s="108"/>
      <c r="N20" s="104"/>
      <c r="O20" s="104"/>
      <c r="P20" s="104"/>
      <c r="Q20" s="230">
        <f t="shared" si="4"/>
        <v>3.2</v>
      </c>
      <c r="R20" s="621">
        <f>VLOOKUP(C20,'BTH mủ tạp'!D26:AK106,34,0)</f>
        <v>2848</v>
      </c>
      <c r="S20" s="229"/>
      <c r="T20" s="170">
        <f t="shared" si="7"/>
        <v>0</v>
      </c>
      <c r="U20" s="232">
        <f t="shared" si="5"/>
        <v>2848</v>
      </c>
      <c r="V20" s="566">
        <f>VLOOKUP(C20,'Chấm công KT'!D22:AK102,34,0)</f>
        <v>23</v>
      </c>
      <c r="W20" s="566">
        <f>VLOOKUP(C20,'Chấm công KT'!D22:AL102,35,0)</f>
        <v>5</v>
      </c>
      <c r="X20" s="567"/>
      <c r="Y20" s="566"/>
      <c r="Z20" s="566">
        <f>VLOOKUP(C20,'Chấm công KT'!$D$13:$AO$92,38,0)</f>
        <v>0</v>
      </c>
      <c r="AA20" s="566">
        <f>VLOOKUP(C20,'Chấm công KT'!$D$13:$AP$92,39,0)</f>
        <v>0</v>
      </c>
      <c r="AB20" s="233"/>
      <c r="AC20" s="234">
        <f t="shared" si="6"/>
        <v>3.2</v>
      </c>
      <c r="AD20" s="105">
        <f>VLOOKUP(C20,'BTH mủ tạp'!$D$17:$AN$160,36,0)</f>
        <v>1320.660701647613</v>
      </c>
      <c r="AE20" s="106"/>
      <c r="AF20" s="90"/>
      <c r="AG20" s="60">
        <f>Q9</f>
        <v>2202.2999999999997</v>
      </c>
      <c r="AH20" s="101"/>
      <c r="AI20" s="76"/>
      <c r="AJ20" s="73"/>
      <c r="AK20" s="73"/>
      <c r="AL20" s="73"/>
      <c r="AM20" s="73"/>
      <c r="AN20" s="73"/>
      <c r="AO20" s="73"/>
    </row>
    <row r="21" spans="1:41" ht="18.75" customHeight="1">
      <c r="A21" s="194">
        <v>11</v>
      </c>
      <c r="B21" s="228" t="str">
        <f>'Chấm công KT'!C23</f>
        <v>03465</v>
      </c>
      <c r="C21" s="195" t="str">
        <f>'Chấm công KT'!D23</f>
        <v>T. In Păn</v>
      </c>
      <c r="D21" s="103" t="s">
        <v>37</v>
      </c>
      <c r="E21" s="239">
        <f t="shared" si="3"/>
        <v>3.2</v>
      </c>
      <c r="F21" s="239"/>
      <c r="G21" s="239"/>
      <c r="H21" s="239"/>
      <c r="I21" s="239"/>
      <c r="J21" s="229"/>
      <c r="K21" s="178"/>
      <c r="L21" s="178"/>
      <c r="M21" s="229"/>
      <c r="N21" s="229"/>
      <c r="O21" s="240"/>
      <c r="P21" s="104"/>
      <c r="Q21" s="230">
        <f t="shared" si="4"/>
        <v>3.2</v>
      </c>
      <c r="R21" s="621">
        <f>VLOOKUP(C21,'BTH mủ tạp'!D27:AK107,34,0)</f>
        <v>2182</v>
      </c>
      <c r="S21" s="229"/>
      <c r="T21" s="170">
        <f t="shared" si="7"/>
        <v>0</v>
      </c>
      <c r="U21" s="232">
        <f t="shared" si="5"/>
        <v>2182</v>
      </c>
      <c r="V21" s="566">
        <f>VLOOKUP(C21,'Chấm công KT'!D23:AK103,34,0)</f>
        <v>20</v>
      </c>
      <c r="W21" s="566">
        <f>VLOOKUP(C21,'Chấm công KT'!D23:AL103,35,0)</f>
        <v>5</v>
      </c>
      <c r="X21" s="567"/>
      <c r="Y21" s="566"/>
      <c r="Z21" s="566">
        <f>VLOOKUP(C21,'Chấm công KT'!$D$13:$AO$92,38,0)</f>
        <v>0</v>
      </c>
      <c r="AA21" s="566">
        <f>VLOOKUP(C21,'Chấm công KT'!$D$13:$AP$92,39,0)</f>
        <v>0</v>
      </c>
      <c r="AB21" s="233"/>
      <c r="AC21" s="234">
        <f t="shared" si="6"/>
        <v>3.2</v>
      </c>
      <c r="AD21" s="105">
        <f>VLOOKUP(C21,'BTH mủ tạp'!$D$17:$AN$160,36,0)</f>
        <v>1011.8264223999619</v>
      </c>
      <c r="AE21" s="106"/>
      <c r="AF21" s="90"/>
      <c r="AG21" s="60">
        <f>AG20-2544.38</f>
        <v>-342.08000000000038</v>
      </c>
      <c r="AH21" s="75"/>
      <c r="AI21" s="76"/>
      <c r="AJ21" s="73"/>
      <c r="AK21" s="73"/>
      <c r="AL21" s="73"/>
      <c r="AM21" s="73"/>
      <c r="AN21" s="73"/>
      <c r="AO21" s="73"/>
    </row>
    <row r="22" spans="1:41" ht="18.75" customHeight="1">
      <c r="A22" s="103">
        <v>12</v>
      </c>
      <c r="B22" s="228" t="str">
        <f>'Chấm công KT'!C24</f>
        <v>03466</v>
      </c>
      <c r="C22" s="195" t="str">
        <f>'Chấm công KT'!D24</f>
        <v>N. Keo</v>
      </c>
      <c r="D22" s="103" t="s">
        <v>37</v>
      </c>
      <c r="E22" s="239">
        <f t="shared" si="3"/>
        <v>3.2</v>
      </c>
      <c r="F22" s="239"/>
      <c r="G22" s="239"/>
      <c r="H22" s="239"/>
      <c r="I22" s="239"/>
      <c r="J22" s="229"/>
      <c r="K22" s="178"/>
      <c r="L22" s="108"/>
      <c r="M22" s="108"/>
      <c r="N22" s="104"/>
      <c r="O22" s="104"/>
      <c r="P22" s="104"/>
      <c r="Q22" s="230">
        <f t="shared" si="4"/>
        <v>3.2</v>
      </c>
      <c r="R22" s="621">
        <f>VLOOKUP(C22,'BTH mủ tạp'!D28:AK108,34,0)</f>
        <v>3179</v>
      </c>
      <c r="S22" s="229"/>
      <c r="T22" s="170">
        <f t="shared" si="7"/>
        <v>0</v>
      </c>
      <c r="U22" s="232">
        <f t="shared" si="5"/>
        <v>3179</v>
      </c>
      <c r="V22" s="566">
        <f>VLOOKUP(C22,'Chấm công KT'!D24:AK104,34,0)</f>
        <v>23</v>
      </c>
      <c r="W22" s="566">
        <f>VLOOKUP(C22,'Chấm công KT'!D24:AL104,35,0)</f>
        <v>5</v>
      </c>
      <c r="X22" s="567"/>
      <c r="Y22" s="566"/>
      <c r="Z22" s="566">
        <f>VLOOKUP(C22,'Chấm công KT'!$D$13:$AO$92,38,0)</f>
        <v>0</v>
      </c>
      <c r="AA22" s="566">
        <f>VLOOKUP(C22,'Chấm công KT'!$D$13:$AP$92,39,0)</f>
        <v>0</v>
      </c>
      <c r="AB22" s="233"/>
      <c r="AC22" s="234">
        <f t="shared" si="6"/>
        <v>3.2</v>
      </c>
      <c r="AD22" s="105">
        <f>VLOOKUP(C22,'BTH mủ tạp'!$D$17:$AN$160,36,0)</f>
        <v>1474.1504110034275</v>
      </c>
      <c r="AE22" s="106"/>
      <c r="AF22" s="90"/>
      <c r="AG22" s="44">
        <f>AG21-6.33</f>
        <v>-348.41000000000037</v>
      </c>
      <c r="AH22" s="75"/>
      <c r="AI22" s="76"/>
      <c r="AJ22" s="73"/>
      <c r="AK22" s="73"/>
      <c r="AL22" s="73"/>
      <c r="AM22" s="73"/>
      <c r="AN22" s="73"/>
      <c r="AO22" s="73"/>
    </row>
    <row r="23" spans="1:41" ht="18.75" customHeight="1">
      <c r="A23" s="194">
        <v>13</v>
      </c>
      <c r="B23" s="228" t="str">
        <f>'Chấm công KT'!C25</f>
        <v>02727</v>
      </c>
      <c r="C23" s="195" t="str">
        <f>'Chấm công KT'!D25</f>
        <v>T. Thong Đon</v>
      </c>
      <c r="D23" s="103" t="s">
        <v>37</v>
      </c>
      <c r="E23" s="239">
        <f t="shared" si="3"/>
        <v>3.2</v>
      </c>
      <c r="F23" s="239"/>
      <c r="G23" s="239"/>
      <c r="H23" s="239"/>
      <c r="I23" s="239"/>
      <c r="J23" s="229"/>
      <c r="K23" s="178"/>
      <c r="L23" s="178"/>
      <c r="M23" s="229"/>
      <c r="N23" s="229"/>
      <c r="O23" s="240"/>
      <c r="P23" s="104"/>
      <c r="Q23" s="230">
        <f t="shared" si="4"/>
        <v>3.2</v>
      </c>
      <c r="R23" s="621">
        <f>VLOOKUP(C23,'BTH mủ tạp'!D29:AK109,34,0)</f>
        <v>2523</v>
      </c>
      <c r="S23" s="229"/>
      <c r="T23" s="170">
        <f t="shared" si="7"/>
        <v>0</v>
      </c>
      <c r="U23" s="232">
        <f t="shared" si="5"/>
        <v>2523</v>
      </c>
      <c r="V23" s="566">
        <f>VLOOKUP(C23,'Chấm công KT'!D25:AK105,34,0)</f>
        <v>20</v>
      </c>
      <c r="W23" s="566">
        <f>VLOOKUP(C23,'Chấm công KT'!D25:AL105,35,0)</f>
        <v>5</v>
      </c>
      <c r="X23" s="567"/>
      <c r="Y23" s="566"/>
      <c r="Z23" s="566">
        <f>VLOOKUP(C23,'Chấm công KT'!$D$13:$AO$92,38,0)</f>
        <v>0</v>
      </c>
      <c r="AA23" s="566">
        <f>VLOOKUP(C23,'Chấm công KT'!$D$13:$AP$92,39,0)</f>
        <v>0</v>
      </c>
      <c r="AB23" s="233"/>
      <c r="AC23" s="234">
        <f t="shared" si="6"/>
        <v>3.2</v>
      </c>
      <c r="AD23" s="105">
        <f>VLOOKUP(C23,'BTH mủ tạp'!$D$17:$AN$160,36,0)</f>
        <v>1169.9532830958312</v>
      </c>
      <c r="AE23" s="106"/>
      <c r="AF23" s="90"/>
      <c r="AG23" s="44"/>
      <c r="AH23" s="75"/>
      <c r="AI23" s="76"/>
      <c r="AJ23" s="73"/>
      <c r="AK23" s="73"/>
      <c r="AL23" s="73"/>
      <c r="AM23" s="73"/>
      <c r="AN23" s="73"/>
      <c r="AO23" s="73"/>
    </row>
    <row r="24" spans="1:41" ht="18.75" customHeight="1">
      <c r="A24" s="103">
        <v>14</v>
      </c>
      <c r="B24" s="228" t="str">
        <f>'Chấm công KT'!C26</f>
        <v>03467</v>
      </c>
      <c r="C24" s="195" t="str">
        <f>'Chấm công KT'!D26</f>
        <v>T. Hin</v>
      </c>
      <c r="D24" s="103" t="s">
        <v>37</v>
      </c>
      <c r="E24" s="239">
        <f t="shared" si="3"/>
        <v>3.2</v>
      </c>
      <c r="F24" s="239"/>
      <c r="G24" s="239"/>
      <c r="H24" s="239"/>
      <c r="I24" s="239"/>
      <c r="J24" s="229"/>
      <c r="K24" s="178"/>
      <c r="L24" s="108"/>
      <c r="M24" s="108"/>
      <c r="N24" s="104"/>
      <c r="O24" s="104"/>
      <c r="P24" s="104"/>
      <c r="Q24" s="230">
        <f t="shared" si="4"/>
        <v>3.2</v>
      </c>
      <c r="R24" s="621">
        <f>VLOOKUP(C24,'BTH mủ tạp'!D30:AK110,34,0)</f>
        <v>2309</v>
      </c>
      <c r="S24" s="229"/>
      <c r="T24" s="170">
        <f t="shared" si="7"/>
        <v>0</v>
      </c>
      <c r="U24" s="232">
        <f t="shared" si="5"/>
        <v>2309</v>
      </c>
      <c r="V24" s="566">
        <f>VLOOKUP(C24,'Chấm công KT'!D26:AK106,34,0)</f>
        <v>22</v>
      </c>
      <c r="W24" s="566">
        <f>VLOOKUP(C24,'Chấm công KT'!D26:AL106,35,0)</f>
        <v>5</v>
      </c>
      <c r="X24" s="567"/>
      <c r="Y24" s="566"/>
      <c r="Z24" s="566">
        <f>VLOOKUP(C24,'Chấm công KT'!$D$13:$AO$92,38,0)</f>
        <v>0</v>
      </c>
      <c r="AA24" s="566">
        <f>VLOOKUP(C24,'Chấm công KT'!$D$13:$AP$92,39,0)</f>
        <v>0</v>
      </c>
      <c r="AB24" s="233"/>
      <c r="AC24" s="234">
        <f t="shared" si="6"/>
        <v>3.2</v>
      </c>
      <c r="AD24" s="105">
        <f>VLOOKUP(C24,'BTH mủ tạp'!$D$17:$AN$160,36,0)</f>
        <v>1070.7182444186581</v>
      </c>
      <c r="AE24" s="106"/>
      <c r="AF24" s="90"/>
      <c r="AH24" s="75"/>
      <c r="AI24" s="76"/>
      <c r="AJ24" s="73"/>
      <c r="AK24" s="73"/>
      <c r="AL24" s="73"/>
      <c r="AM24" s="73"/>
      <c r="AN24" s="73"/>
      <c r="AO24" s="73"/>
    </row>
    <row r="25" spans="1:41" ht="18.75" customHeight="1">
      <c r="A25" s="194">
        <v>15</v>
      </c>
      <c r="B25" s="228" t="str">
        <f>'Chấm công KT'!C27</f>
        <v>04056</v>
      </c>
      <c r="C25" s="195" t="str">
        <f>'Chấm công KT'!D27</f>
        <v>N. Ly Phon</v>
      </c>
      <c r="D25" s="103" t="s">
        <v>37</v>
      </c>
      <c r="E25" s="239">
        <f t="shared" si="3"/>
        <v>3.2</v>
      </c>
      <c r="F25" s="239"/>
      <c r="G25" s="239"/>
      <c r="H25" s="239"/>
      <c r="I25" s="239"/>
      <c r="J25" s="229"/>
      <c r="K25" s="178"/>
      <c r="L25" s="108"/>
      <c r="M25" s="108"/>
      <c r="N25" s="104"/>
      <c r="O25" s="104"/>
      <c r="P25" s="104"/>
      <c r="Q25" s="230">
        <f t="shared" si="4"/>
        <v>3.2</v>
      </c>
      <c r="R25" s="621">
        <f>VLOOKUP(C25,'BTH mủ tạp'!D31:AK111,34,0)</f>
        <v>1650</v>
      </c>
      <c r="S25" s="229"/>
      <c r="T25" s="170">
        <f t="shared" si="7"/>
        <v>0</v>
      </c>
      <c r="U25" s="232">
        <f t="shared" si="5"/>
        <v>1650</v>
      </c>
      <c r="V25" s="566">
        <f>VLOOKUP(C25,'Chấm công KT'!D27:AK107,34,0)</f>
        <v>19</v>
      </c>
      <c r="W25" s="566">
        <f>VLOOKUP(C25,'Chấm công KT'!D27:AL107,35,0)</f>
        <v>4</v>
      </c>
      <c r="X25" s="567"/>
      <c r="Y25" s="566"/>
      <c r="Z25" s="566">
        <f>VLOOKUP(C25,'Chấm công KT'!$D$13:$AO$92,38,0)</f>
        <v>0</v>
      </c>
      <c r="AA25" s="566">
        <f>VLOOKUP(C25,'Chấm công KT'!$D$13:$AP$92,39,0)</f>
        <v>0</v>
      </c>
      <c r="AB25" s="233"/>
      <c r="AC25" s="234">
        <f t="shared" si="6"/>
        <v>3.2</v>
      </c>
      <c r="AD25" s="105">
        <f>VLOOKUP(C25,'BTH mủ tạp'!$D$17:$AN$160,36,0)</f>
        <v>765.12997110904541</v>
      </c>
      <c r="AE25" s="106"/>
      <c r="AF25" s="90"/>
      <c r="AH25" s="75"/>
      <c r="AI25" s="72"/>
      <c r="AJ25" s="73"/>
      <c r="AK25" s="73"/>
      <c r="AL25" s="73"/>
      <c r="AM25" s="73"/>
      <c r="AN25" s="73"/>
      <c r="AO25" s="73"/>
    </row>
    <row r="26" spans="1:41" ht="18.75" customHeight="1">
      <c r="A26" s="103">
        <v>16</v>
      </c>
      <c r="B26" s="228" t="str">
        <f>'Chấm công KT'!C28</f>
        <v>03469</v>
      </c>
      <c r="C26" s="195" t="str">
        <f>'Chấm công KT'!D28</f>
        <v>T. Xôm Va Nít</v>
      </c>
      <c r="D26" s="103" t="s">
        <v>37</v>
      </c>
      <c r="E26" s="239">
        <f t="shared" si="3"/>
        <v>3.2</v>
      </c>
      <c r="F26" s="239"/>
      <c r="G26" s="239"/>
      <c r="H26" s="239"/>
      <c r="I26" s="239"/>
      <c r="J26" s="229"/>
      <c r="K26" s="178"/>
      <c r="L26" s="108"/>
      <c r="M26" s="108"/>
      <c r="N26" s="104"/>
      <c r="O26" s="104"/>
      <c r="P26" s="104"/>
      <c r="Q26" s="230">
        <f t="shared" si="4"/>
        <v>3.2</v>
      </c>
      <c r="R26" s="621">
        <f>VLOOKUP(C26,'BTH mủ tạp'!D32:AK112,34,0)</f>
        <v>3122</v>
      </c>
      <c r="S26" s="229"/>
      <c r="T26" s="170">
        <f t="shared" si="7"/>
        <v>0</v>
      </c>
      <c r="U26" s="232">
        <f t="shared" si="5"/>
        <v>3122</v>
      </c>
      <c r="V26" s="566">
        <f>VLOOKUP(C26,'Chấm công KT'!D28:AK108,34,0)</f>
        <v>23</v>
      </c>
      <c r="W26" s="566">
        <f>VLOOKUP(C26,'Chấm công KT'!D28:AL108,35,0)</f>
        <v>5</v>
      </c>
      <c r="X26" s="567"/>
      <c r="Y26" s="566"/>
      <c r="Z26" s="566">
        <f>VLOOKUP(C26,'Chấm công KT'!$D$13:$AO$92,38,0)</f>
        <v>0</v>
      </c>
      <c r="AA26" s="566">
        <f>VLOOKUP(C26,'Chấm công KT'!$D$13:$AP$92,39,0)</f>
        <v>0</v>
      </c>
      <c r="AB26" s="233"/>
      <c r="AC26" s="234">
        <f t="shared" si="6"/>
        <v>3.2</v>
      </c>
      <c r="AD26" s="105">
        <f>VLOOKUP(C26,'BTH mủ tạp'!$D$17:$AN$160,36,0)</f>
        <v>1447.7186483651153</v>
      </c>
      <c r="AE26" s="106"/>
      <c r="AF26" s="90"/>
      <c r="AG26" s="75"/>
      <c r="AH26" s="75"/>
      <c r="AI26" s="72"/>
      <c r="AJ26" s="73"/>
      <c r="AK26" s="73"/>
      <c r="AL26" s="73"/>
      <c r="AM26" s="73"/>
      <c r="AN26" s="73"/>
      <c r="AO26" s="73"/>
    </row>
    <row r="27" spans="1:41" ht="18.75" customHeight="1">
      <c r="A27" s="194">
        <v>17</v>
      </c>
      <c r="B27" s="228" t="str">
        <f>'Chấm công KT'!C29</f>
        <v>03470</v>
      </c>
      <c r="C27" s="195" t="str">
        <f>'Chấm công KT'!D29</f>
        <v>T. Lọi</v>
      </c>
      <c r="D27" s="103" t="s">
        <v>37</v>
      </c>
      <c r="E27" s="239">
        <f t="shared" si="3"/>
        <v>3.2</v>
      </c>
      <c r="F27" s="239"/>
      <c r="G27" s="239"/>
      <c r="H27" s="239"/>
      <c r="I27" s="239"/>
      <c r="J27" s="229"/>
      <c r="K27" s="178"/>
      <c r="L27" s="108"/>
      <c r="M27" s="108"/>
      <c r="N27" s="104"/>
      <c r="O27" s="104"/>
      <c r="P27" s="104"/>
      <c r="Q27" s="230">
        <f t="shared" si="4"/>
        <v>3.2</v>
      </c>
      <c r="R27" s="621">
        <f>VLOOKUP(C27,'BTH mủ tạp'!D33:AK113,34,0)</f>
        <v>2112</v>
      </c>
      <c r="S27" s="229"/>
      <c r="T27" s="170">
        <f t="shared" si="7"/>
        <v>0</v>
      </c>
      <c r="U27" s="232">
        <f t="shared" si="5"/>
        <v>2112</v>
      </c>
      <c r="V27" s="566">
        <f>VLOOKUP(C27,'Chấm công KT'!D29:AK109,34,0)</f>
        <v>19</v>
      </c>
      <c r="W27" s="566">
        <f>VLOOKUP(C27,'Chấm công KT'!D29:AL109,35,0)</f>
        <v>4</v>
      </c>
      <c r="X27" s="567"/>
      <c r="Y27" s="566"/>
      <c r="Z27" s="566">
        <f>VLOOKUP(C27,'Chấm công KT'!$D$13:$AO$92,38,0)</f>
        <v>0</v>
      </c>
      <c r="AA27" s="566">
        <f>VLOOKUP(C27,'Chấm công KT'!$D$13:$AP$92,39,0)</f>
        <v>0</v>
      </c>
      <c r="AB27" s="233"/>
      <c r="AC27" s="234">
        <f t="shared" si="6"/>
        <v>3.2</v>
      </c>
      <c r="AD27" s="105">
        <f>VLOOKUP(C27,'BTH mủ tạp'!$D$17:$AN$160,36,0)</f>
        <v>979.3663630195781</v>
      </c>
      <c r="AE27" s="106"/>
      <c r="AF27" s="90"/>
      <c r="AH27" s="75"/>
      <c r="AI27" s="72"/>
      <c r="AJ27" s="73"/>
      <c r="AK27" s="73"/>
      <c r="AL27" s="73"/>
      <c r="AM27" s="73"/>
      <c r="AN27" s="73"/>
      <c r="AO27" s="73"/>
    </row>
    <row r="28" spans="1:41" ht="18.75" customHeight="1">
      <c r="A28" s="103">
        <v>18</v>
      </c>
      <c r="B28" s="228" t="str">
        <f>'Chấm công KT'!C30</f>
        <v>03471</v>
      </c>
      <c r="C28" s="195" t="str">
        <f>'Chấm công KT'!D30</f>
        <v>T. Phô Thong</v>
      </c>
      <c r="D28" s="103" t="s">
        <v>37</v>
      </c>
      <c r="E28" s="239">
        <f t="shared" si="3"/>
        <v>3.2</v>
      </c>
      <c r="F28" s="239"/>
      <c r="G28" s="239"/>
      <c r="H28" s="239"/>
      <c r="I28" s="239"/>
      <c r="J28" s="229"/>
      <c r="K28" s="178"/>
      <c r="L28" s="108"/>
      <c r="M28" s="108"/>
      <c r="N28" s="104"/>
      <c r="O28" s="104"/>
      <c r="P28" s="104"/>
      <c r="Q28" s="230">
        <f t="shared" si="4"/>
        <v>3.2</v>
      </c>
      <c r="R28" s="621">
        <f>VLOOKUP(C28,'BTH mủ tạp'!D34:AK114,34,0)</f>
        <v>2729</v>
      </c>
      <c r="S28" s="229"/>
      <c r="T28" s="170">
        <f t="shared" si="7"/>
        <v>0</v>
      </c>
      <c r="U28" s="232">
        <f t="shared" si="5"/>
        <v>2729</v>
      </c>
      <c r="V28" s="566">
        <f>VLOOKUP(C28,'Chấm công KT'!D30:AK110,34,0)</f>
        <v>23</v>
      </c>
      <c r="W28" s="566">
        <f>VLOOKUP(C28,'Chấm công KT'!D30:AL110,35,0)</f>
        <v>5</v>
      </c>
      <c r="X28" s="567"/>
      <c r="Y28" s="566"/>
      <c r="Z28" s="566">
        <f>VLOOKUP(C28,'Chấm công KT'!$D$13:$AO$92,38,0)</f>
        <v>0</v>
      </c>
      <c r="AA28" s="566">
        <f>VLOOKUP(C28,'Chấm công KT'!$D$13:$AP$92,39,0)</f>
        <v>0</v>
      </c>
      <c r="AB28" s="233"/>
      <c r="AC28" s="234">
        <f t="shared" si="6"/>
        <v>3.2</v>
      </c>
      <c r="AD28" s="105">
        <f>VLOOKUP(C28,'BTH mủ tạp'!$D$17:$AN$160,36,0)</f>
        <v>1265.4786007009607</v>
      </c>
      <c r="AE28" s="106"/>
      <c r="AF28" s="90">
        <f>Q9-10084</f>
        <v>-7881.7000000000007</v>
      </c>
      <c r="AH28" s="75"/>
      <c r="AI28" s="72"/>
      <c r="AJ28" s="73"/>
      <c r="AK28" s="73"/>
      <c r="AL28" s="73"/>
      <c r="AM28" s="73"/>
      <c r="AN28" s="73"/>
      <c r="AO28" s="73"/>
    </row>
    <row r="29" spans="1:41" ht="18.75" customHeight="1">
      <c r="A29" s="194">
        <v>19</v>
      </c>
      <c r="B29" s="228" t="str">
        <f>'Chấm công KT'!C31</f>
        <v>03472</v>
      </c>
      <c r="C29" s="195" t="str">
        <f>'Chấm công KT'!D31</f>
        <v>N. Soi</v>
      </c>
      <c r="D29" s="103" t="s">
        <v>37</v>
      </c>
      <c r="E29" s="239">
        <f t="shared" si="3"/>
        <v>3.2</v>
      </c>
      <c r="F29" s="239"/>
      <c r="G29" s="239"/>
      <c r="H29" s="239"/>
      <c r="I29" s="239"/>
      <c r="J29" s="229"/>
      <c r="K29" s="178"/>
      <c r="L29" s="178"/>
      <c r="M29" s="229"/>
      <c r="N29" s="229"/>
      <c r="O29" s="240"/>
      <c r="P29" s="104"/>
      <c r="Q29" s="230">
        <f t="shared" si="4"/>
        <v>3.2</v>
      </c>
      <c r="R29" s="621">
        <f>VLOOKUP(C29,'BTH mủ tạp'!D35:AK115,34,0)</f>
        <v>1472</v>
      </c>
      <c r="S29" s="229"/>
      <c r="T29" s="170">
        <f t="shared" si="7"/>
        <v>0</v>
      </c>
      <c r="U29" s="232">
        <f t="shared" si="5"/>
        <v>1472</v>
      </c>
      <c r="V29" s="566">
        <f>VLOOKUP(C29,'Chấm công KT'!D31:AK111,34,0)</f>
        <v>20</v>
      </c>
      <c r="W29" s="566">
        <f>VLOOKUP(C29,'Chấm công KT'!D31:AL111,35,0)</f>
        <v>5</v>
      </c>
      <c r="X29" s="567"/>
      <c r="Y29" s="566"/>
      <c r="Z29" s="566">
        <f>VLOOKUP(C29,'Chấm công KT'!$D$13:$AO$92,38,0)</f>
        <v>0</v>
      </c>
      <c r="AA29" s="566">
        <f>VLOOKUP(C29,'Chấm công KT'!$D$13:$AP$92,39,0)</f>
        <v>0</v>
      </c>
      <c r="AB29" s="233"/>
      <c r="AC29" s="234">
        <f t="shared" si="6"/>
        <v>3.2</v>
      </c>
      <c r="AD29" s="105">
        <f>VLOOKUP(C29,'BTH mủ tạp'!$D$17:$AN$160,36,0)</f>
        <v>682.58867725606967</v>
      </c>
      <c r="AE29" s="106"/>
      <c r="AF29" s="90"/>
      <c r="AH29" s="75"/>
      <c r="AI29" s="72"/>
      <c r="AJ29" s="73"/>
      <c r="AK29" s="73"/>
      <c r="AL29" s="73"/>
      <c r="AM29" s="73"/>
      <c r="AN29" s="73"/>
      <c r="AO29" s="73"/>
    </row>
    <row r="30" spans="1:41" ht="18.75" customHeight="1">
      <c r="A30" s="103">
        <v>20</v>
      </c>
      <c r="B30" s="228" t="str">
        <f>'Chấm công KT'!C32</f>
        <v>03473</v>
      </c>
      <c r="C30" s="195" t="str">
        <f>'Chấm công KT'!D32</f>
        <v>N. Me Kha La</v>
      </c>
      <c r="D30" s="103" t="s">
        <v>37</v>
      </c>
      <c r="E30" s="239">
        <f t="shared" si="3"/>
        <v>3.2</v>
      </c>
      <c r="F30" s="239"/>
      <c r="G30" s="239"/>
      <c r="H30" s="239"/>
      <c r="I30" s="239"/>
      <c r="J30" s="229"/>
      <c r="K30" s="178"/>
      <c r="L30" s="178"/>
      <c r="M30" s="229"/>
      <c r="N30" s="229"/>
      <c r="O30" s="240"/>
      <c r="P30" s="104"/>
      <c r="Q30" s="230">
        <f t="shared" si="4"/>
        <v>3.2</v>
      </c>
      <c r="R30" s="621">
        <f>VLOOKUP(C30,'BTH mủ tạp'!D36:AK116,34,0)</f>
        <v>2260</v>
      </c>
      <c r="S30" s="229"/>
      <c r="T30" s="170">
        <f t="shared" si="7"/>
        <v>0</v>
      </c>
      <c r="U30" s="232">
        <f t="shared" si="5"/>
        <v>2260</v>
      </c>
      <c r="V30" s="566">
        <f>VLOOKUP(C30,'Chấm công KT'!D32:AK112,34,0)</f>
        <v>19</v>
      </c>
      <c r="W30" s="566">
        <f>VLOOKUP(C30,'Chấm công KT'!D32:AL112,35,0)</f>
        <v>5</v>
      </c>
      <c r="X30" s="567"/>
      <c r="Y30" s="566"/>
      <c r="Z30" s="566">
        <f>VLOOKUP(C30,'Chấm công KT'!$D$13:$AO$92,38,0)</f>
        <v>0</v>
      </c>
      <c r="AA30" s="566">
        <f>VLOOKUP(C30,'Chấm công KT'!$D$13:$AP$92,39,0)</f>
        <v>0</v>
      </c>
      <c r="AB30" s="233"/>
      <c r="AC30" s="234">
        <f t="shared" si="6"/>
        <v>3.2</v>
      </c>
      <c r="AD30" s="105">
        <f>VLOOKUP(C30,'BTH mủ tạp'!$D$17:$AN$160,36,0)</f>
        <v>1047.9962028523896</v>
      </c>
      <c r="AE30" s="106"/>
      <c r="AF30" s="90"/>
      <c r="AH30" s="75"/>
      <c r="AI30" s="72"/>
      <c r="AJ30" s="73"/>
      <c r="AK30" s="73"/>
      <c r="AL30" s="73"/>
      <c r="AM30" s="73"/>
      <c r="AN30" s="73"/>
      <c r="AO30" s="73"/>
    </row>
    <row r="31" spans="1:41" ht="18.75" customHeight="1">
      <c r="A31" s="194">
        <v>21</v>
      </c>
      <c r="B31" s="228" t="str">
        <f>'Chấm công KT'!C33</f>
        <v>03474</v>
      </c>
      <c r="C31" s="195" t="str">
        <f>'Chấm công KT'!D33</f>
        <v>N. Mon Khăm</v>
      </c>
      <c r="D31" s="103" t="s">
        <v>37</v>
      </c>
      <c r="E31" s="239">
        <f t="shared" si="3"/>
        <v>3.2</v>
      </c>
      <c r="F31" s="239"/>
      <c r="G31" s="239"/>
      <c r="H31" s="239"/>
      <c r="I31" s="239"/>
      <c r="J31" s="229"/>
      <c r="K31" s="178"/>
      <c r="L31" s="178"/>
      <c r="M31" s="229"/>
      <c r="N31" s="229"/>
      <c r="O31" s="240"/>
      <c r="P31" s="104"/>
      <c r="Q31" s="230">
        <f t="shared" si="4"/>
        <v>3.2</v>
      </c>
      <c r="R31" s="621">
        <f>VLOOKUP(C31,'BTH mủ tạp'!D37:AK117,34,0)</f>
        <v>2248</v>
      </c>
      <c r="S31" s="229"/>
      <c r="T31" s="170">
        <f t="shared" si="7"/>
        <v>0</v>
      </c>
      <c r="U31" s="232">
        <f t="shared" si="5"/>
        <v>2248</v>
      </c>
      <c r="V31" s="566">
        <f>VLOOKUP(C31,'Chấm công KT'!D33:AK113,34,0)</f>
        <v>22</v>
      </c>
      <c r="W31" s="566">
        <f>VLOOKUP(C31,'Chấm công KT'!D33:AL113,35,0)</f>
        <v>5</v>
      </c>
      <c r="X31" s="567"/>
      <c r="Y31" s="566"/>
      <c r="Z31" s="566">
        <f>VLOOKUP(C31,'Chấm công KT'!$D$13:$AO$92,38,0)</f>
        <v>0</v>
      </c>
      <c r="AA31" s="566">
        <f>VLOOKUP(C31,'Chấm công KT'!$D$13:$AP$92,39,0)</f>
        <v>0</v>
      </c>
      <c r="AB31" s="233"/>
      <c r="AC31" s="234">
        <f t="shared" si="6"/>
        <v>3.2</v>
      </c>
      <c r="AD31" s="105">
        <f>VLOOKUP(C31,'BTH mủ tạp'!$D$17:$AN$160,36,0)</f>
        <v>1042.4316212443237</v>
      </c>
      <c r="AE31" s="106"/>
      <c r="AF31" s="90"/>
      <c r="AH31" s="75"/>
      <c r="AI31" s="72"/>
      <c r="AJ31" s="73"/>
      <c r="AK31" s="73"/>
      <c r="AL31" s="73"/>
      <c r="AM31" s="73"/>
      <c r="AN31" s="73"/>
      <c r="AO31" s="73"/>
    </row>
    <row r="32" spans="1:41" ht="18.75" customHeight="1">
      <c r="A32" s="103">
        <v>22</v>
      </c>
      <c r="B32" s="228" t="str">
        <f>'Chấm công KT'!C34</f>
        <v>04057</v>
      </c>
      <c r="C32" s="195" t="str">
        <f>'Chấm công KT'!D34</f>
        <v>N. Bua Lay</v>
      </c>
      <c r="D32" s="103" t="s">
        <v>37</v>
      </c>
      <c r="E32" s="239">
        <f t="shared" si="3"/>
        <v>3.2</v>
      </c>
      <c r="F32" s="239"/>
      <c r="G32" s="239"/>
      <c r="H32" s="239"/>
      <c r="I32" s="239"/>
      <c r="J32" s="229"/>
      <c r="K32" s="178"/>
      <c r="L32" s="108"/>
      <c r="M32" s="229"/>
      <c r="N32" s="104"/>
      <c r="O32" s="104"/>
      <c r="P32" s="104"/>
      <c r="Q32" s="230">
        <f t="shared" si="4"/>
        <v>3.2</v>
      </c>
      <c r="R32" s="621">
        <f>VLOOKUP(C32,'BTH mủ tạp'!D38:AK118,34,0)</f>
        <v>1824</v>
      </c>
      <c r="S32" s="229"/>
      <c r="T32" s="170">
        <f t="shared" si="7"/>
        <v>0</v>
      </c>
      <c r="U32" s="232">
        <f t="shared" si="5"/>
        <v>1824</v>
      </c>
      <c r="V32" s="566">
        <f>VLOOKUP(C32,'Chấm công KT'!D34:AK114,34,0)</f>
        <v>23</v>
      </c>
      <c r="W32" s="566">
        <f>VLOOKUP(C32,'Chấm công KT'!D34:AL114,35,0)</f>
        <v>5</v>
      </c>
      <c r="X32" s="567"/>
      <c r="Y32" s="566"/>
      <c r="Z32" s="566">
        <f>VLOOKUP(C32,'Chấm công KT'!$D$13:$AO$92,38,0)</f>
        <v>0</v>
      </c>
      <c r="AA32" s="566">
        <f>VLOOKUP(C32,'Chấm công KT'!$D$13:$AP$92,39,0)</f>
        <v>0</v>
      </c>
      <c r="AB32" s="233"/>
      <c r="AC32" s="234">
        <f t="shared" si="6"/>
        <v>3.2</v>
      </c>
      <c r="AD32" s="105">
        <f>VLOOKUP(C32,'BTH mủ tạp'!$D$17:$AN$160,36,0)</f>
        <v>845.81640442599939</v>
      </c>
      <c r="AE32" s="106"/>
      <c r="AF32" s="90"/>
      <c r="AH32" s="75"/>
      <c r="AI32" s="72"/>
      <c r="AJ32" s="73"/>
      <c r="AK32" s="73"/>
      <c r="AL32" s="73"/>
      <c r="AM32" s="73"/>
      <c r="AN32" s="73"/>
      <c r="AO32" s="73"/>
    </row>
    <row r="33" spans="1:41" ht="18.75" customHeight="1">
      <c r="A33" s="194">
        <v>23</v>
      </c>
      <c r="B33" s="228" t="str">
        <f>'Chấm công KT'!C35</f>
        <v>03476</v>
      </c>
      <c r="C33" s="195" t="str">
        <f>'Chấm công KT'!D35</f>
        <v>T. Bin Ly.</v>
      </c>
      <c r="D33" s="103" t="s">
        <v>37</v>
      </c>
      <c r="E33" s="239">
        <f t="shared" si="3"/>
        <v>3.2</v>
      </c>
      <c r="F33" s="239"/>
      <c r="G33" s="239"/>
      <c r="H33" s="239"/>
      <c r="I33" s="239"/>
      <c r="J33" s="229"/>
      <c r="K33" s="178"/>
      <c r="L33" s="178"/>
      <c r="M33" s="229"/>
      <c r="N33" s="229"/>
      <c r="O33" s="240"/>
      <c r="P33" s="104"/>
      <c r="Q33" s="230">
        <f t="shared" si="4"/>
        <v>3.2</v>
      </c>
      <c r="R33" s="621">
        <f>VLOOKUP(C33,'BTH mủ tạp'!D39:AK119,34,0)</f>
        <v>2609</v>
      </c>
      <c r="S33" s="229"/>
      <c r="T33" s="170">
        <f t="shared" si="7"/>
        <v>0</v>
      </c>
      <c r="U33" s="232">
        <f t="shared" si="5"/>
        <v>2609</v>
      </c>
      <c r="V33" s="566">
        <f>VLOOKUP(C33,'Chấm công KT'!D35:AK115,34,0)</f>
        <v>21</v>
      </c>
      <c r="W33" s="566">
        <f>VLOOKUP(C33,'Chấm công KT'!D35:AL115,35,0)</f>
        <v>5</v>
      </c>
      <c r="X33" s="567"/>
      <c r="Y33" s="566"/>
      <c r="Z33" s="566">
        <f>VLOOKUP(C33,'Chấm công KT'!$D$13:$AO$92,38,0)</f>
        <v>0</v>
      </c>
      <c r="AA33" s="566">
        <f>VLOOKUP(C33,'Chấm công KT'!$D$13:$AP$92,39,0)</f>
        <v>0</v>
      </c>
      <c r="AB33" s="233"/>
      <c r="AC33" s="234">
        <f t="shared" si="6"/>
        <v>3.2</v>
      </c>
      <c r="AD33" s="105">
        <f>VLOOKUP(C33,'BTH mủ tạp'!$D$17:$AN$160,36,0)</f>
        <v>1209.8327846203028</v>
      </c>
      <c r="AE33" s="106"/>
      <c r="AF33" s="90"/>
      <c r="AH33" s="75"/>
      <c r="AI33" s="72"/>
      <c r="AJ33" s="73"/>
      <c r="AK33" s="73"/>
      <c r="AL33" s="73"/>
      <c r="AM33" s="73"/>
      <c r="AN33" s="73"/>
      <c r="AO33" s="73"/>
    </row>
    <row r="34" spans="1:41" ht="18.75" customHeight="1">
      <c r="A34" s="103">
        <v>24</v>
      </c>
      <c r="B34" s="228" t="str">
        <f>'Chấm công KT'!C36</f>
        <v>03477</v>
      </c>
      <c r="C34" s="195" t="str">
        <f>'Chấm công KT'!D36</f>
        <v>N. Phim Phon.</v>
      </c>
      <c r="D34" s="103" t="s">
        <v>37</v>
      </c>
      <c r="E34" s="239">
        <f t="shared" si="3"/>
        <v>3.2</v>
      </c>
      <c r="F34" s="239"/>
      <c r="G34" s="239"/>
      <c r="H34" s="239"/>
      <c r="I34" s="239"/>
      <c r="J34" s="229"/>
      <c r="K34" s="178"/>
      <c r="L34" s="178"/>
      <c r="M34" s="229"/>
      <c r="N34" s="229"/>
      <c r="O34" s="240"/>
      <c r="P34" s="104"/>
      <c r="Q34" s="230">
        <f t="shared" si="4"/>
        <v>3.2</v>
      </c>
      <c r="R34" s="621">
        <f>VLOOKUP(C34,'BTH mủ tạp'!D40:AK120,34,0)</f>
        <v>1924</v>
      </c>
      <c r="S34" s="229"/>
      <c r="T34" s="170">
        <f t="shared" si="7"/>
        <v>0</v>
      </c>
      <c r="U34" s="232">
        <f t="shared" si="5"/>
        <v>1924</v>
      </c>
      <c r="V34" s="566">
        <f>VLOOKUP(C34,'Chấm công KT'!D36:AK116,34,0)</f>
        <v>23</v>
      </c>
      <c r="W34" s="566">
        <f>VLOOKUP(C34,'Chấm công KT'!D36:AL116,35,0)</f>
        <v>5</v>
      </c>
      <c r="X34" s="567"/>
      <c r="Y34" s="566"/>
      <c r="Z34" s="566">
        <f>VLOOKUP(C34,'Chấm công KT'!$D$13:$AO$92,38,0)</f>
        <v>0</v>
      </c>
      <c r="AA34" s="566">
        <f>VLOOKUP(C34,'Chấm công KT'!$D$13:$AP$92,39,0)</f>
        <v>0</v>
      </c>
      <c r="AB34" s="233"/>
      <c r="AC34" s="234">
        <f t="shared" si="6"/>
        <v>3.2</v>
      </c>
      <c r="AD34" s="105">
        <f>VLOOKUP(C34,'BTH mủ tạp'!$D$17:$AN$160,36,0)</f>
        <v>892.1879178265475</v>
      </c>
      <c r="AE34" s="106"/>
      <c r="AF34" s="90"/>
      <c r="AH34" s="75"/>
      <c r="AI34" s="72"/>
      <c r="AJ34" s="73"/>
      <c r="AK34" s="73"/>
      <c r="AL34" s="73"/>
      <c r="AM34" s="73"/>
      <c r="AN34" s="73"/>
      <c r="AO34" s="73"/>
    </row>
    <row r="35" spans="1:41" ht="18.75" customHeight="1">
      <c r="A35" s="194">
        <v>25</v>
      </c>
      <c r="B35" s="228" t="str">
        <f>'Chấm công KT'!C37</f>
        <v>03478</v>
      </c>
      <c r="C35" s="195" t="str">
        <f>'Chấm công KT'!D37</f>
        <v>N. Nong</v>
      </c>
      <c r="D35" s="103" t="s">
        <v>37</v>
      </c>
      <c r="E35" s="239">
        <f t="shared" si="3"/>
        <v>3.2</v>
      </c>
      <c r="F35" s="239"/>
      <c r="G35" s="239"/>
      <c r="H35" s="239"/>
      <c r="I35" s="239"/>
      <c r="J35" s="229"/>
      <c r="K35" s="178"/>
      <c r="L35" s="108"/>
      <c r="M35" s="108"/>
      <c r="N35" s="104"/>
      <c r="O35" s="104"/>
      <c r="P35" s="104"/>
      <c r="Q35" s="230">
        <f t="shared" si="4"/>
        <v>3.2</v>
      </c>
      <c r="R35" s="621">
        <f>VLOOKUP(C35,'BTH mủ tạp'!D41:AK121,34,0)</f>
        <v>2449</v>
      </c>
      <c r="S35" s="229"/>
      <c r="T35" s="170">
        <f t="shared" si="7"/>
        <v>0</v>
      </c>
      <c r="U35" s="232">
        <f t="shared" si="5"/>
        <v>2449</v>
      </c>
      <c r="V35" s="566">
        <f>VLOOKUP(C35,'Chấm công KT'!D37:AK117,34,0)</f>
        <v>20</v>
      </c>
      <c r="W35" s="566">
        <f>VLOOKUP(C35,'Chấm công KT'!D37:AL117,35,0)</f>
        <v>5</v>
      </c>
      <c r="X35" s="567"/>
      <c r="Y35" s="566"/>
      <c r="Z35" s="566">
        <f>VLOOKUP(C35,'Chấm công KT'!$D$13:$AO$92,38,0)</f>
        <v>0</v>
      </c>
      <c r="AA35" s="566">
        <f>VLOOKUP(C35,'Chấm công KT'!$D$13:$AP$92,39,0)</f>
        <v>0</v>
      </c>
      <c r="AB35" s="233"/>
      <c r="AC35" s="234">
        <f t="shared" si="6"/>
        <v>3.2</v>
      </c>
      <c r="AD35" s="105">
        <f>VLOOKUP(C35,'BTH mủ tạp'!$D$17:$AN$160,36,0)</f>
        <v>1135.6383631794256</v>
      </c>
      <c r="AE35" s="106"/>
      <c r="AF35" s="90"/>
      <c r="AH35" s="75"/>
      <c r="AI35" s="72"/>
      <c r="AJ35" s="73"/>
      <c r="AK35" s="73"/>
      <c r="AL35" s="73"/>
      <c r="AM35" s="73"/>
      <c r="AN35" s="73"/>
      <c r="AO35" s="73"/>
    </row>
    <row r="36" spans="1:41" ht="18.75" customHeight="1">
      <c r="A36" s="103">
        <v>26</v>
      </c>
      <c r="B36" s="228" t="str">
        <f>'Chấm công KT'!C38</f>
        <v>03479</v>
      </c>
      <c r="C36" s="195" t="str">
        <f>'Chấm công KT'!D38</f>
        <v>N. Tun 1</v>
      </c>
      <c r="D36" s="103" t="s">
        <v>37</v>
      </c>
      <c r="E36" s="239">
        <f t="shared" si="3"/>
        <v>3.2</v>
      </c>
      <c r="F36" s="239"/>
      <c r="G36" s="239"/>
      <c r="H36" s="239"/>
      <c r="I36" s="239"/>
      <c r="J36" s="229"/>
      <c r="K36" s="178"/>
      <c r="L36" s="108"/>
      <c r="M36" s="108"/>
      <c r="N36" s="104"/>
      <c r="O36" s="104"/>
      <c r="P36" s="104"/>
      <c r="Q36" s="230">
        <f t="shared" si="4"/>
        <v>3.2</v>
      </c>
      <c r="R36" s="621">
        <f>VLOOKUP(C36,'BTH mủ tạp'!D42:AK122,34,0)</f>
        <v>2717</v>
      </c>
      <c r="S36" s="229"/>
      <c r="T36" s="170">
        <f t="shared" si="7"/>
        <v>0</v>
      </c>
      <c r="U36" s="232">
        <f t="shared" si="5"/>
        <v>2717</v>
      </c>
      <c r="V36" s="566">
        <f>VLOOKUP(C36,'Chấm công KT'!D38:AK118,34,0)</f>
        <v>20</v>
      </c>
      <c r="W36" s="566">
        <f>VLOOKUP(C36,'Chấm công KT'!D38:AL118,35,0)</f>
        <v>5</v>
      </c>
      <c r="X36" s="567"/>
      <c r="Y36" s="566"/>
      <c r="Z36" s="566">
        <f>VLOOKUP(C36,'Chấm công KT'!$D$13:$AO$92,38,0)</f>
        <v>0</v>
      </c>
      <c r="AA36" s="566">
        <f>VLOOKUP(C36,'Chấm công KT'!$D$13:$AP$92,39,0)</f>
        <v>0</v>
      </c>
      <c r="AB36" s="233"/>
      <c r="AC36" s="234">
        <f t="shared" si="6"/>
        <v>3.2</v>
      </c>
      <c r="AD36" s="105">
        <f>VLOOKUP(C36,'BTH mủ tạp'!$D$17:$AN$160,36,0)</f>
        <v>1259.9140190928949</v>
      </c>
      <c r="AE36" s="106"/>
      <c r="AF36" s="90"/>
      <c r="AH36" s="75"/>
      <c r="AI36" s="72"/>
      <c r="AJ36" s="73"/>
      <c r="AK36" s="73"/>
      <c r="AL36" s="73"/>
      <c r="AM36" s="73"/>
      <c r="AN36" s="73"/>
      <c r="AO36" s="73"/>
    </row>
    <row r="37" spans="1:41" ht="18.75" customHeight="1">
      <c r="A37" s="194">
        <v>27</v>
      </c>
      <c r="B37" s="228" t="str">
        <f>'Chấm công KT'!C39</f>
        <v>03480</v>
      </c>
      <c r="C37" s="195" t="str">
        <f>'Chấm công KT'!D39</f>
        <v>T . Lốc</v>
      </c>
      <c r="D37" s="103" t="s">
        <v>37</v>
      </c>
      <c r="E37" s="239">
        <f t="shared" si="3"/>
        <v>3.2</v>
      </c>
      <c r="F37" s="239"/>
      <c r="G37" s="239"/>
      <c r="H37" s="239"/>
      <c r="I37" s="239"/>
      <c r="J37" s="229"/>
      <c r="K37" s="178"/>
      <c r="L37" s="108"/>
      <c r="M37" s="108"/>
      <c r="N37" s="104"/>
      <c r="O37" s="104"/>
      <c r="P37" s="104"/>
      <c r="Q37" s="230">
        <f t="shared" si="4"/>
        <v>3.2</v>
      </c>
      <c r="R37" s="621">
        <f>VLOOKUP(C37,'BTH mủ tạp'!D43:AK123,34,0)</f>
        <v>2702</v>
      </c>
      <c r="S37" s="229"/>
      <c r="T37" s="170">
        <f t="shared" si="7"/>
        <v>0</v>
      </c>
      <c r="U37" s="232">
        <f t="shared" si="5"/>
        <v>2702</v>
      </c>
      <c r="V37" s="566">
        <f>VLOOKUP(C37,'Chấm công KT'!D39:AK119,34,0)</f>
        <v>20</v>
      </c>
      <c r="W37" s="566">
        <f>VLOOKUP(C37,'Chấm công KT'!D39:AL119,35,0)</f>
        <v>5</v>
      </c>
      <c r="X37" s="567"/>
      <c r="Y37" s="566"/>
      <c r="Z37" s="566">
        <f>VLOOKUP(C37,'Chấm công KT'!$D$13:$AO$92,38,0)</f>
        <v>0</v>
      </c>
      <c r="AA37" s="566">
        <f>VLOOKUP(C37,'Chấm công KT'!$D$13:$AP$92,39,0)</f>
        <v>0</v>
      </c>
      <c r="AB37" s="233"/>
      <c r="AC37" s="234">
        <f t="shared" si="6"/>
        <v>3.2</v>
      </c>
      <c r="AD37" s="105">
        <f>VLOOKUP(C37,'BTH mủ tạp'!$D$17:$AN$160,36,0)</f>
        <v>1252.9582920828127</v>
      </c>
      <c r="AE37" s="106"/>
      <c r="AF37" s="90"/>
      <c r="AH37" s="75"/>
      <c r="AI37" s="72"/>
      <c r="AJ37" s="73"/>
      <c r="AK37" s="73"/>
      <c r="AL37" s="73"/>
      <c r="AM37" s="73"/>
      <c r="AN37" s="73"/>
      <c r="AO37" s="73"/>
    </row>
    <row r="38" spans="1:41" ht="18.75" customHeight="1">
      <c r="A38" s="103">
        <v>28</v>
      </c>
      <c r="B38" s="228" t="str">
        <f>'Chấm công KT'!C40</f>
        <v>03481</v>
      </c>
      <c r="C38" s="195" t="str">
        <f>'Chấm công KT'!D40</f>
        <v>N . Khâm (1)</v>
      </c>
      <c r="D38" s="103" t="s">
        <v>37</v>
      </c>
      <c r="E38" s="239">
        <f t="shared" si="3"/>
        <v>3.2</v>
      </c>
      <c r="F38" s="239"/>
      <c r="G38" s="239"/>
      <c r="H38" s="239"/>
      <c r="I38" s="239"/>
      <c r="J38" s="229"/>
      <c r="K38" s="178"/>
      <c r="L38" s="108"/>
      <c r="M38" s="108"/>
      <c r="N38" s="104"/>
      <c r="O38" s="104"/>
      <c r="P38" s="104"/>
      <c r="Q38" s="230">
        <f t="shared" si="4"/>
        <v>3.2</v>
      </c>
      <c r="R38" s="621">
        <f>VLOOKUP(C38,'BTH mủ tạp'!D44:AK124,34,0)</f>
        <v>3031</v>
      </c>
      <c r="S38" s="229"/>
      <c r="T38" s="170">
        <f t="shared" si="7"/>
        <v>0</v>
      </c>
      <c r="U38" s="232">
        <f t="shared" si="5"/>
        <v>3031</v>
      </c>
      <c r="V38" s="566">
        <f>VLOOKUP(C38,'Chấm công KT'!D40:AK120,34,0)</f>
        <v>22</v>
      </c>
      <c r="W38" s="566">
        <f>VLOOKUP(C38,'Chấm công KT'!D40:AL120,35,0)</f>
        <v>5</v>
      </c>
      <c r="X38" s="567"/>
      <c r="Y38" s="566"/>
      <c r="Z38" s="566">
        <f>VLOOKUP(C38,'Chấm công KT'!$D$13:$AO$92,38,0)</f>
        <v>0</v>
      </c>
      <c r="AA38" s="566">
        <f>VLOOKUP(C38,'Chấm công KT'!$D$13:$AP$92,39,0)</f>
        <v>0</v>
      </c>
      <c r="AB38" s="233"/>
      <c r="AC38" s="234">
        <f t="shared" si="6"/>
        <v>3.2</v>
      </c>
      <c r="AD38" s="105">
        <f>VLOOKUP(C38,'BTH mủ tạp'!$D$17:$AN$160,36,0)</f>
        <v>1405.5205711706162</v>
      </c>
      <c r="AE38" s="106"/>
      <c r="AF38" s="90"/>
      <c r="AH38" s="75"/>
      <c r="AI38" s="72"/>
      <c r="AJ38" s="73"/>
      <c r="AK38" s="73"/>
      <c r="AL38" s="73"/>
      <c r="AM38" s="73"/>
      <c r="AN38" s="73"/>
      <c r="AO38" s="73"/>
    </row>
    <row r="39" spans="1:41" ht="18.75" customHeight="1">
      <c r="A39" s="194">
        <v>29</v>
      </c>
      <c r="B39" s="228" t="str">
        <f>'Chấm công KT'!C41</f>
        <v>03482</v>
      </c>
      <c r="C39" s="195" t="str">
        <f>'Chấm công KT'!D41</f>
        <v>T . Phết</v>
      </c>
      <c r="D39" s="103" t="s">
        <v>37</v>
      </c>
      <c r="E39" s="239">
        <f t="shared" si="3"/>
        <v>3.2</v>
      </c>
      <c r="F39" s="239"/>
      <c r="G39" s="239"/>
      <c r="H39" s="239"/>
      <c r="I39" s="239"/>
      <c r="J39" s="229"/>
      <c r="K39" s="178"/>
      <c r="L39" s="108"/>
      <c r="M39" s="108"/>
      <c r="N39" s="104"/>
      <c r="O39" s="104"/>
      <c r="P39" s="104"/>
      <c r="Q39" s="230">
        <f t="shared" si="4"/>
        <v>3.2</v>
      </c>
      <c r="R39" s="621">
        <f>VLOOKUP(C39,'BTH mủ tạp'!D45:AK125,34,0)</f>
        <v>3072</v>
      </c>
      <c r="S39" s="229"/>
      <c r="T39" s="170">
        <f t="shared" si="7"/>
        <v>0</v>
      </c>
      <c r="U39" s="232">
        <f t="shared" si="5"/>
        <v>3072</v>
      </c>
      <c r="V39" s="566">
        <f>VLOOKUP(C39,'Chấm công KT'!D41:AK121,34,0)</f>
        <v>22</v>
      </c>
      <c r="W39" s="566">
        <f>VLOOKUP(C39,'Chấm công KT'!D41:AL121,35,0)</f>
        <v>5</v>
      </c>
      <c r="X39" s="567"/>
      <c r="Y39" s="566"/>
      <c r="Z39" s="566">
        <f>VLOOKUP(C39,'Chấm công KT'!$D$13:$AO$92,38,0)</f>
        <v>0</v>
      </c>
      <c r="AA39" s="566">
        <f>VLOOKUP(C39,'Chấm công KT'!$D$13:$AP$92,39,0)</f>
        <v>0</v>
      </c>
      <c r="AB39" s="233"/>
      <c r="AC39" s="234">
        <f t="shared" si="6"/>
        <v>3.2</v>
      </c>
      <c r="AD39" s="105">
        <f>VLOOKUP(C39,'BTH mủ tạp'!$D$17:$AN$160,36,0)</f>
        <v>1424.5328916648409</v>
      </c>
      <c r="AE39" s="106"/>
      <c r="AF39" s="90"/>
      <c r="AH39" s="75"/>
      <c r="AI39" s="72"/>
      <c r="AJ39" s="73"/>
      <c r="AK39" s="73"/>
      <c r="AL39" s="73"/>
      <c r="AM39" s="73"/>
      <c r="AN39" s="73"/>
      <c r="AO39" s="73"/>
    </row>
    <row r="40" spans="1:41" ht="18.75" customHeight="1">
      <c r="A40" s="103">
        <v>30</v>
      </c>
      <c r="B40" s="228" t="str">
        <f>'Chấm công KT'!C42</f>
        <v>03483</v>
      </c>
      <c r="C40" s="195" t="str">
        <f>'Chấm công KT'!D42</f>
        <v>T. Viêng Sa Văn</v>
      </c>
      <c r="D40" s="103" t="s">
        <v>37</v>
      </c>
      <c r="E40" s="239">
        <f t="shared" si="3"/>
        <v>3.2</v>
      </c>
      <c r="F40" s="239"/>
      <c r="G40" s="239"/>
      <c r="H40" s="239"/>
      <c r="I40" s="239"/>
      <c r="J40" s="229"/>
      <c r="K40" s="178"/>
      <c r="L40" s="178"/>
      <c r="M40" s="229"/>
      <c r="N40" s="229"/>
      <c r="O40" s="240"/>
      <c r="P40" s="104"/>
      <c r="Q40" s="230">
        <f t="shared" si="4"/>
        <v>3.2</v>
      </c>
      <c r="R40" s="621">
        <f>VLOOKUP(C40,'BTH mủ tạp'!D46:AK126,34,0)</f>
        <v>3023</v>
      </c>
      <c r="S40" s="229"/>
      <c r="T40" s="170">
        <f t="shared" si="7"/>
        <v>0</v>
      </c>
      <c r="U40" s="232">
        <f t="shared" si="5"/>
        <v>3023</v>
      </c>
      <c r="V40" s="566">
        <f>VLOOKUP(C40,'Chấm công KT'!D42:AK122,34,0)</f>
        <v>22</v>
      </c>
      <c r="W40" s="566">
        <f>VLOOKUP(C40,'Chấm công KT'!D42:AL122,35,0)</f>
        <v>5</v>
      </c>
      <c r="X40" s="567"/>
      <c r="Y40" s="566"/>
      <c r="Z40" s="566">
        <f>VLOOKUP(C40,'Chấm công KT'!$D$13:$AO$92,38,0)</f>
        <v>0</v>
      </c>
      <c r="AA40" s="566">
        <f>VLOOKUP(C40,'Chấm công KT'!$D$13:$AP$92,39,0)</f>
        <v>0</v>
      </c>
      <c r="AB40" s="233"/>
      <c r="AC40" s="234">
        <f t="shared" si="6"/>
        <v>3.2</v>
      </c>
      <c r="AD40" s="105">
        <f>VLOOKUP(C40,'BTH mủ tạp'!$D$17:$AN$160,36,0)</f>
        <v>1401.8108500985722</v>
      </c>
      <c r="AE40" s="106"/>
      <c r="AF40" s="90"/>
      <c r="AH40" s="75"/>
      <c r="AI40" s="72"/>
      <c r="AJ40" s="73"/>
      <c r="AK40" s="73"/>
      <c r="AL40" s="73"/>
      <c r="AM40" s="73"/>
      <c r="AN40" s="73"/>
      <c r="AO40" s="73"/>
    </row>
    <row r="41" spans="1:41" ht="18.75" customHeight="1">
      <c r="A41" s="194">
        <v>31</v>
      </c>
      <c r="B41" s="228" t="str">
        <f>'Chấm công KT'!C43</f>
        <v>03484</v>
      </c>
      <c r="C41" s="195" t="str">
        <f>'Chấm công KT'!D43</f>
        <v>T. Ca Te</v>
      </c>
      <c r="D41" s="103" t="s">
        <v>37</v>
      </c>
      <c r="E41" s="239">
        <f t="shared" si="3"/>
        <v>3.2</v>
      </c>
      <c r="F41" s="239"/>
      <c r="G41" s="239"/>
      <c r="H41" s="239"/>
      <c r="I41" s="239"/>
      <c r="J41" s="229"/>
      <c r="K41" s="178"/>
      <c r="L41" s="108"/>
      <c r="M41" s="108"/>
      <c r="N41" s="104"/>
      <c r="O41" s="104"/>
      <c r="P41" s="104"/>
      <c r="Q41" s="230">
        <f t="shared" si="4"/>
        <v>3.2</v>
      </c>
      <c r="R41" s="621">
        <f>VLOOKUP(C41,'BTH mủ tạp'!D47:AK127,34,0)</f>
        <v>2662</v>
      </c>
      <c r="S41" s="229"/>
      <c r="T41" s="170">
        <f t="shared" si="7"/>
        <v>0</v>
      </c>
      <c r="U41" s="232">
        <f t="shared" si="5"/>
        <v>2662</v>
      </c>
      <c r="V41" s="566">
        <f>VLOOKUP(C41,'Chấm công KT'!D43:AK123,34,0)</f>
        <v>18</v>
      </c>
      <c r="W41" s="566">
        <f>VLOOKUP(C41,'Chấm công KT'!D43:AL123,35,0)</f>
        <v>4</v>
      </c>
      <c r="X41" s="567"/>
      <c r="Y41" s="566"/>
      <c r="Z41" s="566">
        <f>VLOOKUP(C41,'Chấm công KT'!$D$13:$AO$92,38,0)</f>
        <v>0</v>
      </c>
      <c r="AA41" s="566">
        <f>VLOOKUP(C41,'Chấm công KT'!$D$13:$AP$92,39,0)</f>
        <v>0</v>
      </c>
      <c r="AB41" s="233"/>
      <c r="AC41" s="234">
        <f t="shared" si="6"/>
        <v>3.2</v>
      </c>
      <c r="AD41" s="105">
        <f>VLOOKUP(C41,'BTH mủ tạp'!$D$17:$AN$160,36,0)</f>
        <v>1234.4096867225933</v>
      </c>
      <c r="AE41" s="106"/>
      <c r="AF41" s="90"/>
      <c r="AH41" s="75"/>
      <c r="AI41" s="72"/>
      <c r="AJ41" s="73"/>
      <c r="AK41" s="73"/>
      <c r="AL41" s="73"/>
      <c r="AM41" s="73"/>
      <c r="AN41" s="73"/>
      <c r="AO41" s="73"/>
    </row>
    <row r="42" spans="1:41" ht="18.75" customHeight="1">
      <c r="A42" s="103">
        <v>32</v>
      </c>
      <c r="B42" s="228" t="str">
        <f>'Chấm công KT'!C44</f>
        <v>03485</v>
      </c>
      <c r="C42" s="195" t="str">
        <f>'Chấm công KT'!D44</f>
        <v>T. Lâm Phon</v>
      </c>
      <c r="D42" s="103" t="s">
        <v>37</v>
      </c>
      <c r="E42" s="239">
        <f t="shared" si="3"/>
        <v>3.2</v>
      </c>
      <c r="F42" s="239"/>
      <c r="G42" s="239"/>
      <c r="H42" s="239"/>
      <c r="I42" s="239"/>
      <c r="J42" s="229"/>
      <c r="K42" s="178"/>
      <c r="L42" s="178"/>
      <c r="M42" s="229"/>
      <c r="N42" s="229"/>
      <c r="O42" s="240"/>
      <c r="P42" s="104"/>
      <c r="Q42" s="230">
        <f t="shared" si="4"/>
        <v>3.2</v>
      </c>
      <c r="R42" s="621">
        <f>VLOOKUP(C42,'BTH mủ tạp'!D48:AK128,34,0)</f>
        <v>2819</v>
      </c>
      <c r="S42" s="229"/>
      <c r="T42" s="170">
        <f t="shared" si="7"/>
        <v>0</v>
      </c>
      <c r="U42" s="232">
        <f t="shared" si="5"/>
        <v>2819</v>
      </c>
      <c r="V42" s="566">
        <f>VLOOKUP(C42,'Chấm công KT'!D44:AK124,34,0)</f>
        <v>20</v>
      </c>
      <c r="W42" s="566">
        <f>VLOOKUP(C42,'Chấm công KT'!D44:AL124,35,0)</f>
        <v>5</v>
      </c>
      <c r="X42" s="567"/>
      <c r="Y42" s="566"/>
      <c r="Z42" s="566">
        <f>VLOOKUP(C42,'Chấm công KT'!$D$13:$AO$92,38,0)</f>
        <v>0</v>
      </c>
      <c r="AA42" s="566">
        <f>VLOOKUP(C42,'Chấm công KT'!$D$13:$AP$92,39,0)</f>
        <v>0</v>
      </c>
      <c r="AB42" s="233"/>
      <c r="AC42" s="234">
        <f t="shared" si="6"/>
        <v>3.2</v>
      </c>
      <c r="AD42" s="105">
        <f>VLOOKUP(C42,'BTH mủ tạp'!$D$17:$AN$160,36,0)</f>
        <v>1307.212962761454</v>
      </c>
      <c r="AE42" s="106"/>
      <c r="AF42" s="90"/>
      <c r="AH42" s="75"/>
      <c r="AI42" s="72"/>
      <c r="AJ42" s="73"/>
      <c r="AK42" s="73"/>
      <c r="AL42" s="73"/>
      <c r="AM42" s="73"/>
      <c r="AN42" s="73"/>
      <c r="AO42" s="73"/>
    </row>
    <row r="43" spans="1:41" ht="18.75" customHeight="1">
      <c r="A43" s="194">
        <v>33</v>
      </c>
      <c r="B43" s="228" t="str">
        <f>'Chấm công KT'!C45</f>
        <v>02712</v>
      </c>
      <c r="C43" s="195" t="str">
        <f>'Chấm công KT'!D45</f>
        <v>T. Sô Đa</v>
      </c>
      <c r="D43" s="103" t="s">
        <v>37</v>
      </c>
      <c r="E43" s="239">
        <f t="shared" si="3"/>
        <v>3.2</v>
      </c>
      <c r="F43" s="239"/>
      <c r="G43" s="239"/>
      <c r="H43" s="239"/>
      <c r="I43" s="239"/>
      <c r="J43" s="229"/>
      <c r="K43" s="178"/>
      <c r="L43" s="108"/>
      <c r="M43" s="108"/>
      <c r="N43" s="104"/>
      <c r="O43" s="104"/>
      <c r="P43" s="104"/>
      <c r="Q43" s="230">
        <f t="shared" si="4"/>
        <v>3.2</v>
      </c>
      <c r="R43" s="621">
        <f>VLOOKUP(C43,'BTH mủ tạp'!D49:AK129,34,0)</f>
        <v>2937</v>
      </c>
      <c r="S43" s="229"/>
      <c r="T43" s="170">
        <f t="shared" si="7"/>
        <v>0</v>
      </c>
      <c r="U43" s="232">
        <f t="shared" si="5"/>
        <v>2937</v>
      </c>
      <c r="V43" s="566">
        <f>VLOOKUP(C43,'Chấm công KT'!D45:AK125,34,0)</f>
        <v>23</v>
      </c>
      <c r="W43" s="566">
        <f>VLOOKUP(C43,'Chấm công KT'!D45:AL125,35,0)</f>
        <v>5</v>
      </c>
      <c r="X43" s="567"/>
      <c r="Y43" s="566"/>
      <c r="Z43" s="566">
        <f>VLOOKUP(C43,'Chấm công KT'!$D$13:$AO$92,38,0)</f>
        <v>0</v>
      </c>
      <c r="AA43" s="566">
        <f>VLOOKUP(C43,'Chấm công KT'!$D$13:$AP$92,39,0)</f>
        <v>0</v>
      </c>
      <c r="AB43" s="233"/>
      <c r="AC43" s="234">
        <f t="shared" si="6"/>
        <v>3.2</v>
      </c>
      <c r="AD43" s="105">
        <f>VLOOKUP(C43,'BTH mủ tạp'!$D$17:$AN$160,36,0)</f>
        <v>1361.9313485741011</v>
      </c>
      <c r="AE43" s="106"/>
      <c r="AF43" s="90"/>
      <c r="AH43" s="75"/>
      <c r="AI43" s="72"/>
      <c r="AJ43" s="73"/>
      <c r="AK43" s="73"/>
      <c r="AL43" s="73"/>
      <c r="AM43" s="73"/>
      <c r="AN43" s="73"/>
      <c r="AO43" s="73"/>
    </row>
    <row r="44" spans="1:41" ht="18.75" customHeight="1">
      <c r="A44" s="103">
        <v>34</v>
      </c>
      <c r="B44" s="228" t="str">
        <f>'Chấm công KT'!C46</f>
        <v>02722</v>
      </c>
      <c r="C44" s="195" t="str">
        <f>'Chấm công KT'!D46</f>
        <v>T. Phu Ngân</v>
      </c>
      <c r="D44" s="103" t="s">
        <v>37</v>
      </c>
      <c r="E44" s="239">
        <f t="shared" si="3"/>
        <v>3.2</v>
      </c>
      <c r="F44" s="239"/>
      <c r="G44" s="239"/>
      <c r="H44" s="239"/>
      <c r="I44" s="239"/>
      <c r="J44" s="229"/>
      <c r="K44" s="178"/>
      <c r="L44" s="108"/>
      <c r="M44" s="108"/>
      <c r="N44" s="104"/>
      <c r="O44" s="104"/>
      <c r="P44" s="104"/>
      <c r="Q44" s="230">
        <f t="shared" si="4"/>
        <v>3.2</v>
      </c>
      <c r="R44" s="621">
        <f>VLOOKUP(C44,'BTH mủ tạp'!D50:AK130,34,0)</f>
        <v>3221</v>
      </c>
      <c r="S44" s="229"/>
      <c r="T44" s="170">
        <f t="shared" si="7"/>
        <v>0</v>
      </c>
      <c r="U44" s="232">
        <f t="shared" si="5"/>
        <v>3221</v>
      </c>
      <c r="V44" s="566">
        <f>VLOOKUP(C44,'Chấm công KT'!D46:AK126,34,0)</f>
        <v>22</v>
      </c>
      <c r="W44" s="566">
        <f>VLOOKUP(C44,'Chấm công KT'!D46:AL126,35,0)</f>
        <v>5</v>
      </c>
      <c r="X44" s="567"/>
      <c r="Y44" s="566"/>
      <c r="Z44" s="566">
        <f>VLOOKUP(C44,'Chấm công KT'!$D$13:$AO$92,38,0)</f>
        <v>0</v>
      </c>
      <c r="AA44" s="566">
        <f>VLOOKUP(C44,'Chấm công KT'!$D$13:$AP$92,39,0)</f>
        <v>0</v>
      </c>
      <c r="AB44" s="233"/>
      <c r="AC44" s="234">
        <f t="shared" si="6"/>
        <v>3.2</v>
      </c>
      <c r="AD44" s="105">
        <f>VLOOKUP(C44,'BTH mủ tạp'!$D$17:$AN$160,36,0)</f>
        <v>1493.6264466316579</v>
      </c>
      <c r="AE44" s="106"/>
      <c r="AF44" s="90"/>
      <c r="AH44" s="75"/>
      <c r="AI44" s="72"/>
      <c r="AJ44" s="73"/>
      <c r="AK44" s="73"/>
      <c r="AL44" s="73"/>
      <c r="AM44" s="73"/>
      <c r="AN44" s="73"/>
      <c r="AO44" s="73"/>
    </row>
    <row r="45" spans="1:41" ht="18.75" customHeight="1">
      <c r="A45" s="194">
        <v>35</v>
      </c>
      <c r="B45" s="228" t="str">
        <f>'Chấm công KT'!C47</f>
        <v>02714</v>
      </c>
      <c r="C45" s="195" t="str">
        <f>'Chấm công KT'!D47</f>
        <v>N. Tủn</v>
      </c>
      <c r="D45" s="103" t="s">
        <v>37</v>
      </c>
      <c r="E45" s="239">
        <f t="shared" si="3"/>
        <v>3.2</v>
      </c>
      <c r="F45" s="239"/>
      <c r="G45" s="239"/>
      <c r="H45" s="239"/>
      <c r="I45" s="239"/>
      <c r="J45" s="229"/>
      <c r="K45" s="178"/>
      <c r="L45" s="108"/>
      <c r="M45" s="108"/>
      <c r="N45" s="104"/>
      <c r="O45" s="104"/>
      <c r="P45" s="104"/>
      <c r="Q45" s="230">
        <f t="shared" si="4"/>
        <v>3.2</v>
      </c>
      <c r="R45" s="621">
        <f>VLOOKUP(C45,'BTH mủ tạp'!D51:AK131,34,0)</f>
        <v>1945</v>
      </c>
      <c r="S45" s="229"/>
      <c r="T45" s="170">
        <f t="shared" si="7"/>
        <v>0</v>
      </c>
      <c r="U45" s="232">
        <f t="shared" si="5"/>
        <v>1945</v>
      </c>
      <c r="V45" s="566">
        <f>VLOOKUP(C45,'Chấm công KT'!D47:AK127,34,0)</f>
        <v>21</v>
      </c>
      <c r="W45" s="566">
        <f>VLOOKUP(C45,'Chấm công KT'!D47:AL127,35,0)</f>
        <v>5</v>
      </c>
      <c r="X45" s="567"/>
      <c r="Y45" s="566"/>
      <c r="Z45" s="566">
        <f>VLOOKUP(C45,'Chấm công KT'!$D$13:$AO$92,38,0)</f>
        <v>0</v>
      </c>
      <c r="AA45" s="566">
        <f>VLOOKUP(C45,'Chấm công KT'!$D$13:$AP$92,39,0)</f>
        <v>0</v>
      </c>
      <c r="AB45" s="233"/>
      <c r="AC45" s="234">
        <f t="shared" si="6"/>
        <v>3.2</v>
      </c>
      <c r="AD45" s="105">
        <f>VLOOKUP(C45,'BTH mủ tạp'!$D$17:$AN$160,36,0)</f>
        <v>901.9259356406626</v>
      </c>
      <c r="AE45" s="106"/>
      <c r="AF45" s="90"/>
      <c r="AH45" s="75"/>
      <c r="AI45" s="72"/>
      <c r="AJ45" s="73"/>
      <c r="AK45" s="73"/>
      <c r="AL45" s="73"/>
      <c r="AM45" s="73"/>
      <c r="AN45" s="73"/>
      <c r="AO45" s="73"/>
    </row>
    <row r="46" spans="1:41" ht="18.75" customHeight="1">
      <c r="A46" s="103">
        <v>36</v>
      </c>
      <c r="B46" s="228" t="str">
        <f>'Chấm công KT'!C48</f>
        <v>02713</v>
      </c>
      <c r="C46" s="195" t="str">
        <f>'Chấm công KT'!D48</f>
        <v>T. Lung</v>
      </c>
      <c r="D46" s="103" t="s">
        <v>37</v>
      </c>
      <c r="E46" s="239">
        <f t="shared" si="3"/>
        <v>3.2</v>
      </c>
      <c r="F46" s="239"/>
      <c r="G46" s="239"/>
      <c r="H46" s="239"/>
      <c r="I46" s="239"/>
      <c r="J46" s="229"/>
      <c r="K46" s="178"/>
      <c r="L46" s="108"/>
      <c r="M46" s="108"/>
      <c r="N46" s="104"/>
      <c r="O46" s="104"/>
      <c r="P46" s="104"/>
      <c r="Q46" s="230">
        <f t="shared" si="4"/>
        <v>3.2</v>
      </c>
      <c r="R46" s="621">
        <f>VLOOKUP(C46,'BTH mủ tạp'!D52:AK132,34,0)</f>
        <v>1947</v>
      </c>
      <c r="S46" s="229"/>
      <c r="T46" s="170">
        <f t="shared" si="7"/>
        <v>0</v>
      </c>
      <c r="U46" s="232">
        <f t="shared" si="5"/>
        <v>1947</v>
      </c>
      <c r="V46" s="566">
        <f>VLOOKUP(C46,'Chấm công KT'!D48:AK128,34,0)</f>
        <v>21</v>
      </c>
      <c r="W46" s="566">
        <f>VLOOKUP(C46,'Chấm công KT'!D48:AL128,35,0)</f>
        <v>5</v>
      </c>
      <c r="X46" s="567"/>
      <c r="Y46" s="566"/>
      <c r="Z46" s="566">
        <f>VLOOKUP(C46,'Chấm công KT'!$D$13:$AO$92,38,0)</f>
        <v>0</v>
      </c>
      <c r="AA46" s="566">
        <f>VLOOKUP(C46,'Chấm công KT'!$D$13:$AP$92,39,0)</f>
        <v>0</v>
      </c>
      <c r="AB46" s="233"/>
      <c r="AC46" s="234">
        <f t="shared" si="6"/>
        <v>3.2</v>
      </c>
      <c r="AD46" s="105">
        <f>VLOOKUP(C46,'BTH mủ tạp'!$D$17:$AN$160,36,0)</f>
        <v>902.8533659086736</v>
      </c>
      <c r="AE46" s="106"/>
      <c r="AF46" s="90"/>
      <c r="AH46" s="75"/>
      <c r="AI46" s="72"/>
      <c r="AJ46" s="73"/>
      <c r="AK46" s="73"/>
      <c r="AL46" s="73"/>
      <c r="AM46" s="73"/>
      <c r="AN46" s="73"/>
      <c r="AO46" s="73"/>
    </row>
    <row r="47" spans="1:41" ht="18.75" customHeight="1">
      <c r="A47" s="194">
        <v>37</v>
      </c>
      <c r="B47" s="228" t="str">
        <f>'Chấm công KT'!C49</f>
        <v>04058</v>
      </c>
      <c r="C47" s="195" t="str">
        <f>'Chấm công KT'!D49</f>
        <v>T. Bi Ly (2)</v>
      </c>
      <c r="D47" s="103" t="s">
        <v>37</v>
      </c>
      <c r="E47" s="239">
        <f t="shared" si="3"/>
        <v>3.2</v>
      </c>
      <c r="F47" s="239"/>
      <c r="G47" s="239"/>
      <c r="H47" s="239"/>
      <c r="I47" s="239"/>
      <c r="J47" s="229"/>
      <c r="K47" s="178"/>
      <c r="L47" s="108"/>
      <c r="M47" s="229"/>
      <c r="N47" s="104"/>
      <c r="O47" s="104"/>
      <c r="P47" s="104"/>
      <c r="Q47" s="230">
        <f t="shared" si="4"/>
        <v>3.2</v>
      </c>
      <c r="R47" s="621">
        <f>VLOOKUP(C47,'BTH mủ tạp'!D53:AK133,34,0)</f>
        <v>2194</v>
      </c>
      <c r="S47" s="229"/>
      <c r="T47" s="170">
        <f t="shared" si="7"/>
        <v>0</v>
      </c>
      <c r="U47" s="232">
        <f t="shared" si="5"/>
        <v>2194</v>
      </c>
      <c r="V47" s="566">
        <f>VLOOKUP(C47,'Chấm công KT'!D49:AK129,34,0)</f>
        <v>21</v>
      </c>
      <c r="W47" s="566">
        <f>VLOOKUP(C47,'Chấm công KT'!D49:AL129,35,0)</f>
        <v>5</v>
      </c>
      <c r="X47" s="567"/>
      <c r="Y47" s="566"/>
      <c r="Z47" s="566">
        <f>VLOOKUP(C47,'Chấm công KT'!$D$13:$AO$92,38,0)</f>
        <v>0</v>
      </c>
      <c r="AA47" s="566">
        <f>VLOOKUP(C47,'Chấm công KT'!$D$13:$AP$92,39,0)</f>
        <v>0</v>
      </c>
      <c r="AB47" s="233"/>
      <c r="AC47" s="234">
        <f t="shared" si="6"/>
        <v>3.2</v>
      </c>
      <c r="AD47" s="105">
        <f>VLOOKUP(C47,'BTH mủ tạp'!$D$17:$AN$160,36,0)</f>
        <v>1017.3910040080277</v>
      </c>
      <c r="AE47" s="106"/>
      <c r="AF47" s="90"/>
      <c r="AH47" s="75"/>
      <c r="AI47" s="72"/>
      <c r="AJ47" s="73"/>
      <c r="AK47" s="73"/>
      <c r="AL47" s="73"/>
      <c r="AM47" s="73"/>
      <c r="AN47" s="73"/>
      <c r="AO47" s="73"/>
    </row>
    <row r="48" spans="1:41" ht="18.75" customHeight="1">
      <c r="A48" s="103">
        <v>38</v>
      </c>
      <c r="B48" s="228" t="str">
        <f>'Chấm công KT'!C50</f>
        <v>03487</v>
      </c>
      <c r="C48" s="195" t="str">
        <f>'Chấm công KT'!D50</f>
        <v>N. Ba Say</v>
      </c>
      <c r="D48" s="103" t="s">
        <v>37</v>
      </c>
      <c r="E48" s="239">
        <f t="shared" si="3"/>
        <v>3.2</v>
      </c>
      <c r="F48" s="239"/>
      <c r="G48" s="239"/>
      <c r="H48" s="239"/>
      <c r="I48" s="239"/>
      <c r="J48" s="229"/>
      <c r="K48" s="178"/>
      <c r="L48" s="178"/>
      <c r="M48" s="229"/>
      <c r="N48" s="229"/>
      <c r="O48" s="240"/>
      <c r="P48" s="104"/>
      <c r="Q48" s="230">
        <f t="shared" si="4"/>
        <v>3.2</v>
      </c>
      <c r="R48" s="621">
        <f>VLOOKUP(C48,'BTH mủ tạp'!D54:AK134,34,0)</f>
        <v>1776</v>
      </c>
      <c r="S48" s="229"/>
      <c r="T48" s="170">
        <f t="shared" si="7"/>
        <v>0</v>
      </c>
      <c r="U48" s="232">
        <f t="shared" si="5"/>
        <v>1776</v>
      </c>
      <c r="V48" s="566">
        <f>VLOOKUP(C48,'Chấm công KT'!D50:AK130,34,0)</f>
        <v>21</v>
      </c>
      <c r="W48" s="566">
        <f>VLOOKUP(C48,'Chấm công KT'!D50:AL130,35,0)</f>
        <v>5</v>
      </c>
      <c r="X48" s="567"/>
      <c r="Y48" s="566"/>
      <c r="Z48" s="566">
        <f>VLOOKUP(C48,'Chấm công KT'!$D$13:$AO$92,38,0)</f>
        <v>0</v>
      </c>
      <c r="AA48" s="566">
        <f>VLOOKUP(C48,'Chấm công KT'!$D$13:$AP$92,39,0)</f>
        <v>0</v>
      </c>
      <c r="AB48" s="233"/>
      <c r="AC48" s="234">
        <f t="shared" si="6"/>
        <v>3.2</v>
      </c>
      <c r="AD48" s="105">
        <f>VLOOKUP(C48,'BTH mủ tạp'!$D$17:$AN$160,36,0)</f>
        <v>823.55807799373622</v>
      </c>
      <c r="AE48" s="106"/>
      <c r="AF48" s="90"/>
      <c r="AH48" s="75"/>
      <c r="AI48" s="72"/>
      <c r="AJ48" s="73"/>
      <c r="AK48" s="73"/>
      <c r="AL48" s="73"/>
      <c r="AM48" s="73"/>
      <c r="AN48" s="73"/>
      <c r="AO48" s="73"/>
    </row>
    <row r="49" spans="1:41" ht="18.75" customHeight="1">
      <c r="A49" s="194">
        <v>39</v>
      </c>
      <c r="B49" s="228" t="str">
        <f>'Chấm công KT'!C51</f>
        <v>03488</v>
      </c>
      <c r="C49" s="195" t="str">
        <f>'Chấm công KT'!D51</f>
        <v>N. Đeng</v>
      </c>
      <c r="D49" s="103" t="s">
        <v>37</v>
      </c>
      <c r="E49" s="239">
        <f t="shared" si="3"/>
        <v>3.2</v>
      </c>
      <c r="F49" s="239"/>
      <c r="G49" s="239"/>
      <c r="H49" s="239"/>
      <c r="I49" s="239"/>
      <c r="J49" s="229"/>
      <c r="K49" s="178"/>
      <c r="L49" s="178"/>
      <c r="M49" s="229"/>
      <c r="N49" s="229"/>
      <c r="O49" s="240"/>
      <c r="P49" s="104"/>
      <c r="Q49" s="230">
        <f t="shared" si="4"/>
        <v>3.2</v>
      </c>
      <c r="R49" s="621">
        <f>VLOOKUP(C49,'BTH mủ tạp'!D55:AK135,34,0)</f>
        <v>2198</v>
      </c>
      <c r="S49" s="229"/>
      <c r="T49" s="170">
        <f t="shared" si="7"/>
        <v>0</v>
      </c>
      <c r="U49" s="232">
        <f t="shared" si="5"/>
        <v>2198</v>
      </c>
      <c r="V49" s="566">
        <f>VLOOKUP(C49,'Chấm công KT'!D51:AK131,34,0)</f>
        <v>20</v>
      </c>
      <c r="W49" s="566">
        <f>VLOOKUP(C49,'Chấm công KT'!D51:AL131,35,0)</f>
        <v>5</v>
      </c>
      <c r="X49" s="567"/>
      <c r="Y49" s="566"/>
      <c r="Z49" s="566">
        <f>VLOOKUP(C49,'Chấm công KT'!$D$13:$AO$92,38,0)</f>
        <v>0</v>
      </c>
      <c r="AA49" s="566">
        <f>VLOOKUP(C49,'Chấm công KT'!$D$13:$AP$92,39,0)</f>
        <v>0</v>
      </c>
      <c r="AB49" s="233"/>
      <c r="AC49" s="234">
        <f t="shared" si="6"/>
        <v>3.2</v>
      </c>
      <c r="AD49" s="105">
        <f>VLOOKUP(C49,'BTH mủ tạp'!$D$17:$AN$160,36,0)</f>
        <v>1019.2458645440497</v>
      </c>
      <c r="AE49" s="106"/>
      <c r="AF49" s="90"/>
      <c r="AH49" s="75"/>
      <c r="AI49" s="72"/>
      <c r="AJ49" s="73"/>
      <c r="AK49" s="73"/>
      <c r="AL49" s="73"/>
      <c r="AM49" s="73"/>
      <c r="AN49" s="73"/>
      <c r="AO49" s="73"/>
    </row>
    <row r="50" spans="1:41" ht="18.75" customHeight="1">
      <c r="A50" s="103">
        <v>40</v>
      </c>
      <c r="B50" s="228" t="str">
        <f>'Chấm công KT'!C52</f>
        <v>03489</v>
      </c>
      <c r="C50" s="195" t="str">
        <f>'Chấm công KT'!D52</f>
        <v>T. Tinh</v>
      </c>
      <c r="D50" s="103" t="s">
        <v>37</v>
      </c>
      <c r="E50" s="239">
        <f t="shared" si="3"/>
        <v>3.2</v>
      </c>
      <c r="F50" s="239">
        <f>1/1.25</f>
        <v>0.8</v>
      </c>
      <c r="G50" s="239"/>
      <c r="H50" s="239"/>
      <c r="I50" s="239"/>
      <c r="J50" s="229"/>
      <c r="K50" s="178"/>
      <c r="L50" s="178"/>
      <c r="M50" s="229"/>
      <c r="N50" s="229"/>
      <c r="O50" s="240"/>
      <c r="P50" s="104"/>
      <c r="Q50" s="230">
        <f t="shared" si="4"/>
        <v>4</v>
      </c>
      <c r="R50" s="621">
        <f>VLOOKUP(C50,'BTH mủ tạp'!D56:AK136,34,0)</f>
        <v>1703</v>
      </c>
      <c r="S50" s="229"/>
      <c r="T50" s="170">
        <f t="shared" si="7"/>
        <v>0</v>
      </c>
      <c r="U50" s="232">
        <f t="shared" si="5"/>
        <v>1703</v>
      </c>
      <c r="V50" s="566">
        <f>VLOOKUP(C50,'Chấm công KT'!D52:AK132,34,0)</f>
        <v>22</v>
      </c>
      <c r="W50" s="566">
        <f>VLOOKUP(C50,'Chấm công KT'!D52:AL132,35,0)</f>
        <v>5</v>
      </c>
      <c r="X50" s="567"/>
      <c r="Y50" s="566"/>
      <c r="Z50" s="566">
        <f>VLOOKUP(C50,'Chấm công KT'!$D$13:$AO$92,38,0)</f>
        <v>0</v>
      </c>
      <c r="AA50" s="566">
        <f>VLOOKUP(C50,'Chấm công KT'!$D$13:$AP$92,39,0)</f>
        <v>0</v>
      </c>
      <c r="AB50" s="233"/>
      <c r="AC50" s="234">
        <f t="shared" si="6"/>
        <v>4</v>
      </c>
      <c r="AD50" s="105">
        <f>VLOOKUP(C50,'BTH mủ tạp'!$D$17:$AN$160,36,0)</f>
        <v>789.70687321133607</v>
      </c>
      <c r="AE50" s="106"/>
      <c r="AF50" s="90"/>
      <c r="AH50" s="75"/>
      <c r="AI50" s="72"/>
      <c r="AJ50" s="73"/>
      <c r="AK50" s="73"/>
      <c r="AL50" s="73"/>
      <c r="AM50" s="73"/>
      <c r="AN50" s="73"/>
      <c r="AO50" s="73"/>
    </row>
    <row r="51" spans="1:41" ht="18.75" customHeight="1">
      <c r="A51" s="194">
        <v>41</v>
      </c>
      <c r="B51" s="228" t="str">
        <f>'Chấm công KT'!C53</f>
        <v>04059</v>
      </c>
      <c r="C51" s="195" t="str">
        <f>'Chấm công KT'!D53</f>
        <v>T. Khăm Pỏi</v>
      </c>
      <c r="D51" s="103" t="s">
        <v>37</v>
      </c>
      <c r="E51" s="239">
        <f t="shared" si="3"/>
        <v>3.2</v>
      </c>
      <c r="F51" s="239">
        <f t="shared" ref="F51:F53" si="8">1/1.25</f>
        <v>0.8</v>
      </c>
      <c r="G51" s="239"/>
      <c r="H51" s="239"/>
      <c r="I51" s="239"/>
      <c r="J51" s="229"/>
      <c r="K51" s="178"/>
      <c r="L51" s="178"/>
      <c r="M51" s="229"/>
      <c r="N51" s="104"/>
      <c r="O51" s="104"/>
      <c r="P51" s="104"/>
      <c r="Q51" s="230">
        <f t="shared" si="4"/>
        <v>4</v>
      </c>
      <c r="R51" s="621">
        <f>VLOOKUP(C51,'BTH mủ tạp'!D57:AK137,34,0)</f>
        <v>2260</v>
      </c>
      <c r="S51" s="229"/>
      <c r="T51" s="170">
        <f t="shared" si="7"/>
        <v>0</v>
      </c>
      <c r="U51" s="232">
        <f t="shared" si="5"/>
        <v>2260</v>
      </c>
      <c r="V51" s="566">
        <f>VLOOKUP(C51,'Chấm công KT'!D53:AK133,34,0)</f>
        <v>21</v>
      </c>
      <c r="W51" s="566">
        <f>VLOOKUP(C51,'Chấm công KT'!D53:AL133,35,0)</f>
        <v>4</v>
      </c>
      <c r="X51" s="567"/>
      <c r="Y51" s="566"/>
      <c r="Z51" s="566">
        <f>VLOOKUP(C51,'Chấm công KT'!$D$13:$AO$92,38,0)</f>
        <v>0</v>
      </c>
      <c r="AA51" s="566">
        <f>VLOOKUP(C51,'Chấm công KT'!$D$13:$AP$92,39,0)</f>
        <v>0</v>
      </c>
      <c r="AB51" s="233"/>
      <c r="AC51" s="234">
        <f t="shared" si="6"/>
        <v>4</v>
      </c>
      <c r="AD51" s="105">
        <f>VLOOKUP(C51,'BTH mủ tạp'!$D$17:$AN$160,36,0)</f>
        <v>1047.9962028523896</v>
      </c>
      <c r="AE51" s="106"/>
      <c r="AF51" s="90"/>
      <c r="AH51" s="75"/>
      <c r="AI51" s="72"/>
      <c r="AJ51" s="73"/>
      <c r="AK51" s="73"/>
      <c r="AL51" s="73"/>
      <c r="AM51" s="73"/>
      <c r="AN51" s="73"/>
      <c r="AO51" s="73"/>
    </row>
    <row r="52" spans="1:41" ht="18.75" customHeight="1">
      <c r="A52" s="103">
        <v>42</v>
      </c>
      <c r="B52" s="228" t="str">
        <f>'Chấm công KT'!C54</f>
        <v>03491</v>
      </c>
      <c r="C52" s="195" t="str">
        <f>'Chấm công KT'!D54</f>
        <v>Lăm Ngân</v>
      </c>
      <c r="D52" s="103" t="s">
        <v>37</v>
      </c>
      <c r="E52" s="239">
        <f t="shared" si="3"/>
        <v>3.2</v>
      </c>
      <c r="F52" s="239">
        <f t="shared" si="8"/>
        <v>0.8</v>
      </c>
      <c r="G52" s="239"/>
      <c r="H52" s="239"/>
      <c r="I52" s="239"/>
      <c r="J52" s="229"/>
      <c r="K52" s="178"/>
      <c r="L52" s="178"/>
      <c r="M52" s="108"/>
      <c r="N52" s="104"/>
      <c r="O52" s="104"/>
      <c r="P52" s="104"/>
      <c r="Q52" s="230">
        <f t="shared" si="4"/>
        <v>4</v>
      </c>
      <c r="R52" s="621">
        <f>VLOOKUP(C52,'BTH mủ tạp'!D58:AK138,34,0)</f>
        <v>2352</v>
      </c>
      <c r="S52" s="229"/>
      <c r="T52" s="170">
        <f t="shared" si="7"/>
        <v>0</v>
      </c>
      <c r="U52" s="232">
        <f t="shared" si="5"/>
        <v>2352</v>
      </c>
      <c r="V52" s="566">
        <f>VLOOKUP(C52,'Chấm công KT'!D54:AK134,34,0)</f>
        <v>20</v>
      </c>
      <c r="W52" s="566">
        <f>VLOOKUP(C52,'Chấm công KT'!D54:AL134,35,0)</f>
        <v>5</v>
      </c>
      <c r="X52" s="567"/>
      <c r="Y52" s="566"/>
      <c r="Z52" s="566">
        <f>VLOOKUP(C52,'Chấm công KT'!$D$13:$AO$92,38,0)</f>
        <v>0</v>
      </c>
      <c r="AA52" s="566">
        <f>VLOOKUP(C52,'Chấm công KT'!$D$13:$AP$92,39,0)</f>
        <v>0</v>
      </c>
      <c r="AB52" s="233"/>
      <c r="AC52" s="234">
        <f t="shared" si="6"/>
        <v>4</v>
      </c>
      <c r="AD52" s="105">
        <f>VLOOKUP(C52,'BTH mủ tạp'!$D$17:$AN$160,36,0)</f>
        <v>1090.657995180894</v>
      </c>
      <c r="AE52" s="106"/>
      <c r="AF52" s="90"/>
      <c r="AG52" s="73"/>
      <c r="AH52" s="75"/>
      <c r="AI52" s="72"/>
      <c r="AJ52" s="73"/>
      <c r="AK52" s="73"/>
      <c r="AL52" s="73"/>
      <c r="AM52" s="73"/>
      <c r="AN52" s="73"/>
      <c r="AO52" s="73"/>
    </row>
    <row r="53" spans="1:41" ht="18.75" customHeight="1">
      <c r="A53" s="194">
        <v>43</v>
      </c>
      <c r="B53" s="228" t="str">
        <f>'Chấm công KT'!C55</f>
        <v>04060</v>
      </c>
      <c r="C53" s="195" t="str">
        <f>'Chấm công KT'!D55</f>
        <v>T. Không</v>
      </c>
      <c r="D53" s="103" t="s">
        <v>37</v>
      </c>
      <c r="E53" s="239">
        <f t="shared" si="3"/>
        <v>3.2</v>
      </c>
      <c r="F53" s="239">
        <f t="shared" si="8"/>
        <v>0.8</v>
      </c>
      <c r="G53" s="239"/>
      <c r="H53" s="239"/>
      <c r="I53" s="239"/>
      <c r="J53" s="229"/>
      <c r="K53" s="178"/>
      <c r="L53" s="178"/>
      <c r="M53" s="108"/>
      <c r="N53" s="104"/>
      <c r="O53" s="104"/>
      <c r="P53" s="104"/>
      <c r="Q53" s="230">
        <f t="shared" si="4"/>
        <v>4</v>
      </c>
      <c r="R53" s="621">
        <f>VLOOKUP(C53,'BTH mủ tạp'!D59:AK139,34,0)</f>
        <v>1929</v>
      </c>
      <c r="S53" s="229"/>
      <c r="T53" s="170">
        <f t="shared" si="7"/>
        <v>0</v>
      </c>
      <c r="U53" s="232">
        <f t="shared" si="5"/>
        <v>1929</v>
      </c>
      <c r="V53" s="566">
        <f>VLOOKUP(C53,'Chấm công KT'!D55:AK135,34,0)</f>
        <v>23</v>
      </c>
      <c r="W53" s="566">
        <f>VLOOKUP(C53,'Chấm công KT'!D55:AL135,35,0)</f>
        <v>5</v>
      </c>
      <c r="X53" s="567"/>
      <c r="Y53" s="566"/>
      <c r="Z53" s="566">
        <f>VLOOKUP(C53,'Chấm công KT'!$D$13:$AO$92,38,0)</f>
        <v>0</v>
      </c>
      <c r="AA53" s="566">
        <f>VLOOKUP(C53,'Chấm công KT'!$D$13:$AP$92,39,0)</f>
        <v>0</v>
      </c>
      <c r="AB53" s="233"/>
      <c r="AC53" s="234">
        <f t="shared" si="6"/>
        <v>4</v>
      </c>
      <c r="AD53" s="105">
        <f>VLOOKUP(C53,'BTH mủ tạp'!$D$17:$AN$160,36,0)</f>
        <v>894.50649349657499</v>
      </c>
      <c r="AE53" s="106"/>
      <c r="AF53" s="90"/>
      <c r="AH53" s="75"/>
      <c r="AI53" s="72"/>
      <c r="AJ53" s="73"/>
      <c r="AK53" s="73"/>
      <c r="AL53" s="73"/>
      <c r="AM53" s="73"/>
      <c r="AN53" s="73"/>
      <c r="AO53" s="73"/>
    </row>
    <row r="54" spans="1:41" ht="18.75" customHeight="1">
      <c r="A54" s="103">
        <v>44</v>
      </c>
      <c r="B54" s="228" t="str">
        <f>'Chấm công KT'!C56</f>
        <v>03492</v>
      </c>
      <c r="C54" s="195" t="str">
        <f>'Chấm công KT'!D56</f>
        <v>T. Lem</v>
      </c>
      <c r="D54" s="103" t="s">
        <v>37</v>
      </c>
      <c r="E54" s="239">
        <f t="shared" si="3"/>
        <v>3.2</v>
      </c>
      <c r="F54" s="239"/>
      <c r="G54" s="239"/>
      <c r="H54" s="239"/>
      <c r="I54" s="239"/>
      <c r="J54" s="229"/>
      <c r="K54" s="178"/>
      <c r="L54" s="108"/>
      <c r="M54" s="229"/>
      <c r="N54" s="104"/>
      <c r="O54" s="104"/>
      <c r="P54" s="104"/>
      <c r="Q54" s="230">
        <f t="shared" si="4"/>
        <v>3.2</v>
      </c>
      <c r="R54" s="621">
        <f>VLOOKUP(C54,'BTH mủ tạp'!D60:AK140,34,0)</f>
        <v>2372</v>
      </c>
      <c r="S54" s="229"/>
      <c r="T54" s="170">
        <f t="shared" si="7"/>
        <v>0</v>
      </c>
      <c r="U54" s="232">
        <f t="shared" si="5"/>
        <v>2372</v>
      </c>
      <c r="V54" s="566">
        <f>VLOOKUP(C54,'Chấm công KT'!D56:AK136,34,0)</f>
        <v>22</v>
      </c>
      <c r="W54" s="566">
        <f>VLOOKUP(C54,'Chấm công KT'!D56:AL136,35,0)</f>
        <v>5</v>
      </c>
      <c r="X54" s="567"/>
      <c r="Y54" s="566"/>
      <c r="Z54" s="566">
        <f>VLOOKUP(C54,'Chấm công KT'!$D$13:$AO$92,38,0)</f>
        <v>0</v>
      </c>
      <c r="AA54" s="566">
        <f>VLOOKUP(C54,'Chấm công KT'!$D$13:$AP$92,39,0)</f>
        <v>0</v>
      </c>
      <c r="AB54" s="233"/>
      <c r="AC54" s="234">
        <f t="shared" si="6"/>
        <v>3.2</v>
      </c>
      <c r="AD54" s="105">
        <f>VLOOKUP(C54,'BTH mủ tạp'!$D$17:$AN$160,36,0)</f>
        <v>1099.9322978610037</v>
      </c>
      <c r="AE54" s="106"/>
      <c r="AF54" s="90"/>
      <c r="AH54" s="75"/>
      <c r="AI54" s="72"/>
      <c r="AJ54" s="73"/>
      <c r="AK54" s="73"/>
      <c r="AL54" s="73"/>
      <c r="AM54" s="73"/>
      <c r="AN54" s="73"/>
      <c r="AO54" s="73"/>
    </row>
    <row r="55" spans="1:41" ht="18.75" customHeight="1">
      <c r="A55" s="194">
        <v>45</v>
      </c>
      <c r="B55" s="228" t="str">
        <f>'Chấm công KT'!C57</f>
        <v>03493</v>
      </c>
      <c r="C55" s="195" t="str">
        <f>'Chấm công KT'!D57</f>
        <v>T. Pông</v>
      </c>
      <c r="D55" s="103" t="s">
        <v>37</v>
      </c>
      <c r="E55" s="239">
        <f t="shared" si="3"/>
        <v>3.2</v>
      </c>
      <c r="F55" s="239"/>
      <c r="G55" s="239"/>
      <c r="H55" s="239"/>
      <c r="I55" s="239"/>
      <c r="J55" s="229"/>
      <c r="K55" s="178"/>
      <c r="L55" s="178"/>
      <c r="M55" s="229"/>
      <c r="N55" s="229"/>
      <c r="O55" s="240"/>
      <c r="P55" s="104"/>
      <c r="Q55" s="230">
        <f t="shared" si="4"/>
        <v>3.2</v>
      </c>
      <c r="R55" s="621">
        <f>VLOOKUP(C55,'BTH mủ tạp'!D61:AK141,34,0)</f>
        <v>3438</v>
      </c>
      <c r="S55" s="229"/>
      <c r="T55" s="170">
        <f t="shared" si="7"/>
        <v>0</v>
      </c>
      <c r="U55" s="232">
        <f t="shared" si="5"/>
        <v>3438</v>
      </c>
      <c r="V55" s="566">
        <f>VLOOKUP(C55,'Chấm công KT'!D57:AK137,34,0)</f>
        <v>22</v>
      </c>
      <c r="W55" s="566">
        <f>VLOOKUP(C55,'Chấm công KT'!D57:AL137,35,0)</f>
        <v>5</v>
      </c>
      <c r="X55" s="567"/>
      <c r="Y55" s="566"/>
      <c r="Z55" s="566">
        <f>VLOOKUP(C55,'Chấm công KT'!$D$13:$AO$92,38,0)</f>
        <v>0</v>
      </c>
      <c r="AA55" s="566">
        <f>VLOOKUP(C55,'Chấm công KT'!$D$13:$AP$92,39,0)</f>
        <v>0</v>
      </c>
      <c r="AB55" s="233"/>
      <c r="AC55" s="234">
        <f t="shared" si="6"/>
        <v>3.2</v>
      </c>
      <c r="AD55" s="105">
        <f>VLOOKUP(C55,'BTH mủ tạp'!$D$17:$AN$160,36,0)</f>
        <v>1594.2526307108474</v>
      </c>
      <c r="AE55" s="106"/>
      <c r="AF55" s="90"/>
      <c r="AH55" s="75"/>
      <c r="AI55" s="72"/>
      <c r="AJ55" s="73"/>
      <c r="AK55" s="73"/>
      <c r="AL55" s="73"/>
      <c r="AM55" s="73"/>
      <c r="AN55" s="73"/>
      <c r="AO55" s="73"/>
    </row>
    <row r="56" spans="1:41" ht="18.75" customHeight="1">
      <c r="A56" s="103">
        <v>46</v>
      </c>
      <c r="B56" s="228" t="str">
        <f>'Chấm công KT'!C58</f>
        <v>03496</v>
      </c>
      <c r="C56" s="195" t="str">
        <f>'Chấm công KT'!D58</f>
        <v>T. Lốp</v>
      </c>
      <c r="D56" s="103" t="s">
        <v>37</v>
      </c>
      <c r="E56" s="239">
        <f t="shared" si="3"/>
        <v>3.2</v>
      </c>
      <c r="F56" s="239"/>
      <c r="G56" s="239"/>
      <c r="H56" s="239"/>
      <c r="I56" s="239"/>
      <c r="J56" s="229"/>
      <c r="K56" s="178"/>
      <c r="L56" s="178"/>
      <c r="M56" s="229"/>
      <c r="N56" s="229"/>
      <c r="O56" s="240"/>
      <c r="P56" s="104"/>
      <c r="Q56" s="230">
        <f t="shared" si="4"/>
        <v>3.2</v>
      </c>
      <c r="R56" s="621">
        <f>VLOOKUP(C56,'BTH mủ tạp'!D62:AK142,34,0)</f>
        <v>2981</v>
      </c>
      <c r="S56" s="229"/>
      <c r="T56" s="170">
        <f t="shared" si="7"/>
        <v>0</v>
      </c>
      <c r="U56" s="232">
        <f t="shared" si="5"/>
        <v>2981</v>
      </c>
      <c r="V56" s="566">
        <f>VLOOKUP(C56,'Chấm công KT'!D58:AK138,34,0)</f>
        <v>23</v>
      </c>
      <c r="W56" s="566">
        <f>VLOOKUP(C56,'Chấm công KT'!D58:AL138,35,0)</f>
        <v>5</v>
      </c>
      <c r="X56" s="567"/>
      <c r="Y56" s="566"/>
      <c r="Z56" s="566">
        <f>VLOOKUP(C56,'Chấm công KT'!$D$13:$AO$92,38,0)</f>
        <v>0</v>
      </c>
      <c r="AA56" s="566">
        <f>VLOOKUP(C56,'Chấm công KT'!$D$13:$AP$92,39,0)</f>
        <v>0</v>
      </c>
      <c r="AB56" s="233"/>
      <c r="AC56" s="234">
        <f t="shared" si="6"/>
        <v>3.2</v>
      </c>
      <c r="AD56" s="105">
        <f>VLOOKUP(C56,'BTH mủ tạp'!$D$17:$AN$160,36,0)</f>
        <v>1382.3348144703423</v>
      </c>
      <c r="AE56" s="106"/>
      <c r="AF56" s="90"/>
      <c r="AH56" s="75"/>
      <c r="AI56" s="72"/>
      <c r="AJ56" s="73"/>
      <c r="AK56" s="73"/>
      <c r="AL56" s="73"/>
      <c r="AM56" s="73"/>
      <c r="AN56" s="73"/>
      <c r="AO56" s="73"/>
    </row>
    <row r="57" spans="1:41" ht="18.75" customHeight="1">
      <c r="A57" s="194">
        <v>47</v>
      </c>
      <c r="B57" s="228" t="str">
        <f>'Chấm công KT'!C59</f>
        <v>04061</v>
      </c>
      <c r="C57" s="195" t="str">
        <f>'Chấm công KT'!D59</f>
        <v>N. Nu Ni</v>
      </c>
      <c r="D57" s="103" t="s">
        <v>37</v>
      </c>
      <c r="E57" s="239">
        <f t="shared" si="3"/>
        <v>3.2</v>
      </c>
      <c r="F57" s="239"/>
      <c r="G57" s="239"/>
      <c r="H57" s="239"/>
      <c r="I57" s="239"/>
      <c r="J57" s="229"/>
      <c r="K57" s="178"/>
      <c r="L57" s="178"/>
      <c r="M57" s="229"/>
      <c r="N57" s="229"/>
      <c r="O57" s="240"/>
      <c r="P57" s="104"/>
      <c r="Q57" s="230">
        <f t="shared" si="4"/>
        <v>3.2</v>
      </c>
      <c r="R57" s="621">
        <f>VLOOKUP(C57,'BTH mủ tạp'!D63:AK143,34,0)</f>
        <v>3004</v>
      </c>
      <c r="S57" s="229"/>
      <c r="T57" s="170">
        <f t="shared" si="7"/>
        <v>0</v>
      </c>
      <c r="U57" s="232">
        <f t="shared" si="5"/>
        <v>3004</v>
      </c>
      <c r="V57" s="566">
        <f>VLOOKUP(C57,'Chấm công KT'!D59:AK139,34,0)</f>
        <v>23</v>
      </c>
      <c r="W57" s="566">
        <f>VLOOKUP(C57,'Chấm công KT'!D59:AL139,35,0)</f>
        <v>5</v>
      </c>
      <c r="X57" s="567"/>
      <c r="Y57" s="566"/>
      <c r="Z57" s="566">
        <f>VLOOKUP(C57,'Chấm công KT'!$D$13:$AO$92,38,0)</f>
        <v>0</v>
      </c>
      <c r="AA57" s="566">
        <f>VLOOKUP(C57,'Chấm công KT'!$D$13:$AP$92,39,0)</f>
        <v>0</v>
      </c>
      <c r="AB57" s="233"/>
      <c r="AC57" s="234">
        <f t="shared" si="6"/>
        <v>3.2</v>
      </c>
      <c r="AD57" s="105">
        <f>VLOOKUP(C57,'BTH mủ tạp'!$D$17:$AN$160,36,0)</f>
        <v>1393.0002625524683</v>
      </c>
      <c r="AE57" s="106"/>
      <c r="AF57" s="90"/>
      <c r="AG57" s="73"/>
      <c r="AH57" s="73"/>
      <c r="AI57" s="72"/>
      <c r="AJ57" s="73"/>
      <c r="AK57" s="73"/>
      <c r="AL57" s="73"/>
      <c r="AM57" s="73"/>
      <c r="AN57" s="73"/>
      <c r="AO57" s="73"/>
    </row>
    <row r="58" spans="1:41" ht="18.75" customHeight="1">
      <c r="A58" s="103">
        <v>48</v>
      </c>
      <c r="B58" s="228" t="str">
        <f>'Chấm công KT'!C60</f>
        <v>03494</v>
      </c>
      <c r="C58" s="195" t="str">
        <f>'Chấm công KT'!D60</f>
        <v>T. Đi</v>
      </c>
      <c r="D58" s="103" t="s">
        <v>37</v>
      </c>
      <c r="E58" s="239">
        <f t="shared" si="3"/>
        <v>3.2</v>
      </c>
      <c r="F58" s="239"/>
      <c r="G58" s="239"/>
      <c r="H58" s="239"/>
      <c r="I58" s="239"/>
      <c r="J58" s="229"/>
      <c r="K58" s="178"/>
      <c r="L58" s="178"/>
      <c r="M58" s="229"/>
      <c r="N58" s="229"/>
      <c r="O58" s="240"/>
      <c r="P58" s="104"/>
      <c r="Q58" s="230">
        <f t="shared" si="4"/>
        <v>3.2</v>
      </c>
      <c r="R58" s="621">
        <f>VLOOKUP(C58,'BTH mủ tạp'!D64:AK144,34,0)</f>
        <v>1429</v>
      </c>
      <c r="S58" s="229"/>
      <c r="T58" s="170">
        <f t="shared" si="7"/>
        <v>0</v>
      </c>
      <c r="U58" s="232">
        <f t="shared" si="5"/>
        <v>1429</v>
      </c>
      <c r="V58" s="566">
        <f>VLOOKUP(C58,'Chấm công KT'!D60:AK140,34,0)</f>
        <v>16</v>
      </c>
      <c r="W58" s="566">
        <f>VLOOKUP(C58,'Chấm công KT'!D60:AL140,35,0)</f>
        <v>4</v>
      </c>
      <c r="X58" s="567"/>
      <c r="Y58" s="566"/>
      <c r="Z58" s="566">
        <f>VLOOKUP(C58,'Chấm công KT'!$D$13:$AO$92,38,0)</f>
        <v>0</v>
      </c>
      <c r="AA58" s="566">
        <f>VLOOKUP(C58,'Chấm công KT'!$D$13:$AP$92,39,0)</f>
        <v>0</v>
      </c>
      <c r="AB58" s="233"/>
      <c r="AC58" s="234">
        <f t="shared" si="6"/>
        <v>3.2</v>
      </c>
      <c r="AD58" s="105">
        <f>VLOOKUP(C58,'BTH mủ tạp'!$D$17:$AN$160,36,0)</f>
        <v>662.64892649383387</v>
      </c>
      <c r="AE58" s="106"/>
      <c r="AF58" s="90"/>
      <c r="AH58" s="73"/>
      <c r="AI58" s="72"/>
      <c r="AJ58" s="73"/>
      <c r="AK58" s="73"/>
      <c r="AL58" s="73"/>
      <c r="AM58" s="73"/>
      <c r="AN58" s="73"/>
      <c r="AO58" s="73"/>
    </row>
    <row r="59" spans="1:41" ht="18.75" customHeight="1">
      <c r="A59" s="194">
        <v>49</v>
      </c>
      <c r="B59" s="228" t="str">
        <f>'Chấm công KT'!C61</f>
        <v>03495</v>
      </c>
      <c r="C59" s="195" t="str">
        <f>'Chấm công KT'!D61</f>
        <v>N. On Xi</v>
      </c>
      <c r="D59" s="103" t="s">
        <v>37</v>
      </c>
      <c r="E59" s="239">
        <f t="shared" si="3"/>
        <v>3.2</v>
      </c>
      <c r="F59" s="239"/>
      <c r="G59" s="239"/>
      <c r="H59" s="239"/>
      <c r="I59" s="239"/>
      <c r="J59" s="229"/>
      <c r="K59" s="178"/>
      <c r="L59" s="178"/>
      <c r="M59" s="229"/>
      <c r="N59" s="229"/>
      <c r="O59" s="240"/>
      <c r="P59" s="104"/>
      <c r="Q59" s="230">
        <f t="shared" si="4"/>
        <v>3.2</v>
      </c>
      <c r="R59" s="621">
        <f>VLOOKUP(C59,'BTH mủ tạp'!D65:AK145,34,0)</f>
        <v>1920</v>
      </c>
      <c r="S59" s="229"/>
      <c r="T59" s="170">
        <f t="shared" si="7"/>
        <v>0</v>
      </c>
      <c r="U59" s="232">
        <f t="shared" si="5"/>
        <v>1920</v>
      </c>
      <c r="V59" s="566">
        <f>VLOOKUP(C59,'Chấm công KT'!D61:AK141,34,0)</f>
        <v>21</v>
      </c>
      <c r="W59" s="566">
        <f>VLOOKUP(C59,'Chấm công KT'!D61:AL141,35,0)</f>
        <v>5</v>
      </c>
      <c r="X59" s="567"/>
      <c r="Y59" s="566"/>
      <c r="Z59" s="566">
        <f>VLOOKUP(C59,'Chấm công KT'!$D$13:$AO$92,38,0)</f>
        <v>0</v>
      </c>
      <c r="AA59" s="566">
        <f>VLOOKUP(C59,'Chấm công KT'!$D$13:$AP$92,39,0)</f>
        <v>0</v>
      </c>
      <c r="AB59" s="233"/>
      <c r="AC59" s="234">
        <f t="shared" si="6"/>
        <v>3.2</v>
      </c>
      <c r="AD59" s="105">
        <f>VLOOKUP(C59,'BTH mủ tạp'!$D$17:$AN$160,36,0)</f>
        <v>890.33305729052563</v>
      </c>
      <c r="AE59" s="106"/>
      <c r="AF59" s="90"/>
      <c r="AH59" s="73"/>
      <c r="AI59" s="72"/>
      <c r="AJ59" s="73"/>
      <c r="AK59" s="73"/>
      <c r="AL59" s="73"/>
      <c r="AM59" s="73"/>
      <c r="AN59" s="73"/>
      <c r="AO59" s="73"/>
    </row>
    <row r="60" spans="1:41" ht="18.75" customHeight="1">
      <c r="A60" s="103">
        <v>50</v>
      </c>
      <c r="B60" s="228" t="str">
        <f>'Chấm công KT'!C62</f>
        <v>04062</v>
      </c>
      <c r="C60" s="195" t="str">
        <f>'Chấm công KT'!D62</f>
        <v>N. Thông La</v>
      </c>
      <c r="D60" s="103" t="s">
        <v>37</v>
      </c>
      <c r="E60" s="239">
        <f t="shared" si="3"/>
        <v>3.2</v>
      </c>
      <c r="F60" s="239"/>
      <c r="G60" s="239"/>
      <c r="H60" s="239"/>
      <c r="I60" s="239"/>
      <c r="J60" s="229"/>
      <c r="K60" s="178"/>
      <c r="L60" s="178"/>
      <c r="M60" s="108"/>
      <c r="N60" s="229"/>
      <c r="O60" s="240"/>
      <c r="P60" s="104"/>
      <c r="Q60" s="230">
        <f t="shared" si="4"/>
        <v>3.2</v>
      </c>
      <c r="R60" s="621">
        <f>VLOOKUP(C60,'BTH mủ tạp'!D66:AK146,34,0)</f>
        <v>2490</v>
      </c>
      <c r="S60" s="229"/>
      <c r="T60" s="170">
        <f t="shared" si="7"/>
        <v>0</v>
      </c>
      <c r="U60" s="232">
        <f t="shared" si="5"/>
        <v>2490</v>
      </c>
      <c r="V60" s="566">
        <f>VLOOKUP(C60,'Chấm công KT'!D62:AK142,34,0)</f>
        <v>23</v>
      </c>
      <c r="W60" s="566">
        <f>VLOOKUP(C60,'Chấm công KT'!D62:AL142,35,0)</f>
        <v>5</v>
      </c>
      <c r="X60" s="567"/>
      <c r="Y60" s="566"/>
      <c r="Z60" s="566">
        <f>VLOOKUP(C60,'Chấm công KT'!$D$13:$AO$92,38,0)</f>
        <v>0</v>
      </c>
      <c r="AA60" s="566">
        <f>VLOOKUP(C60,'Chấm công KT'!$D$13:$AP$92,39,0)</f>
        <v>0</v>
      </c>
      <c r="AB60" s="233"/>
      <c r="AC60" s="234">
        <f t="shared" si="6"/>
        <v>3.2</v>
      </c>
      <c r="AD60" s="105">
        <f>VLOOKUP(C60,'BTH mủ tạp'!$D$17:$AN$160,36,0)</f>
        <v>1154.6506836736505</v>
      </c>
      <c r="AE60" s="106"/>
      <c r="AF60" s="90"/>
      <c r="AH60" s="73"/>
      <c r="AI60" s="72"/>
      <c r="AJ60" s="73"/>
      <c r="AK60" s="73"/>
      <c r="AL60" s="73"/>
      <c r="AM60" s="73"/>
      <c r="AN60" s="73"/>
      <c r="AO60" s="73"/>
    </row>
    <row r="61" spans="1:41" ht="18.75" customHeight="1">
      <c r="A61" s="194">
        <v>51</v>
      </c>
      <c r="B61" s="228" t="str">
        <f>'Chấm công KT'!C63</f>
        <v>03497</v>
      </c>
      <c r="C61" s="195" t="str">
        <f>'Chấm công KT'!D63</f>
        <v>T. Son Xay</v>
      </c>
      <c r="D61" s="103" t="s">
        <v>37</v>
      </c>
      <c r="E61" s="239">
        <f t="shared" si="3"/>
        <v>3.2</v>
      </c>
      <c r="F61" s="239"/>
      <c r="G61" s="239"/>
      <c r="H61" s="239"/>
      <c r="I61" s="239"/>
      <c r="J61" s="229"/>
      <c r="K61" s="178"/>
      <c r="L61" s="178"/>
      <c r="M61" s="229"/>
      <c r="N61" s="229"/>
      <c r="O61" s="240"/>
      <c r="P61" s="104"/>
      <c r="Q61" s="230">
        <f t="shared" si="4"/>
        <v>3.2</v>
      </c>
      <c r="R61" s="621">
        <f>VLOOKUP(C61,'BTH mủ tạp'!D67:AK147,34,0)</f>
        <v>2572</v>
      </c>
      <c r="S61" s="229"/>
      <c r="T61" s="170">
        <f t="shared" si="7"/>
        <v>0</v>
      </c>
      <c r="U61" s="232">
        <f t="shared" si="5"/>
        <v>2572</v>
      </c>
      <c r="V61" s="566">
        <f>VLOOKUP(C61,'Chấm công KT'!D63:AK143,34,0)</f>
        <v>20</v>
      </c>
      <c r="W61" s="566">
        <f>VLOOKUP(C61,'Chấm công KT'!D63:AL143,35,0)</f>
        <v>5</v>
      </c>
      <c r="X61" s="567"/>
      <c r="Y61" s="566"/>
      <c r="Z61" s="566">
        <f>VLOOKUP(C61,'Chấm công KT'!$D$13:$AO$92,38,0)</f>
        <v>0</v>
      </c>
      <c r="AA61" s="566">
        <f>VLOOKUP(C61,'Chấm công KT'!$D$13:$AP$92,39,0)</f>
        <v>0</v>
      </c>
      <c r="AB61" s="233"/>
      <c r="AC61" s="234">
        <f t="shared" si="6"/>
        <v>3.2</v>
      </c>
      <c r="AD61" s="105">
        <f>VLOOKUP(C61,'BTH mủ tạp'!$D$17:$AN$160,36,0)</f>
        <v>1192.6753246621001</v>
      </c>
      <c r="AE61" s="106"/>
      <c r="AF61" s="90"/>
      <c r="AH61" s="73"/>
      <c r="AI61" s="72"/>
      <c r="AJ61" s="73"/>
      <c r="AK61" s="73"/>
      <c r="AL61" s="73"/>
      <c r="AM61" s="73"/>
      <c r="AN61" s="73"/>
      <c r="AO61" s="73"/>
    </row>
    <row r="62" spans="1:41" ht="18.75" customHeight="1">
      <c r="A62" s="103">
        <v>52</v>
      </c>
      <c r="B62" s="228" t="str">
        <f>'Chấm công KT'!C64</f>
        <v>03498</v>
      </c>
      <c r="C62" s="195" t="str">
        <f>'Chấm công KT'!D64</f>
        <v>N. Lăm Phay</v>
      </c>
      <c r="D62" s="103" t="s">
        <v>37</v>
      </c>
      <c r="E62" s="239">
        <f t="shared" si="3"/>
        <v>3.2</v>
      </c>
      <c r="F62" s="239"/>
      <c r="G62" s="239"/>
      <c r="H62" s="239"/>
      <c r="I62" s="239"/>
      <c r="J62" s="229"/>
      <c r="K62" s="178"/>
      <c r="L62" s="108"/>
      <c r="M62" s="108"/>
      <c r="N62" s="104"/>
      <c r="O62" s="104"/>
      <c r="P62" s="104"/>
      <c r="Q62" s="230">
        <f t="shared" si="4"/>
        <v>3.2</v>
      </c>
      <c r="R62" s="621">
        <f>VLOOKUP(C62,'BTH mủ tạp'!D68:AK148,34,0)</f>
        <v>2593</v>
      </c>
      <c r="S62" s="229"/>
      <c r="T62" s="170">
        <f t="shared" si="7"/>
        <v>0</v>
      </c>
      <c r="U62" s="232">
        <f t="shared" si="5"/>
        <v>2593</v>
      </c>
      <c r="V62" s="566">
        <f>VLOOKUP(C62,'Chấm công KT'!D64:AK144,34,0)</f>
        <v>21</v>
      </c>
      <c r="W62" s="566">
        <f>VLOOKUP(C62,'Chấm công KT'!D64:AL144,35,0)</f>
        <v>5</v>
      </c>
      <c r="X62" s="567"/>
      <c r="Y62" s="566"/>
      <c r="Z62" s="566">
        <f>VLOOKUP(C62,'Chấm công KT'!$D$13:$AO$92,38,0)</f>
        <v>0</v>
      </c>
      <c r="AA62" s="566">
        <f>VLOOKUP(C62,'Chấm công KT'!$D$13:$AP$92,39,0)</f>
        <v>0</v>
      </c>
      <c r="AB62" s="233"/>
      <c r="AC62" s="234">
        <f t="shared" si="6"/>
        <v>3.2</v>
      </c>
      <c r="AD62" s="105">
        <f>VLOOKUP(C62,'BTH mủ tạp'!$D$17:$AN$160,36,0)</f>
        <v>1202.4133424762151</v>
      </c>
      <c r="AE62" s="106"/>
      <c r="AF62" s="90"/>
      <c r="AH62" s="73"/>
      <c r="AI62" s="72"/>
      <c r="AJ62" s="73"/>
      <c r="AK62" s="73"/>
      <c r="AL62" s="73"/>
      <c r="AM62" s="73"/>
      <c r="AN62" s="73"/>
      <c r="AO62" s="73"/>
    </row>
    <row r="63" spans="1:41" ht="18.75" customHeight="1">
      <c r="A63" s="194">
        <v>53</v>
      </c>
      <c r="B63" s="228" t="str">
        <f>'Chấm công KT'!C65</f>
        <v>02706</v>
      </c>
      <c r="C63" s="195" t="str">
        <f>'Chấm công KT'!D65</f>
        <v>T. Nhung</v>
      </c>
      <c r="D63" s="103" t="s">
        <v>37</v>
      </c>
      <c r="E63" s="239">
        <f t="shared" si="3"/>
        <v>3.2</v>
      </c>
      <c r="F63" s="239"/>
      <c r="G63" s="239"/>
      <c r="H63" s="239"/>
      <c r="I63" s="239"/>
      <c r="J63" s="229"/>
      <c r="K63" s="178"/>
      <c r="L63" s="178"/>
      <c r="M63" s="229"/>
      <c r="N63" s="229"/>
      <c r="O63" s="240"/>
      <c r="P63" s="104"/>
      <c r="Q63" s="230">
        <f t="shared" si="4"/>
        <v>3.2</v>
      </c>
      <c r="R63" s="621">
        <f>VLOOKUP(C63,'BTH mủ tạp'!D69:AK149,34,0)</f>
        <v>2707</v>
      </c>
      <c r="S63" s="229"/>
      <c r="T63" s="170">
        <f>S63*50/100</f>
        <v>0</v>
      </c>
      <c r="U63" s="232">
        <f t="shared" si="5"/>
        <v>2707</v>
      </c>
      <c r="V63" s="566">
        <f>VLOOKUP(C63,'Chấm công KT'!D65:AK145,34,0)</f>
        <v>22</v>
      </c>
      <c r="W63" s="566">
        <f>VLOOKUP(C63,'Chấm công KT'!D65:AL145,35,0)</f>
        <v>5</v>
      </c>
      <c r="X63" s="567"/>
      <c r="Y63" s="566"/>
      <c r="Z63" s="566">
        <f>VLOOKUP(C63,'Chấm công KT'!$D$13:$AO$92,38,0)</f>
        <v>0</v>
      </c>
      <c r="AA63" s="566">
        <f>VLOOKUP(C63,'Chấm công KT'!$D$13:$AP$92,39,0)</f>
        <v>0</v>
      </c>
      <c r="AB63" s="233"/>
      <c r="AC63" s="234">
        <f t="shared" si="6"/>
        <v>3.2</v>
      </c>
      <c r="AD63" s="105">
        <f>VLOOKUP(C63,'BTH mủ tạp'!$D$17:$AN$160,36,0)</f>
        <v>1255.27686775284</v>
      </c>
      <c r="AE63" s="106"/>
      <c r="AF63" s="90"/>
      <c r="AH63" s="73"/>
      <c r="AI63" s="72"/>
      <c r="AJ63" s="73"/>
      <c r="AK63" s="73"/>
      <c r="AL63" s="73"/>
      <c r="AM63" s="73"/>
      <c r="AN63" s="73"/>
      <c r="AO63" s="73"/>
    </row>
    <row r="64" spans="1:41" ht="18.75" customHeight="1">
      <c r="A64" s="103">
        <v>54</v>
      </c>
      <c r="B64" s="228" t="str">
        <f>'Chấm công KT'!C66</f>
        <v>04063</v>
      </c>
      <c r="C64" s="195" t="str">
        <f>'Chấm công KT'!D66</f>
        <v>T. Khay Khăm</v>
      </c>
      <c r="D64" s="103" t="s">
        <v>37</v>
      </c>
      <c r="E64" s="239">
        <f t="shared" si="3"/>
        <v>3.2</v>
      </c>
      <c r="F64" s="239"/>
      <c r="G64" s="239"/>
      <c r="H64" s="239"/>
      <c r="I64" s="239"/>
      <c r="J64" s="229"/>
      <c r="K64" s="178"/>
      <c r="L64" s="178"/>
      <c r="M64" s="229"/>
      <c r="N64" s="229"/>
      <c r="O64" s="240"/>
      <c r="P64" s="104"/>
      <c r="Q64" s="230">
        <f t="shared" si="4"/>
        <v>3.2</v>
      </c>
      <c r="R64" s="621">
        <f>VLOOKUP(C64,'BTH mủ tạp'!D70:AK150,34,0)</f>
        <v>1093</v>
      </c>
      <c r="S64" s="229"/>
      <c r="T64" s="170">
        <f t="shared" si="7"/>
        <v>0</v>
      </c>
      <c r="U64" s="232">
        <f t="shared" si="5"/>
        <v>1093</v>
      </c>
      <c r="V64" s="566">
        <f>VLOOKUP(C64,'Chấm công KT'!D66:AK146,34,0)</f>
        <v>18</v>
      </c>
      <c r="W64" s="566">
        <f>VLOOKUP(C64,'Chấm công KT'!D66:AL146,35,0)</f>
        <v>3</v>
      </c>
      <c r="X64" s="567"/>
      <c r="Y64" s="566"/>
      <c r="Z64" s="566">
        <f>VLOOKUP(C64,'Chấm công KT'!$D$13:$AO$92,38,0)</f>
        <v>0</v>
      </c>
      <c r="AA64" s="566">
        <f>VLOOKUP(C64,'Chấm công KT'!$D$13:$AP$92,39,0)</f>
        <v>0</v>
      </c>
      <c r="AB64" s="233"/>
      <c r="AC64" s="234">
        <f t="shared" si="6"/>
        <v>3.2</v>
      </c>
      <c r="AD64" s="105">
        <f>VLOOKUP(C64,'BTH mủ tạp'!$D$17:$AN$160,36,0)</f>
        <v>506.84064146799193</v>
      </c>
      <c r="AE64" s="106"/>
      <c r="AF64" s="90"/>
      <c r="AH64" s="73"/>
      <c r="AI64" s="72"/>
      <c r="AJ64" s="73"/>
      <c r="AK64" s="73"/>
      <c r="AL64" s="73"/>
      <c r="AM64" s="73"/>
      <c r="AN64" s="73"/>
      <c r="AO64" s="73"/>
    </row>
    <row r="65" spans="1:41" ht="18.75" customHeight="1">
      <c r="A65" s="194">
        <v>55</v>
      </c>
      <c r="B65" s="228" t="str">
        <f>'Chấm công KT'!C67</f>
        <v>04064</v>
      </c>
      <c r="C65" s="195" t="str">
        <f>'Chấm công KT'!D67</f>
        <v>N. Khay Chăn</v>
      </c>
      <c r="D65" s="103" t="s">
        <v>37</v>
      </c>
      <c r="E65" s="239">
        <f t="shared" si="3"/>
        <v>3.2</v>
      </c>
      <c r="F65" s="239"/>
      <c r="G65" s="239"/>
      <c r="H65" s="239"/>
      <c r="I65" s="239"/>
      <c r="J65" s="229"/>
      <c r="K65" s="178"/>
      <c r="L65" s="108"/>
      <c r="M65" s="108"/>
      <c r="N65" s="104"/>
      <c r="O65" s="104"/>
      <c r="P65" s="104"/>
      <c r="Q65" s="230">
        <f t="shared" si="4"/>
        <v>3.2</v>
      </c>
      <c r="R65" s="621">
        <f>VLOOKUP(C65,'BTH mủ tạp'!D71:AK151,34,0)</f>
        <v>2699</v>
      </c>
      <c r="S65" s="229"/>
      <c r="T65" s="170">
        <f t="shared" si="7"/>
        <v>0</v>
      </c>
      <c r="U65" s="232">
        <f t="shared" si="5"/>
        <v>2699</v>
      </c>
      <c r="V65" s="566">
        <f>VLOOKUP(C65,'Chấm công KT'!D67:AK147,34,0)</f>
        <v>23</v>
      </c>
      <c r="W65" s="566">
        <f>VLOOKUP(C65,'Chấm công KT'!D67:AL147,35,0)</f>
        <v>5</v>
      </c>
      <c r="X65" s="567"/>
      <c r="Y65" s="566"/>
      <c r="Z65" s="566">
        <f>VLOOKUP(C65,'Chấm công KT'!$D$13:$AO$92,38,0)</f>
        <v>0</v>
      </c>
      <c r="AA65" s="566">
        <f>VLOOKUP(C65,'Chấm công KT'!$D$13:$AP$92,39,0)</f>
        <v>0</v>
      </c>
      <c r="AB65" s="233"/>
      <c r="AC65" s="234">
        <f t="shared" si="6"/>
        <v>3.2</v>
      </c>
      <c r="AD65" s="105">
        <f>VLOOKUP(C65,'BTH mủ tạp'!$D$17:$AN$160,36,0)</f>
        <v>1251.5671466807962</v>
      </c>
      <c r="AE65" s="106"/>
      <c r="AF65" s="90"/>
      <c r="AH65" s="73"/>
      <c r="AI65" s="72"/>
      <c r="AJ65" s="73"/>
      <c r="AK65" s="73"/>
      <c r="AL65" s="73"/>
      <c r="AM65" s="73"/>
      <c r="AN65" s="73"/>
      <c r="AO65" s="73"/>
    </row>
    <row r="66" spans="1:41" ht="18.75" customHeight="1">
      <c r="A66" s="103">
        <v>56</v>
      </c>
      <c r="B66" s="228" t="str">
        <f>'Chấm công KT'!C68</f>
        <v>03501</v>
      </c>
      <c r="C66" s="195" t="str">
        <f>'Chấm công KT'!D68</f>
        <v>T Dăn</v>
      </c>
      <c r="D66" s="103" t="s">
        <v>37</v>
      </c>
      <c r="E66" s="239">
        <f t="shared" si="3"/>
        <v>3.2</v>
      </c>
      <c r="F66" s="239"/>
      <c r="G66" s="239"/>
      <c r="H66" s="239"/>
      <c r="I66" s="239"/>
      <c r="J66" s="229"/>
      <c r="K66" s="178"/>
      <c r="L66" s="178"/>
      <c r="M66" s="229"/>
      <c r="N66" s="229"/>
      <c r="O66" s="240"/>
      <c r="P66" s="104"/>
      <c r="Q66" s="230">
        <f t="shared" si="4"/>
        <v>3.2</v>
      </c>
      <c r="R66" s="621">
        <f>VLOOKUP(C66,'BTH mủ tạp'!D72:AK152,34,0)</f>
        <v>2165</v>
      </c>
      <c r="S66" s="229"/>
      <c r="T66" s="170">
        <f t="shared" si="7"/>
        <v>0</v>
      </c>
      <c r="U66" s="232">
        <f t="shared" si="5"/>
        <v>2165</v>
      </c>
      <c r="V66" s="566">
        <f>VLOOKUP(C66,'Chấm công KT'!D68:AK148,34,0)</f>
        <v>22</v>
      </c>
      <c r="W66" s="566">
        <f>VLOOKUP(C66,'Chấm công KT'!D68:AL148,35,0)</f>
        <v>5</v>
      </c>
      <c r="X66" s="567"/>
      <c r="Y66" s="566"/>
      <c r="Z66" s="566">
        <f>VLOOKUP(C66,'Chấm công KT'!$D$13:$AO$92,38,0)</f>
        <v>0</v>
      </c>
      <c r="AA66" s="566">
        <f>VLOOKUP(C66,'Chấm công KT'!$D$13:$AP$92,39,0)</f>
        <v>0</v>
      </c>
      <c r="AB66" s="233"/>
      <c r="AC66" s="234">
        <f t="shared" si="6"/>
        <v>3.2</v>
      </c>
      <c r="AD66" s="105">
        <f>VLOOKUP(C66,'BTH mủ tạp'!$D$17:$AN$160,36,0)</f>
        <v>1003.9432651218688</v>
      </c>
      <c r="AE66" s="106"/>
      <c r="AF66" s="90"/>
      <c r="AH66" s="73"/>
      <c r="AI66" s="76"/>
      <c r="AJ66" s="73"/>
      <c r="AK66" s="73"/>
      <c r="AL66" s="73"/>
      <c r="AM66" s="73"/>
      <c r="AN66" s="73"/>
      <c r="AO66" s="73"/>
    </row>
    <row r="67" spans="1:41" ht="18.75" customHeight="1">
      <c r="A67" s="194">
        <v>57</v>
      </c>
      <c r="B67" s="228" t="str">
        <f>'Chấm công KT'!C69</f>
        <v>03502</v>
      </c>
      <c r="C67" s="195" t="str">
        <f>'Chấm công KT'!D69</f>
        <v>T. Xợt</v>
      </c>
      <c r="D67" s="103" t="s">
        <v>37</v>
      </c>
      <c r="E67" s="239">
        <f t="shared" si="3"/>
        <v>3.2</v>
      </c>
      <c r="F67" s="239"/>
      <c r="G67" s="239"/>
      <c r="H67" s="239"/>
      <c r="I67" s="239"/>
      <c r="J67" s="229"/>
      <c r="K67" s="178"/>
      <c r="L67" s="178"/>
      <c r="M67" s="229"/>
      <c r="N67" s="229"/>
      <c r="O67" s="240"/>
      <c r="P67" s="104"/>
      <c r="Q67" s="230">
        <f t="shared" si="4"/>
        <v>3.2</v>
      </c>
      <c r="R67" s="621">
        <f>VLOOKUP(C67,'BTH mủ tạp'!D73:AK153,34,0)</f>
        <v>2360</v>
      </c>
      <c r="S67" s="229"/>
      <c r="T67" s="170">
        <f t="shared" si="7"/>
        <v>0</v>
      </c>
      <c r="U67" s="232">
        <f t="shared" si="5"/>
        <v>2360</v>
      </c>
      <c r="V67" s="566">
        <f>VLOOKUP(C67,'Chấm công KT'!D69:AK149,34,0)</f>
        <v>23</v>
      </c>
      <c r="W67" s="566">
        <f>VLOOKUP(C67,'Chấm công KT'!D69:AL149,35,0)</f>
        <v>5</v>
      </c>
      <c r="X67" s="567"/>
      <c r="Y67" s="566"/>
      <c r="Z67" s="566">
        <f>VLOOKUP(C67,'Chấm công KT'!$D$13:$AO$92,38,0)</f>
        <v>0</v>
      </c>
      <c r="AA67" s="566">
        <f>VLOOKUP(C67,'Chấm công KT'!$D$13:$AP$92,39,0)</f>
        <v>0</v>
      </c>
      <c r="AB67" s="233"/>
      <c r="AC67" s="234">
        <f t="shared" si="6"/>
        <v>3.2</v>
      </c>
      <c r="AD67" s="105">
        <f>VLOOKUP(C67,'BTH mủ tạp'!$D$17:$AN$160,36,0)</f>
        <v>1094.3677162529377</v>
      </c>
      <c r="AE67" s="106"/>
      <c r="AF67" s="90"/>
      <c r="AH67" s="73"/>
      <c r="AI67" s="72"/>
      <c r="AJ67" s="73"/>
      <c r="AK67" s="73"/>
      <c r="AL67" s="73"/>
      <c r="AM67" s="73"/>
      <c r="AN67" s="73"/>
      <c r="AO67" s="73"/>
    </row>
    <row r="68" spans="1:41" ht="18.75" customHeight="1">
      <c r="A68" s="103">
        <v>58</v>
      </c>
      <c r="B68" s="228" t="str">
        <f>'Chấm công KT'!C70</f>
        <v>04065</v>
      </c>
      <c r="C68" s="195" t="str">
        <f>'Chấm công KT'!D70</f>
        <v>N. Phết 2</v>
      </c>
      <c r="D68" s="103" t="s">
        <v>37</v>
      </c>
      <c r="E68" s="239">
        <f t="shared" si="3"/>
        <v>3.2</v>
      </c>
      <c r="F68" s="239"/>
      <c r="G68" s="239"/>
      <c r="H68" s="239"/>
      <c r="I68" s="239"/>
      <c r="J68" s="229"/>
      <c r="K68" s="178"/>
      <c r="L68" s="178"/>
      <c r="M68" s="229"/>
      <c r="N68" s="229"/>
      <c r="O68" s="240"/>
      <c r="P68" s="104"/>
      <c r="Q68" s="230">
        <f t="shared" si="4"/>
        <v>3.2</v>
      </c>
      <c r="R68" s="621">
        <f>VLOOKUP(C68,'BTH mủ tạp'!D74:AK154,34,0)</f>
        <v>2565</v>
      </c>
      <c r="S68" s="229"/>
      <c r="T68" s="170">
        <f t="shared" si="7"/>
        <v>0</v>
      </c>
      <c r="U68" s="232">
        <f t="shared" si="5"/>
        <v>2565</v>
      </c>
      <c r="V68" s="566">
        <f>VLOOKUP(C68,'Chấm công KT'!D70:AK150,34,0)</f>
        <v>21</v>
      </c>
      <c r="W68" s="566">
        <f>VLOOKUP(C68,'Chấm công KT'!D70:AL150,35,0)</f>
        <v>4</v>
      </c>
      <c r="X68" s="567"/>
      <c r="Y68" s="566"/>
      <c r="Z68" s="566">
        <f>VLOOKUP(C68,'Chấm công KT'!$D$13:$AO$92,38,0)</f>
        <v>0</v>
      </c>
      <c r="AA68" s="566">
        <f>VLOOKUP(C68,'Chấm công KT'!$D$13:$AP$92,39,0)</f>
        <v>0</v>
      </c>
      <c r="AB68" s="233"/>
      <c r="AC68" s="234">
        <f t="shared" si="6"/>
        <v>3.2</v>
      </c>
      <c r="AD68" s="105">
        <f>VLOOKUP(C68,'BTH mủ tạp'!$D$17:$AN$160,36,0)</f>
        <v>1189.4293187240617</v>
      </c>
      <c r="AE68" s="106"/>
      <c r="AF68" s="90"/>
      <c r="AH68" s="77"/>
      <c r="AI68" s="78"/>
      <c r="AJ68" s="77"/>
      <c r="AK68" s="77"/>
      <c r="AL68" s="73"/>
      <c r="AM68" s="77"/>
      <c r="AN68" s="77"/>
      <c r="AO68" s="73"/>
    </row>
    <row r="69" spans="1:41" ht="18.75" customHeight="1">
      <c r="A69" s="194">
        <v>59</v>
      </c>
      <c r="B69" s="228" t="str">
        <f>'Chấm công KT'!C71</f>
        <v>03504</v>
      </c>
      <c r="C69" s="195" t="str">
        <f>'Chấm công KT'!D71</f>
        <v>T. Cạp</v>
      </c>
      <c r="D69" s="103" t="s">
        <v>37</v>
      </c>
      <c r="E69" s="239">
        <f t="shared" si="3"/>
        <v>3.2</v>
      </c>
      <c r="F69" s="239"/>
      <c r="G69" s="239"/>
      <c r="H69" s="239"/>
      <c r="I69" s="239"/>
      <c r="J69" s="229"/>
      <c r="K69" s="178"/>
      <c r="L69" s="178"/>
      <c r="M69" s="229"/>
      <c r="N69" s="229"/>
      <c r="O69" s="240"/>
      <c r="P69" s="104"/>
      <c r="Q69" s="230">
        <f t="shared" si="4"/>
        <v>3.2</v>
      </c>
      <c r="R69" s="621">
        <f>VLOOKUP(C69,'BTH mủ tạp'!D75:AK155,34,0)</f>
        <v>1424</v>
      </c>
      <c r="S69" s="229"/>
      <c r="T69" s="170">
        <f t="shared" si="7"/>
        <v>0</v>
      </c>
      <c r="U69" s="232">
        <f t="shared" si="5"/>
        <v>1424</v>
      </c>
      <c r="V69" s="566">
        <f>VLOOKUP(C69,'Chấm công KT'!D71:AK151,34,0)</f>
        <v>18</v>
      </c>
      <c r="W69" s="566">
        <f>VLOOKUP(C69,'Chấm công KT'!D71:AL151,35,0)</f>
        <v>4</v>
      </c>
      <c r="X69" s="567"/>
      <c r="Y69" s="566"/>
      <c r="Z69" s="566">
        <f>VLOOKUP(C69,'Chấm công KT'!$D$13:$AO$92,38,0)</f>
        <v>0</v>
      </c>
      <c r="AA69" s="566">
        <f>VLOOKUP(C69,'Chấm công KT'!$D$13:$AP$92,39,0)</f>
        <v>0</v>
      </c>
      <c r="AB69" s="233"/>
      <c r="AC69" s="234">
        <f t="shared" si="6"/>
        <v>3.2</v>
      </c>
      <c r="AD69" s="105">
        <f>VLOOKUP(C69,'BTH mủ tạp'!$D$17:$AN$160,36,0)</f>
        <v>660.3303508238065</v>
      </c>
      <c r="AE69" s="106"/>
      <c r="AF69" s="90"/>
      <c r="AH69" s="75"/>
      <c r="AI69" s="72"/>
      <c r="AJ69" s="73"/>
      <c r="AK69" s="73"/>
      <c r="AL69" s="73"/>
      <c r="AM69" s="73"/>
      <c r="AN69" s="73"/>
      <c r="AO69" s="73"/>
    </row>
    <row r="70" spans="1:41" ht="18.75" customHeight="1">
      <c r="A70" s="103">
        <v>60</v>
      </c>
      <c r="B70" s="228" t="str">
        <f>'Chấm công KT'!C72</f>
        <v>04066</v>
      </c>
      <c r="C70" s="195" t="str">
        <f>'Chấm công KT'!D72</f>
        <v>T. Toi</v>
      </c>
      <c r="D70" s="103" t="s">
        <v>37</v>
      </c>
      <c r="E70" s="239">
        <f>4/1.25</f>
        <v>3.2</v>
      </c>
      <c r="F70" s="239"/>
      <c r="G70" s="239"/>
      <c r="H70" s="239"/>
      <c r="I70" s="239"/>
      <c r="J70" s="229"/>
      <c r="K70" s="178"/>
      <c r="L70" s="108"/>
      <c r="M70" s="108"/>
      <c r="N70" s="104"/>
      <c r="O70" s="104"/>
      <c r="P70" s="104"/>
      <c r="Q70" s="230">
        <f t="shared" si="4"/>
        <v>3.2</v>
      </c>
      <c r="R70" s="621">
        <f>VLOOKUP(C70,'BTH mủ tạp'!D76:AK156,34,0)</f>
        <v>2224</v>
      </c>
      <c r="S70" s="229"/>
      <c r="T70" s="170">
        <f t="shared" si="7"/>
        <v>0</v>
      </c>
      <c r="U70" s="232">
        <f t="shared" si="5"/>
        <v>2224</v>
      </c>
      <c r="V70" s="566">
        <f>VLOOKUP(C70,'Chấm công KT'!D72:AK152,34,0)</f>
        <v>20</v>
      </c>
      <c r="W70" s="566">
        <f>VLOOKUP(C70,'Chấm công KT'!D72:AL152,35,0)</f>
        <v>4</v>
      </c>
      <c r="X70" s="567"/>
      <c r="Y70" s="566"/>
      <c r="Z70" s="566">
        <f>VLOOKUP(C70,'Chấm công KT'!$D$13:$AO$92,38,0)</f>
        <v>0</v>
      </c>
      <c r="AA70" s="566">
        <f>VLOOKUP(C70,'Chấm công KT'!$D$13:$AP$92,39,0)</f>
        <v>0</v>
      </c>
      <c r="AB70" s="233"/>
      <c r="AC70" s="234">
        <f t="shared" si="6"/>
        <v>3.2</v>
      </c>
      <c r="AD70" s="105">
        <f>VLOOKUP(C70,'BTH mủ tạp'!$D$17:$AN$160,36,0)</f>
        <v>1031.3024580281922</v>
      </c>
      <c r="AE70" s="106"/>
      <c r="AF70" s="90"/>
      <c r="AH70" s="75"/>
      <c r="AI70" s="72"/>
      <c r="AJ70" s="73"/>
      <c r="AK70" s="73"/>
      <c r="AL70" s="73"/>
      <c r="AM70" s="73"/>
      <c r="AN70" s="73"/>
      <c r="AO70" s="73"/>
    </row>
    <row r="71" spans="1:41" ht="18.75" customHeight="1">
      <c r="A71" s="194">
        <v>61</v>
      </c>
      <c r="B71" s="228" t="str">
        <f>'Chấm công KT'!C73</f>
        <v>03506</v>
      </c>
      <c r="C71" s="195" t="str">
        <f>'Chấm công KT'!D73</f>
        <v>N. Bua Hom</v>
      </c>
      <c r="D71" s="103" t="s">
        <v>37</v>
      </c>
      <c r="E71" s="239">
        <f t="shared" si="3"/>
        <v>3.2</v>
      </c>
      <c r="F71" s="239"/>
      <c r="G71" s="239"/>
      <c r="H71" s="239"/>
      <c r="I71" s="239"/>
      <c r="J71" s="229"/>
      <c r="K71" s="178"/>
      <c r="L71" s="108"/>
      <c r="M71" s="108"/>
      <c r="N71" s="104"/>
      <c r="O71" s="104"/>
      <c r="P71" s="104"/>
      <c r="Q71" s="230">
        <f t="shared" si="4"/>
        <v>3.2</v>
      </c>
      <c r="R71" s="621">
        <f>VLOOKUP(C71,'BTH mủ tạp'!D77:AK157,34,0)</f>
        <v>2727</v>
      </c>
      <c r="S71" s="229"/>
      <c r="T71" s="170">
        <f t="shared" si="7"/>
        <v>0</v>
      </c>
      <c r="U71" s="232">
        <f t="shared" si="5"/>
        <v>2727</v>
      </c>
      <c r="V71" s="566">
        <f>VLOOKUP(C71,'Chấm công KT'!D73:AK153,34,0)</f>
        <v>22</v>
      </c>
      <c r="W71" s="566">
        <f>VLOOKUP(C71,'Chấm công KT'!D73:AL153,35,0)</f>
        <v>4</v>
      </c>
      <c r="X71" s="567"/>
      <c r="Y71" s="566"/>
      <c r="Z71" s="566">
        <f>VLOOKUP(C71,'Chấm công KT'!$D$13:$AO$92,38,0)</f>
        <v>0</v>
      </c>
      <c r="AA71" s="566">
        <f>VLOOKUP(C71,'Chấm công KT'!$D$13:$AP$92,39,0)</f>
        <v>0</v>
      </c>
      <c r="AB71" s="233"/>
      <c r="AC71" s="234">
        <f t="shared" si="6"/>
        <v>3.2</v>
      </c>
      <c r="AD71" s="105">
        <f>VLOOKUP(C71,'BTH mủ tạp'!$D$17:$AN$160,36,0)</f>
        <v>1264.5511704329497</v>
      </c>
      <c r="AE71" s="106"/>
      <c r="AF71" s="90"/>
      <c r="AH71" s="75"/>
      <c r="AI71" s="72"/>
      <c r="AJ71" s="73"/>
      <c r="AK71" s="73"/>
      <c r="AL71" s="73"/>
      <c r="AM71" s="73"/>
      <c r="AN71" s="73"/>
      <c r="AO71" s="73"/>
    </row>
    <row r="72" spans="1:41" ht="18.75" customHeight="1">
      <c r="A72" s="103">
        <v>62</v>
      </c>
      <c r="B72" s="228" t="str">
        <f>'Chấm công KT'!C74</f>
        <v>04067</v>
      </c>
      <c r="C72" s="195" t="str">
        <f>'Chấm công KT'!D74</f>
        <v>N. Lăm Phay (2)</v>
      </c>
      <c r="D72" s="103" t="s">
        <v>37</v>
      </c>
      <c r="E72" s="239">
        <f t="shared" si="3"/>
        <v>3.2</v>
      </c>
      <c r="F72" s="239"/>
      <c r="G72" s="239"/>
      <c r="H72" s="239"/>
      <c r="I72" s="239"/>
      <c r="J72" s="229"/>
      <c r="K72" s="178"/>
      <c r="L72" s="108"/>
      <c r="M72" s="108"/>
      <c r="N72" s="104"/>
      <c r="O72" s="104"/>
      <c r="P72" s="104"/>
      <c r="Q72" s="230">
        <f t="shared" si="4"/>
        <v>3.2</v>
      </c>
      <c r="R72" s="621">
        <f>VLOOKUP(C72,'BTH mủ tạp'!D78:AK158,34,0)</f>
        <v>2232</v>
      </c>
      <c r="S72" s="229"/>
      <c r="T72" s="170">
        <f t="shared" si="7"/>
        <v>0</v>
      </c>
      <c r="U72" s="232">
        <f t="shared" si="5"/>
        <v>2232</v>
      </c>
      <c r="V72" s="566">
        <f>VLOOKUP(C72,'Chấm công KT'!D74:AK154,34,0)</f>
        <v>20</v>
      </c>
      <c r="W72" s="566">
        <f>VLOOKUP(C72,'Chấm công KT'!D74:AL154,35,0)</f>
        <v>5</v>
      </c>
      <c r="X72" s="567"/>
      <c r="Y72" s="566"/>
      <c r="Z72" s="566">
        <f>VLOOKUP(C72,'Chấm công KT'!$D$13:$AO$92,38,0)</f>
        <v>0</v>
      </c>
      <c r="AA72" s="566">
        <f>VLOOKUP(C72,'Chấm công KT'!$D$13:$AP$92,39,0)</f>
        <v>0</v>
      </c>
      <c r="AB72" s="233"/>
      <c r="AC72" s="234">
        <f t="shared" si="6"/>
        <v>3.2</v>
      </c>
      <c r="AD72" s="105">
        <f>VLOOKUP(C72,'BTH mủ tạp'!$D$17:$AN$160,36,0)</f>
        <v>1035.0121791002362</v>
      </c>
      <c r="AE72" s="106"/>
      <c r="AF72" s="90"/>
      <c r="AG72" s="60"/>
      <c r="AH72" s="75"/>
      <c r="AI72" s="72"/>
      <c r="AJ72" s="73"/>
      <c r="AK72" s="73"/>
      <c r="AL72" s="73"/>
      <c r="AM72" s="73"/>
      <c r="AN72" s="73"/>
      <c r="AO72" s="73"/>
    </row>
    <row r="73" spans="1:41" ht="18.75" customHeight="1">
      <c r="A73" s="194">
        <v>63</v>
      </c>
      <c r="B73" s="228" t="str">
        <f>'Chấm công KT'!C75</f>
        <v>03508</v>
      </c>
      <c r="C73" s="195" t="str">
        <f>'Chấm công KT'!D75</f>
        <v>T. Đèng</v>
      </c>
      <c r="D73" s="103" t="s">
        <v>37</v>
      </c>
      <c r="E73" s="239">
        <f t="shared" si="3"/>
        <v>3.2</v>
      </c>
      <c r="F73" s="239"/>
      <c r="G73" s="239"/>
      <c r="H73" s="239"/>
      <c r="I73" s="239"/>
      <c r="J73" s="229"/>
      <c r="K73" s="178"/>
      <c r="L73" s="108"/>
      <c r="M73" s="108"/>
      <c r="N73" s="104"/>
      <c r="O73" s="104"/>
      <c r="P73" s="104"/>
      <c r="Q73" s="230">
        <f t="shared" si="4"/>
        <v>3.2</v>
      </c>
      <c r="R73" s="621">
        <f>VLOOKUP(C73,'BTH mủ tạp'!D79:AK159,34,0)</f>
        <v>1321</v>
      </c>
      <c r="S73" s="229"/>
      <c r="T73" s="170">
        <f t="shared" si="7"/>
        <v>0</v>
      </c>
      <c r="U73" s="232">
        <f t="shared" si="5"/>
        <v>1321</v>
      </c>
      <c r="V73" s="566">
        <f>VLOOKUP(C73,'Chấm công KT'!D75:AK155,34,0)</f>
        <v>24</v>
      </c>
      <c r="W73" s="566">
        <f>VLOOKUP(C73,'Chấm công KT'!D75:AL155,35,0)</f>
        <v>5</v>
      </c>
      <c r="X73" s="567"/>
      <c r="Y73" s="566"/>
      <c r="Z73" s="566">
        <f>VLOOKUP(C73,'Chấm công KT'!$D$13:$AO$92,38,0)</f>
        <v>0</v>
      </c>
      <c r="AA73" s="566">
        <f>VLOOKUP(C73,'Chấm công KT'!$D$13:$AP$92,39,0)</f>
        <v>0</v>
      </c>
      <c r="AB73" s="233"/>
      <c r="AC73" s="234">
        <f t="shared" si="6"/>
        <v>3.2</v>
      </c>
      <c r="AD73" s="105">
        <f>VLOOKUP(C73,'BTH mủ tạp'!$D$17:$AN$160,36,0)</f>
        <v>612.56769202124178</v>
      </c>
      <c r="AE73" s="106"/>
      <c r="AF73" s="90"/>
      <c r="AH73" s="75"/>
      <c r="AI73" s="72"/>
      <c r="AJ73" s="73"/>
      <c r="AK73" s="73"/>
      <c r="AL73" s="73"/>
      <c r="AM73" s="73"/>
      <c r="AN73" s="73"/>
      <c r="AO73" s="73"/>
    </row>
    <row r="74" spans="1:41" ht="18.75" customHeight="1">
      <c r="A74" s="103">
        <v>64</v>
      </c>
      <c r="B74" s="228" t="str">
        <f>'Chấm công KT'!C76</f>
        <v>03512</v>
      </c>
      <c r="C74" s="195" t="str">
        <f>'Chấm công KT'!D76</f>
        <v>N. Đon</v>
      </c>
      <c r="D74" s="103" t="s">
        <v>37</v>
      </c>
      <c r="E74" s="239">
        <f t="shared" si="3"/>
        <v>3.2</v>
      </c>
      <c r="F74" s="239"/>
      <c r="G74" s="239"/>
      <c r="H74" s="239"/>
      <c r="I74" s="239"/>
      <c r="J74" s="229"/>
      <c r="K74" s="178"/>
      <c r="L74" s="108"/>
      <c r="M74" s="108"/>
      <c r="N74" s="104"/>
      <c r="O74" s="104"/>
      <c r="P74" s="104"/>
      <c r="Q74" s="230">
        <f t="shared" si="4"/>
        <v>3.2</v>
      </c>
      <c r="R74" s="621">
        <f>VLOOKUP(C74,'BTH mủ tạp'!D80:AK160,34,0)</f>
        <v>1835</v>
      </c>
      <c r="S74" s="229"/>
      <c r="T74" s="170">
        <f t="shared" si="7"/>
        <v>0</v>
      </c>
      <c r="U74" s="232">
        <f t="shared" si="5"/>
        <v>1835</v>
      </c>
      <c r="V74" s="566">
        <f>VLOOKUP(C74,'Chấm công KT'!D76:AK156,34,0)</f>
        <v>22</v>
      </c>
      <c r="W74" s="566">
        <f>VLOOKUP(C74,'Chấm công KT'!D76:AL156,35,0)</f>
        <v>4</v>
      </c>
      <c r="X74" s="567"/>
      <c r="Y74" s="566"/>
      <c r="Z74" s="566">
        <f>VLOOKUP(C74,'Chấm công KT'!$D$13:$AO$92,38,0)</f>
        <v>0</v>
      </c>
      <c r="AA74" s="566">
        <f>VLOOKUP(C74,'Chấm công KT'!$D$13:$AP$92,39,0)</f>
        <v>0</v>
      </c>
      <c r="AB74" s="233"/>
      <c r="AC74" s="234">
        <f t="shared" si="6"/>
        <v>3.2</v>
      </c>
      <c r="AD74" s="105">
        <f>VLOOKUP(C74,'BTH mủ tạp'!$D$17:$AN$160,36,0)</f>
        <v>850.91727090005963</v>
      </c>
      <c r="AE74" s="106"/>
      <c r="AF74" s="90"/>
      <c r="AH74" s="75"/>
      <c r="AI74" s="72"/>
      <c r="AJ74" s="73"/>
      <c r="AK74" s="73"/>
      <c r="AL74" s="73"/>
      <c r="AM74" s="73"/>
      <c r="AN74" s="73"/>
      <c r="AO74" s="73"/>
    </row>
    <row r="75" spans="1:41" ht="18.75" customHeight="1">
      <c r="A75" s="194">
        <v>65</v>
      </c>
      <c r="B75" s="228" t="str">
        <f>'Chấm công KT'!C77</f>
        <v>04068</v>
      </c>
      <c r="C75" s="195" t="str">
        <f>'Chấm công KT'!D77</f>
        <v xml:space="preserve">T. La </v>
      </c>
      <c r="D75" s="103" t="s">
        <v>37</v>
      </c>
      <c r="E75" s="239">
        <f t="shared" si="3"/>
        <v>3.2</v>
      </c>
      <c r="F75" s="239"/>
      <c r="G75" s="239"/>
      <c r="H75" s="239"/>
      <c r="I75" s="239"/>
      <c r="J75" s="229"/>
      <c r="K75" s="178"/>
      <c r="L75" s="108"/>
      <c r="M75" s="108"/>
      <c r="N75" s="104"/>
      <c r="O75" s="104"/>
      <c r="P75" s="104"/>
      <c r="Q75" s="230">
        <f t="shared" si="4"/>
        <v>3.2</v>
      </c>
      <c r="R75" s="621">
        <f>VLOOKUP(C75,'BTH mủ tạp'!D81:AK161,34,0)</f>
        <v>1285</v>
      </c>
      <c r="S75" s="229"/>
      <c r="T75" s="170">
        <f t="shared" si="7"/>
        <v>0</v>
      </c>
      <c r="U75" s="232">
        <f t="shared" si="5"/>
        <v>1285</v>
      </c>
      <c r="V75" s="566">
        <f>VLOOKUP(C75,'Chấm công KT'!D77:AK157,34,0)</f>
        <v>20</v>
      </c>
      <c r="W75" s="566">
        <f>VLOOKUP(C75,'Chấm công KT'!D77:AL157,35,0)</f>
        <v>4</v>
      </c>
      <c r="X75" s="567"/>
      <c r="Y75" s="566"/>
      <c r="Z75" s="566">
        <f>VLOOKUP(C75,'Chấm công KT'!$D$13:$AO$92,38,0)</f>
        <v>0</v>
      </c>
      <c r="AA75" s="566">
        <f>VLOOKUP(C75,'Chấm công KT'!$D$13:$AP$92,39,0)</f>
        <v>0</v>
      </c>
      <c r="AB75" s="233"/>
      <c r="AC75" s="234">
        <f t="shared" si="6"/>
        <v>3.2</v>
      </c>
      <c r="AD75" s="105">
        <f>VLOOKUP(C75,'BTH mủ tạp'!$D$17:$AN$160,36,0)</f>
        <v>595.87394719704446</v>
      </c>
      <c r="AE75" s="106"/>
      <c r="AF75" s="90"/>
      <c r="AH75" s="75"/>
      <c r="AI75" s="72"/>
      <c r="AJ75" s="73"/>
      <c r="AK75" s="73"/>
      <c r="AL75" s="73"/>
      <c r="AM75" s="73"/>
      <c r="AN75" s="73"/>
      <c r="AO75" s="73"/>
    </row>
    <row r="76" spans="1:41" ht="18.75" customHeight="1">
      <c r="A76" s="103">
        <v>66</v>
      </c>
      <c r="B76" s="228" t="str">
        <f>'Chấm công KT'!C78</f>
        <v>04069</v>
      </c>
      <c r="C76" s="195" t="str">
        <f>'Chấm công KT'!D78</f>
        <v>T. Bờm</v>
      </c>
      <c r="D76" s="103" t="s">
        <v>37</v>
      </c>
      <c r="E76" s="239">
        <f t="shared" ref="E76:E83" si="9">4/1.25</f>
        <v>3.2</v>
      </c>
      <c r="F76" s="239"/>
      <c r="G76" s="239"/>
      <c r="H76" s="239"/>
      <c r="I76" s="239"/>
      <c r="J76" s="229"/>
      <c r="K76" s="178"/>
      <c r="L76" s="108"/>
      <c r="M76" s="108"/>
      <c r="N76" s="104"/>
      <c r="O76" s="104"/>
      <c r="P76" s="104"/>
      <c r="Q76" s="230">
        <f t="shared" ref="Q76:Q94" si="10">SUM(E76:P76)</f>
        <v>3.2</v>
      </c>
      <c r="R76" s="621">
        <f>VLOOKUP(C76,'BTH mủ tạp'!D82:AK162,34,0)</f>
        <v>1785</v>
      </c>
      <c r="S76" s="229"/>
      <c r="T76" s="170">
        <f>S76*50/100</f>
        <v>0</v>
      </c>
      <c r="U76" s="232">
        <f t="shared" ref="U76:U93" si="11">R76</f>
        <v>1785</v>
      </c>
      <c r="V76" s="566">
        <f>VLOOKUP(C76,'Chấm công KT'!D78:AK158,34,0)</f>
        <v>22</v>
      </c>
      <c r="W76" s="566">
        <f>VLOOKUP(C76,'Chấm công KT'!D78:AL158,35,0)</f>
        <v>4</v>
      </c>
      <c r="X76" s="567"/>
      <c r="Y76" s="566"/>
      <c r="Z76" s="566">
        <f>VLOOKUP(C76,'Chấm công KT'!$D$13:$AO$92,38,0)</f>
        <v>0</v>
      </c>
      <c r="AA76" s="566">
        <f>VLOOKUP(C76,'Chấm công KT'!$D$13:$AP$92,39,0)</f>
        <v>0</v>
      </c>
      <c r="AB76" s="233"/>
      <c r="AC76" s="234">
        <f t="shared" si="6"/>
        <v>3.2</v>
      </c>
      <c r="AD76" s="105">
        <f>VLOOKUP(C76,'BTH mủ tạp'!$D$17:$AN$160,36,0)</f>
        <v>827.73151419978558</v>
      </c>
      <c r="AE76" s="106"/>
      <c r="AF76" s="90"/>
      <c r="AH76" s="75"/>
      <c r="AI76" s="72"/>
      <c r="AJ76" s="73"/>
      <c r="AK76" s="73"/>
      <c r="AL76" s="73"/>
      <c r="AM76" s="73"/>
      <c r="AN76" s="73"/>
      <c r="AO76" s="73"/>
    </row>
    <row r="77" spans="1:41" ht="18.75" customHeight="1">
      <c r="A77" s="194">
        <v>67</v>
      </c>
      <c r="B77" s="228" t="str">
        <f>'Chấm công KT'!C79</f>
        <v>03546</v>
      </c>
      <c r="C77" s="195" t="str">
        <f>'Chấm công KT'!D79</f>
        <v>T. Nọi</v>
      </c>
      <c r="D77" s="103" t="s">
        <v>37</v>
      </c>
      <c r="E77" s="239">
        <f t="shared" si="9"/>
        <v>3.2</v>
      </c>
      <c r="F77" s="239"/>
      <c r="G77" s="239"/>
      <c r="H77" s="239"/>
      <c r="I77" s="239"/>
      <c r="J77" s="229"/>
      <c r="K77" s="178"/>
      <c r="L77" s="108"/>
      <c r="M77" s="108"/>
      <c r="N77" s="104"/>
      <c r="O77" s="104"/>
      <c r="P77" s="104"/>
      <c r="Q77" s="230">
        <f t="shared" si="10"/>
        <v>3.2</v>
      </c>
      <c r="R77" s="621">
        <f>VLOOKUP(C77,'BTH mủ tạp'!D83:AK163,34,0)</f>
        <v>1792</v>
      </c>
      <c r="S77" s="229"/>
      <c r="T77" s="170">
        <f t="shared" ref="T77:T79" si="12">S77*50/100</f>
        <v>0</v>
      </c>
      <c r="U77" s="232">
        <f t="shared" si="11"/>
        <v>1792</v>
      </c>
      <c r="V77" s="566">
        <f>VLOOKUP(C77,'Chấm công KT'!D79:AK159,34,0)</f>
        <v>23</v>
      </c>
      <c r="W77" s="566">
        <f>VLOOKUP(C77,'Chấm công KT'!D79:AL159,35,0)</f>
        <v>5</v>
      </c>
      <c r="X77" s="567"/>
      <c r="Y77" s="566"/>
      <c r="Z77" s="566">
        <f>VLOOKUP(C77,'Chấm công KT'!$D$13:$AO$92,38,0)</f>
        <v>0</v>
      </c>
      <c r="AA77" s="566">
        <f>VLOOKUP(C77,'Chấm công KT'!$D$13:$AP$92,39,0)</f>
        <v>0</v>
      </c>
      <c r="AB77" s="233"/>
      <c r="AC77" s="234">
        <f t="shared" ref="AC77:AC79" si="13">Q77</f>
        <v>3.2</v>
      </c>
      <c r="AD77" s="105">
        <f>VLOOKUP(C77,'BTH mủ tạp'!$D$17:$AN$160,36,0)</f>
        <v>830.97752013782383</v>
      </c>
      <c r="AE77" s="106"/>
      <c r="AF77" s="90"/>
      <c r="AH77" s="75"/>
      <c r="AI77" s="72"/>
      <c r="AJ77" s="73"/>
      <c r="AK77" s="73"/>
      <c r="AL77" s="73"/>
      <c r="AM77" s="73"/>
      <c r="AN77" s="73"/>
      <c r="AO77" s="73"/>
    </row>
    <row r="78" spans="1:41" ht="18.75" customHeight="1">
      <c r="A78" s="103">
        <v>68</v>
      </c>
      <c r="B78" s="228" t="str">
        <f>'Chấm công KT'!C80</f>
        <v>03571</v>
      </c>
      <c r="C78" s="195" t="str">
        <f>'Chấm công KT'!D80</f>
        <v>T. Ê</v>
      </c>
      <c r="D78" s="103" t="s">
        <v>37</v>
      </c>
      <c r="E78" s="239">
        <f t="shared" si="9"/>
        <v>3.2</v>
      </c>
      <c r="F78" s="239"/>
      <c r="G78" s="239"/>
      <c r="H78" s="239"/>
      <c r="I78" s="239"/>
      <c r="J78" s="229"/>
      <c r="K78" s="178"/>
      <c r="L78" s="108"/>
      <c r="M78" s="108"/>
      <c r="N78" s="104"/>
      <c r="O78" s="104"/>
      <c r="P78" s="104"/>
      <c r="Q78" s="230">
        <f t="shared" si="10"/>
        <v>3.2</v>
      </c>
      <c r="R78" s="621">
        <f>VLOOKUP(C78,'BTH mủ tạp'!D84:AK164,34,0)</f>
        <v>1301</v>
      </c>
      <c r="S78" s="229"/>
      <c r="T78" s="170">
        <f t="shared" si="12"/>
        <v>0</v>
      </c>
      <c r="U78" s="232">
        <f t="shared" si="11"/>
        <v>1301</v>
      </c>
      <c r="V78" s="566">
        <f>VLOOKUP(C78,'Chấm công KT'!D80:AK160,34,0)</f>
        <v>22</v>
      </c>
      <c r="W78" s="566">
        <f>VLOOKUP(C78,'Chấm công KT'!D80:AL160,35,0)</f>
        <v>5</v>
      </c>
      <c r="X78" s="567"/>
      <c r="Y78" s="566"/>
      <c r="Z78" s="566">
        <f>VLOOKUP(C78,'Chấm công KT'!$D$13:$AO$92,38,0)</f>
        <v>0</v>
      </c>
      <c r="AA78" s="566">
        <f>VLOOKUP(C78,'Chấm công KT'!$D$13:$AP$92,39,0)</f>
        <v>0</v>
      </c>
      <c r="AB78" s="233"/>
      <c r="AC78" s="234">
        <f t="shared" si="13"/>
        <v>3.2</v>
      </c>
      <c r="AD78" s="105">
        <f>VLOOKUP(C78,'BTH mủ tạp'!$D$17:$AN$160,36,0)</f>
        <v>603.29338934113218</v>
      </c>
      <c r="AE78" s="106"/>
      <c r="AF78" s="90"/>
      <c r="AH78" s="75"/>
      <c r="AI78" s="72"/>
      <c r="AJ78" s="73"/>
      <c r="AK78" s="73"/>
      <c r="AL78" s="73"/>
      <c r="AM78" s="73"/>
      <c r="AN78" s="73"/>
      <c r="AO78" s="73"/>
    </row>
    <row r="79" spans="1:41" ht="18.75" customHeight="1">
      <c r="A79" s="194">
        <v>69</v>
      </c>
      <c r="B79" s="228" t="str">
        <f>'Chấm công KT'!C81</f>
        <v>04070</v>
      </c>
      <c r="C79" s="195" t="str">
        <f>'Chấm công KT'!D81</f>
        <v>T Bun</v>
      </c>
      <c r="D79" s="103" t="s">
        <v>37</v>
      </c>
      <c r="E79" s="239">
        <f t="shared" si="9"/>
        <v>3.2</v>
      </c>
      <c r="F79" s="239"/>
      <c r="G79" s="239"/>
      <c r="H79" s="239"/>
      <c r="I79" s="239"/>
      <c r="J79" s="229"/>
      <c r="K79" s="178"/>
      <c r="L79" s="108"/>
      <c r="M79" s="108"/>
      <c r="N79" s="104"/>
      <c r="O79" s="104"/>
      <c r="P79" s="104"/>
      <c r="Q79" s="230">
        <f t="shared" si="10"/>
        <v>3.2</v>
      </c>
      <c r="R79" s="621">
        <f>VLOOKUP(C79,'BTH mủ tạp'!D85:AK165,34,0)</f>
        <v>1568</v>
      </c>
      <c r="S79" s="229"/>
      <c r="T79" s="170">
        <f t="shared" si="12"/>
        <v>0</v>
      </c>
      <c r="U79" s="232">
        <f t="shared" si="11"/>
        <v>1568</v>
      </c>
      <c r="V79" s="566">
        <f>VLOOKUP(C79,'Chấm công KT'!D81:AK161,34,0)</f>
        <v>18</v>
      </c>
      <c r="W79" s="566">
        <f>VLOOKUP(C79,'Chấm công KT'!D81:AL161,35,0)</f>
        <v>5</v>
      </c>
      <c r="X79" s="567"/>
      <c r="Y79" s="566"/>
      <c r="Z79" s="566">
        <f>VLOOKUP(C79,'Chấm công KT'!$D$13:$AO$92,38,0)</f>
        <v>0</v>
      </c>
      <c r="AA79" s="566">
        <f>VLOOKUP(C79,'Chấm công KT'!$D$13:$AP$92,39,0)</f>
        <v>0</v>
      </c>
      <c r="AB79" s="233"/>
      <c r="AC79" s="234">
        <f t="shared" si="13"/>
        <v>3.2</v>
      </c>
      <c r="AD79" s="105">
        <f>VLOOKUP(C79,'BTH mủ tạp'!$D$17:$AN$160,36,0)</f>
        <v>727.10533012059591</v>
      </c>
      <c r="AE79" s="106"/>
      <c r="AF79" s="90"/>
      <c r="AH79" s="75"/>
      <c r="AI79" s="72"/>
      <c r="AJ79" s="73"/>
      <c r="AK79" s="73"/>
      <c r="AL79" s="73"/>
      <c r="AM79" s="73"/>
      <c r="AN79" s="73"/>
      <c r="AO79" s="73"/>
    </row>
    <row r="80" spans="1:41" ht="18.75" customHeight="1">
      <c r="A80" s="103">
        <v>70</v>
      </c>
      <c r="B80" s="228" t="str">
        <f>'Chấm công KT'!C82</f>
        <v>03515</v>
      </c>
      <c r="C80" s="195" t="str">
        <f>'Chấm công KT'!D82</f>
        <v>N. Xi</v>
      </c>
      <c r="D80" s="103" t="s">
        <v>37</v>
      </c>
      <c r="E80" s="239">
        <f t="shared" si="9"/>
        <v>3.2</v>
      </c>
      <c r="F80" s="239"/>
      <c r="G80" s="239"/>
      <c r="H80" s="239"/>
      <c r="I80" s="239"/>
      <c r="J80" s="229"/>
      <c r="K80" s="178"/>
      <c r="L80" s="108"/>
      <c r="M80" s="108"/>
      <c r="N80" s="104"/>
      <c r="O80" s="104"/>
      <c r="P80" s="104"/>
      <c r="Q80" s="230">
        <f t="shared" si="10"/>
        <v>3.2</v>
      </c>
      <c r="R80" s="621">
        <f>VLOOKUP(C80,'BTH mủ tạp'!D86:AK166,34,0)</f>
        <v>2427</v>
      </c>
      <c r="S80" s="229"/>
      <c r="T80" s="170">
        <f t="shared" ref="T80:T84" si="14">S80*50/100</f>
        <v>0</v>
      </c>
      <c r="U80" s="232">
        <f t="shared" si="11"/>
        <v>2427</v>
      </c>
      <c r="V80" s="566">
        <f>VLOOKUP(C80,'Chấm công KT'!D82:AK162,34,0)</f>
        <v>23</v>
      </c>
      <c r="W80" s="566">
        <f>VLOOKUP(C80,'Chấm công KT'!D82:AL162,35,0)</f>
        <v>5</v>
      </c>
      <c r="X80" s="567"/>
      <c r="Y80" s="566"/>
      <c r="Z80" s="566">
        <f>VLOOKUP(C80,'Chấm công KT'!$D$13:$AO$92,38,0)</f>
        <v>0</v>
      </c>
      <c r="AA80" s="566">
        <f>VLOOKUP(C80,'Chấm công KT'!$D$13:$AP$92,39,0)</f>
        <v>0</v>
      </c>
      <c r="AB80" s="233"/>
      <c r="AC80" s="234">
        <f>Q80</f>
        <v>3.2</v>
      </c>
      <c r="AD80" s="105">
        <f>VLOOKUP(C80,'BTH mủ tạp'!$D$17:$AN$160,36,0)</f>
        <v>1125.4366302313051</v>
      </c>
      <c r="AE80" s="106"/>
      <c r="AF80" s="90"/>
      <c r="AH80" s="75"/>
      <c r="AI80" s="72"/>
      <c r="AJ80" s="73"/>
      <c r="AK80" s="73"/>
      <c r="AL80" s="73"/>
      <c r="AM80" s="73"/>
      <c r="AN80" s="73"/>
      <c r="AO80" s="73"/>
    </row>
    <row r="81" spans="1:41" ht="18.75" customHeight="1">
      <c r="A81" s="194">
        <v>71</v>
      </c>
      <c r="B81" s="228" t="str">
        <f>'Chấm công KT'!C83</f>
        <v>03516</v>
      </c>
      <c r="C81" s="195" t="str">
        <f>'Chấm công KT'!D83</f>
        <v>N. Chay</v>
      </c>
      <c r="D81" s="103" t="s">
        <v>37</v>
      </c>
      <c r="E81" s="239">
        <f t="shared" si="9"/>
        <v>3.2</v>
      </c>
      <c r="F81" s="239"/>
      <c r="G81" s="239"/>
      <c r="H81" s="239"/>
      <c r="I81" s="239"/>
      <c r="J81" s="229"/>
      <c r="K81" s="178"/>
      <c r="L81" s="108"/>
      <c r="M81" s="229"/>
      <c r="N81" s="104"/>
      <c r="O81" s="104"/>
      <c r="P81" s="104"/>
      <c r="Q81" s="230">
        <f t="shared" si="10"/>
        <v>3.2</v>
      </c>
      <c r="R81" s="621">
        <f>VLOOKUP(C81,'BTH mủ tạp'!D87:AK167,34,0)</f>
        <v>1459</v>
      </c>
      <c r="S81" s="229"/>
      <c r="T81" s="170">
        <f t="shared" si="14"/>
        <v>0</v>
      </c>
      <c r="U81" s="232">
        <f t="shared" si="11"/>
        <v>1459</v>
      </c>
      <c r="V81" s="566">
        <f>VLOOKUP(C81,'Chấm công KT'!D83:AK163,34,0)</f>
        <v>17</v>
      </c>
      <c r="W81" s="566">
        <f>VLOOKUP(C81,'Chấm công KT'!D83:AL163,35,0)</f>
        <v>4</v>
      </c>
      <c r="X81" s="567"/>
      <c r="Y81" s="566"/>
      <c r="Z81" s="566">
        <f>VLOOKUP(C81,'Chấm công KT'!$D$13:$AO$92,38,0)</f>
        <v>0</v>
      </c>
      <c r="AA81" s="566">
        <f>VLOOKUP(C81,'Chấm công KT'!$D$13:$AP$92,39,0)</f>
        <v>0</v>
      </c>
      <c r="AB81" s="233"/>
      <c r="AC81" s="234">
        <f>Q81</f>
        <v>3.2</v>
      </c>
      <c r="AD81" s="105">
        <f>VLOOKUP(C81,'BTH mủ tạp'!$D$17:$AN$160,36,0)</f>
        <v>676.56038051399844</v>
      </c>
      <c r="AE81" s="106"/>
      <c r="AF81" s="90"/>
      <c r="AH81" s="75"/>
      <c r="AI81" s="72"/>
      <c r="AJ81" s="73"/>
      <c r="AK81" s="73"/>
      <c r="AL81" s="73"/>
      <c r="AM81" s="73"/>
      <c r="AN81" s="73"/>
      <c r="AO81" s="73"/>
    </row>
    <row r="82" spans="1:41" ht="18.75" customHeight="1">
      <c r="A82" s="103">
        <v>72</v>
      </c>
      <c r="B82" s="228" t="str">
        <f>'Chấm công KT'!C84</f>
        <v>03544</v>
      </c>
      <c r="C82" s="195" t="str">
        <f>'Chấm công KT'!D84</f>
        <v>T. Ta</v>
      </c>
      <c r="D82" s="103" t="s">
        <v>37</v>
      </c>
      <c r="E82" s="239">
        <f t="shared" si="9"/>
        <v>3.2</v>
      </c>
      <c r="F82" s="239"/>
      <c r="G82" s="239"/>
      <c r="H82" s="239"/>
      <c r="I82" s="239"/>
      <c r="J82" s="229"/>
      <c r="K82" s="178"/>
      <c r="L82" s="108"/>
      <c r="M82" s="229"/>
      <c r="N82" s="104"/>
      <c r="O82" s="104"/>
      <c r="P82" s="104"/>
      <c r="Q82" s="230">
        <f t="shared" si="10"/>
        <v>3.2</v>
      </c>
      <c r="R82" s="621">
        <f>VLOOKUP(C82,'BTH mủ tạp'!D88:AK168,34,0)</f>
        <v>1582</v>
      </c>
      <c r="S82" s="229"/>
      <c r="T82" s="170">
        <f t="shared" si="14"/>
        <v>0</v>
      </c>
      <c r="U82" s="232">
        <f t="shared" si="11"/>
        <v>1582</v>
      </c>
      <c r="V82" s="566">
        <f>VLOOKUP(C82,'Chấm công KT'!D84:AK164,34,0)</f>
        <v>23</v>
      </c>
      <c r="W82" s="566">
        <f>VLOOKUP(C82,'Chấm công KT'!D84:AL164,35,0)</f>
        <v>5</v>
      </c>
      <c r="X82" s="567"/>
      <c r="Y82" s="566"/>
      <c r="Z82" s="566">
        <f>VLOOKUP(C82,'Chấm công KT'!$D$13:$AO$92,38,0)</f>
        <v>0</v>
      </c>
      <c r="AA82" s="566">
        <f>VLOOKUP(C82,'Chấm công KT'!$D$13:$AP$92,39,0)</f>
        <v>0</v>
      </c>
      <c r="AB82" s="233"/>
      <c r="AC82" s="234">
        <f>Q82</f>
        <v>3.2</v>
      </c>
      <c r="AD82" s="105">
        <f>VLOOKUP(C82,'BTH mủ tạp'!$D$17:$AN$160,36,0)</f>
        <v>733.59734199667264</v>
      </c>
      <c r="AE82" s="106"/>
      <c r="AF82" s="90"/>
      <c r="AH82" s="75"/>
      <c r="AI82" s="72"/>
      <c r="AJ82" s="73"/>
      <c r="AK82" s="73"/>
      <c r="AL82" s="73"/>
      <c r="AM82" s="73"/>
      <c r="AN82" s="73"/>
      <c r="AO82" s="73"/>
    </row>
    <row r="83" spans="1:41" ht="18.75" customHeight="1">
      <c r="A83" s="194">
        <v>73</v>
      </c>
      <c r="B83" s="228" t="str">
        <f>'Chấm công KT'!C85</f>
        <v>04071</v>
      </c>
      <c r="C83" s="195" t="str">
        <f>'Chấm công KT'!D85</f>
        <v>T. Ne</v>
      </c>
      <c r="D83" s="103" t="s">
        <v>37</v>
      </c>
      <c r="E83" s="239">
        <f t="shared" si="9"/>
        <v>3.2</v>
      </c>
      <c r="F83" s="239"/>
      <c r="G83" s="239"/>
      <c r="H83" s="239"/>
      <c r="I83" s="239"/>
      <c r="J83" s="229"/>
      <c r="K83" s="178"/>
      <c r="L83" s="178"/>
      <c r="M83" s="229"/>
      <c r="N83" s="229"/>
      <c r="O83" s="240"/>
      <c r="P83" s="104"/>
      <c r="Q83" s="230">
        <f t="shared" si="10"/>
        <v>3.2</v>
      </c>
      <c r="R83" s="621">
        <f>VLOOKUP(C83,'BTH mủ tạp'!D89:AK169,34,0)</f>
        <v>1588</v>
      </c>
      <c r="S83" s="229"/>
      <c r="T83" s="170">
        <f t="shared" si="14"/>
        <v>0</v>
      </c>
      <c r="U83" s="232">
        <f t="shared" si="11"/>
        <v>1588</v>
      </c>
      <c r="V83" s="566">
        <f>VLOOKUP(C83,'Chấm công KT'!D85:AK165,34,0)</f>
        <v>23</v>
      </c>
      <c r="W83" s="566">
        <f>VLOOKUP(C83,'Chấm công KT'!D85:AL165,35,0)</f>
        <v>5</v>
      </c>
      <c r="X83" s="567"/>
      <c r="Y83" s="566"/>
      <c r="Z83" s="566">
        <f>VLOOKUP(C83,'Chấm công KT'!$D$13:$AO$92,38,0)</f>
        <v>0</v>
      </c>
      <c r="AA83" s="566">
        <f>VLOOKUP(C83,'Chấm công KT'!$D$13:$AP$92,39,0)</f>
        <v>0</v>
      </c>
      <c r="AB83" s="233"/>
      <c r="AC83" s="234">
        <f>Q83</f>
        <v>3.2</v>
      </c>
      <c r="AD83" s="105">
        <f>VLOOKUP(C83,'BTH mủ tạp'!$D$17:$AN$160,36,0)</f>
        <v>736.37963280070562</v>
      </c>
      <c r="AE83" s="106"/>
      <c r="AF83" s="90"/>
      <c r="AH83" s="75"/>
      <c r="AI83" s="72"/>
      <c r="AJ83" s="73"/>
      <c r="AK83" s="73"/>
      <c r="AL83" s="73"/>
      <c r="AM83" s="73"/>
      <c r="AN83" s="73"/>
      <c r="AO83" s="73"/>
    </row>
    <row r="84" spans="1:41" s="497" customFormat="1" ht="18.75" customHeight="1">
      <c r="A84" s="103">
        <v>74</v>
      </c>
      <c r="B84" s="512"/>
      <c r="C84" s="195" t="str">
        <f>'Chấm công KT'!D86</f>
        <v>T. Tý</v>
      </c>
      <c r="D84" s="511" t="s">
        <v>37</v>
      </c>
      <c r="E84" s="487"/>
      <c r="F84" s="487"/>
      <c r="G84" s="487"/>
      <c r="H84" s="487"/>
      <c r="I84" s="487"/>
      <c r="J84" s="488"/>
      <c r="K84" s="486"/>
      <c r="L84" s="486"/>
      <c r="M84" s="488"/>
      <c r="N84" s="488"/>
      <c r="O84" s="513"/>
      <c r="P84" s="514"/>
      <c r="Q84" s="230">
        <f t="shared" si="10"/>
        <v>0</v>
      </c>
      <c r="R84" s="621">
        <f>VLOOKUP(C84,'BTH mủ tạp'!D90:AK170,34,0)</f>
        <v>109</v>
      </c>
      <c r="S84" s="229"/>
      <c r="T84" s="502">
        <f t="shared" si="14"/>
        <v>0</v>
      </c>
      <c r="U84" s="232">
        <f t="shared" si="11"/>
        <v>109</v>
      </c>
      <c r="V84" s="566">
        <f>VLOOKUP(C84,'Chấm công KT'!D86:AK166,34,0)</f>
        <v>7</v>
      </c>
      <c r="W84" s="566">
        <f>VLOOKUP(C84,'Chấm công KT'!D86:AL166,35,0)</f>
        <v>1</v>
      </c>
      <c r="X84" s="567"/>
      <c r="Y84" s="566"/>
      <c r="Z84" s="566">
        <f>VLOOKUP(C84,'Chấm công KT'!$D$13:$AO$92,38,0)</f>
        <v>0</v>
      </c>
      <c r="AA84" s="566">
        <f>VLOOKUP(C84,'Chấm công KT'!$D$13:$AP$92,39,0)</f>
        <v>0</v>
      </c>
      <c r="AB84" s="515"/>
      <c r="AC84" s="516">
        <f>Q84</f>
        <v>0</v>
      </c>
      <c r="AD84" s="105">
        <f>VLOOKUP(C84,'BTH mủ tạp'!$D$17:$AN$160,36,0)</f>
        <v>50.544949606597548</v>
      </c>
      <c r="AE84" s="504"/>
      <c r="AF84" s="496"/>
      <c r="AH84" s="505"/>
      <c r="AI84" s="517"/>
      <c r="AJ84" s="506"/>
      <c r="AK84" s="506"/>
      <c r="AL84" s="506"/>
      <c r="AM84" s="506"/>
      <c r="AN84" s="506"/>
      <c r="AO84" s="506"/>
    </row>
    <row r="85" spans="1:41" s="497" customFormat="1" ht="18.75" customHeight="1">
      <c r="A85" s="194">
        <v>75</v>
      </c>
      <c r="B85" s="485"/>
      <c r="C85" s="195" t="str">
        <f>'Chấm công KT'!D87</f>
        <v>T. Lã</v>
      </c>
      <c r="D85" s="511" t="s">
        <v>37</v>
      </c>
      <c r="E85" s="487"/>
      <c r="F85" s="487"/>
      <c r="G85" s="487"/>
      <c r="H85" s="487"/>
      <c r="I85" s="487"/>
      <c r="J85" s="488"/>
      <c r="K85" s="486"/>
      <c r="L85" s="486"/>
      <c r="M85" s="488"/>
      <c r="N85" s="488"/>
      <c r="O85" s="513"/>
      <c r="P85" s="514"/>
      <c r="Q85" s="230">
        <f t="shared" si="10"/>
        <v>0</v>
      </c>
      <c r="R85" s="621">
        <f>VLOOKUP(C85,'BTH mủ tạp'!D91:AK171,34,0)</f>
        <v>1137</v>
      </c>
      <c r="S85" s="229"/>
      <c r="T85" s="502">
        <f t="shared" ref="T85:T93" si="15">S85*50/100</f>
        <v>0</v>
      </c>
      <c r="U85" s="232">
        <f t="shared" si="11"/>
        <v>1137</v>
      </c>
      <c r="V85" s="566">
        <f>VLOOKUP(C85,'Chấm công KT'!D87:AK167,34,0)</f>
        <v>22</v>
      </c>
      <c r="W85" s="566">
        <f>VLOOKUP(C85,'Chấm công KT'!D87:AL167,35,0)</f>
        <v>3</v>
      </c>
      <c r="X85" s="567"/>
      <c r="Y85" s="566"/>
      <c r="Z85" s="566">
        <f>VLOOKUP(C85,'Chấm công KT'!$D$13:$AO$92,38,0)</f>
        <v>0</v>
      </c>
      <c r="AA85" s="566">
        <f>VLOOKUP(C85,'Chấm công KT'!$D$13:$AP$92,39,0)</f>
        <v>0</v>
      </c>
      <c r="AB85" s="515"/>
      <c r="AC85" s="516">
        <f t="shared" ref="AC85:AC94" si="16">Q85</f>
        <v>0</v>
      </c>
      <c r="AD85" s="105">
        <f>VLOOKUP(C85,'BTH mủ tạp'!$D$17:$AN$160,36,0)</f>
        <v>527.24410736423317</v>
      </c>
      <c r="AE85" s="504"/>
      <c r="AF85" s="496"/>
      <c r="AH85" s="505"/>
      <c r="AI85" s="517"/>
      <c r="AJ85" s="506"/>
      <c r="AK85" s="506"/>
      <c r="AL85" s="506"/>
      <c r="AM85" s="506"/>
      <c r="AN85" s="506"/>
      <c r="AO85" s="506"/>
    </row>
    <row r="86" spans="1:41" s="497" customFormat="1" ht="18.75" customHeight="1">
      <c r="A86" s="103">
        <v>76</v>
      </c>
      <c r="B86" s="485"/>
      <c r="C86" s="195" t="str">
        <f>'Chấm công KT'!D88</f>
        <v>N. Veo</v>
      </c>
      <c r="D86" s="511" t="s">
        <v>37</v>
      </c>
      <c r="E86" s="487"/>
      <c r="F86" s="487"/>
      <c r="G86" s="487"/>
      <c r="H86" s="487"/>
      <c r="I86" s="487"/>
      <c r="J86" s="488"/>
      <c r="K86" s="486"/>
      <c r="L86" s="486"/>
      <c r="M86" s="488"/>
      <c r="N86" s="488"/>
      <c r="O86" s="513"/>
      <c r="P86" s="514"/>
      <c r="Q86" s="230">
        <f t="shared" si="10"/>
        <v>0</v>
      </c>
      <c r="R86" s="621">
        <f>VLOOKUP(C86,'BTH mủ tạp'!D92:AK172,34,0)</f>
        <v>1347</v>
      </c>
      <c r="S86" s="229"/>
      <c r="T86" s="502">
        <f t="shared" si="15"/>
        <v>0</v>
      </c>
      <c r="U86" s="232">
        <f t="shared" si="11"/>
        <v>1347</v>
      </c>
      <c r="V86" s="566">
        <f>VLOOKUP(C86,'Chấm công KT'!D88:AK168,34,0)</f>
        <v>20</v>
      </c>
      <c r="W86" s="566">
        <f>VLOOKUP(C86,'Chấm công KT'!D88:AL168,35,0)</f>
        <v>3</v>
      </c>
      <c r="X86" s="567"/>
      <c r="Y86" s="566"/>
      <c r="Z86" s="566">
        <f>VLOOKUP(C86,'Chấm công KT'!$D$13:$AO$92,38,0)</f>
        <v>0</v>
      </c>
      <c r="AA86" s="566">
        <f>VLOOKUP(C86,'Chấm công KT'!$D$13:$AP$92,39,0)</f>
        <v>0</v>
      </c>
      <c r="AB86" s="515"/>
      <c r="AC86" s="516">
        <f t="shared" si="16"/>
        <v>0</v>
      </c>
      <c r="AD86" s="105">
        <f>VLOOKUP(C86,'BTH mủ tạp'!$D$17:$AN$160,36,0)</f>
        <v>624.62428550538436</v>
      </c>
      <c r="AE86" s="504"/>
      <c r="AF86" s="496"/>
      <c r="AH86" s="505"/>
      <c r="AI86" s="517"/>
      <c r="AJ86" s="506"/>
      <c r="AK86" s="506"/>
      <c r="AL86" s="506"/>
      <c r="AM86" s="506"/>
      <c r="AN86" s="506"/>
      <c r="AO86" s="506"/>
    </row>
    <row r="87" spans="1:41" s="497" customFormat="1" ht="18.75" customHeight="1">
      <c r="A87" s="194">
        <v>77</v>
      </c>
      <c r="B87" s="485"/>
      <c r="C87" s="195" t="str">
        <f>'Chấm công KT'!D89</f>
        <v>T. Pu</v>
      </c>
      <c r="D87" s="511" t="s">
        <v>37</v>
      </c>
      <c r="E87" s="499"/>
      <c r="F87" s="499"/>
      <c r="G87" s="499"/>
      <c r="H87" s="499"/>
      <c r="I87" s="499"/>
      <c r="J87" s="500"/>
      <c r="K87" s="489"/>
      <c r="L87" s="489"/>
      <c r="M87" s="500"/>
      <c r="N87" s="500"/>
      <c r="O87" s="518"/>
      <c r="P87" s="490"/>
      <c r="Q87" s="230">
        <f t="shared" si="10"/>
        <v>0</v>
      </c>
      <c r="R87" s="621">
        <f>VLOOKUP(C87,'BTH mủ tạp'!D93:AK173,34,0)</f>
        <v>870</v>
      </c>
      <c r="S87" s="229"/>
      <c r="T87" s="502"/>
      <c r="U87" s="232">
        <f t="shared" si="11"/>
        <v>870</v>
      </c>
      <c r="V87" s="566">
        <f>VLOOKUP(C87,'Chấm công KT'!D89:AK169,34,0)</f>
        <v>15</v>
      </c>
      <c r="W87" s="566">
        <f>VLOOKUP(C87,'Chấm công KT'!D89:AL169,35,0)</f>
        <v>2</v>
      </c>
      <c r="X87" s="567"/>
      <c r="Y87" s="566"/>
      <c r="Z87" s="566">
        <f>VLOOKUP(C87,'Chấm công KT'!$D$13:$AO$92,38,0)</f>
        <v>0</v>
      </c>
      <c r="AA87" s="566">
        <f>VLOOKUP(C87,'Chấm công KT'!$D$13:$AP$92,39,0)</f>
        <v>0</v>
      </c>
      <c r="AB87" s="515"/>
      <c r="AC87" s="516">
        <f t="shared" si="16"/>
        <v>0</v>
      </c>
      <c r="AD87" s="105">
        <f>VLOOKUP(C87,'BTH mủ tạp'!$D$17:$AN$160,36,0)</f>
        <v>403.43216658476945</v>
      </c>
      <c r="AE87" s="504"/>
      <c r="AF87" s="496"/>
      <c r="AH87" s="505"/>
      <c r="AI87" s="517"/>
      <c r="AJ87" s="506"/>
      <c r="AK87" s="506"/>
      <c r="AL87" s="506"/>
      <c r="AM87" s="506"/>
      <c r="AN87" s="506"/>
      <c r="AO87" s="506"/>
    </row>
    <row r="88" spans="1:41" s="497" customFormat="1" ht="18.75" customHeight="1">
      <c r="A88" s="103">
        <v>78</v>
      </c>
      <c r="B88" s="485"/>
      <c r="C88" s="195" t="str">
        <f>'Chấm công KT'!D90</f>
        <v>T. Ta.</v>
      </c>
      <c r="D88" s="511" t="s">
        <v>37</v>
      </c>
      <c r="E88" s="499"/>
      <c r="F88" s="499"/>
      <c r="G88" s="499"/>
      <c r="H88" s="499"/>
      <c r="I88" s="499"/>
      <c r="J88" s="500"/>
      <c r="K88" s="489"/>
      <c r="L88" s="489"/>
      <c r="M88" s="500"/>
      <c r="N88" s="500"/>
      <c r="O88" s="518"/>
      <c r="P88" s="490"/>
      <c r="Q88" s="230">
        <f t="shared" si="10"/>
        <v>0</v>
      </c>
      <c r="R88" s="621">
        <f>VLOOKUP(C88,'BTH mủ tạp'!D94:AK174,34,0)</f>
        <v>717</v>
      </c>
      <c r="S88" s="229"/>
      <c r="T88" s="502"/>
      <c r="U88" s="232">
        <f t="shared" si="11"/>
        <v>717</v>
      </c>
      <c r="V88" s="566">
        <f>VLOOKUP(C88,'Chấm công KT'!D90:AK170,34,0)</f>
        <v>12</v>
      </c>
      <c r="W88" s="566">
        <f>VLOOKUP(C88,'Chấm công KT'!D90:AL170,35,0)</f>
        <v>2</v>
      </c>
      <c r="X88" s="567"/>
      <c r="Y88" s="566"/>
      <c r="Z88" s="566">
        <f>VLOOKUP(C88,'Chấm công KT'!$D$13:$AO$92,38,0)</f>
        <v>0</v>
      </c>
      <c r="AA88" s="566">
        <f>VLOOKUP(C88,'Chấm công KT'!$D$13:$AP$92,39,0)</f>
        <v>0</v>
      </c>
      <c r="AB88" s="515"/>
      <c r="AC88" s="516">
        <f t="shared" si="16"/>
        <v>0</v>
      </c>
      <c r="AD88" s="105">
        <f>VLOOKUP(C88,'BTH mủ tạp'!$D$17:$AN$160,36,0)</f>
        <v>332.48375108193068</v>
      </c>
      <c r="AE88" s="504"/>
      <c r="AF88" s="496"/>
      <c r="AH88" s="505"/>
      <c r="AI88" s="517"/>
      <c r="AJ88" s="506"/>
      <c r="AK88" s="506"/>
      <c r="AL88" s="506"/>
      <c r="AM88" s="506"/>
      <c r="AN88" s="506"/>
      <c r="AO88" s="506"/>
    </row>
    <row r="89" spans="1:41" s="497" customFormat="1" ht="18.75" customHeight="1">
      <c r="A89" s="194">
        <v>79</v>
      </c>
      <c r="B89" s="485"/>
      <c r="C89" s="195" t="str">
        <f>'Chấm công KT'!D91</f>
        <v>N. Nang</v>
      </c>
      <c r="D89" s="511" t="s">
        <v>37</v>
      </c>
      <c r="E89" s="499"/>
      <c r="F89" s="499"/>
      <c r="G89" s="499"/>
      <c r="H89" s="499"/>
      <c r="I89" s="499"/>
      <c r="J89" s="500"/>
      <c r="K89" s="489"/>
      <c r="L89" s="489"/>
      <c r="M89" s="500"/>
      <c r="N89" s="500"/>
      <c r="O89" s="518"/>
      <c r="P89" s="490"/>
      <c r="Q89" s="230">
        <f t="shared" si="10"/>
        <v>0</v>
      </c>
      <c r="R89" s="621">
        <f>VLOOKUP(C89,'BTH mủ tạp'!D95:AK175,34,0)</f>
        <v>477</v>
      </c>
      <c r="S89" s="229"/>
      <c r="T89" s="502"/>
      <c r="U89" s="232">
        <f t="shared" si="11"/>
        <v>477</v>
      </c>
      <c r="V89" s="566">
        <f>VLOOKUP(C89,'Chấm công KT'!D91:AK171,34,0)</f>
        <v>6</v>
      </c>
      <c r="W89" s="566">
        <f>VLOOKUP(C89,'Chấm công KT'!D91:AL171,35,0)</f>
        <v>1</v>
      </c>
      <c r="X89" s="567"/>
      <c r="Y89" s="566"/>
      <c r="Z89" s="566">
        <f>VLOOKUP(C89,'Chấm công KT'!$D$13:$AO$92,38,0)</f>
        <v>0</v>
      </c>
      <c r="AA89" s="566">
        <f>VLOOKUP(C89,'Chấm công KT'!$D$13:$AP$92,39,0)</f>
        <v>0</v>
      </c>
      <c r="AB89" s="515"/>
      <c r="AC89" s="516">
        <f t="shared" si="16"/>
        <v>0</v>
      </c>
      <c r="AD89" s="105">
        <f>VLOOKUP(C89,'BTH mủ tạp'!$D$17:$AN$160,36,0)</f>
        <v>221.19211892061494</v>
      </c>
      <c r="AE89" s="504"/>
      <c r="AF89" s="496"/>
      <c r="AH89" s="505"/>
      <c r="AI89" s="517"/>
      <c r="AJ89" s="506"/>
      <c r="AK89" s="506"/>
      <c r="AL89" s="506"/>
      <c r="AM89" s="506"/>
      <c r="AN89" s="506"/>
      <c r="AO89" s="506"/>
    </row>
    <row r="90" spans="1:41" s="497" customFormat="1" ht="18.75" customHeight="1">
      <c r="A90" s="103">
        <v>80</v>
      </c>
      <c r="B90" s="485"/>
      <c r="C90" s="195" t="str">
        <f>'Chấm công KT'!D92</f>
        <v>T. Tan</v>
      </c>
      <c r="D90" s="511" t="s">
        <v>370</v>
      </c>
      <c r="E90" s="499"/>
      <c r="F90" s="499"/>
      <c r="G90" s="499"/>
      <c r="H90" s="499"/>
      <c r="I90" s="499"/>
      <c r="J90" s="500"/>
      <c r="K90" s="489"/>
      <c r="L90" s="489"/>
      <c r="M90" s="500"/>
      <c r="N90" s="500"/>
      <c r="O90" s="518"/>
      <c r="P90" s="490"/>
      <c r="Q90" s="230">
        <f t="shared" si="10"/>
        <v>0</v>
      </c>
      <c r="R90" s="621">
        <f>VLOOKUP(C90,'BTH mủ tạp'!D96:AK176,34,0)</f>
        <v>351</v>
      </c>
      <c r="S90" s="229"/>
      <c r="T90" s="502"/>
      <c r="U90" s="232">
        <f t="shared" si="11"/>
        <v>351</v>
      </c>
      <c r="V90" s="566">
        <f>VLOOKUP(C90,'Chấm công KT'!D92:AK172,34,0)</f>
        <v>3</v>
      </c>
      <c r="W90" s="566">
        <f>VLOOKUP(C90,'Chấm công KT'!D92:AL172,35,0)</f>
        <v>1</v>
      </c>
      <c r="X90" s="567"/>
      <c r="Y90" s="566"/>
      <c r="Z90" s="566">
        <f>VLOOKUP(C90,'Chấm công KT'!$D$13:$AO$92,38,0)</f>
        <v>0</v>
      </c>
      <c r="AA90" s="566">
        <f>VLOOKUP(C90,'Chấm công KT'!$D$13:$AP$92,39,0)</f>
        <v>0</v>
      </c>
      <c r="AB90" s="515"/>
      <c r="AC90" s="516">
        <f t="shared" si="16"/>
        <v>0</v>
      </c>
      <c r="AD90" s="105">
        <f>VLOOKUP(C90,'BTH mủ tạp'!$D$17:$AN$160,36,0)</f>
        <v>162.76401203592422</v>
      </c>
      <c r="AE90" s="504"/>
      <c r="AF90" s="496"/>
      <c r="AH90" s="505"/>
      <c r="AI90" s="517"/>
      <c r="AJ90" s="506"/>
      <c r="AK90" s="506"/>
      <c r="AL90" s="506"/>
      <c r="AM90" s="506"/>
      <c r="AN90" s="506"/>
      <c r="AO90" s="506"/>
    </row>
    <row r="91" spans="1:41" s="497" customFormat="1" ht="18.75" customHeight="1">
      <c r="A91" s="194">
        <v>81</v>
      </c>
      <c r="B91" s="485"/>
      <c r="C91" s="195" t="str">
        <f>'Chấm công KT'!D93</f>
        <v>T. Tu</v>
      </c>
      <c r="D91" s="511" t="s">
        <v>370</v>
      </c>
      <c r="E91" s="499"/>
      <c r="F91" s="499"/>
      <c r="G91" s="499"/>
      <c r="H91" s="499"/>
      <c r="I91" s="499"/>
      <c r="J91" s="500"/>
      <c r="K91" s="489"/>
      <c r="L91" s="489"/>
      <c r="M91" s="500"/>
      <c r="N91" s="500"/>
      <c r="O91" s="518"/>
      <c r="P91" s="490"/>
      <c r="Q91" s="230">
        <f t="shared" si="10"/>
        <v>0</v>
      </c>
      <c r="R91" s="621">
        <f>VLOOKUP(C91,'BTH mủ tạp'!D97:AK177,34,0)</f>
        <v>272</v>
      </c>
      <c r="S91" s="556">
        <f>'BTH mủ Sỉum'!AH17</f>
        <v>0</v>
      </c>
      <c r="T91" s="502"/>
      <c r="U91" s="232">
        <f t="shared" si="11"/>
        <v>272</v>
      </c>
      <c r="V91" s="566">
        <f>VLOOKUP(C91,'Chấm công KT'!D93:AK173,34,0)</f>
        <v>2</v>
      </c>
      <c r="W91" s="566">
        <f>VLOOKUP(C91,'Chấm công KT'!D93:AL173,35,0)</f>
        <v>0</v>
      </c>
      <c r="X91" s="567"/>
      <c r="Y91" s="566"/>
      <c r="Z91" s="566"/>
      <c r="AA91" s="566"/>
      <c r="AB91" s="515"/>
      <c r="AC91" s="516">
        <f t="shared" si="16"/>
        <v>0</v>
      </c>
      <c r="AD91" s="105">
        <f>VLOOKUP(C91,'BTH mủ tạp'!$D$17:$AN$160,36,0)</f>
        <v>126.13051644949114</v>
      </c>
      <c r="AE91" s="504"/>
      <c r="AF91" s="496"/>
      <c r="AH91" s="505"/>
      <c r="AI91" s="517"/>
      <c r="AJ91" s="506"/>
      <c r="AK91" s="506"/>
      <c r="AL91" s="506"/>
      <c r="AM91" s="506"/>
      <c r="AN91" s="506"/>
      <c r="AO91" s="506"/>
    </row>
    <row r="92" spans="1:41" s="497" customFormat="1" ht="18.75" customHeight="1">
      <c r="A92" s="103">
        <v>82</v>
      </c>
      <c r="B92" s="485"/>
      <c r="C92" s="195">
        <f>'Chấm công KT'!D94</f>
        <v>0</v>
      </c>
      <c r="D92" s="511" t="s">
        <v>370</v>
      </c>
      <c r="E92" s="499"/>
      <c r="F92" s="499"/>
      <c r="G92" s="499"/>
      <c r="H92" s="499"/>
      <c r="I92" s="499"/>
      <c r="J92" s="500"/>
      <c r="K92" s="489"/>
      <c r="L92" s="489"/>
      <c r="M92" s="499"/>
      <c r="N92" s="500"/>
      <c r="O92" s="518"/>
      <c r="P92" s="490"/>
      <c r="Q92" s="230">
        <f t="shared" si="10"/>
        <v>0</v>
      </c>
      <c r="R92" s="621"/>
      <c r="S92" s="488"/>
      <c r="T92" s="502"/>
      <c r="U92" s="642">
        <f t="shared" si="11"/>
        <v>0</v>
      </c>
      <c r="V92" s="566"/>
      <c r="W92" s="566"/>
      <c r="X92" s="567"/>
      <c r="Y92" s="566"/>
      <c r="Z92" s="566"/>
      <c r="AA92" s="566"/>
      <c r="AB92" s="515"/>
      <c r="AC92" s="516">
        <f t="shared" si="16"/>
        <v>0</v>
      </c>
      <c r="AD92" s="643"/>
      <c r="AE92" s="504"/>
      <c r="AF92" s="496"/>
      <c r="AH92" s="505"/>
      <c r="AI92" s="517"/>
      <c r="AJ92" s="506"/>
      <c r="AK92" s="506"/>
      <c r="AL92" s="506"/>
      <c r="AM92" s="506"/>
      <c r="AN92" s="506"/>
      <c r="AO92" s="506"/>
    </row>
    <row r="93" spans="1:41" s="497" customFormat="1" ht="18.75" customHeight="1">
      <c r="A93" s="194">
        <v>83</v>
      </c>
      <c r="B93" s="485"/>
      <c r="C93" s="195" t="str">
        <f>'Chấm công KT'!D95</f>
        <v xml:space="preserve">T. Lun </v>
      </c>
      <c r="D93" s="511" t="s">
        <v>370</v>
      </c>
      <c r="E93" s="499"/>
      <c r="F93" s="499"/>
      <c r="G93" s="499"/>
      <c r="H93" s="499"/>
      <c r="I93" s="499"/>
      <c r="J93" s="500"/>
      <c r="K93" s="489"/>
      <c r="L93" s="489"/>
      <c r="M93" s="500"/>
      <c r="N93" s="500"/>
      <c r="O93" s="518"/>
      <c r="P93" s="490"/>
      <c r="Q93" s="230">
        <f t="shared" si="10"/>
        <v>0</v>
      </c>
      <c r="R93" s="641"/>
      <c r="S93" s="488"/>
      <c r="T93" s="502">
        <f t="shared" si="15"/>
        <v>0</v>
      </c>
      <c r="U93" s="642">
        <f t="shared" si="11"/>
        <v>0</v>
      </c>
      <c r="V93" s="566"/>
      <c r="W93" s="566"/>
      <c r="X93" s="567"/>
      <c r="Y93" s="566"/>
      <c r="Z93" s="566"/>
      <c r="AA93" s="566"/>
      <c r="AB93" s="515"/>
      <c r="AC93" s="516">
        <f t="shared" si="16"/>
        <v>0</v>
      </c>
      <c r="AD93" s="643"/>
      <c r="AE93" s="504"/>
      <c r="AF93" s="496"/>
      <c r="AH93" s="505"/>
      <c r="AI93" s="517"/>
      <c r="AJ93" s="506"/>
      <c r="AK93" s="506"/>
      <c r="AL93" s="506"/>
      <c r="AM93" s="506"/>
      <c r="AN93" s="506"/>
      <c r="AO93" s="506"/>
    </row>
    <row r="94" spans="1:41" s="497" customFormat="1" ht="18.75" customHeight="1">
      <c r="A94" s="103">
        <v>84</v>
      </c>
      <c r="B94" s="485"/>
      <c r="C94" s="644" t="s">
        <v>844</v>
      </c>
      <c r="D94" s="511" t="s">
        <v>370</v>
      </c>
      <c r="E94" s="499"/>
      <c r="F94" s="499"/>
      <c r="H94" s="499">
        <v>431.16</v>
      </c>
      <c r="I94" s="499"/>
      <c r="J94" s="500"/>
      <c r="K94" s="489"/>
      <c r="L94" s="489"/>
      <c r="M94" s="500"/>
      <c r="N94" s="500">
        <v>137.19999999999999</v>
      </c>
      <c r="O94" s="518"/>
      <c r="P94" s="490"/>
      <c r="Q94" s="230">
        <f t="shared" si="10"/>
        <v>568.36</v>
      </c>
      <c r="R94" s="500"/>
      <c r="S94" s="500"/>
      <c r="T94" s="507"/>
      <c r="U94" s="645"/>
      <c r="V94" s="566"/>
      <c r="W94" s="566"/>
      <c r="X94" s="567"/>
      <c r="Y94" s="566"/>
      <c r="Z94" s="566"/>
      <c r="AA94" s="566"/>
      <c r="AB94" s="510"/>
      <c r="AC94" s="516">
        <f t="shared" si="16"/>
        <v>568.36</v>
      </c>
      <c r="AD94" s="643"/>
      <c r="AE94" s="504"/>
      <c r="AF94" s="496"/>
      <c r="AH94" s="505"/>
      <c r="AI94" s="517"/>
      <c r="AJ94" s="506"/>
      <c r="AK94" s="506"/>
      <c r="AL94" s="506"/>
      <c r="AM94" s="506"/>
      <c r="AN94" s="506"/>
      <c r="AO94" s="506"/>
    </row>
    <row r="95" spans="1:41" s="778" customFormat="1" ht="18.75" customHeight="1">
      <c r="A95" s="807"/>
      <c r="B95" s="1415" t="s">
        <v>579</v>
      </c>
      <c r="C95" s="1415"/>
      <c r="D95" s="1415"/>
      <c r="E95" s="640">
        <f>SUM(E96:E160)</f>
        <v>185.59999999999985</v>
      </c>
      <c r="F95" s="640">
        <f t="shared" ref="F95:O95" si="17">SUM(F96:F160)</f>
        <v>47.19999999999996</v>
      </c>
      <c r="G95" s="640">
        <f t="shared" si="17"/>
        <v>254.7</v>
      </c>
      <c r="H95" s="640">
        <f t="shared" si="17"/>
        <v>909.6400000000001</v>
      </c>
      <c r="I95" s="640">
        <f t="shared" si="17"/>
        <v>0</v>
      </c>
      <c r="J95" s="640">
        <f t="shared" si="17"/>
        <v>0</v>
      </c>
      <c r="K95" s="640">
        <f t="shared" si="17"/>
        <v>0</v>
      </c>
      <c r="L95" s="640">
        <f t="shared" si="17"/>
        <v>0</v>
      </c>
      <c r="M95" s="640">
        <f t="shared" si="17"/>
        <v>0</v>
      </c>
      <c r="N95" s="640">
        <f t="shared" si="17"/>
        <v>0</v>
      </c>
      <c r="O95" s="640">
        <f t="shared" si="17"/>
        <v>0</v>
      </c>
      <c r="P95" s="640">
        <f t="shared" ref="P95" si="18">SUM(P96:P160)</f>
        <v>0</v>
      </c>
      <c r="Q95" s="640">
        <f t="shared" ref="Q95" si="19">SUM(Q96:Q160)</f>
        <v>1397.14</v>
      </c>
      <c r="R95" s="640">
        <f t="shared" ref="R95" si="20">SUM(R96:R160)</f>
        <v>158146</v>
      </c>
      <c r="S95" s="640">
        <f t="shared" ref="S95" si="21">SUM(S96:S160)</f>
        <v>0</v>
      </c>
      <c r="T95" s="640">
        <f t="shared" ref="T95" si="22">SUM(T96:T160)</f>
        <v>0</v>
      </c>
      <c r="U95" s="640">
        <f t="shared" ref="U95" si="23">SUM(U96:U160)</f>
        <v>158146</v>
      </c>
      <c r="V95" s="640">
        <f t="shared" ref="V95" si="24">SUM(V96:V160)</f>
        <v>1383</v>
      </c>
      <c r="W95" s="640">
        <f t="shared" ref="W95" si="25">SUM(W96:W160)</f>
        <v>289</v>
      </c>
      <c r="X95" s="640">
        <f t="shared" ref="X95" si="26">SUM(X96:X160)</f>
        <v>0</v>
      </c>
      <c r="Y95" s="640">
        <f t="shared" ref="Y95" si="27">SUM(Y96:Y160)</f>
        <v>0</v>
      </c>
      <c r="Z95" s="640">
        <f t="shared" ref="Z95" si="28">SUM(Z96:Z160)</f>
        <v>0</v>
      </c>
      <c r="AA95" s="640">
        <f t="shared" ref="AA95" si="29">SUM(AA96:AA160)</f>
        <v>0</v>
      </c>
      <c r="AB95" s="640">
        <f t="shared" ref="AB95" si="30">SUM(AB96:AB160)</f>
        <v>0</v>
      </c>
      <c r="AC95" s="640">
        <f t="shared" ref="AC95" si="31">SUM(AC96:AC160)</f>
        <v>1397.14</v>
      </c>
      <c r="AD95" s="808"/>
      <c r="AE95" s="640">
        <f>SUM(AE96:AE159)</f>
        <v>0</v>
      </c>
      <c r="AF95" s="809">
        <v>1121</v>
      </c>
      <c r="AG95" s="810">
        <v>135</v>
      </c>
      <c r="AH95" s="811">
        <v>1191</v>
      </c>
      <c r="AI95" s="812">
        <v>173</v>
      </c>
      <c r="AJ95" s="813"/>
      <c r="AK95" s="813"/>
      <c r="AL95" s="813"/>
      <c r="AM95" s="813"/>
      <c r="AN95" s="813"/>
      <c r="AO95" s="813"/>
    </row>
    <row r="96" spans="1:41" ht="18.75" customHeight="1">
      <c r="A96" s="171">
        <v>1</v>
      </c>
      <c r="B96" s="228" t="str">
        <f>'Chấm công KT'!C95</f>
        <v>04072</v>
      </c>
      <c r="C96" s="176" t="str">
        <f>'Chấm công KT'!D95</f>
        <v xml:space="preserve">T. Lun </v>
      </c>
      <c r="D96" s="171" t="s">
        <v>28</v>
      </c>
      <c r="E96" s="239">
        <f t="shared" ref="E96:E153" si="32">4/1.25</f>
        <v>3.2</v>
      </c>
      <c r="F96" s="239">
        <f t="shared" ref="F96:F153" si="33">1/1.25</f>
        <v>0.8</v>
      </c>
      <c r="G96" s="239"/>
      <c r="H96" s="239"/>
      <c r="I96" s="239"/>
      <c r="J96" s="229"/>
      <c r="K96" s="178"/>
      <c r="L96" s="178"/>
      <c r="M96" s="108"/>
      <c r="N96" s="104"/>
      <c r="O96" s="192"/>
      <c r="P96" s="167"/>
      <c r="Q96" s="174">
        <f>SUM(E96:P96)</f>
        <v>4</v>
      </c>
      <c r="R96" s="169">
        <f>VLOOKUP(C96,'BTH mủ tạp'!$D$99:$AK$160,34,0)</f>
        <v>2601</v>
      </c>
      <c r="S96" s="177"/>
      <c r="T96" s="168">
        <f t="shared" ref="T96" si="34">S96*50/100</f>
        <v>0</v>
      </c>
      <c r="U96" s="232">
        <f t="shared" ref="U96:U157" si="35">R96</f>
        <v>2601</v>
      </c>
      <c r="V96" s="503">
        <f>VLOOKUP(C96,'Chấm công KT'!$D$95:$AK$156,34,0)</f>
        <v>24</v>
      </c>
      <c r="W96" s="503">
        <f>VLOOKUP(C96,'Chấm công KT'!$D$95:$AL$156,35,0)</f>
        <v>5</v>
      </c>
      <c r="X96" s="503">
        <f>VLOOKUP(C96,'Chấm công KT'!D95:AM156,36,0)</f>
        <v>0</v>
      </c>
      <c r="Y96" s="566"/>
      <c r="Z96" s="566"/>
      <c r="AA96" s="566"/>
      <c r="AB96" s="179"/>
      <c r="AC96" s="175">
        <f t="shared" ref="AC96:AC152" si="36">Q96</f>
        <v>4</v>
      </c>
      <c r="AD96" s="105">
        <f>VLOOKUP(C96,'BTH mủ tạp'!$D$17:$AN$160,36,0)</f>
        <v>1201.0293727757896</v>
      </c>
      <c r="AE96" s="172"/>
      <c r="AF96" s="90"/>
      <c r="AH96" s="75"/>
      <c r="AI96" s="72"/>
      <c r="AJ96" s="73"/>
      <c r="AK96" s="73"/>
      <c r="AL96" s="73"/>
      <c r="AM96" s="73"/>
      <c r="AN96" s="73"/>
      <c r="AO96" s="73"/>
    </row>
    <row r="97" spans="1:41" ht="18.75" customHeight="1">
      <c r="A97" s="166">
        <v>2</v>
      </c>
      <c r="B97" s="228" t="str">
        <f>'Chấm công KT'!C96</f>
        <v>03466</v>
      </c>
      <c r="C97" s="176" t="str">
        <f>'Chấm công KT'!D96</f>
        <v>N. Keo</v>
      </c>
      <c r="D97" s="166" t="s">
        <v>28</v>
      </c>
      <c r="E97" s="239">
        <f t="shared" si="32"/>
        <v>3.2</v>
      </c>
      <c r="F97" s="239">
        <f t="shared" si="33"/>
        <v>0.8</v>
      </c>
      <c r="G97" s="239"/>
      <c r="H97" s="239"/>
      <c r="I97" s="239"/>
      <c r="J97" s="229"/>
      <c r="K97" s="178"/>
      <c r="L97" s="178"/>
      <c r="M97" s="108"/>
      <c r="N97" s="104"/>
      <c r="O97" s="192"/>
      <c r="P97" s="167"/>
      <c r="Q97" s="174">
        <f t="shared" ref="Q97:Q160" si="37">SUM(E97:P97)</f>
        <v>4</v>
      </c>
      <c r="R97" s="169">
        <f>VLOOKUP(C97,'BTH mủ tạp'!$D$99:$AK$160,34,0)</f>
        <v>2863</v>
      </c>
      <c r="S97" s="177"/>
      <c r="T97" s="168">
        <f t="shared" ref="T97:T156" si="38">S97*50/100</f>
        <v>0</v>
      </c>
      <c r="U97" s="232">
        <f t="shared" si="35"/>
        <v>2863</v>
      </c>
      <c r="V97" s="503">
        <f>VLOOKUP(C97,'Chấm công KT'!$D$95:$AK$156,34,0)</f>
        <v>23</v>
      </c>
      <c r="W97" s="503">
        <f>VLOOKUP(C97,'Chấm công KT'!$D$95:$AL$156,35,0)</f>
        <v>5</v>
      </c>
      <c r="X97" s="503">
        <f>VLOOKUP(C97,'Chấm công KT'!D96:AM156,36,0)</f>
        <v>0</v>
      </c>
      <c r="Y97" s="566"/>
      <c r="Z97" s="566"/>
      <c r="AA97" s="566"/>
      <c r="AB97" s="179"/>
      <c r="AC97" s="175">
        <f t="shared" si="36"/>
        <v>4</v>
      </c>
      <c r="AD97" s="105">
        <f>VLOOKUP(C97,'BTH mủ tạp'!$D$17:$AN$160,36,0)</f>
        <v>1474.1504110034275</v>
      </c>
      <c r="AE97" s="176"/>
      <c r="AF97" s="90"/>
      <c r="AH97" s="79"/>
      <c r="AI97" s="78"/>
      <c r="AJ97" s="77"/>
      <c r="AK97" s="77"/>
      <c r="AL97" s="77"/>
      <c r="AM97" s="77"/>
      <c r="AN97" s="77"/>
      <c r="AO97" s="73"/>
    </row>
    <row r="98" spans="1:41" ht="18.75" customHeight="1">
      <c r="A98" s="166">
        <v>3</v>
      </c>
      <c r="B98" s="228" t="str">
        <f>'Chấm công KT'!C97</f>
        <v>03590</v>
      </c>
      <c r="C98" s="176" t="str">
        <f>'Chấm công KT'!D97</f>
        <v>T .Nhum</v>
      </c>
      <c r="D98" s="166" t="s">
        <v>28</v>
      </c>
      <c r="E98" s="239">
        <f t="shared" si="32"/>
        <v>3.2</v>
      </c>
      <c r="F98" s="239">
        <f t="shared" si="33"/>
        <v>0.8</v>
      </c>
      <c r="G98" s="239"/>
      <c r="H98" s="239"/>
      <c r="I98" s="239"/>
      <c r="J98" s="229"/>
      <c r="K98" s="178"/>
      <c r="L98" s="178"/>
      <c r="M98" s="108"/>
      <c r="N98" s="104"/>
      <c r="O98" s="192"/>
      <c r="P98" s="167"/>
      <c r="Q98" s="174">
        <f t="shared" si="37"/>
        <v>4</v>
      </c>
      <c r="R98" s="169">
        <f>VLOOKUP(C98,'BTH mủ tạp'!$D$99:$AK$160,34,0)</f>
        <v>2547</v>
      </c>
      <c r="S98" s="177"/>
      <c r="T98" s="168">
        <f t="shared" si="38"/>
        <v>0</v>
      </c>
      <c r="U98" s="232">
        <f t="shared" si="35"/>
        <v>2547</v>
      </c>
      <c r="V98" s="503">
        <f>VLOOKUP(C98,'Chấm công KT'!$D$95:$AK$156,34,0)</f>
        <v>24</v>
      </c>
      <c r="W98" s="503">
        <f>VLOOKUP(C98,'Chấm công KT'!$D$95:$AL$156,35,0)</f>
        <v>5</v>
      </c>
      <c r="X98" s="503">
        <f>VLOOKUP(C98,'Chấm công KT'!D97:AM156,36,0)</f>
        <v>0</v>
      </c>
      <c r="Y98" s="566"/>
      <c r="Z98" s="566"/>
      <c r="AA98" s="566"/>
      <c r="AB98" s="179"/>
      <c r="AC98" s="175">
        <f t="shared" si="36"/>
        <v>4</v>
      </c>
      <c r="AD98" s="105">
        <f>VLOOKUP(C98,'BTH mủ tạp'!$D$17:$AN$160,36,0)</f>
        <v>1176.0945069050117</v>
      </c>
      <c r="AE98" s="176"/>
      <c r="AF98" s="90"/>
      <c r="AG98" s="87"/>
      <c r="AH98" s="87"/>
    </row>
    <row r="99" spans="1:41" ht="18.75" customHeight="1">
      <c r="A99" s="166">
        <v>4</v>
      </c>
      <c r="B99" s="228" t="str">
        <f>'Chấm công KT'!C98</f>
        <v>03591</v>
      </c>
      <c r="C99" s="176" t="str">
        <f>'Chấm công KT'!D98</f>
        <v>N.Vông Ma Ni</v>
      </c>
      <c r="D99" s="166" t="s">
        <v>28</v>
      </c>
      <c r="E99" s="239">
        <f t="shared" si="32"/>
        <v>3.2</v>
      </c>
      <c r="F99" s="239">
        <f t="shared" si="33"/>
        <v>0.8</v>
      </c>
      <c r="G99" s="239"/>
      <c r="H99" s="239"/>
      <c r="I99" s="239"/>
      <c r="J99" s="229"/>
      <c r="K99" s="178"/>
      <c r="L99" s="178"/>
      <c r="M99" s="108"/>
      <c r="N99" s="104"/>
      <c r="O99" s="192"/>
      <c r="P99" s="167"/>
      <c r="Q99" s="174">
        <f t="shared" si="37"/>
        <v>4</v>
      </c>
      <c r="R99" s="169">
        <f>VLOOKUP(C99,'BTH mủ tạp'!$D$99:$AK$160,34,0)</f>
        <v>2898</v>
      </c>
      <c r="S99" s="177"/>
      <c r="T99" s="168">
        <f t="shared" si="38"/>
        <v>0</v>
      </c>
      <c r="U99" s="232">
        <f t="shared" si="35"/>
        <v>2898</v>
      </c>
      <c r="V99" s="503">
        <f>VLOOKUP(C99,'Chấm công KT'!$D$95:$AK$156,34,0)</f>
        <v>24</v>
      </c>
      <c r="W99" s="503">
        <f>VLOOKUP(C99,'Chấm công KT'!$D$95:$AL$156,35,0)</f>
        <v>5</v>
      </c>
      <c r="X99" s="503">
        <f>VLOOKUP(C99,'Chấm công KT'!D98:AM156,36,0)</f>
        <v>0</v>
      </c>
      <c r="Y99" s="566"/>
      <c r="Z99" s="566"/>
      <c r="AA99" s="566"/>
      <c r="AB99" s="179"/>
      <c r="AC99" s="175">
        <f t="shared" si="36"/>
        <v>4</v>
      </c>
      <c r="AD99" s="105">
        <f>VLOOKUP(C99,'BTH mủ tạp'!$D$17:$AN$160,36,0)</f>
        <v>1338.1711350650664</v>
      </c>
      <c r="AE99" s="176"/>
      <c r="AF99" s="90"/>
    </row>
    <row r="100" spans="1:41" ht="18.75" customHeight="1">
      <c r="A100" s="166">
        <v>5</v>
      </c>
      <c r="B100" s="228" t="str">
        <f>'Chấm công KT'!C99</f>
        <v>03592</v>
      </c>
      <c r="C100" s="176" t="str">
        <f>'Chấm công KT'!D99</f>
        <v>Đao Hương</v>
      </c>
      <c r="D100" s="166" t="s">
        <v>28</v>
      </c>
      <c r="E100" s="239">
        <f t="shared" si="32"/>
        <v>3.2</v>
      </c>
      <c r="F100" s="239">
        <f t="shared" si="33"/>
        <v>0.8</v>
      </c>
      <c r="G100" s="239"/>
      <c r="H100" s="239"/>
      <c r="I100" s="239"/>
      <c r="J100" s="229"/>
      <c r="K100" s="178"/>
      <c r="L100" s="178"/>
      <c r="M100" s="108"/>
      <c r="N100" s="104"/>
      <c r="O100" s="192"/>
      <c r="P100" s="167"/>
      <c r="Q100" s="174">
        <f t="shared" si="37"/>
        <v>4</v>
      </c>
      <c r="R100" s="169">
        <f>VLOOKUP(C100,'BTH mủ tạp'!$D$99:$AK$160,34,0)</f>
        <v>3014</v>
      </c>
      <c r="S100" s="177"/>
      <c r="T100" s="168">
        <f t="shared" si="38"/>
        <v>0</v>
      </c>
      <c r="U100" s="232">
        <f t="shared" si="35"/>
        <v>3014</v>
      </c>
      <c r="V100" s="503">
        <f>VLOOKUP(C100,'Chấm công KT'!$D$95:$AK$156,34,0)</f>
        <v>24</v>
      </c>
      <c r="W100" s="503">
        <f>VLOOKUP(C100,'Chấm công KT'!$D$95:$AL$156,35,0)</f>
        <v>5</v>
      </c>
      <c r="X100" s="503">
        <f>VLOOKUP(C100,'Chấm công KT'!D99:AM156,36,0)</f>
        <v>0</v>
      </c>
      <c r="Y100" s="566"/>
      <c r="Z100" s="566"/>
      <c r="AA100" s="566"/>
      <c r="AB100" s="179"/>
      <c r="AC100" s="175">
        <f t="shared" si="36"/>
        <v>4</v>
      </c>
      <c r="AD100" s="105">
        <f>VLOOKUP(C100,'BTH mủ tạp'!$D$17:$AN$160,36,0)</f>
        <v>1391.7349210096997</v>
      </c>
      <c r="AE100" s="176"/>
      <c r="AF100" s="90">
        <f>241.33-E95</f>
        <v>55.73000000000016</v>
      </c>
    </row>
    <row r="101" spans="1:41" ht="18.75" customHeight="1">
      <c r="A101" s="166">
        <v>6</v>
      </c>
      <c r="B101" s="228" t="str">
        <f>'Chấm công KT'!C100</f>
        <v>03593</v>
      </c>
      <c r="C101" s="176" t="str">
        <f>'Chấm công KT'!D100</f>
        <v>T. Xi Nun</v>
      </c>
      <c r="D101" s="166" t="s">
        <v>28</v>
      </c>
      <c r="E101" s="239">
        <f t="shared" si="32"/>
        <v>3.2</v>
      </c>
      <c r="F101" s="239">
        <f t="shared" si="33"/>
        <v>0.8</v>
      </c>
      <c r="G101" s="239"/>
      <c r="H101" s="239"/>
      <c r="I101" s="239"/>
      <c r="J101" s="229"/>
      <c r="K101" s="178"/>
      <c r="L101" s="178"/>
      <c r="M101" s="108"/>
      <c r="N101" s="104"/>
      <c r="O101" s="192"/>
      <c r="P101" s="167"/>
      <c r="Q101" s="174">
        <f t="shared" si="37"/>
        <v>4</v>
      </c>
      <c r="R101" s="169">
        <f>VLOOKUP(C101,'BTH mủ tạp'!$D$99:$AK$160,34,0)</f>
        <v>2283</v>
      </c>
      <c r="S101" s="177"/>
      <c r="T101" s="168">
        <f t="shared" si="38"/>
        <v>0</v>
      </c>
      <c r="U101" s="232">
        <f t="shared" si="35"/>
        <v>2283</v>
      </c>
      <c r="V101" s="503">
        <f>VLOOKUP(C101,'Chấm công KT'!$D$95:$AK$156,34,0)</f>
        <v>17</v>
      </c>
      <c r="W101" s="503">
        <f>VLOOKUP(C101,'Chấm công KT'!$D$95:$AL$156,35,0)</f>
        <v>2</v>
      </c>
      <c r="X101" s="503">
        <f>VLOOKUP(C101,'Chấm công KT'!D100:AM156,36,0)</f>
        <v>0</v>
      </c>
      <c r="Y101" s="566"/>
      <c r="Z101" s="566"/>
      <c r="AA101" s="566"/>
      <c r="AB101" s="179"/>
      <c r="AC101" s="175">
        <f t="shared" si="36"/>
        <v>4</v>
      </c>
      <c r="AD101" s="105">
        <f>VLOOKUP(C101,'BTH mủ tạp'!$D$17:$AN$160,36,0)</f>
        <v>1054.1907182034324</v>
      </c>
      <c r="AE101" s="176"/>
      <c r="AF101" s="90"/>
      <c r="AG101" s="88">
        <f>183*0.5</f>
        <v>91.5</v>
      </c>
    </row>
    <row r="102" spans="1:41" ht="18.75" customHeight="1">
      <c r="A102" s="166">
        <v>7</v>
      </c>
      <c r="B102" s="228" t="str">
        <f>'Chấm công KT'!C101</f>
        <v>03594</v>
      </c>
      <c r="C102" s="176" t="str">
        <f>'Chấm công KT'!D101</f>
        <v>T. Bun Hinh</v>
      </c>
      <c r="D102" s="166" t="s">
        <v>28</v>
      </c>
      <c r="E102" s="239">
        <f t="shared" si="32"/>
        <v>3.2</v>
      </c>
      <c r="F102" s="239">
        <f t="shared" si="33"/>
        <v>0.8</v>
      </c>
      <c r="G102" s="239"/>
      <c r="H102" s="239"/>
      <c r="I102" s="239"/>
      <c r="J102" s="229"/>
      <c r="K102" s="178"/>
      <c r="L102" s="178"/>
      <c r="M102" s="108"/>
      <c r="N102" s="104"/>
      <c r="O102" s="192"/>
      <c r="P102" s="167"/>
      <c r="Q102" s="174">
        <f t="shared" si="37"/>
        <v>4</v>
      </c>
      <c r="R102" s="169">
        <f>VLOOKUP(C102,'BTH mủ tạp'!$D$99:$AK$160,34,0)</f>
        <v>2345</v>
      </c>
      <c r="S102" s="177"/>
      <c r="T102" s="168">
        <f t="shared" si="38"/>
        <v>0</v>
      </c>
      <c r="U102" s="232">
        <f t="shared" si="35"/>
        <v>2345</v>
      </c>
      <c r="V102" s="503">
        <f>VLOOKUP(C102,'Chấm công KT'!$D$95:$AK$156,34,0)</f>
        <v>25</v>
      </c>
      <c r="W102" s="503">
        <f>VLOOKUP(C102,'Chấm công KT'!$D$95:$AL$156,35,0)</f>
        <v>5</v>
      </c>
      <c r="X102" s="503">
        <f>VLOOKUP(C102,'Chấm công KT'!D101:AM156,36,0)</f>
        <v>0</v>
      </c>
      <c r="Y102" s="566"/>
      <c r="Z102" s="566"/>
      <c r="AA102" s="566"/>
      <c r="AB102" s="179"/>
      <c r="AC102" s="175">
        <f t="shared" si="36"/>
        <v>4</v>
      </c>
      <c r="AD102" s="105">
        <f>VLOOKUP(C102,'BTH mủ tạp'!$D$17:$AN$160,36,0)</f>
        <v>1082.819638277288</v>
      </c>
      <c r="AE102" s="176"/>
      <c r="AF102" s="90"/>
    </row>
    <row r="103" spans="1:41" ht="18.75" customHeight="1">
      <c r="A103" s="166">
        <v>8</v>
      </c>
      <c r="B103" s="228" t="str">
        <f>'Chấm công KT'!C102</f>
        <v>04073</v>
      </c>
      <c r="C103" s="176" t="str">
        <f>'Chấm công KT'!D102</f>
        <v>T. Miềng</v>
      </c>
      <c r="D103" s="166" t="s">
        <v>28</v>
      </c>
      <c r="E103" s="239">
        <f t="shared" si="32"/>
        <v>3.2</v>
      </c>
      <c r="F103" s="239">
        <f>2/1.25</f>
        <v>1.6</v>
      </c>
      <c r="G103" s="239"/>
      <c r="H103" s="239"/>
      <c r="I103" s="239"/>
      <c r="J103" s="229"/>
      <c r="K103" s="178"/>
      <c r="L103" s="178"/>
      <c r="M103" s="239"/>
      <c r="N103" s="173"/>
      <c r="O103" s="251"/>
      <c r="P103" s="167"/>
      <c r="Q103" s="174">
        <f t="shared" si="37"/>
        <v>4.8000000000000007</v>
      </c>
      <c r="R103" s="169">
        <f>VLOOKUP(C103,'BTH mủ tạp'!$D$99:$AK$160,34,0)</f>
        <v>2244</v>
      </c>
      <c r="S103" s="177"/>
      <c r="T103" s="168">
        <f t="shared" si="38"/>
        <v>0</v>
      </c>
      <c r="U103" s="232">
        <f t="shared" si="35"/>
        <v>2244</v>
      </c>
      <c r="V103" s="503">
        <f>VLOOKUP(C103,'Chấm công KT'!$D$95:$AK$156,34,0)</f>
        <v>20</v>
      </c>
      <c r="W103" s="503">
        <f>VLOOKUP(C103,'Chấm công KT'!$D$95:$AL$156,35,0)</f>
        <v>4</v>
      </c>
      <c r="X103" s="503">
        <f>VLOOKUP(C103,'Chấm công KT'!D102:AM156,36,0)</f>
        <v>0</v>
      </c>
      <c r="Y103" s="566"/>
      <c r="Z103" s="566"/>
      <c r="AA103" s="566"/>
      <c r="AB103" s="179"/>
      <c r="AC103" s="175">
        <f t="shared" si="36"/>
        <v>4.8000000000000007</v>
      </c>
      <c r="AD103" s="105">
        <f>VLOOKUP(C103,'BTH mủ tạp'!$D$17:$AN$160,36,0)</f>
        <v>1036.1822039634262</v>
      </c>
      <c r="AE103" s="176"/>
      <c r="AF103" s="90"/>
    </row>
    <row r="104" spans="1:41" ht="18.75" customHeight="1">
      <c r="A104" s="166">
        <v>9</v>
      </c>
      <c r="B104" s="228" t="str">
        <f>'Chấm công KT'!C103</f>
        <v>03596</v>
      </c>
      <c r="C104" s="176" t="str">
        <f>'Chấm công KT'!D103</f>
        <v>N. Xúc</v>
      </c>
      <c r="D104" s="166" t="s">
        <v>28</v>
      </c>
      <c r="E104" s="239">
        <f t="shared" si="32"/>
        <v>3.2</v>
      </c>
      <c r="F104" s="239">
        <f t="shared" si="33"/>
        <v>0.8</v>
      </c>
      <c r="G104" s="239"/>
      <c r="H104" s="239"/>
      <c r="I104" s="239"/>
      <c r="J104" s="229"/>
      <c r="K104" s="178"/>
      <c r="L104" s="178"/>
      <c r="M104" s="173"/>
      <c r="N104" s="173"/>
      <c r="O104" s="251"/>
      <c r="P104" s="167"/>
      <c r="Q104" s="174">
        <f t="shared" si="37"/>
        <v>4</v>
      </c>
      <c r="R104" s="169">
        <f>VLOOKUP(C104,'BTH mủ tạp'!$D$99:$AK$160,34,0)</f>
        <v>3083</v>
      </c>
      <c r="S104" s="177"/>
      <c r="T104" s="168">
        <f t="shared" si="38"/>
        <v>0</v>
      </c>
      <c r="U104" s="232">
        <f t="shared" si="35"/>
        <v>3083</v>
      </c>
      <c r="V104" s="503">
        <f>VLOOKUP(C104,'Chấm công KT'!$D$95:$AK$156,34,0)</f>
        <v>23</v>
      </c>
      <c r="W104" s="503">
        <f>VLOOKUP(C104,'Chấm công KT'!$D$95:$AL$156,35,0)</f>
        <v>5</v>
      </c>
      <c r="X104" s="503">
        <f>VLOOKUP(C104,'Chấm công KT'!D103:AM156,36,0)</f>
        <v>0</v>
      </c>
      <c r="Y104" s="566"/>
      <c r="Z104" s="566"/>
      <c r="AA104" s="566"/>
      <c r="AB104" s="179"/>
      <c r="AC104" s="175">
        <f t="shared" si="36"/>
        <v>4</v>
      </c>
      <c r="AD104" s="105">
        <f>VLOOKUP(C104,'BTH mủ tạp'!$D$17:$AN$160,36,0)</f>
        <v>1423.5961385112491</v>
      </c>
      <c r="AE104" s="176"/>
      <c r="AF104" s="90"/>
    </row>
    <row r="105" spans="1:41" ht="18.75" customHeight="1">
      <c r="A105" s="166">
        <v>10</v>
      </c>
      <c r="B105" s="228" t="str">
        <f>'Chấm công KT'!C104</f>
        <v>03597</v>
      </c>
      <c r="C105" s="176" t="str">
        <f>'Chấm công KT'!D104</f>
        <v>N. Lẹ</v>
      </c>
      <c r="D105" s="166" t="s">
        <v>28</v>
      </c>
      <c r="E105" s="239">
        <f t="shared" si="32"/>
        <v>3.2</v>
      </c>
      <c r="F105" s="239">
        <f t="shared" si="33"/>
        <v>0.8</v>
      </c>
      <c r="G105" s="239"/>
      <c r="H105" s="239"/>
      <c r="I105" s="239"/>
      <c r="J105" s="229"/>
      <c r="K105" s="178"/>
      <c r="L105" s="178"/>
      <c r="M105" s="229"/>
      <c r="N105" s="104"/>
      <c r="O105" s="192"/>
      <c r="P105" s="167"/>
      <c r="Q105" s="174">
        <f t="shared" si="37"/>
        <v>4</v>
      </c>
      <c r="R105" s="169">
        <f>VLOOKUP(C105,'BTH mủ tạp'!$D$99:$AK$160,34,0)</f>
        <v>2533</v>
      </c>
      <c r="S105" s="177"/>
      <c r="T105" s="168">
        <f t="shared" si="38"/>
        <v>0</v>
      </c>
      <c r="U105" s="232">
        <f t="shared" si="35"/>
        <v>2533</v>
      </c>
      <c r="V105" s="503">
        <f>VLOOKUP(C105,'Chấm công KT'!$D$95:$AK$156,34,0)</f>
        <v>24</v>
      </c>
      <c r="W105" s="503">
        <f>VLOOKUP(C105,'Chấm công KT'!$D$95:$AL$156,35,0)</f>
        <v>5</v>
      </c>
      <c r="X105" s="503">
        <f>VLOOKUP(C105,'Chấm công KT'!D104:AM156,36,0)</f>
        <v>0</v>
      </c>
      <c r="Y105" s="566"/>
      <c r="Z105" s="566"/>
      <c r="AA105" s="566"/>
      <c r="AB105" s="179"/>
      <c r="AC105" s="175">
        <f t="shared" si="36"/>
        <v>4</v>
      </c>
      <c r="AD105" s="105">
        <f>VLOOKUP(C105,'BTH mủ tạp'!$D$17:$AN$160,36,0)</f>
        <v>1169.6299120496251</v>
      </c>
      <c r="AE105" s="176"/>
      <c r="AF105" s="90"/>
    </row>
    <row r="106" spans="1:41" ht="18.75" customHeight="1">
      <c r="A106" s="166">
        <v>11</v>
      </c>
      <c r="B106" s="228" t="str">
        <f>'Chấm công KT'!C105</f>
        <v>03598</v>
      </c>
      <c r="C106" s="176" t="str">
        <f>'Chấm công KT'!D105</f>
        <v>N . Thích</v>
      </c>
      <c r="D106" s="166" t="s">
        <v>28</v>
      </c>
      <c r="E106" s="239">
        <f t="shared" si="32"/>
        <v>3.2</v>
      </c>
      <c r="F106" s="239">
        <f t="shared" si="33"/>
        <v>0.8</v>
      </c>
      <c r="G106" s="239"/>
      <c r="H106" s="239"/>
      <c r="I106" s="239"/>
      <c r="J106" s="229"/>
      <c r="K106" s="178"/>
      <c r="L106" s="178"/>
      <c r="M106" s="108"/>
      <c r="N106" s="104"/>
      <c r="O106" s="192"/>
      <c r="P106" s="167"/>
      <c r="Q106" s="174">
        <f t="shared" si="37"/>
        <v>4</v>
      </c>
      <c r="R106" s="169">
        <f>VLOOKUP(C106,'BTH mủ tạp'!$D$99:$AK$160,34,0)</f>
        <v>2834</v>
      </c>
      <c r="S106" s="177"/>
      <c r="T106" s="168">
        <f t="shared" si="38"/>
        <v>0</v>
      </c>
      <c r="U106" s="232">
        <f t="shared" si="35"/>
        <v>2834</v>
      </c>
      <c r="V106" s="503">
        <f>VLOOKUP(C106,'Chấm công KT'!$D$95:$AK$156,34,0)</f>
        <v>24</v>
      </c>
      <c r="W106" s="503">
        <f>VLOOKUP(C106,'Chấm công KT'!$D$95:$AL$156,35,0)</f>
        <v>5</v>
      </c>
      <c r="X106" s="503">
        <f>VLOOKUP(C106,'Chấm công KT'!D105:AM156,36,0)</f>
        <v>0</v>
      </c>
      <c r="Y106" s="566"/>
      <c r="Z106" s="566"/>
      <c r="AA106" s="566"/>
      <c r="AB106" s="179"/>
      <c r="AC106" s="175">
        <f t="shared" si="36"/>
        <v>4</v>
      </c>
      <c r="AD106" s="105">
        <f>VLOOKUP(C106,'BTH mủ tạp'!$D$17:$AN$160,36,0)</f>
        <v>1308.6187014404411</v>
      </c>
      <c r="AE106" s="176"/>
      <c r="AF106" s="90"/>
    </row>
    <row r="107" spans="1:41" ht="18.75" customHeight="1">
      <c r="A107" s="166">
        <v>12</v>
      </c>
      <c r="B107" s="228" t="str">
        <f>'Chấm công KT'!C106</f>
        <v>03599</v>
      </c>
      <c r="C107" s="176" t="str">
        <f>'Chấm công KT'!D106</f>
        <v>N. Cong Mi</v>
      </c>
      <c r="D107" s="166" t="s">
        <v>28</v>
      </c>
      <c r="E107" s="239">
        <f t="shared" si="32"/>
        <v>3.2</v>
      </c>
      <c r="F107" s="239">
        <f t="shared" si="33"/>
        <v>0.8</v>
      </c>
      <c r="G107" s="239"/>
      <c r="H107" s="239"/>
      <c r="I107" s="239"/>
      <c r="J107" s="229"/>
      <c r="K107" s="178"/>
      <c r="L107" s="178"/>
      <c r="M107" s="108"/>
      <c r="N107" s="104"/>
      <c r="O107" s="192"/>
      <c r="P107" s="167"/>
      <c r="Q107" s="174">
        <f t="shared" si="37"/>
        <v>4</v>
      </c>
      <c r="R107" s="169">
        <f>VLOOKUP(C107,'BTH mủ tạp'!$D$99:$AK$160,34,0)</f>
        <v>2309</v>
      </c>
      <c r="S107" s="177"/>
      <c r="T107" s="168">
        <f t="shared" si="38"/>
        <v>0</v>
      </c>
      <c r="U107" s="232">
        <f t="shared" si="35"/>
        <v>2309</v>
      </c>
      <c r="V107" s="503">
        <f>VLOOKUP(C107,'Chấm công KT'!$D$95:$AK$156,34,0)</f>
        <v>24</v>
      </c>
      <c r="W107" s="503">
        <f>VLOOKUP(C107,'Chấm công KT'!$D$95:$AL$156,35,0)</f>
        <v>5</v>
      </c>
      <c r="X107" s="503">
        <f>VLOOKUP(C107,'Chấm công KT'!D106:AM156,36,0)</f>
        <v>0</v>
      </c>
      <c r="Y107" s="566"/>
      <c r="Z107" s="566"/>
      <c r="AA107" s="566"/>
      <c r="AB107" s="179"/>
      <c r="AC107" s="175">
        <f t="shared" si="36"/>
        <v>4</v>
      </c>
      <c r="AD107" s="105">
        <f>VLOOKUP(C107,'BTH mủ tạp'!$D$17:$AN$160,36,0)</f>
        <v>1066.1963943634362</v>
      </c>
      <c r="AE107" s="176"/>
      <c r="AF107" s="90"/>
    </row>
    <row r="108" spans="1:41" ht="18.75" customHeight="1">
      <c r="A108" s="166">
        <v>13</v>
      </c>
      <c r="B108" s="228" t="str">
        <f>'Chấm công KT'!C107</f>
        <v>04074</v>
      </c>
      <c r="C108" s="176" t="str">
        <f>'Chấm công KT'!D107</f>
        <v>T. Na</v>
      </c>
      <c r="D108" s="166" t="s">
        <v>28</v>
      </c>
      <c r="E108" s="239">
        <f t="shared" si="32"/>
        <v>3.2</v>
      </c>
      <c r="F108" s="239">
        <f t="shared" si="33"/>
        <v>0.8</v>
      </c>
      <c r="G108" s="239"/>
      <c r="H108" s="239"/>
      <c r="I108" s="239"/>
      <c r="J108" s="229"/>
      <c r="K108" s="178"/>
      <c r="L108" s="178"/>
      <c r="M108" s="108"/>
      <c r="N108" s="104"/>
      <c r="O108" s="192"/>
      <c r="P108" s="167"/>
      <c r="Q108" s="174">
        <f t="shared" si="37"/>
        <v>4</v>
      </c>
      <c r="R108" s="169">
        <f>VLOOKUP(C108,'BTH mủ tạp'!$D$99:$AK$160,34,0)</f>
        <v>2090</v>
      </c>
      <c r="S108" s="177"/>
      <c r="T108" s="168">
        <f t="shared" si="38"/>
        <v>0</v>
      </c>
      <c r="U108" s="232">
        <f t="shared" si="35"/>
        <v>2090</v>
      </c>
      <c r="V108" s="503">
        <f>VLOOKUP(C108,'Chấm công KT'!$D$95:$AK$156,34,0)</f>
        <v>21</v>
      </c>
      <c r="W108" s="503">
        <f>VLOOKUP(C108,'Chấm công KT'!$D$95:$AL$156,35,0)</f>
        <v>4</v>
      </c>
      <c r="X108" s="503">
        <f>VLOOKUP(C108,'Chấm công KT'!D107:AM156,36,0)</f>
        <v>0</v>
      </c>
      <c r="Y108" s="566"/>
      <c r="Z108" s="566"/>
      <c r="AA108" s="566"/>
      <c r="AB108" s="179"/>
      <c r="AC108" s="175">
        <f t="shared" si="36"/>
        <v>4</v>
      </c>
      <c r="AD108" s="105">
        <f>VLOOKUP(C108,'BTH mủ tạp'!$D$17:$AN$160,36,0)</f>
        <v>965.07166055417144</v>
      </c>
      <c r="AE108" s="176"/>
      <c r="AF108" s="90"/>
    </row>
    <row r="109" spans="1:41" ht="18.75" customHeight="1">
      <c r="A109" s="166">
        <v>14</v>
      </c>
      <c r="B109" s="228" t="str">
        <f>'Chấm công KT'!C108</f>
        <v>03601</v>
      </c>
      <c r="C109" s="176" t="str">
        <f>'Chấm công KT'!D108</f>
        <v>T. Khăm Mặn</v>
      </c>
      <c r="D109" s="166" t="s">
        <v>28</v>
      </c>
      <c r="E109" s="239">
        <f t="shared" si="32"/>
        <v>3.2</v>
      </c>
      <c r="F109" s="239">
        <f t="shared" si="33"/>
        <v>0.8</v>
      </c>
      <c r="G109" s="239"/>
      <c r="H109" s="239"/>
      <c r="I109" s="239"/>
      <c r="J109" s="229"/>
      <c r="K109" s="178"/>
      <c r="L109" s="178"/>
      <c r="M109" s="229"/>
      <c r="N109" s="173"/>
      <c r="O109" s="251"/>
      <c r="P109" s="167"/>
      <c r="Q109" s="174">
        <f t="shared" si="37"/>
        <v>4</v>
      </c>
      <c r="R109" s="169">
        <f>VLOOKUP(C109,'BTH mủ tạp'!$D$99:$AK$160,34,0)</f>
        <v>3739</v>
      </c>
      <c r="S109" s="177"/>
      <c r="T109" s="168">
        <f t="shared" si="38"/>
        <v>0</v>
      </c>
      <c r="U109" s="232">
        <f t="shared" si="35"/>
        <v>3739</v>
      </c>
      <c r="V109" s="503">
        <f>VLOOKUP(C109,'Chấm công KT'!$D$95:$AK$156,34,0)</f>
        <v>24</v>
      </c>
      <c r="W109" s="503">
        <f>VLOOKUP(C109,'Chấm công KT'!$D$95:$AL$156,35,0)</f>
        <v>5</v>
      </c>
      <c r="X109" s="503">
        <f>VLOOKUP(C109,'Chấm công KT'!D108:AM156,36,0)</f>
        <v>0</v>
      </c>
      <c r="Y109" s="566"/>
      <c r="Z109" s="566"/>
      <c r="AA109" s="566"/>
      <c r="AB109" s="179"/>
      <c r="AC109" s="175">
        <f t="shared" si="36"/>
        <v>4</v>
      </c>
      <c r="AD109" s="105">
        <f>VLOOKUP(C109,'BTH mủ tạp'!$D$17:$AN$160,36,0)</f>
        <v>1726.5085831636588</v>
      </c>
      <c r="AE109" s="176"/>
      <c r="AF109" s="90"/>
      <c r="AG109" s="70"/>
    </row>
    <row r="110" spans="1:41" ht="18.75" customHeight="1">
      <c r="A110" s="166">
        <v>15</v>
      </c>
      <c r="B110" s="228" t="str">
        <f>'Chấm công KT'!C109</f>
        <v>03602</v>
      </c>
      <c r="C110" s="176" t="str">
        <f>'Chấm công KT'!D109</f>
        <v>T . In Tong</v>
      </c>
      <c r="D110" s="166" t="s">
        <v>28</v>
      </c>
      <c r="E110" s="239">
        <f t="shared" si="32"/>
        <v>3.2</v>
      </c>
      <c r="F110" s="239">
        <f t="shared" si="33"/>
        <v>0.8</v>
      </c>
      <c r="G110" s="239"/>
      <c r="H110" s="239"/>
      <c r="I110" s="239"/>
      <c r="J110" s="229"/>
      <c r="K110" s="178"/>
      <c r="L110" s="178"/>
      <c r="M110" s="108"/>
      <c r="N110" s="104"/>
      <c r="O110" s="192"/>
      <c r="P110" s="167"/>
      <c r="Q110" s="174">
        <f t="shared" si="37"/>
        <v>4</v>
      </c>
      <c r="R110" s="169">
        <f>VLOOKUP(C110,'BTH mủ tạp'!$D$99:$AK$160,34,0)</f>
        <v>2733</v>
      </c>
      <c r="S110" s="177"/>
      <c r="T110" s="168">
        <f t="shared" si="38"/>
        <v>0</v>
      </c>
      <c r="U110" s="232">
        <f t="shared" si="35"/>
        <v>2733</v>
      </c>
      <c r="V110" s="503">
        <f>VLOOKUP(C110,'Chấm công KT'!$D$95:$AK$156,34,0)</f>
        <v>24</v>
      </c>
      <c r="W110" s="503">
        <f>VLOOKUP(C110,'Chấm công KT'!$D$95:$AL$156,35,0)</f>
        <v>5</v>
      </c>
      <c r="X110" s="503">
        <f>VLOOKUP(C110,'Chấm công KT'!D109:AM156,36,0)</f>
        <v>0</v>
      </c>
      <c r="Y110" s="566"/>
      <c r="Z110" s="566"/>
      <c r="AA110" s="566"/>
      <c r="AB110" s="179"/>
      <c r="AC110" s="175">
        <f t="shared" si="36"/>
        <v>4</v>
      </c>
      <c r="AD110" s="105">
        <f>VLOOKUP(C110,'BTH mủ tạp'!$D$17:$AN$160,36,0)</f>
        <v>1261.9812671265793</v>
      </c>
      <c r="AE110" s="176"/>
      <c r="AF110" s="90"/>
    </row>
    <row r="111" spans="1:41" ht="18.75" customHeight="1">
      <c r="A111" s="166">
        <v>16</v>
      </c>
      <c r="B111" s="228" t="str">
        <f>'Chấm công KT'!C110</f>
        <v>03496</v>
      </c>
      <c r="C111" s="176" t="str">
        <f>'Chấm công KT'!D110</f>
        <v>T. Lốp</v>
      </c>
      <c r="D111" s="166" t="s">
        <v>28</v>
      </c>
      <c r="E111" s="239">
        <f t="shared" si="32"/>
        <v>3.2</v>
      </c>
      <c r="F111" s="239">
        <f t="shared" si="33"/>
        <v>0.8</v>
      </c>
      <c r="G111" s="239"/>
      <c r="H111" s="239"/>
      <c r="I111" s="239"/>
      <c r="J111" s="229"/>
      <c r="K111" s="178"/>
      <c r="L111" s="178"/>
      <c r="M111" s="108"/>
      <c r="N111" s="104"/>
      <c r="O111" s="192"/>
      <c r="P111" s="167"/>
      <c r="Q111" s="174">
        <f t="shared" si="37"/>
        <v>4</v>
      </c>
      <c r="R111" s="169">
        <f>VLOOKUP(C111,'BTH mủ tạp'!$D$99:$AK$160,34,0)</f>
        <v>2447</v>
      </c>
      <c r="S111" s="177"/>
      <c r="T111" s="168">
        <f t="shared" si="38"/>
        <v>0</v>
      </c>
      <c r="U111" s="232">
        <f t="shared" si="35"/>
        <v>2447</v>
      </c>
      <c r="V111" s="503">
        <f>VLOOKUP(C111,'Chấm công KT'!$D$95:$AK$156,34,0)</f>
        <v>22</v>
      </c>
      <c r="W111" s="503">
        <f>VLOOKUP(C111,'Chấm công KT'!$D$95:$AL$156,35,0)</f>
        <v>3</v>
      </c>
      <c r="X111" s="503">
        <f>VLOOKUP(C111,'Chấm công KT'!D110:AM156,36,0)</f>
        <v>0</v>
      </c>
      <c r="Y111" s="566"/>
      <c r="Z111" s="566"/>
      <c r="AA111" s="566"/>
      <c r="AB111" s="179"/>
      <c r="AC111" s="175">
        <f t="shared" si="36"/>
        <v>4</v>
      </c>
      <c r="AD111" s="105">
        <f>VLOOKUP(C111,'BTH mủ tạp'!$D$17:$AN$160,36,0)</f>
        <v>1382.3348144703423</v>
      </c>
      <c r="AE111" s="176"/>
      <c r="AF111" s="90"/>
    </row>
    <row r="112" spans="1:41" ht="18.75" customHeight="1">
      <c r="A112" s="166">
        <v>17</v>
      </c>
      <c r="B112" s="228" t="str">
        <f>'Chấm công KT'!C111</f>
        <v>03604</v>
      </c>
      <c r="C112" s="176" t="str">
        <f>'Chấm công KT'!D111</f>
        <v>T. Lăm Phêng</v>
      </c>
      <c r="D112" s="166" t="s">
        <v>28</v>
      </c>
      <c r="E112" s="239">
        <f t="shared" si="32"/>
        <v>3.2</v>
      </c>
      <c r="F112" s="239">
        <f t="shared" si="33"/>
        <v>0.8</v>
      </c>
      <c r="G112" s="239"/>
      <c r="H112" s="239"/>
      <c r="I112" s="239"/>
      <c r="J112" s="229"/>
      <c r="K112" s="178"/>
      <c r="L112" s="178"/>
      <c r="M112" s="229"/>
      <c r="N112" s="173"/>
      <c r="O112" s="251"/>
      <c r="P112" s="167"/>
      <c r="Q112" s="174">
        <f t="shared" si="37"/>
        <v>4</v>
      </c>
      <c r="R112" s="169">
        <f>VLOOKUP(C112,'BTH mủ tạp'!$D$99:$AK$160,34,0)</f>
        <v>4123</v>
      </c>
      <c r="S112" s="177"/>
      <c r="T112" s="168">
        <f t="shared" si="38"/>
        <v>0</v>
      </c>
      <c r="U112" s="232">
        <f t="shared" si="35"/>
        <v>4123</v>
      </c>
      <c r="V112" s="503">
        <f>VLOOKUP(C112,'Chấm công KT'!$D$95:$AK$156,34,0)</f>
        <v>23</v>
      </c>
      <c r="W112" s="503">
        <f>VLOOKUP(C112,'Chấm công KT'!$D$95:$AL$156,35,0)</f>
        <v>5</v>
      </c>
      <c r="X112" s="503">
        <f>VLOOKUP(C112,'Chấm công KT'!D111:AM156,36,0)</f>
        <v>0</v>
      </c>
      <c r="Y112" s="566"/>
      <c r="Z112" s="566"/>
      <c r="AA112" s="566"/>
      <c r="AB112" s="179"/>
      <c r="AC112" s="175">
        <f t="shared" si="36"/>
        <v>4</v>
      </c>
      <c r="AD112" s="105">
        <f>VLOOKUP(C112,'BTH mủ tạp'!$D$17:$AN$160,36,0)</f>
        <v>1903.8231849114111</v>
      </c>
      <c r="AE112" s="176"/>
      <c r="AF112" s="90"/>
    </row>
    <row r="113" spans="1:32" ht="18.75" customHeight="1">
      <c r="A113" s="166">
        <v>18</v>
      </c>
      <c r="B113" s="228" t="str">
        <f>'Chấm công KT'!C112</f>
        <v>04075</v>
      </c>
      <c r="C113" s="176" t="str">
        <f>'Chấm công KT'!D112</f>
        <v>T Xèng</v>
      </c>
      <c r="D113" s="166" t="s">
        <v>28</v>
      </c>
      <c r="E113" s="239">
        <f t="shared" si="32"/>
        <v>3.2</v>
      </c>
      <c r="F113" s="239">
        <f t="shared" si="33"/>
        <v>0.8</v>
      </c>
      <c r="G113" s="239"/>
      <c r="H113" s="239"/>
      <c r="I113" s="239"/>
      <c r="J113" s="229"/>
      <c r="K113" s="178"/>
      <c r="L113" s="178"/>
      <c r="M113" s="229"/>
      <c r="N113" s="173"/>
      <c r="O113" s="251"/>
      <c r="P113" s="167"/>
      <c r="Q113" s="174">
        <f t="shared" si="37"/>
        <v>4</v>
      </c>
      <c r="R113" s="169">
        <f>VLOOKUP(C113,'BTH mủ tạp'!$D$99:$AK$160,34,0)</f>
        <v>3112</v>
      </c>
      <c r="S113" s="177"/>
      <c r="T113" s="168">
        <f t="shared" si="38"/>
        <v>0</v>
      </c>
      <c r="U113" s="232">
        <f t="shared" si="35"/>
        <v>3112</v>
      </c>
      <c r="V113" s="503">
        <f>VLOOKUP(C113,'Chấm công KT'!$D$95:$AK$156,34,0)</f>
        <v>24</v>
      </c>
      <c r="W113" s="503">
        <f>VLOOKUP(C113,'Chấm công KT'!$D$95:$AL$156,35,0)</f>
        <v>5</v>
      </c>
      <c r="X113" s="503">
        <f>VLOOKUP(C113,'Chấm công KT'!D112:AM156,36,0)</f>
        <v>0</v>
      </c>
      <c r="Y113" s="566"/>
      <c r="Z113" s="566"/>
      <c r="AA113" s="566"/>
      <c r="AB113" s="179"/>
      <c r="AC113" s="175">
        <f t="shared" si="36"/>
        <v>4</v>
      </c>
      <c r="AD113" s="105">
        <f>VLOOKUP(C113,'BTH mủ tạp'!$D$17:$AN$160,36,0)</f>
        <v>1436.9870849974075</v>
      </c>
      <c r="AE113" s="176"/>
      <c r="AF113" s="90"/>
    </row>
    <row r="114" spans="1:32" ht="18.75" customHeight="1">
      <c r="A114" s="166">
        <v>19</v>
      </c>
      <c r="B114" s="228" t="str">
        <f>'Chấm công KT'!C113</f>
        <v>03509</v>
      </c>
      <c r="C114" s="176" t="str">
        <f>'Chấm công KT'!D113</f>
        <v>T. May</v>
      </c>
      <c r="D114" s="166" t="s">
        <v>28</v>
      </c>
      <c r="E114" s="239">
        <f t="shared" si="32"/>
        <v>3.2</v>
      </c>
      <c r="F114" s="239">
        <f t="shared" si="33"/>
        <v>0.8</v>
      </c>
      <c r="G114" s="239"/>
      <c r="H114" s="239"/>
      <c r="I114" s="239"/>
      <c r="J114" s="229"/>
      <c r="K114" s="178"/>
      <c r="L114" s="178"/>
      <c r="M114" s="108"/>
      <c r="N114" s="104"/>
      <c r="O114" s="192"/>
      <c r="P114" s="167"/>
      <c r="Q114" s="174">
        <f t="shared" si="37"/>
        <v>4</v>
      </c>
      <c r="R114" s="169">
        <f>VLOOKUP(C114,'BTH mủ tạp'!$D$99:$AK$160,34,0)</f>
        <v>2965</v>
      </c>
      <c r="S114" s="177"/>
      <c r="T114" s="168">
        <f t="shared" si="38"/>
        <v>0</v>
      </c>
      <c r="U114" s="232">
        <f t="shared" si="35"/>
        <v>2965</v>
      </c>
      <c r="V114" s="503">
        <f>VLOOKUP(C114,'Chấm công KT'!$D$95:$AK$156,34,0)</f>
        <v>25</v>
      </c>
      <c r="W114" s="503">
        <f>VLOOKUP(C114,'Chấm công KT'!$D$95:$AL$156,35,0)</f>
        <v>5</v>
      </c>
      <c r="X114" s="503">
        <f>VLOOKUP(C114,'Chấm công KT'!D113:AM156,36,0)</f>
        <v>0</v>
      </c>
      <c r="Y114" s="566"/>
      <c r="Z114" s="566"/>
      <c r="AA114" s="566"/>
      <c r="AB114" s="179"/>
      <c r="AC114" s="175">
        <f t="shared" si="36"/>
        <v>4</v>
      </c>
      <c r="AD114" s="105">
        <f>VLOOKUP(C114,'BTH mủ tạp'!$D$17:$AN$160,36,0)</f>
        <v>1369.1088390158461</v>
      </c>
      <c r="AE114" s="176"/>
      <c r="AF114" s="90"/>
    </row>
    <row r="115" spans="1:32" ht="18.75" customHeight="1">
      <c r="A115" s="166">
        <v>20</v>
      </c>
      <c r="B115" s="228" t="str">
        <f>'Chấm công KT'!C114</f>
        <v>03607</v>
      </c>
      <c r="C115" s="176" t="str">
        <f>'Chấm công KT'!D114</f>
        <v>T. Huôn</v>
      </c>
      <c r="D115" s="166" t="s">
        <v>28</v>
      </c>
      <c r="E115" s="239">
        <f t="shared" si="32"/>
        <v>3.2</v>
      </c>
      <c r="F115" s="239">
        <f t="shared" si="33"/>
        <v>0.8</v>
      </c>
      <c r="G115" s="239"/>
      <c r="H115" s="239"/>
      <c r="I115" s="239"/>
      <c r="J115" s="229"/>
      <c r="K115" s="178"/>
      <c r="L115" s="178"/>
      <c r="M115" s="108"/>
      <c r="N115" s="104"/>
      <c r="O115" s="192"/>
      <c r="P115" s="167"/>
      <c r="Q115" s="174">
        <f t="shared" si="37"/>
        <v>4</v>
      </c>
      <c r="R115" s="169">
        <f>VLOOKUP(C115,'BTH mủ tạp'!$D$99:$AK$160,34,0)</f>
        <v>2426</v>
      </c>
      <c r="S115" s="177"/>
      <c r="T115" s="168">
        <f t="shared" si="38"/>
        <v>0</v>
      </c>
      <c r="U115" s="232">
        <f t="shared" si="35"/>
        <v>2426</v>
      </c>
      <c r="V115" s="503">
        <f>VLOOKUP(C115,'Chấm công KT'!$D$95:$AK$156,34,0)</f>
        <v>25</v>
      </c>
      <c r="W115" s="503">
        <f>VLOOKUP(C115,'Chấm công KT'!$D$95:$AL$156,35,0)</f>
        <v>5</v>
      </c>
      <c r="X115" s="503">
        <f>VLOOKUP(C115,'Chấm công KT'!D114:AM156,36,0)</f>
        <v>0</v>
      </c>
      <c r="Y115" s="566"/>
      <c r="Z115" s="566"/>
      <c r="AA115" s="566"/>
      <c r="AB115" s="179"/>
      <c r="AC115" s="175">
        <f t="shared" si="36"/>
        <v>4</v>
      </c>
      <c r="AD115" s="105">
        <f>VLOOKUP(C115,'BTH mủ tạp'!$D$17:$AN$160,36,0)</f>
        <v>1120.2219370834546</v>
      </c>
      <c r="AE115" s="176"/>
      <c r="AF115" s="90"/>
    </row>
    <row r="116" spans="1:32" ht="18.75" customHeight="1">
      <c r="A116" s="166">
        <v>21</v>
      </c>
      <c r="B116" s="228" t="str">
        <f>'Chấm công KT'!C115</f>
        <v>02729</v>
      </c>
      <c r="C116" s="176" t="str">
        <f>'Chấm công KT'!D115</f>
        <v>N. Lay</v>
      </c>
      <c r="D116" s="166" t="s">
        <v>28</v>
      </c>
      <c r="E116" s="239">
        <f t="shared" si="32"/>
        <v>3.2</v>
      </c>
      <c r="F116" s="239">
        <f t="shared" si="33"/>
        <v>0.8</v>
      </c>
      <c r="G116" s="239"/>
      <c r="H116" s="239"/>
      <c r="I116" s="239"/>
      <c r="J116" s="229"/>
      <c r="K116" s="178"/>
      <c r="L116" s="178"/>
      <c r="M116" s="229"/>
      <c r="N116" s="173"/>
      <c r="O116" s="251"/>
      <c r="P116" s="167"/>
      <c r="Q116" s="174">
        <f t="shared" si="37"/>
        <v>4</v>
      </c>
      <c r="R116" s="169">
        <f>VLOOKUP(C116,'BTH mủ tạp'!$D$99:$AK$160,34,0)</f>
        <v>2477</v>
      </c>
      <c r="S116" s="177"/>
      <c r="T116" s="168">
        <f t="shared" si="38"/>
        <v>0</v>
      </c>
      <c r="U116" s="232">
        <f t="shared" si="35"/>
        <v>2477</v>
      </c>
      <c r="V116" s="503">
        <f>VLOOKUP(C116,'Chấm công KT'!$D$95:$AK$156,34,0)</f>
        <v>25</v>
      </c>
      <c r="W116" s="503">
        <f>VLOOKUP(C116,'Chấm công KT'!$D$95:$AL$156,35,0)</f>
        <v>5</v>
      </c>
      <c r="X116" s="503">
        <f>VLOOKUP(C116,'Chấm công KT'!D115:AM156,36,0)</f>
        <v>0</v>
      </c>
      <c r="Y116" s="566"/>
      <c r="Z116" s="566"/>
      <c r="AA116" s="566"/>
      <c r="AB116" s="179"/>
      <c r="AC116" s="175">
        <f t="shared" si="36"/>
        <v>4</v>
      </c>
      <c r="AD116" s="105">
        <f>VLOOKUP(C116,'BTH mủ tạp'!$D$17:$AN$160,36,0)</f>
        <v>1143.7715326280779</v>
      </c>
      <c r="AE116" s="176"/>
      <c r="AF116" s="90"/>
    </row>
    <row r="117" spans="1:32" ht="18.75" customHeight="1">
      <c r="A117" s="166">
        <v>22</v>
      </c>
      <c r="B117" s="228" t="str">
        <f>'Chấm công KT'!C116</f>
        <v>03608</v>
      </c>
      <c r="C117" s="176" t="str">
        <f>'Chấm công KT'!D116</f>
        <v>N. Pon</v>
      </c>
      <c r="D117" s="166" t="s">
        <v>28</v>
      </c>
      <c r="E117" s="239">
        <f t="shared" si="32"/>
        <v>3.2</v>
      </c>
      <c r="F117" s="239">
        <f t="shared" si="33"/>
        <v>0.8</v>
      </c>
      <c r="G117" s="239"/>
      <c r="H117" s="239"/>
      <c r="I117" s="239"/>
      <c r="J117" s="229"/>
      <c r="K117" s="178"/>
      <c r="L117" s="178"/>
      <c r="M117" s="108"/>
      <c r="N117" s="104"/>
      <c r="O117" s="192"/>
      <c r="P117" s="167"/>
      <c r="Q117" s="174">
        <f t="shared" si="37"/>
        <v>4</v>
      </c>
      <c r="R117" s="169">
        <f>VLOOKUP(C117,'BTH mủ tạp'!$D$99:$AK$160,34,0)</f>
        <v>2578</v>
      </c>
      <c r="S117" s="177"/>
      <c r="T117" s="168">
        <f t="shared" si="38"/>
        <v>0</v>
      </c>
      <c r="U117" s="232">
        <f t="shared" si="35"/>
        <v>2578</v>
      </c>
      <c r="V117" s="503">
        <f>VLOOKUP(C117,'Chấm công KT'!$D$95:$AK$156,34,0)</f>
        <v>23</v>
      </c>
      <c r="W117" s="503">
        <f>VLOOKUP(C117,'Chấm công KT'!$D$95:$AL$156,35,0)</f>
        <v>5</v>
      </c>
      <c r="X117" s="503">
        <f>VLOOKUP(C117,'Chấm công KT'!D116:AM156,36,0)</f>
        <v>0</v>
      </c>
      <c r="Y117" s="566"/>
      <c r="Z117" s="566"/>
      <c r="AA117" s="566"/>
      <c r="AB117" s="179"/>
      <c r="AC117" s="175">
        <f t="shared" si="36"/>
        <v>4</v>
      </c>
      <c r="AD117" s="105">
        <f>VLOOKUP(C117,'BTH mủ tạp'!$D$17:$AN$160,36,0)</f>
        <v>1190.4089669419398</v>
      </c>
      <c r="AE117" s="176"/>
      <c r="AF117" s="90"/>
    </row>
    <row r="118" spans="1:32" ht="18.75" customHeight="1">
      <c r="A118" s="166">
        <v>23</v>
      </c>
      <c r="B118" s="228" t="str">
        <f>'Chấm công KT'!C117</f>
        <v>03609</v>
      </c>
      <c r="C118" s="176" t="str">
        <f>'Chấm công KT'!D117</f>
        <v>N. Bun Đi</v>
      </c>
      <c r="D118" s="166" t="s">
        <v>28</v>
      </c>
      <c r="E118" s="239">
        <f t="shared" si="32"/>
        <v>3.2</v>
      </c>
      <c r="F118" s="239">
        <f t="shared" si="33"/>
        <v>0.8</v>
      </c>
      <c r="G118" s="239"/>
      <c r="H118" s="239"/>
      <c r="I118" s="239"/>
      <c r="J118" s="229"/>
      <c r="K118" s="178"/>
      <c r="L118" s="178"/>
      <c r="M118" s="108"/>
      <c r="N118" s="104"/>
      <c r="O118" s="192"/>
      <c r="P118" s="167"/>
      <c r="Q118" s="174">
        <f t="shared" si="37"/>
        <v>4</v>
      </c>
      <c r="R118" s="169">
        <f>VLOOKUP(C118,'BTH mủ tạp'!$D$99:$AK$160,34,0)</f>
        <v>2248</v>
      </c>
      <c r="S118" s="177"/>
      <c r="T118" s="168">
        <f t="shared" si="38"/>
        <v>0</v>
      </c>
      <c r="U118" s="232">
        <f t="shared" si="35"/>
        <v>2248</v>
      </c>
      <c r="V118" s="503">
        <f>VLOOKUP(C118,'Chấm công KT'!$D$95:$AK$156,34,0)</f>
        <v>24</v>
      </c>
      <c r="W118" s="503">
        <f>VLOOKUP(C118,'Chấm công KT'!$D$95:$AL$156,35,0)</f>
        <v>5</v>
      </c>
      <c r="X118" s="503">
        <f>VLOOKUP(C118,'Chấm công KT'!D117:AM156,36,0)</f>
        <v>0</v>
      </c>
      <c r="Y118" s="566"/>
      <c r="Z118" s="566"/>
      <c r="AA118" s="566"/>
      <c r="AB118" s="179"/>
      <c r="AC118" s="175">
        <f t="shared" si="36"/>
        <v>4</v>
      </c>
      <c r="AD118" s="105">
        <f>VLOOKUP(C118,'BTH mủ tạp'!$D$17:$AN$160,36,0)</f>
        <v>1038.0292310649652</v>
      </c>
      <c r="AE118" s="176"/>
      <c r="AF118" s="90"/>
    </row>
    <row r="119" spans="1:32" ht="18.75" customHeight="1">
      <c r="A119" s="166">
        <v>24</v>
      </c>
      <c r="B119" s="228" t="str">
        <f>'Chấm công KT'!C118</f>
        <v>03610</v>
      </c>
      <c r="C119" s="176" t="str">
        <f>'Chấm công KT'!D118</f>
        <v>N. Phon</v>
      </c>
      <c r="D119" s="166" t="s">
        <v>28</v>
      </c>
      <c r="E119" s="239">
        <f t="shared" si="32"/>
        <v>3.2</v>
      </c>
      <c r="F119" s="239">
        <f t="shared" si="33"/>
        <v>0.8</v>
      </c>
      <c r="G119" s="239"/>
      <c r="H119" s="239"/>
      <c r="I119" s="239"/>
      <c r="J119" s="229"/>
      <c r="K119" s="178"/>
      <c r="L119" s="178"/>
      <c r="M119" s="108"/>
      <c r="N119" s="104"/>
      <c r="O119" s="192"/>
      <c r="P119" s="167"/>
      <c r="Q119" s="174">
        <f t="shared" si="37"/>
        <v>4</v>
      </c>
      <c r="R119" s="169">
        <f>VLOOKUP(C119,'BTH mủ tạp'!$D$99:$AK$160,34,0)</f>
        <v>2328</v>
      </c>
      <c r="S119" s="177"/>
      <c r="T119" s="168">
        <f t="shared" si="38"/>
        <v>0</v>
      </c>
      <c r="U119" s="232">
        <f t="shared" si="35"/>
        <v>2328</v>
      </c>
      <c r="V119" s="503">
        <f>VLOOKUP(C119,'Chấm công KT'!$D$95:$AK$156,34,0)</f>
        <v>24</v>
      </c>
      <c r="W119" s="503">
        <f>VLOOKUP(C119,'Chấm công KT'!$D$95:$AL$156,35,0)</f>
        <v>5</v>
      </c>
      <c r="X119" s="503">
        <f>VLOOKUP(C119,'Chấm công KT'!D118:AM156,36,0)</f>
        <v>0</v>
      </c>
      <c r="Y119" s="566"/>
      <c r="Z119" s="566"/>
      <c r="AA119" s="566"/>
      <c r="AB119" s="179"/>
      <c r="AC119" s="175">
        <f t="shared" si="36"/>
        <v>4</v>
      </c>
      <c r="AD119" s="105">
        <f>VLOOKUP(C119,'BTH mủ tạp'!$D$17:$AN$160,36,0)</f>
        <v>1074.9697730957469</v>
      </c>
      <c r="AE119" s="176"/>
      <c r="AF119" s="90"/>
    </row>
    <row r="120" spans="1:32" ht="18.75" customHeight="1">
      <c r="A120" s="166">
        <v>25</v>
      </c>
      <c r="B120" s="228" t="str">
        <f>'Chấm công KT'!C119</f>
        <v>04076</v>
      </c>
      <c r="C120" s="176" t="str">
        <f>'Chấm công KT'!D119</f>
        <v xml:space="preserve">N. Bun </v>
      </c>
      <c r="D120" s="166" t="s">
        <v>28</v>
      </c>
      <c r="E120" s="239">
        <f t="shared" si="32"/>
        <v>3.2</v>
      </c>
      <c r="F120" s="239">
        <f t="shared" si="33"/>
        <v>0.8</v>
      </c>
      <c r="G120" s="239"/>
      <c r="H120" s="239"/>
      <c r="I120" s="239"/>
      <c r="J120" s="229"/>
      <c r="K120" s="178"/>
      <c r="L120" s="178"/>
      <c r="M120" s="108"/>
      <c r="N120" s="104"/>
      <c r="O120" s="192"/>
      <c r="P120" s="167"/>
      <c r="Q120" s="174">
        <f t="shared" si="37"/>
        <v>4</v>
      </c>
      <c r="R120" s="169">
        <f>VLOOKUP(C120,'BTH mủ tạp'!$D$99:$AK$160,34,0)</f>
        <v>3222</v>
      </c>
      <c r="S120" s="177"/>
      <c r="T120" s="168">
        <f t="shared" si="38"/>
        <v>0</v>
      </c>
      <c r="U120" s="232">
        <f t="shared" si="35"/>
        <v>3222</v>
      </c>
      <c r="V120" s="503">
        <f>VLOOKUP(C120,'Chấm công KT'!$D$95:$AK$156,34,0)</f>
        <v>24</v>
      </c>
      <c r="W120" s="503">
        <f>VLOOKUP(C120,'Chấm công KT'!$D$95:$AL$156,35,0)</f>
        <v>4</v>
      </c>
      <c r="X120" s="503">
        <f>VLOOKUP(C120,'Chấm công KT'!D119:AM156,36,0)</f>
        <v>0</v>
      </c>
      <c r="Y120" s="566"/>
      <c r="Z120" s="566"/>
      <c r="AA120" s="566"/>
      <c r="AB120" s="179"/>
      <c r="AC120" s="175">
        <f t="shared" si="36"/>
        <v>4</v>
      </c>
      <c r="AD120" s="105">
        <f>VLOOKUP(C120,'BTH mủ tạp'!$D$17:$AN$160,36,0)</f>
        <v>1487.7803302897323</v>
      </c>
      <c r="AE120" s="176"/>
      <c r="AF120" s="90"/>
    </row>
    <row r="121" spans="1:32" ht="18.75" customHeight="1">
      <c r="A121" s="166">
        <v>26</v>
      </c>
      <c r="B121" s="228" t="str">
        <f>'Chấm công KT'!C120</f>
        <v>03612</v>
      </c>
      <c r="C121" s="176" t="str">
        <f>'Chấm công KT'!D120</f>
        <v>N. Phu Văn</v>
      </c>
      <c r="D121" s="166" t="s">
        <v>28</v>
      </c>
      <c r="E121" s="239">
        <f t="shared" si="32"/>
        <v>3.2</v>
      </c>
      <c r="F121" s="239">
        <f t="shared" si="33"/>
        <v>0.8</v>
      </c>
      <c r="G121" s="239"/>
      <c r="H121" s="239"/>
      <c r="I121" s="239"/>
      <c r="J121" s="229"/>
      <c r="K121" s="178"/>
      <c r="L121" s="178"/>
      <c r="M121" s="229"/>
      <c r="N121" s="173"/>
      <c r="O121" s="251"/>
      <c r="P121" s="167"/>
      <c r="Q121" s="174">
        <f t="shared" si="37"/>
        <v>4</v>
      </c>
      <c r="R121" s="169">
        <f>VLOOKUP(C121,'BTH mủ tạp'!$D$99:$AK$160,34,0)</f>
        <v>2983</v>
      </c>
      <c r="S121" s="177"/>
      <c r="T121" s="168">
        <f t="shared" si="38"/>
        <v>0</v>
      </c>
      <c r="U121" s="232">
        <f t="shared" si="35"/>
        <v>2983</v>
      </c>
      <c r="V121" s="503">
        <f>VLOOKUP(C121,'Chấm công KT'!$D$95:$AK$156,34,0)</f>
        <v>24</v>
      </c>
      <c r="W121" s="503">
        <f>VLOOKUP(C121,'Chấm công KT'!$D$95:$AL$156,35,0)</f>
        <v>5</v>
      </c>
      <c r="X121" s="503">
        <f>VLOOKUP(C121,'Chấm công KT'!D120:AM156,36,0)</f>
        <v>0</v>
      </c>
      <c r="Y121" s="566"/>
      <c r="Z121" s="566"/>
      <c r="AA121" s="566"/>
      <c r="AB121" s="179"/>
      <c r="AC121" s="175">
        <f t="shared" si="36"/>
        <v>4</v>
      </c>
      <c r="AD121" s="105">
        <f>VLOOKUP(C121,'BTH mủ tạp'!$D$17:$AN$160,36,0)</f>
        <v>1377.4204609727719</v>
      </c>
      <c r="AE121" s="176"/>
      <c r="AF121" s="90"/>
    </row>
    <row r="122" spans="1:32" ht="18.75" customHeight="1">
      <c r="A122" s="166">
        <v>27</v>
      </c>
      <c r="B122" s="228" t="str">
        <f>'Chấm công KT'!C121</f>
        <v>03613</v>
      </c>
      <c r="C122" s="176" t="str">
        <f>'Chấm công KT'!D121</f>
        <v>N. Lỷ</v>
      </c>
      <c r="D122" s="166" t="s">
        <v>28</v>
      </c>
      <c r="E122" s="239">
        <f t="shared" si="32"/>
        <v>3.2</v>
      </c>
      <c r="F122" s="239">
        <f t="shared" si="33"/>
        <v>0.8</v>
      </c>
      <c r="G122" s="239"/>
      <c r="H122" s="239"/>
      <c r="I122" s="239"/>
      <c r="J122" s="229"/>
      <c r="K122" s="178"/>
      <c r="L122" s="178"/>
      <c r="M122" s="229"/>
      <c r="N122" s="173"/>
      <c r="O122" s="251"/>
      <c r="P122" s="167"/>
      <c r="Q122" s="174">
        <f t="shared" si="37"/>
        <v>4</v>
      </c>
      <c r="R122" s="169">
        <f>VLOOKUP(C122,'BTH mủ tạp'!$D$99:$AK$160,34,0)</f>
        <v>2391</v>
      </c>
      <c r="S122" s="177"/>
      <c r="T122" s="168">
        <f t="shared" si="38"/>
        <v>0</v>
      </c>
      <c r="U122" s="232">
        <f t="shared" si="35"/>
        <v>2391</v>
      </c>
      <c r="V122" s="503">
        <f>VLOOKUP(C122,'Chấm công KT'!$D$95:$AK$156,34,0)</f>
        <v>24</v>
      </c>
      <c r="W122" s="503">
        <f>VLOOKUP(C122,'Chấm công KT'!$D$95:$AL$156,35,0)</f>
        <v>5</v>
      </c>
      <c r="X122" s="503">
        <f>VLOOKUP(C122,'Chấm công KT'!D121:AM156,36,0)</f>
        <v>0</v>
      </c>
      <c r="Y122" s="566"/>
      <c r="Z122" s="566"/>
      <c r="AA122" s="566"/>
      <c r="AB122" s="179"/>
      <c r="AC122" s="175">
        <f>Q122</f>
        <v>4</v>
      </c>
      <c r="AD122" s="105">
        <f>VLOOKUP(C122,'BTH mủ tạp'!$D$17:$AN$160,36,0)</f>
        <v>1104.0604499449876</v>
      </c>
      <c r="AE122" s="176"/>
      <c r="AF122" s="90"/>
    </row>
    <row r="123" spans="1:32" ht="18.75" customHeight="1">
      <c r="A123" s="166">
        <v>28</v>
      </c>
      <c r="B123" s="228" t="str">
        <f>'Chấm công KT'!C122</f>
        <v>04077</v>
      </c>
      <c r="C123" s="176" t="str">
        <f>'Chấm công KT'!D122</f>
        <v>N. Quen</v>
      </c>
      <c r="D123" s="166" t="s">
        <v>28</v>
      </c>
      <c r="E123" s="239">
        <f t="shared" si="32"/>
        <v>3.2</v>
      </c>
      <c r="F123" s="239">
        <f t="shared" si="33"/>
        <v>0.8</v>
      </c>
      <c r="G123" s="239"/>
      <c r="H123" s="239"/>
      <c r="I123" s="239"/>
      <c r="J123" s="229"/>
      <c r="K123" s="178"/>
      <c r="L123" s="178"/>
      <c r="M123" s="173"/>
      <c r="N123" s="173"/>
      <c r="O123" s="251"/>
      <c r="P123" s="167"/>
      <c r="Q123" s="174">
        <f t="shared" si="37"/>
        <v>4</v>
      </c>
      <c r="R123" s="169">
        <f>VLOOKUP(C123,'BTH mủ tạp'!$D$99:$AK$160,34,0)</f>
        <v>2964</v>
      </c>
      <c r="S123" s="177"/>
      <c r="T123" s="168">
        <f t="shared" si="38"/>
        <v>0</v>
      </c>
      <c r="U123" s="232">
        <f t="shared" si="35"/>
        <v>2964</v>
      </c>
      <c r="V123" s="503">
        <f>VLOOKUP(C123,'Chấm công KT'!$D$95:$AK$156,34,0)</f>
        <v>23</v>
      </c>
      <c r="W123" s="503">
        <f>VLOOKUP(C123,'Chấm công KT'!$D$95:$AL$156,35,0)</f>
        <v>5</v>
      </c>
      <c r="X123" s="503">
        <f>VLOOKUP(C123,'Chấm công KT'!D122:AM156,36,0)</f>
        <v>0</v>
      </c>
      <c r="Y123" s="566"/>
      <c r="Z123" s="566"/>
      <c r="AA123" s="566"/>
      <c r="AB123" s="179"/>
      <c r="AC123" s="175">
        <f t="shared" si="36"/>
        <v>4</v>
      </c>
      <c r="AD123" s="105">
        <f>VLOOKUP(C123,'BTH mủ tạp'!$D$17:$AN$160,36,0)</f>
        <v>1368.6470822404613</v>
      </c>
      <c r="AE123" s="176"/>
      <c r="AF123" s="90"/>
    </row>
    <row r="124" spans="1:32" ht="18.75" customHeight="1">
      <c r="A124" s="166">
        <v>29</v>
      </c>
      <c r="B124" s="228" t="str">
        <f>'Chấm công KT'!C123</f>
        <v>03615</v>
      </c>
      <c r="C124" s="176" t="str">
        <f>'Chấm công KT'!D123</f>
        <v>T. Xi Nuôn</v>
      </c>
      <c r="D124" s="166" t="s">
        <v>28</v>
      </c>
      <c r="E124" s="239">
        <f t="shared" si="32"/>
        <v>3.2</v>
      </c>
      <c r="F124" s="239">
        <f t="shared" si="33"/>
        <v>0.8</v>
      </c>
      <c r="G124" s="239"/>
      <c r="H124" s="239"/>
      <c r="I124" s="239"/>
      <c r="J124" s="229"/>
      <c r="K124" s="178"/>
      <c r="L124" s="178"/>
      <c r="M124" s="108"/>
      <c r="N124" s="173"/>
      <c r="O124" s="251"/>
      <c r="P124" s="167"/>
      <c r="Q124" s="174">
        <f t="shared" si="37"/>
        <v>4</v>
      </c>
      <c r="R124" s="169">
        <f>VLOOKUP(C124,'BTH mủ tạp'!$D$99:$AK$160,34,0)</f>
        <v>1950</v>
      </c>
      <c r="S124" s="177"/>
      <c r="T124" s="168">
        <f t="shared" si="38"/>
        <v>0</v>
      </c>
      <c r="U124" s="232">
        <f t="shared" si="35"/>
        <v>1950</v>
      </c>
      <c r="V124" s="503">
        <f>VLOOKUP(C124,'Chấm công KT'!$D$95:$AK$156,34,0)</f>
        <v>20</v>
      </c>
      <c r="W124" s="503">
        <f>VLOOKUP(C124,'Chấm công KT'!$D$95:$AL$156,35,0)</f>
        <v>4</v>
      </c>
      <c r="X124" s="503">
        <f>VLOOKUP(C124,'Chấm công KT'!D123:AM156,36,0)</f>
        <v>0</v>
      </c>
      <c r="Y124" s="566"/>
      <c r="Z124" s="566"/>
      <c r="AA124" s="566"/>
      <c r="AB124" s="179"/>
      <c r="AC124" s="175">
        <f t="shared" si="36"/>
        <v>4</v>
      </c>
      <c r="AD124" s="105">
        <f>VLOOKUP(C124,'BTH mủ tạp'!$D$17:$AN$160,36,0)</f>
        <v>900.42571200030352</v>
      </c>
      <c r="AE124" s="176"/>
      <c r="AF124" s="90"/>
    </row>
    <row r="125" spans="1:32" ht="18.75" customHeight="1">
      <c r="A125" s="166">
        <v>30</v>
      </c>
      <c r="B125" s="228" t="str">
        <f>'Chấm công KT'!C124</f>
        <v>03616</v>
      </c>
      <c r="C125" s="176" t="str">
        <f>'Chấm công KT'!D124</f>
        <v>N. Ốc</v>
      </c>
      <c r="D125" s="166" t="s">
        <v>28</v>
      </c>
      <c r="E125" s="239">
        <f t="shared" si="32"/>
        <v>3.2</v>
      </c>
      <c r="F125" s="239">
        <f t="shared" si="33"/>
        <v>0.8</v>
      </c>
      <c r="G125" s="239"/>
      <c r="H125" s="239"/>
      <c r="I125" s="239"/>
      <c r="J125" s="229"/>
      <c r="K125" s="178"/>
      <c r="L125" s="178"/>
      <c r="M125" s="108"/>
      <c r="N125" s="104"/>
      <c r="O125" s="192"/>
      <c r="P125" s="167"/>
      <c r="Q125" s="174">
        <f t="shared" si="37"/>
        <v>4</v>
      </c>
      <c r="R125" s="169">
        <f>VLOOKUP(C125,'BTH mủ tạp'!$D$99:$AK$160,34,0)</f>
        <v>2389</v>
      </c>
      <c r="S125" s="177"/>
      <c r="T125" s="168">
        <f t="shared" si="38"/>
        <v>0</v>
      </c>
      <c r="U125" s="232">
        <f t="shared" si="35"/>
        <v>2389</v>
      </c>
      <c r="V125" s="503">
        <f>VLOOKUP(C125,'Chấm công KT'!$D$95:$AK$156,34,0)</f>
        <v>24</v>
      </c>
      <c r="W125" s="503">
        <f>VLOOKUP(C125,'Chấm công KT'!$D$95:$AL$156,35,0)</f>
        <v>5</v>
      </c>
      <c r="X125" s="503">
        <f>VLOOKUP(C125,'Chấm công KT'!D124:AM156,36,0)</f>
        <v>0</v>
      </c>
      <c r="Y125" s="566"/>
      <c r="Z125" s="566"/>
      <c r="AA125" s="566"/>
      <c r="AB125" s="179"/>
      <c r="AC125" s="175">
        <f t="shared" si="36"/>
        <v>4</v>
      </c>
      <c r="AD125" s="105">
        <f>VLOOKUP(C125,'BTH mủ tạp'!$D$17:$AN$160,36,0)</f>
        <v>1103.1369363942181</v>
      </c>
      <c r="AE125" s="176"/>
      <c r="AF125" s="90"/>
    </row>
    <row r="126" spans="1:32" ht="18.75" customHeight="1">
      <c r="A126" s="166">
        <v>31</v>
      </c>
      <c r="B126" s="228" t="str">
        <f>'Chấm công KT'!C125</f>
        <v>03617</v>
      </c>
      <c r="C126" s="176" t="str">
        <f>'Chấm công KT'!D125</f>
        <v>T. Văn Nô</v>
      </c>
      <c r="D126" s="166" t="s">
        <v>28</v>
      </c>
      <c r="E126" s="239">
        <f t="shared" si="32"/>
        <v>3.2</v>
      </c>
      <c r="F126" s="239">
        <f t="shared" si="33"/>
        <v>0.8</v>
      </c>
      <c r="G126" s="239"/>
      <c r="H126" s="239"/>
      <c r="I126" s="239"/>
      <c r="J126" s="229"/>
      <c r="K126" s="178"/>
      <c r="L126" s="178"/>
      <c r="M126" s="108"/>
      <c r="N126" s="104"/>
      <c r="O126" s="192"/>
      <c r="P126" s="167"/>
      <c r="Q126" s="174">
        <f t="shared" si="37"/>
        <v>4</v>
      </c>
      <c r="R126" s="169">
        <f>VLOOKUP(C126,'BTH mủ tạp'!$D$99:$AK$160,34,0)</f>
        <v>3310</v>
      </c>
      <c r="S126" s="177"/>
      <c r="T126" s="168">
        <f t="shared" si="38"/>
        <v>0</v>
      </c>
      <c r="U126" s="232">
        <f t="shared" si="35"/>
        <v>3310</v>
      </c>
      <c r="V126" s="503">
        <f>VLOOKUP(C126,'Chấm công KT'!$D$95:$AK$156,34,0)</f>
        <v>24</v>
      </c>
      <c r="W126" s="503">
        <f>VLOOKUP(C126,'Chấm công KT'!$D$95:$AL$156,35,0)</f>
        <v>5</v>
      </c>
      <c r="X126" s="503">
        <f>VLOOKUP(C126,'Chấm công KT'!D125:AM156,36,0)</f>
        <v>0</v>
      </c>
      <c r="Y126" s="566"/>
      <c r="Z126" s="566"/>
      <c r="AA126" s="566"/>
      <c r="AB126" s="179"/>
      <c r="AC126" s="175">
        <f t="shared" si="36"/>
        <v>4</v>
      </c>
      <c r="AD126" s="105">
        <f>VLOOKUP(C126,'BTH mủ tạp'!$D$17:$AN$160,36,0)</f>
        <v>1528.4149265235922</v>
      </c>
      <c r="AE126" s="176"/>
      <c r="AF126" s="90"/>
    </row>
    <row r="127" spans="1:32" ht="18.75" customHeight="1">
      <c r="A127" s="166">
        <v>32</v>
      </c>
      <c r="B127" s="228" t="str">
        <f>'Chấm công KT'!C126</f>
        <v>03618</v>
      </c>
      <c r="C127" s="176" t="str">
        <f>'Chấm công KT'!D126</f>
        <v>N. Văn Ta</v>
      </c>
      <c r="D127" s="166" t="s">
        <v>28</v>
      </c>
      <c r="E127" s="239">
        <f t="shared" si="32"/>
        <v>3.2</v>
      </c>
      <c r="F127" s="239">
        <f t="shared" si="33"/>
        <v>0.8</v>
      </c>
      <c r="G127" s="239"/>
      <c r="H127" s="239"/>
      <c r="I127" s="239"/>
      <c r="J127" s="229"/>
      <c r="K127" s="178"/>
      <c r="L127" s="178"/>
      <c r="M127" s="229"/>
      <c r="N127" s="173"/>
      <c r="O127" s="251"/>
      <c r="P127" s="167"/>
      <c r="Q127" s="174">
        <f t="shared" si="37"/>
        <v>4</v>
      </c>
      <c r="R127" s="169">
        <f>VLOOKUP(C127,'BTH mủ tạp'!$D$99:$AK$160,34,0)</f>
        <v>2844</v>
      </c>
      <c r="S127" s="177"/>
      <c r="T127" s="168">
        <f t="shared" si="38"/>
        <v>0</v>
      </c>
      <c r="U127" s="232">
        <f t="shared" si="35"/>
        <v>2844</v>
      </c>
      <c r="V127" s="503">
        <f>VLOOKUP(C127,'Chấm công KT'!$D$95:$AK$156,34,0)</f>
        <v>24</v>
      </c>
      <c r="W127" s="503">
        <f>VLOOKUP(C127,'Chấm công KT'!$D$95:$AL$156,35,0)</f>
        <v>5</v>
      </c>
      <c r="X127" s="503">
        <f>VLOOKUP(C127,'Chấm công KT'!D126:AM156,36,0)</f>
        <v>0</v>
      </c>
      <c r="Y127" s="566"/>
      <c r="Z127" s="566"/>
      <c r="AA127" s="566"/>
      <c r="AB127" s="179"/>
      <c r="AC127" s="175">
        <f t="shared" si="36"/>
        <v>4</v>
      </c>
      <c r="AD127" s="105">
        <f>VLOOKUP(C127,'BTH mủ tạp'!$D$17:$AN$160,36,0)</f>
        <v>1313.2362691942888</v>
      </c>
      <c r="AE127" s="176"/>
      <c r="AF127" s="90"/>
    </row>
    <row r="128" spans="1:32" ht="18.75" customHeight="1">
      <c r="A128" s="166">
        <v>33</v>
      </c>
      <c r="B128" s="228" t="str">
        <f>'Chấm công KT'!C127</f>
        <v>03619</v>
      </c>
      <c r="C128" s="176" t="str">
        <f>'Chấm công KT'!D127</f>
        <v>T. Thon</v>
      </c>
      <c r="D128" s="166" t="s">
        <v>28</v>
      </c>
      <c r="E128" s="239">
        <f t="shared" si="32"/>
        <v>3.2</v>
      </c>
      <c r="F128" s="239">
        <f t="shared" si="33"/>
        <v>0.8</v>
      </c>
      <c r="G128" s="239"/>
      <c r="H128" s="239"/>
      <c r="I128" s="239"/>
      <c r="J128" s="229"/>
      <c r="K128" s="178"/>
      <c r="L128" s="178"/>
      <c r="M128" s="108"/>
      <c r="N128" s="104"/>
      <c r="O128" s="192"/>
      <c r="P128" s="167"/>
      <c r="Q128" s="174">
        <f t="shared" si="37"/>
        <v>4</v>
      </c>
      <c r="R128" s="169">
        <f>VLOOKUP(C128,'BTH mủ tạp'!$D$99:$AK$160,34,0)</f>
        <v>2869</v>
      </c>
      <c r="S128" s="177"/>
      <c r="T128" s="168">
        <f t="shared" si="38"/>
        <v>0</v>
      </c>
      <c r="U128" s="232">
        <f t="shared" si="35"/>
        <v>2869</v>
      </c>
      <c r="V128" s="503">
        <f>VLOOKUP(C128,'Chấm công KT'!$D$95:$AK$156,34,0)</f>
        <v>24</v>
      </c>
      <c r="W128" s="503">
        <f>VLOOKUP(C128,'Chấm công KT'!$D$95:$AL$156,35,0)</f>
        <v>5</v>
      </c>
      <c r="X128" s="503">
        <f>VLOOKUP(C128,'Chấm công KT'!D127:AM156,36,0)</f>
        <v>0</v>
      </c>
      <c r="Y128" s="566"/>
      <c r="Z128" s="566"/>
      <c r="AA128" s="566"/>
      <c r="AB128" s="179"/>
      <c r="AC128" s="175">
        <f t="shared" si="36"/>
        <v>4</v>
      </c>
      <c r="AD128" s="105">
        <f>VLOOKUP(C128,'BTH mủ tạp'!$D$17:$AN$160,36,0)</f>
        <v>1324.7801885789079</v>
      </c>
      <c r="AE128" s="176"/>
      <c r="AF128" s="90"/>
    </row>
    <row r="129" spans="1:33" ht="18.75" customHeight="1">
      <c r="A129" s="166">
        <v>34</v>
      </c>
      <c r="B129" s="228" t="str">
        <f>'Chấm công KT'!C128</f>
        <v>03620</v>
      </c>
      <c r="C129" s="176" t="str">
        <f>'Chấm công KT'!D128</f>
        <v>Bun Thon</v>
      </c>
      <c r="D129" s="166" t="s">
        <v>28</v>
      </c>
      <c r="E129" s="239">
        <f t="shared" si="32"/>
        <v>3.2</v>
      </c>
      <c r="F129" s="239">
        <f t="shared" si="33"/>
        <v>0.8</v>
      </c>
      <c r="G129" s="239"/>
      <c r="H129" s="239"/>
      <c r="I129" s="239"/>
      <c r="J129" s="229"/>
      <c r="K129" s="178"/>
      <c r="L129" s="178"/>
      <c r="M129" s="108"/>
      <c r="N129" s="104"/>
      <c r="O129" s="192"/>
      <c r="P129" s="167"/>
      <c r="Q129" s="174">
        <f t="shared" si="37"/>
        <v>4</v>
      </c>
      <c r="R129" s="169">
        <f>VLOOKUP(C129,'BTH mủ tạp'!$D$99:$AK$160,34,0)</f>
        <v>2047</v>
      </c>
      <c r="S129" s="177"/>
      <c r="T129" s="168">
        <f t="shared" si="38"/>
        <v>0</v>
      </c>
      <c r="U129" s="232">
        <f t="shared" si="35"/>
        <v>2047</v>
      </c>
      <c r="V129" s="503">
        <f>VLOOKUP(C129,'Chấm công KT'!$D$95:$AK$156,34,0)</f>
        <v>20</v>
      </c>
      <c r="W129" s="503">
        <f>VLOOKUP(C129,'Chấm công KT'!$D$95:$AL$156,35,0)</f>
        <v>4</v>
      </c>
      <c r="X129" s="503">
        <f>VLOOKUP(C129,'Chấm công KT'!D128:AM156,36,0)</f>
        <v>0</v>
      </c>
      <c r="Y129" s="566"/>
      <c r="Z129" s="566"/>
      <c r="AA129" s="566"/>
      <c r="AB129" s="179"/>
      <c r="AC129" s="175">
        <f t="shared" si="36"/>
        <v>4</v>
      </c>
      <c r="AD129" s="105">
        <f>VLOOKUP(C129,'BTH mủ tạp'!$D$17:$AN$160,36,0)</f>
        <v>945.21611921262638</v>
      </c>
      <c r="AE129" s="176"/>
      <c r="AF129" s="90"/>
    </row>
    <row r="130" spans="1:33" ht="18.75" customHeight="1">
      <c r="A130" s="166">
        <v>35</v>
      </c>
      <c r="B130" s="228" t="str">
        <f>'Chấm công KT'!C129</f>
        <v>04078</v>
      </c>
      <c r="C130" s="176" t="str">
        <f>'Chấm công KT'!D129</f>
        <v>Lăm Thong</v>
      </c>
      <c r="D130" s="166" t="s">
        <v>28</v>
      </c>
      <c r="E130" s="239">
        <f t="shared" si="32"/>
        <v>3.2</v>
      </c>
      <c r="F130" s="239">
        <f t="shared" si="33"/>
        <v>0.8</v>
      </c>
      <c r="G130" s="239"/>
      <c r="H130" s="239"/>
      <c r="I130" s="239"/>
      <c r="J130" s="229"/>
      <c r="K130" s="178"/>
      <c r="L130" s="178"/>
      <c r="M130" s="108"/>
      <c r="N130" s="104"/>
      <c r="O130" s="192"/>
      <c r="P130" s="167"/>
      <c r="Q130" s="174">
        <f t="shared" si="37"/>
        <v>4</v>
      </c>
      <c r="R130" s="169">
        <f>VLOOKUP(C130,'BTH mủ tạp'!$D$99:$AK$160,34,0)</f>
        <v>2113</v>
      </c>
      <c r="S130" s="177"/>
      <c r="T130" s="168">
        <f t="shared" si="38"/>
        <v>0</v>
      </c>
      <c r="U130" s="232">
        <f t="shared" si="35"/>
        <v>2113</v>
      </c>
      <c r="V130" s="503">
        <f>VLOOKUP(C130,'Chấm công KT'!$D$95:$AK$156,34,0)</f>
        <v>22</v>
      </c>
      <c r="W130" s="503">
        <f>VLOOKUP(C130,'Chấm công KT'!$D$95:$AL$156,35,0)</f>
        <v>4</v>
      </c>
      <c r="X130" s="503">
        <f>VLOOKUP(C130,'Chấm công KT'!D129:AM156,36,0)</f>
        <v>0</v>
      </c>
      <c r="Y130" s="566"/>
      <c r="Z130" s="566"/>
      <c r="AA130" s="566"/>
      <c r="AB130" s="179"/>
      <c r="AC130" s="175">
        <f t="shared" si="36"/>
        <v>4</v>
      </c>
      <c r="AD130" s="105">
        <f>VLOOKUP(C130,'BTH mủ tạp'!$D$17:$AN$160,36,0)</f>
        <v>975.6920663880212</v>
      </c>
      <c r="AE130" s="176"/>
      <c r="AF130" s="90"/>
    </row>
    <row r="131" spans="1:33" ht="18.75" customHeight="1">
      <c r="A131" s="166">
        <v>36</v>
      </c>
      <c r="B131" s="228" t="str">
        <f>'Chấm công KT'!C130</f>
        <v>03622</v>
      </c>
      <c r="C131" s="176" t="str">
        <f>'Chấm công KT'!D130</f>
        <v>N. Xeo Khăm</v>
      </c>
      <c r="D131" s="166" t="s">
        <v>28</v>
      </c>
      <c r="E131" s="239">
        <f t="shared" si="32"/>
        <v>3.2</v>
      </c>
      <c r="F131" s="239">
        <f t="shared" si="33"/>
        <v>0.8</v>
      </c>
      <c r="G131" s="239"/>
      <c r="H131" s="239"/>
      <c r="I131" s="239"/>
      <c r="J131" s="229"/>
      <c r="K131" s="178"/>
      <c r="L131" s="178"/>
      <c r="M131" s="108"/>
      <c r="N131" s="104"/>
      <c r="O131" s="192"/>
      <c r="P131" s="167"/>
      <c r="Q131" s="174">
        <f t="shared" si="37"/>
        <v>4</v>
      </c>
      <c r="R131" s="169">
        <f>VLOOKUP(C131,'BTH mủ tạp'!$D$99:$AK$160,34,0)</f>
        <v>3315</v>
      </c>
      <c r="S131" s="177"/>
      <c r="T131" s="168">
        <f t="shared" si="38"/>
        <v>0</v>
      </c>
      <c r="U131" s="232">
        <f t="shared" si="35"/>
        <v>3315</v>
      </c>
      <c r="V131" s="503">
        <f>VLOOKUP(C131,'Chấm công KT'!$D$95:$AK$156,34,0)</f>
        <v>24</v>
      </c>
      <c r="W131" s="503">
        <f>VLOOKUP(C131,'Chấm công KT'!$D$95:$AL$156,35,0)</f>
        <v>5</v>
      </c>
      <c r="X131" s="503">
        <f>VLOOKUP(C131,'Chấm công KT'!D130:AM156,36,0)</f>
        <v>0</v>
      </c>
      <c r="Y131" s="566"/>
      <c r="Z131" s="566"/>
      <c r="AA131" s="566"/>
      <c r="AB131" s="179"/>
      <c r="AC131" s="175">
        <f t="shared" si="36"/>
        <v>4</v>
      </c>
      <c r="AD131" s="105">
        <f>VLOOKUP(C131,'BTH mủ tạp'!$D$17:$AN$160,36,0)</f>
        <v>1530.723710400516</v>
      </c>
      <c r="AE131" s="176"/>
      <c r="AF131" s="90"/>
    </row>
    <row r="132" spans="1:33" ht="18.75" customHeight="1">
      <c r="A132" s="166">
        <v>37</v>
      </c>
      <c r="B132" s="228" t="str">
        <f>'Chấm công KT'!C131</f>
        <v>03623</v>
      </c>
      <c r="C132" s="176" t="str">
        <f>'Chấm công KT'!D131</f>
        <v>T. Khăm...</v>
      </c>
      <c r="D132" s="166" t="s">
        <v>28</v>
      </c>
      <c r="E132" s="239">
        <f t="shared" si="32"/>
        <v>3.2</v>
      </c>
      <c r="F132" s="239">
        <f t="shared" si="33"/>
        <v>0.8</v>
      </c>
      <c r="G132" s="239"/>
      <c r="H132" s="239"/>
      <c r="I132" s="239"/>
      <c r="J132" s="229"/>
      <c r="K132" s="178"/>
      <c r="L132" s="178"/>
      <c r="M132" s="108"/>
      <c r="N132" s="104"/>
      <c r="O132" s="192"/>
      <c r="P132" s="167"/>
      <c r="Q132" s="174">
        <f t="shared" si="37"/>
        <v>4</v>
      </c>
      <c r="R132" s="169">
        <f>VLOOKUP(C132,'BTH mủ tạp'!$D$99:$AK$160,34,0)</f>
        <v>3225</v>
      </c>
      <c r="S132" s="177"/>
      <c r="T132" s="168">
        <f t="shared" si="38"/>
        <v>0</v>
      </c>
      <c r="U132" s="232">
        <f t="shared" si="35"/>
        <v>3225</v>
      </c>
      <c r="V132" s="503">
        <f>VLOOKUP(C132,'Chấm công KT'!$D$95:$AK$156,34,0)</f>
        <v>24</v>
      </c>
      <c r="W132" s="503">
        <f>VLOOKUP(C132,'Chấm công KT'!$D$95:$AL$156,35,0)</f>
        <v>5</v>
      </c>
      <c r="X132" s="503">
        <f>VLOOKUP(C132,'Chấm công KT'!D131:AM156,36,0)</f>
        <v>0</v>
      </c>
      <c r="Y132" s="566"/>
      <c r="Z132" s="566"/>
      <c r="AA132" s="566"/>
      <c r="AB132" s="179"/>
      <c r="AC132" s="175">
        <f t="shared" si="36"/>
        <v>4</v>
      </c>
      <c r="AD132" s="105">
        <f>VLOOKUP(C132,'BTH mủ tạp'!$D$17:$AN$160,36,0)</f>
        <v>1489.1656006158864</v>
      </c>
      <c r="AE132" s="176"/>
      <c r="AF132" s="90"/>
    </row>
    <row r="133" spans="1:33" ht="18.75" customHeight="1">
      <c r="A133" s="166">
        <v>38</v>
      </c>
      <c r="B133" s="228" t="str">
        <f>'Chấm công KT'!C132</f>
        <v>03532</v>
      </c>
      <c r="C133" s="176" t="str">
        <f>'Chấm công KT'!D132</f>
        <v>N. Túc</v>
      </c>
      <c r="D133" s="166" t="s">
        <v>28</v>
      </c>
      <c r="E133" s="239">
        <f t="shared" si="32"/>
        <v>3.2</v>
      </c>
      <c r="F133" s="239">
        <f t="shared" si="33"/>
        <v>0.8</v>
      </c>
      <c r="G133" s="239"/>
      <c r="H133" s="239"/>
      <c r="I133" s="239"/>
      <c r="J133" s="229"/>
      <c r="K133" s="178"/>
      <c r="L133" s="178"/>
      <c r="M133" s="108"/>
      <c r="N133" s="104"/>
      <c r="O133" s="192"/>
      <c r="P133" s="167"/>
      <c r="Q133" s="174">
        <f t="shared" si="37"/>
        <v>4</v>
      </c>
      <c r="R133" s="169">
        <f>VLOOKUP(C133,'BTH mủ tạp'!$D$99:$AK$160,34,0)</f>
        <v>3015</v>
      </c>
      <c r="S133" s="177"/>
      <c r="T133" s="168">
        <f t="shared" si="38"/>
        <v>0</v>
      </c>
      <c r="U133" s="232">
        <f t="shared" si="35"/>
        <v>3015</v>
      </c>
      <c r="V133" s="503">
        <f>VLOOKUP(C133,'Chấm công KT'!$D$95:$AK$156,34,0)</f>
        <v>24</v>
      </c>
      <c r="W133" s="503">
        <f>VLOOKUP(C133,'Chấm công KT'!$D$95:$AL$156,35,0)</f>
        <v>5</v>
      </c>
      <c r="X133" s="503">
        <f>VLOOKUP(C133,'Chấm công KT'!D132:AM156,36,0)</f>
        <v>0</v>
      </c>
      <c r="Y133" s="566"/>
      <c r="Z133" s="566"/>
      <c r="AA133" s="566"/>
      <c r="AB133" s="179"/>
      <c r="AC133" s="175">
        <f t="shared" si="36"/>
        <v>4</v>
      </c>
      <c r="AD133" s="105">
        <f>VLOOKUP(C133,'BTH mủ tạp'!$D$17:$AN$160,36,0)</f>
        <v>1392.1966777850848</v>
      </c>
      <c r="AE133" s="176"/>
      <c r="AF133" s="90"/>
    </row>
    <row r="134" spans="1:33" ht="18.75" customHeight="1">
      <c r="A134" s="166">
        <v>39</v>
      </c>
      <c r="B134" s="228" t="str">
        <f>'Chấm công KT'!C133</f>
        <v>03625</v>
      </c>
      <c r="C134" s="176" t="str">
        <f>'Chấm công KT'!D133</f>
        <v>N. Pheng</v>
      </c>
      <c r="D134" s="166" t="s">
        <v>28</v>
      </c>
      <c r="E134" s="239">
        <f t="shared" si="32"/>
        <v>3.2</v>
      </c>
      <c r="F134" s="239">
        <f t="shared" si="33"/>
        <v>0.8</v>
      </c>
      <c r="G134" s="239"/>
      <c r="H134" s="239"/>
      <c r="I134" s="239"/>
      <c r="J134" s="229"/>
      <c r="K134" s="178"/>
      <c r="L134" s="178"/>
      <c r="M134" s="108"/>
      <c r="N134" s="173"/>
      <c r="O134" s="251"/>
      <c r="P134" s="167"/>
      <c r="Q134" s="174">
        <f t="shared" si="37"/>
        <v>4</v>
      </c>
      <c r="R134" s="169">
        <f>VLOOKUP(C134,'BTH mủ tạp'!$D$99:$AK$160,34,0)</f>
        <v>3549</v>
      </c>
      <c r="S134" s="177"/>
      <c r="T134" s="168">
        <f t="shared" si="38"/>
        <v>0</v>
      </c>
      <c r="U134" s="232">
        <f t="shared" si="35"/>
        <v>3549</v>
      </c>
      <c r="V134" s="503">
        <f>VLOOKUP(C134,'Chấm công KT'!$D$95:$AK$156,34,0)</f>
        <v>24</v>
      </c>
      <c r="W134" s="503">
        <f>VLOOKUP(C134,'Chấm công KT'!$D$95:$AL$156,35,0)</f>
        <v>5</v>
      </c>
      <c r="X134" s="503">
        <f>VLOOKUP(C134,'Chấm công KT'!D133:AM156,36,0)</f>
        <v>0</v>
      </c>
      <c r="Y134" s="566"/>
      <c r="Z134" s="566"/>
      <c r="AA134" s="566"/>
      <c r="AB134" s="179"/>
      <c r="AC134" s="175">
        <f t="shared" si="36"/>
        <v>4</v>
      </c>
      <c r="AD134" s="105">
        <f>VLOOKUP(C134,'BTH mủ tạp'!$D$17:$AN$160,36,0)</f>
        <v>1638.7747958405523</v>
      </c>
      <c r="AE134" s="176"/>
      <c r="AF134" s="90"/>
    </row>
    <row r="135" spans="1:33" ht="18.75" customHeight="1">
      <c r="A135" s="166">
        <v>40</v>
      </c>
      <c r="B135" s="228" t="str">
        <f>'Chấm công KT'!C134</f>
        <v>03587</v>
      </c>
      <c r="C135" s="176" t="str">
        <f>'Chấm công KT'!D134</f>
        <v>N. Mom</v>
      </c>
      <c r="D135" s="166" t="s">
        <v>28</v>
      </c>
      <c r="E135" s="239">
        <f t="shared" si="32"/>
        <v>3.2</v>
      </c>
      <c r="F135" s="239">
        <f t="shared" si="33"/>
        <v>0.8</v>
      </c>
      <c r="G135" s="239"/>
      <c r="H135" s="239"/>
      <c r="I135" s="239"/>
      <c r="J135" s="229"/>
      <c r="K135" s="178"/>
      <c r="L135" s="178"/>
      <c r="M135" s="108"/>
      <c r="N135" s="173"/>
      <c r="O135" s="251"/>
      <c r="P135" s="167"/>
      <c r="Q135" s="174">
        <f t="shared" si="37"/>
        <v>4</v>
      </c>
      <c r="R135" s="169">
        <f>VLOOKUP(C135,'BTH mủ tạp'!$D$99:$AK$160,34,0)</f>
        <v>3228</v>
      </c>
      <c r="S135" s="177"/>
      <c r="T135" s="168">
        <f t="shared" si="38"/>
        <v>0</v>
      </c>
      <c r="U135" s="232">
        <f t="shared" si="35"/>
        <v>3228</v>
      </c>
      <c r="V135" s="503">
        <f>VLOOKUP(C135,'Chấm công KT'!$D$95:$AK$156,34,0)</f>
        <v>24</v>
      </c>
      <c r="W135" s="503">
        <f>VLOOKUP(C135,'Chấm công KT'!$D$95:$AL$156,35,0)</f>
        <v>5</v>
      </c>
      <c r="X135" s="503">
        <f>VLOOKUP(C135,'Chấm công KT'!D134:AM156,36,0)</f>
        <v>0</v>
      </c>
      <c r="Y135" s="566"/>
      <c r="Z135" s="566"/>
      <c r="AA135" s="566"/>
      <c r="AB135" s="179"/>
      <c r="AC135" s="175">
        <f t="shared" si="36"/>
        <v>4</v>
      </c>
      <c r="AD135" s="105">
        <f>VLOOKUP(C135,'BTH mủ tạp'!$D$17:$AN$160,36,0)</f>
        <v>1490.550870942041</v>
      </c>
      <c r="AE135" s="176"/>
      <c r="AF135" s="90"/>
    </row>
    <row r="136" spans="1:33" ht="18.75" customHeight="1">
      <c r="A136" s="166">
        <v>41</v>
      </c>
      <c r="B136" s="228" t="str">
        <f>'Chấm công KT'!C135</f>
        <v>04079</v>
      </c>
      <c r="C136" s="176" t="str">
        <f>'Chấm công KT'!D135</f>
        <v>T. Môn</v>
      </c>
      <c r="D136" s="166" t="s">
        <v>28</v>
      </c>
      <c r="E136" s="239">
        <f t="shared" si="32"/>
        <v>3.2</v>
      </c>
      <c r="F136" s="239">
        <f t="shared" si="33"/>
        <v>0.8</v>
      </c>
      <c r="G136" s="239"/>
      <c r="H136" s="239"/>
      <c r="I136" s="239"/>
      <c r="J136" s="229"/>
      <c r="K136" s="178"/>
      <c r="L136" s="178"/>
      <c r="M136" s="229"/>
      <c r="N136" s="173"/>
      <c r="O136" s="251"/>
      <c r="P136" s="167"/>
      <c r="Q136" s="174">
        <f t="shared" si="37"/>
        <v>4</v>
      </c>
      <c r="R136" s="169">
        <f>VLOOKUP(C136,'BTH mủ tạp'!$D$99:$AK$160,34,0)</f>
        <v>2070</v>
      </c>
      <c r="S136" s="177"/>
      <c r="T136" s="168">
        <f t="shared" si="38"/>
        <v>0</v>
      </c>
      <c r="U136" s="232">
        <f t="shared" si="35"/>
        <v>2070</v>
      </c>
      <c r="V136" s="503">
        <f>VLOOKUP(C136,'Chấm công KT'!$D$95:$AK$156,34,0)</f>
        <v>21</v>
      </c>
      <c r="W136" s="503">
        <f>VLOOKUP(C136,'Chấm công KT'!$D$95:$AL$156,35,0)</f>
        <v>5</v>
      </c>
      <c r="X136" s="503">
        <f>VLOOKUP(C136,'Chấm công KT'!D135:AM156,36,0)</f>
        <v>0</v>
      </c>
      <c r="Y136" s="566"/>
      <c r="Z136" s="566"/>
      <c r="AA136" s="566"/>
      <c r="AB136" s="179"/>
      <c r="AC136" s="175">
        <f t="shared" si="36"/>
        <v>4</v>
      </c>
      <c r="AD136" s="105">
        <f>VLOOKUP(C136,'BTH mủ tạp'!$D$17:$AN$160,36,0)</f>
        <v>955.83652504647603</v>
      </c>
      <c r="AE136" s="176"/>
      <c r="AF136" s="90"/>
    </row>
    <row r="137" spans="1:33" ht="18.75" customHeight="1">
      <c r="A137" s="166">
        <v>42</v>
      </c>
      <c r="B137" s="228" t="str">
        <f>'Chấm công KT'!C136</f>
        <v>03628</v>
      </c>
      <c r="C137" s="176" t="str">
        <f>'Chấm công KT'!D136</f>
        <v>Khăn Hạ</v>
      </c>
      <c r="D137" s="166" t="s">
        <v>28</v>
      </c>
      <c r="E137" s="239">
        <f t="shared" si="32"/>
        <v>3.2</v>
      </c>
      <c r="F137" s="239">
        <f t="shared" si="33"/>
        <v>0.8</v>
      </c>
      <c r="G137" s="239"/>
      <c r="H137" s="239"/>
      <c r="I137" s="239"/>
      <c r="J137" s="229"/>
      <c r="K137" s="178"/>
      <c r="L137" s="178"/>
      <c r="M137" s="108"/>
      <c r="N137" s="104"/>
      <c r="O137" s="192"/>
      <c r="P137" s="167"/>
      <c r="Q137" s="174">
        <f t="shared" si="37"/>
        <v>4</v>
      </c>
      <c r="R137" s="169">
        <f>VLOOKUP(C137,'BTH mủ tạp'!$D$99:$AK$160,34,0)</f>
        <v>2062</v>
      </c>
      <c r="S137" s="177"/>
      <c r="T137" s="168">
        <f t="shared" si="38"/>
        <v>0</v>
      </c>
      <c r="U137" s="232">
        <f t="shared" si="35"/>
        <v>2062</v>
      </c>
      <c r="V137" s="503">
        <f>VLOOKUP(C137,'Chấm công KT'!$D$95:$AK$156,34,0)</f>
        <v>22</v>
      </c>
      <c r="W137" s="503">
        <f>VLOOKUP(C137,'Chấm công KT'!$D$95:$AL$156,35,0)</f>
        <v>5</v>
      </c>
      <c r="X137" s="503">
        <f>VLOOKUP(C137,'Chấm công KT'!D136:AM156,36,0)</f>
        <v>0</v>
      </c>
      <c r="Y137" s="566"/>
      <c r="Z137" s="566"/>
      <c r="AA137" s="566"/>
      <c r="AB137" s="179"/>
      <c r="AC137" s="175">
        <f t="shared" si="36"/>
        <v>4</v>
      </c>
      <c r="AD137" s="105">
        <f>VLOOKUP(C137,'BTH mủ tạp'!$D$17:$AN$160,36,0)</f>
        <v>952.14247084339786</v>
      </c>
      <c r="AE137" s="176"/>
      <c r="AF137" s="90"/>
    </row>
    <row r="138" spans="1:33" ht="18.75" customHeight="1">
      <c r="A138" s="166">
        <v>43</v>
      </c>
      <c r="B138" s="228" t="str">
        <f>'Chấm công KT'!C137</f>
        <v>03629</v>
      </c>
      <c r="C138" s="176" t="str">
        <f>'Chấm công KT'!D137</f>
        <v>T. Chăn La .</v>
      </c>
      <c r="D138" s="166" t="s">
        <v>28</v>
      </c>
      <c r="E138" s="239">
        <f t="shared" si="32"/>
        <v>3.2</v>
      </c>
      <c r="F138" s="239">
        <f t="shared" si="33"/>
        <v>0.8</v>
      </c>
      <c r="G138" s="239"/>
      <c r="H138" s="239"/>
      <c r="I138" s="239"/>
      <c r="J138" s="229"/>
      <c r="K138" s="178"/>
      <c r="L138" s="178"/>
      <c r="M138" s="108"/>
      <c r="N138" s="173"/>
      <c r="O138" s="251"/>
      <c r="P138" s="167"/>
      <c r="Q138" s="174">
        <f t="shared" si="37"/>
        <v>4</v>
      </c>
      <c r="R138" s="169">
        <f>VLOOKUP(C138,'BTH mủ tạp'!$D$99:$AK$160,34,0)</f>
        <v>2236</v>
      </c>
      <c r="S138" s="177"/>
      <c r="T138" s="168">
        <f t="shared" si="38"/>
        <v>0</v>
      </c>
      <c r="U138" s="232">
        <f t="shared" si="35"/>
        <v>2236</v>
      </c>
      <c r="V138" s="503">
        <f>VLOOKUP(C138,'Chấm công KT'!$D$95:$AK$156,34,0)</f>
        <v>22</v>
      </c>
      <c r="W138" s="503">
        <f>VLOOKUP(C138,'Chấm công KT'!$D$95:$AL$156,35,0)</f>
        <v>5</v>
      </c>
      <c r="X138" s="503">
        <f>VLOOKUP(C138,'Chấm công KT'!D137:AM156,36,0)</f>
        <v>0</v>
      </c>
      <c r="Y138" s="566"/>
      <c r="Z138" s="566"/>
      <c r="AA138" s="566"/>
      <c r="AB138" s="179"/>
      <c r="AC138" s="175">
        <f t="shared" si="36"/>
        <v>4</v>
      </c>
      <c r="AD138" s="105">
        <f>VLOOKUP(C138,'BTH mủ tạp'!$D$17:$AN$160,36,0)</f>
        <v>1032.4881497603481</v>
      </c>
      <c r="AE138" s="176"/>
      <c r="AF138" s="90"/>
    </row>
    <row r="139" spans="1:33" ht="18.75" customHeight="1">
      <c r="A139" s="166">
        <v>44</v>
      </c>
      <c r="B139" s="228" t="str">
        <f>'Chấm công KT'!C138</f>
        <v>03630</v>
      </c>
      <c r="C139" s="176" t="str">
        <f>'Chấm công KT'!D138</f>
        <v>T. Nú</v>
      </c>
      <c r="D139" s="166" t="s">
        <v>28</v>
      </c>
      <c r="E139" s="239">
        <f t="shared" si="32"/>
        <v>3.2</v>
      </c>
      <c r="F139" s="239">
        <f t="shared" si="33"/>
        <v>0.8</v>
      </c>
      <c r="G139" s="239"/>
      <c r="H139" s="239"/>
      <c r="I139" s="239"/>
      <c r="J139" s="229"/>
      <c r="K139" s="178"/>
      <c r="L139" s="178"/>
      <c r="M139" s="108"/>
      <c r="N139" s="104"/>
      <c r="O139" s="192"/>
      <c r="P139" s="167"/>
      <c r="Q139" s="174">
        <f t="shared" si="37"/>
        <v>4</v>
      </c>
      <c r="R139" s="169">
        <f>VLOOKUP(C139,'BTH mủ tạp'!$D$99:$AK$160,34,0)</f>
        <v>2081</v>
      </c>
      <c r="S139" s="177"/>
      <c r="T139" s="168">
        <f t="shared" si="38"/>
        <v>0</v>
      </c>
      <c r="U139" s="232">
        <f t="shared" si="35"/>
        <v>2081</v>
      </c>
      <c r="V139" s="503">
        <f>VLOOKUP(C139,'Chấm công KT'!$D$95:$AK$156,34,0)</f>
        <v>22</v>
      </c>
      <c r="W139" s="503">
        <f>VLOOKUP(C139,'Chấm công KT'!$D$95:$AL$156,35,0)</f>
        <v>5</v>
      </c>
      <c r="X139" s="503">
        <f>VLOOKUP(C139,'Chấm công KT'!D138:AM156,36,0)</f>
        <v>0</v>
      </c>
      <c r="Y139" s="566"/>
      <c r="Z139" s="566"/>
      <c r="AA139" s="566"/>
      <c r="AB139" s="179"/>
      <c r="AC139" s="175">
        <f t="shared" si="36"/>
        <v>4</v>
      </c>
      <c r="AD139" s="105">
        <f>VLOOKUP(C139,'BTH mủ tạp'!$D$17:$AN$160,36,0)</f>
        <v>960.91584957570853</v>
      </c>
      <c r="AE139" s="176"/>
      <c r="AF139" s="90" t="s">
        <v>158</v>
      </c>
      <c r="AG139" s="2">
        <f>1.1-3.19</f>
        <v>-2.09</v>
      </c>
    </row>
    <row r="140" spans="1:33" ht="18.75" customHeight="1">
      <c r="A140" s="166">
        <v>45</v>
      </c>
      <c r="B140" s="228" t="str">
        <f>'Chấm công KT'!C139</f>
        <v>03631</v>
      </c>
      <c r="C140" s="176" t="str">
        <f>'Chấm công KT'!D139</f>
        <v>T. Xan Nha</v>
      </c>
      <c r="D140" s="166" t="s">
        <v>28</v>
      </c>
      <c r="E140" s="239">
        <f t="shared" si="32"/>
        <v>3.2</v>
      </c>
      <c r="F140" s="239">
        <f t="shared" si="33"/>
        <v>0.8</v>
      </c>
      <c r="G140" s="239"/>
      <c r="H140" s="239"/>
      <c r="I140" s="239"/>
      <c r="J140" s="229"/>
      <c r="K140" s="178"/>
      <c r="L140" s="178"/>
      <c r="M140" s="108"/>
      <c r="N140" s="173"/>
      <c r="O140" s="251"/>
      <c r="P140" s="167"/>
      <c r="Q140" s="174">
        <f t="shared" si="37"/>
        <v>4</v>
      </c>
      <c r="R140" s="169">
        <f>VLOOKUP(C140,'BTH mủ tạp'!$D$99:$AK$160,34,0)</f>
        <v>2201</v>
      </c>
      <c r="S140" s="177"/>
      <c r="T140" s="168">
        <f t="shared" si="38"/>
        <v>0</v>
      </c>
      <c r="U140" s="232">
        <f t="shared" si="35"/>
        <v>2201</v>
      </c>
      <c r="V140" s="503">
        <f>VLOOKUP(C140,'Chấm công KT'!$D$95:$AK$156,34,0)</f>
        <v>22</v>
      </c>
      <c r="W140" s="503">
        <f>VLOOKUP(C140,'Chấm công KT'!$D$95:$AL$156,35,0)</f>
        <v>5</v>
      </c>
      <c r="X140" s="503">
        <f>VLOOKUP(C140,'Chấm công KT'!D139:AM156,36,0)</f>
        <v>0</v>
      </c>
      <c r="Y140" s="566"/>
      <c r="Z140" s="566"/>
      <c r="AA140" s="566"/>
      <c r="AB140" s="179"/>
      <c r="AC140" s="175">
        <f t="shared" si="36"/>
        <v>4</v>
      </c>
      <c r="AD140" s="105">
        <f>VLOOKUP(C140,'BTH mủ tạp'!$D$17:$AN$160,36,0)</f>
        <v>1016.3266626218812</v>
      </c>
      <c r="AE140" s="176"/>
      <c r="AF140" s="90"/>
    </row>
    <row r="141" spans="1:33" ht="18.75" customHeight="1">
      <c r="A141" s="166">
        <v>46</v>
      </c>
      <c r="B141" s="228" t="str">
        <f>'Chấm công KT'!C140</f>
        <v>03632</v>
      </c>
      <c r="C141" s="176" t="str">
        <f>'Chấm công KT'!D140</f>
        <v>T. A lem</v>
      </c>
      <c r="D141" s="166" t="s">
        <v>28</v>
      </c>
      <c r="E141" s="239">
        <f t="shared" si="32"/>
        <v>3.2</v>
      </c>
      <c r="F141" s="239">
        <f t="shared" si="33"/>
        <v>0.8</v>
      </c>
      <c r="G141" s="239"/>
      <c r="H141" s="239"/>
      <c r="I141" s="239"/>
      <c r="J141" s="229"/>
      <c r="K141" s="178"/>
      <c r="L141" s="178"/>
      <c r="M141" s="108"/>
      <c r="N141" s="173"/>
      <c r="O141" s="251"/>
      <c r="P141" s="167"/>
      <c r="Q141" s="174">
        <f t="shared" si="37"/>
        <v>4</v>
      </c>
      <c r="R141" s="169">
        <f>VLOOKUP(C141,'BTH mủ tạp'!$D$99:$AK$160,34,0)</f>
        <v>2052</v>
      </c>
      <c r="S141" s="177"/>
      <c r="T141" s="168">
        <f t="shared" si="38"/>
        <v>0</v>
      </c>
      <c r="U141" s="232">
        <f t="shared" si="35"/>
        <v>2052</v>
      </c>
      <c r="V141" s="503">
        <f>VLOOKUP(C141,'Chấm công KT'!$D$95:$AK$156,34,0)</f>
        <v>18</v>
      </c>
      <c r="W141" s="503">
        <f>VLOOKUP(C141,'Chấm công KT'!$D$95:$AL$156,35,0)</f>
        <v>4</v>
      </c>
      <c r="X141" s="503">
        <f>VLOOKUP(C141,'Chấm công KT'!D140:AM156,36,0)</f>
        <v>0</v>
      </c>
      <c r="Y141" s="566"/>
      <c r="Z141" s="566"/>
      <c r="AA141" s="566"/>
      <c r="AB141" s="179"/>
      <c r="AC141" s="175">
        <f t="shared" si="36"/>
        <v>4</v>
      </c>
      <c r="AD141" s="105">
        <f>VLOOKUP(C141,'BTH mủ tạp'!$D$17:$AN$160,36,0)</f>
        <v>947.52490308955021</v>
      </c>
      <c r="AE141" s="176"/>
      <c r="AF141" s="90"/>
    </row>
    <row r="142" spans="1:33" ht="18.75" customHeight="1">
      <c r="A142" s="166">
        <v>47</v>
      </c>
      <c r="B142" s="228" t="str">
        <f>'Chấm công KT'!C141</f>
        <v>04080</v>
      </c>
      <c r="C142" s="176" t="str">
        <f>'Chấm công KT'!D141</f>
        <v>T. Phan</v>
      </c>
      <c r="D142" s="166" t="s">
        <v>28</v>
      </c>
      <c r="E142" s="239">
        <f t="shared" si="32"/>
        <v>3.2</v>
      </c>
      <c r="F142" s="239">
        <f t="shared" si="33"/>
        <v>0.8</v>
      </c>
      <c r="G142" s="239"/>
      <c r="H142" s="239"/>
      <c r="I142" s="239"/>
      <c r="J142" s="229"/>
      <c r="K142" s="178"/>
      <c r="L142" s="178"/>
      <c r="M142" s="108"/>
      <c r="N142" s="173"/>
      <c r="O142" s="251"/>
      <c r="P142" s="167"/>
      <c r="Q142" s="174">
        <f t="shared" si="37"/>
        <v>4</v>
      </c>
      <c r="R142" s="169">
        <f>VLOOKUP(C142,'BTH mủ tạp'!$D$99:$AK$160,34,0)</f>
        <v>2399</v>
      </c>
      <c r="S142" s="177"/>
      <c r="T142" s="168">
        <f t="shared" si="38"/>
        <v>0</v>
      </c>
      <c r="U142" s="232">
        <f t="shared" si="35"/>
        <v>2399</v>
      </c>
      <c r="V142" s="503">
        <f>VLOOKUP(C142,'Chấm công KT'!$D$95:$AK$156,34,0)</f>
        <v>25</v>
      </c>
      <c r="W142" s="503">
        <f>VLOOKUP(C142,'Chấm công KT'!$D$95:$AL$156,35,0)</f>
        <v>5</v>
      </c>
      <c r="X142" s="503">
        <f>VLOOKUP(C142,'Chấm công KT'!D141:AM156,36,0)</f>
        <v>0</v>
      </c>
      <c r="Y142" s="566"/>
      <c r="Z142" s="566"/>
      <c r="AA142" s="566"/>
      <c r="AB142" s="179"/>
      <c r="AC142" s="175">
        <f t="shared" si="36"/>
        <v>4</v>
      </c>
      <c r="AD142" s="105">
        <f>VLOOKUP(C142,'BTH mủ tạp'!$D$17:$AN$160,36,0)</f>
        <v>1107.7545041480657</v>
      </c>
      <c r="AE142" s="193"/>
      <c r="AF142" s="90"/>
    </row>
    <row r="143" spans="1:33" ht="18.75" customHeight="1">
      <c r="A143" s="166">
        <v>48</v>
      </c>
      <c r="B143" s="228" t="str">
        <f>'Chấm công KT'!C142</f>
        <v>03634</v>
      </c>
      <c r="C143" s="176" t="str">
        <f>'Chấm công KT'!D142</f>
        <v>T . Cổ</v>
      </c>
      <c r="D143" s="166" t="s">
        <v>28</v>
      </c>
      <c r="E143" s="239">
        <f t="shared" si="32"/>
        <v>3.2</v>
      </c>
      <c r="F143" s="239">
        <f t="shared" si="33"/>
        <v>0.8</v>
      </c>
      <c r="G143" s="239"/>
      <c r="H143" s="239"/>
      <c r="I143" s="239"/>
      <c r="J143" s="229"/>
      <c r="K143" s="178"/>
      <c r="L143" s="178"/>
      <c r="M143" s="108"/>
      <c r="N143" s="173"/>
      <c r="O143" s="251"/>
      <c r="P143" s="167"/>
      <c r="Q143" s="174">
        <f t="shared" si="37"/>
        <v>4</v>
      </c>
      <c r="R143" s="169">
        <f>VLOOKUP(C143,'BTH mủ tạp'!$D$99:$AK$160,34,0)</f>
        <v>2509</v>
      </c>
      <c r="S143" s="177"/>
      <c r="T143" s="168">
        <f t="shared" si="38"/>
        <v>0</v>
      </c>
      <c r="U143" s="232">
        <f t="shared" si="35"/>
        <v>2509</v>
      </c>
      <c r="V143" s="503">
        <f>VLOOKUP(C143,'Chấm công KT'!$D$95:$AK$156,34,0)</f>
        <v>15</v>
      </c>
      <c r="W143" s="503">
        <f>VLOOKUP(C143,'Chấm công KT'!$D$95:$AL$156,35,0)</f>
        <v>2</v>
      </c>
      <c r="X143" s="503">
        <f>VLOOKUP(C143,'Chấm công KT'!D142:AM156,36,0)</f>
        <v>0</v>
      </c>
      <c r="Y143" s="566"/>
      <c r="Z143" s="566"/>
      <c r="AA143" s="566"/>
      <c r="AB143" s="179"/>
      <c r="AC143" s="175">
        <f t="shared" si="36"/>
        <v>4</v>
      </c>
      <c r="AD143" s="105">
        <f>VLOOKUP(C143,'BTH mủ tạp'!$D$17:$AN$160,36,0)</f>
        <v>1158.5477494403904</v>
      </c>
      <c r="AE143" s="193"/>
      <c r="AF143" s="90"/>
    </row>
    <row r="144" spans="1:33" ht="18.75" customHeight="1">
      <c r="A144" s="166">
        <v>49</v>
      </c>
      <c r="B144" s="228" t="str">
        <f>'Chấm công KT'!C143</f>
        <v>03635</v>
      </c>
      <c r="C144" s="176" t="str">
        <f>'Chấm công KT'!D143</f>
        <v>N. Phim Pha</v>
      </c>
      <c r="D144" s="166" t="s">
        <v>28</v>
      </c>
      <c r="E144" s="239">
        <f t="shared" si="32"/>
        <v>3.2</v>
      </c>
      <c r="F144" s="239">
        <f t="shared" si="33"/>
        <v>0.8</v>
      </c>
      <c r="G144" s="239"/>
      <c r="H144" s="239"/>
      <c r="I144" s="239"/>
      <c r="J144" s="229"/>
      <c r="K144" s="178"/>
      <c r="L144" s="178"/>
      <c r="M144" s="108"/>
      <c r="N144" s="104"/>
      <c r="O144" s="192"/>
      <c r="P144" s="167"/>
      <c r="Q144" s="174">
        <f t="shared" si="37"/>
        <v>4</v>
      </c>
      <c r="R144" s="169">
        <f>VLOOKUP(C144,'BTH mủ tạp'!$D$99:$AK$160,34,0)</f>
        <v>2007</v>
      </c>
      <c r="S144" s="177"/>
      <c r="T144" s="168">
        <f t="shared" si="38"/>
        <v>0</v>
      </c>
      <c r="U144" s="232">
        <f t="shared" si="35"/>
        <v>2007</v>
      </c>
      <c r="V144" s="503">
        <f>VLOOKUP(C144,'Chấm công KT'!$D$95:$AK$156,34,0)</f>
        <v>18</v>
      </c>
      <c r="W144" s="503">
        <f>VLOOKUP(C144,'Chấm công KT'!$D$95:$AL$156,35,0)</f>
        <v>5</v>
      </c>
      <c r="X144" s="503">
        <f>VLOOKUP(C144,'Chấm công KT'!D143:AM156,36,0)</f>
        <v>0</v>
      </c>
      <c r="Y144" s="566"/>
      <c r="Z144" s="566"/>
      <c r="AA144" s="566"/>
      <c r="AB144" s="179"/>
      <c r="AC144" s="175">
        <f t="shared" si="36"/>
        <v>4</v>
      </c>
      <c r="AD144" s="105">
        <f>VLOOKUP(C144,'BTH mủ tạp'!$D$17:$AN$160,36,0)</f>
        <v>926.74584819723543</v>
      </c>
      <c r="AE144" s="193"/>
      <c r="AF144" s="90"/>
    </row>
    <row r="145" spans="1:32" ht="18.75" customHeight="1">
      <c r="A145" s="166">
        <v>50</v>
      </c>
      <c r="B145" s="228" t="str">
        <f>'Chấm công KT'!C144</f>
        <v>03636</v>
      </c>
      <c r="C145" s="176" t="str">
        <f>'Chấm công KT'!D144</f>
        <v xml:space="preserve">T. Xeng </v>
      </c>
      <c r="D145" s="166" t="s">
        <v>28</v>
      </c>
      <c r="E145" s="239">
        <f t="shared" si="32"/>
        <v>3.2</v>
      </c>
      <c r="F145" s="239">
        <f t="shared" si="33"/>
        <v>0.8</v>
      </c>
      <c r="G145" s="239"/>
      <c r="H145" s="239"/>
      <c r="I145" s="239"/>
      <c r="J145" s="229"/>
      <c r="K145" s="178"/>
      <c r="L145" s="178"/>
      <c r="M145" s="108"/>
      <c r="N145" s="173"/>
      <c r="O145" s="251"/>
      <c r="P145" s="167"/>
      <c r="Q145" s="174">
        <f t="shared" si="37"/>
        <v>4</v>
      </c>
      <c r="R145" s="169">
        <f>VLOOKUP(C145,'BTH mủ tạp'!$D$99:$AK$160,34,0)</f>
        <v>2919</v>
      </c>
      <c r="S145" s="177"/>
      <c r="T145" s="168">
        <f t="shared" si="38"/>
        <v>0</v>
      </c>
      <c r="U145" s="232">
        <f t="shared" si="35"/>
        <v>2919</v>
      </c>
      <c r="V145" s="503">
        <f>VLOOKUP(C145,'Chấm công KT'!$D$95:$AK$156,34,0)</f>
        <v>22</v>
      </c>
      <c r="W145" s="503">
        <f>VLOOKUP(C145,'Chấm công KT'!$D$95:$AL$156,35,0)</f>
        <v>5</v>
      </c>
      <c r="X145" s="503">
        <f>VLOOKUP(C145,'Chấm công KT'!D144:AM156,36,0)</f>
        <v>0</v>
      </c>
      <c r="Y145" s="566"/>
      <c r="Z145" s="566"/>
      <c r="AA145" s="566"/>
      <c r="AB145" s="179"/>
      <c r="AC145" s="175">
        <f t="shared" si="36"/>
        <v>4</v>
      </c>
      <c r="AD145" s="105">
        <f>VLOOKUP(C145,'BTH mủ tạp'!$D$17:$AN$160,36,0)</f>
        <v>1347.8680273481468</v>
      </c>
      <c r="AE145" s="193"/>
      <c r="AF145" s="90"/>
    </row>
    <row r="146" spans="1:32" ht="18.75" customHeight="1">
      <c r="A146" s="166">
        <v>51</v>
      </c>
      <c r="B146" s="228" t="str">
        <f>'Chấm công KT'!C145</f>
        <v>03637</v>
      </c>
      <c r="C146" s="176" t="str">
        <f>'Chấm công KT'!D145</f>
        <v>T. Vạt</v>
      </c>
      <c r="D146" s="166" t="s">
        <v>28</v>
      </c>
      <c r="E146" s="239">
        <f t="shared" si="32"/>
        <v>3.2</v>
      </c>
      <c r="F146" s="239">
        <f t="shared" si="33"/>
        <v>0.8</v>
      </c>
      <c r="G146" s="239"/>
      <c r="H146" s="239"/>
      <c r="I146" s="239"/>
      <c r="J146" s="229"/>
      <c r="K146" s="178"/>
      <c r="L146" s="178"/>
      <c r="M146" s="108"/>
      <c r="N146" s="173"/>
      <c r="O146" s="251"/>
      <c r="P146" s="167"/>
      <c r="Q146" s="174">
        <f t="shared" si="37"/>
        <v>4</v>
      </c>
      <c r="R146" s="169">
        <f>VLOOKUP(C146,'BTH mủ tạp'!$D$99:$AK$160,34,0)</f>
        <v>2115</v>
      </c>
      <c r="S146" s="177"/>
      <c r="T146" s="168">
        <f t="shared" si="38"/>
        <v>0</v>
      </c>
      <c r="U146" s="232">
        <f t="shared" si="35"/>
        <v>2115</v>
      </c>
      <c r="V146" s="503">
        <f>VLOOKUP(C146,'Chấm công KT'!$D$95:$AK$156,34,0)</f>
        <v>19</v>
      </c>
      <c r="W146" s="503">
        <f>VLOOKUP(C146,'Chấm công KT'!$D$95:$AL$156,35,0)</f>
        <v>3</v>
      </c>
      <c r="X146" s="503">
        <f>VLOOKUP(C146,'Chấm công KT'!D145:AM156,36,0)</f>
        <v>0</v>
      </c>
      <c r="Y146" s="566"/>
      <c r="Z146" s="566"/>
      <c r="AA146" s="566"/>
      <c r="AB146" s="179"/>
      <c r="AC146" s="175">
        <f t="shared" si="36"/>
        <v>4</v>
      </c>
      <c r="AD146" s="105">
        <f>VLOOKUP(C146,'BTH mủ tạp'!$D$17:$AN$160,36,0)</f>
        <v>976.6155799387908</v>
      </c>
      <c r="AE146" s="193"/>
      <c r="AF146" s="90"/>
    </row>
    <row r="147" spans="1:32" ht="18.75" customHeight="1">
      <c r="A147" s="166">
        <v>52</v>
      </c>
      <c r="B147" s="228" t="str">
        <f>'Chấm công KT'!C146</f>
        <v>03638</v>
      </c>
      <c r="C147" s="176" t="str">
        <f>'Chấm công KT'!D146</f>
        <v>T. Lay</v>
      </c>
      <c r="D147" s="166" t="s">
        <v>28</v>
      </c>
      <c r="E147" s="239">
        <f t="shared" si="32"/>
        <v>3.2</v>
      </c>
      <c r="F147" s="239">
        <f t="shared" si="33"/>
        <v>0.8</v>
      </c>
      <c r="G147" s="239"/>
      <c r="H147" s="239"/>
      <c r="I147" s="239"/>
      <c r="J147" s="229"/>
      <c r="K147" s="178"/>
      <c r="L147" s="178"/>
      <c r="M147" s="108"/>
      <c r="N147" s="173"/>
      <c r="O147" s="251"/>
      <c r="P147" s="167"/>
      <c r="Q147" s="174">
        <f t="shared" si="37"/>
        <v>4</v>
      </c>
      <c r="R147" s="169">
        <f>VLOOKUP(C147,'BTH mủ tạp'!$D$99:$AK$160,34,0)</f>
        <v>3356</v>
      </c>
      <c r="S147" s="177"/>
      <c r="T147" s="168">
        <f t="shared" si="38"/>
        <v>0</v>
      </c>
      <c r="U147" s="232">
        <f t="shared" si="35"/>
        <v>3356</v>
      </c>
      <c r="V147" s="503">
        <f>VLOOKUP(C147,'Chấm công KT'!$D$95:$AK$156,34,0)</f>
        <v>24</v>
      </c>
      <c r="W147" s="503">
        <f>VLOOKUP(C147,'Chấm công KT'!$D$95:$AL$156,35,0)</f>
        <v>5</v>
      </c>
      <c r="X147" s="503">
        <f>VLOOKUP(C147,'Chấm công KT'!D146:AM156,36,0)</f>
        <v>0</v>
      </c>
      <c r="Y147" s="566"/>
      <c r="Z147" s="566"/>
      <c r="AA147" s="566"/>
      <c r="AB147" s="179"/>
      <c r="AC147" s="175">
        <f t="shared" si="36"/>
        <v>4</v>
      </c>
      <c r="AD147" s="105">
        <f>VLOOKUP(C147,'BTH mủ tạp'!$D$17:$AN$160,36,0)</f>
        <v>1549.6557381912914</v>
      </c>
      <c r="AE147" s="193"/>
      <c r="AF147" s="90"/>
    </row>
    <row r="148" spans="1:32" ht="18.75" customHeight="1">
      <c r="A148" s="166">
        <v>53</v>
      </c>
      <c r="B148" s="228" t="str">
        <f>'Chấm công KT'!C147</f>
        <v>04081</v>
      </c>
      <c r="C148" s="176" t="str">
        <f>'Chấm công KT'!D147</f>
        <v>N. Nọi</v>
      </c>
      <c r="D148" s="166" t="s">
        <v>28</v>
      </c>
      <c r="E148" s="239">
        <f t="shared" si="32"/>
        <v>3.2</v>
      </c>
      <c r="F148" s="239">
        <f t="shared" si="33"/>
        <v>0.8</v>
      </c>
      <c r="G148" s="239"/>
      <c r="H148" s="239"/>
      <c r="I148" s="239"/>
      <c r="J148" s="229"/>
      <c r="K148" s="178"/>
      <c r="L148" s="178"/>
      <c r="M148" s="108"/>
      <c r="N148" s="173"/>
      <c r="O148" s="251"/>
      <c r="P148" s="167"/>
      <c r="Q148" s="174">
        <f t="shared" si="37"/>
        <v>4</v>
      </c>
      <c r="R148" s="169">
        <f>VLOOKUP(C148,'BTH mủ tạp'!$D$99:$AK$160,34,0)</f>
        <v>3218</v>
      </c>
      <c r="S148" s="177"/>
      <c r="T148" s="168">
        <f t="shared" si="38"/>
        <v>0</v>
      </c>
      <c r="U148" s="232">
        <f t="shared" si="35"/>
        <v>3218</v>
      </c>
      <c r="V148" s="503">
        <f>VLOOKUP(C148,'Chấm công KT'!$D$95:$AK$156,34,0)</f>
        <v>24</v>
      </c>
      <c r="W148" s="503">
        <f>VLOOKUP(C148,'Chấm công KT'!$D$95:$AL$156,35,0)</f>
        <v>5</v>
      </c>
      <c r="X148" s="503">
        <f>VLOOKUP(C148,'Chấm công KT'!D147:AM156,36,0)</f>
        <v>0</v>
      </c>
      <c r="Y148" s="566"/>
      <c r="Z148" s="566"/>
      <c r="AA148" s="566"/>
      <c r="AB148" s="179"/>
      <c r="AC148" s="175">
        <f t="shared" si="36"/>
        <v>4</v>
      </c>
      <c r="AD148" s="105">
        <f>VLOOKUP(C148,'BTH mủ tạp'!$D$17:$AN$160,36,0)</f>
        <v>1485.9333031881933</v>
      </c>
      <c r="AE148" s="193"/>
      <c r="AF148" s="90"/>
    </row>
    <row r="149" spans="1:32" ht="18.75" customHeight="1">
      <c r="A149" s="166">
        <v>54</v>
      </c>
      <c r="B149" s="228" t="str">
        <f>'Chấm công KT'!C148</f>
        <v>04082</v>
      </c>
      <c r="C149" s="176" t="str">
        <f>'Chấm công KT'!D148</f>
        <v>T Bun Xi</v>
      </c>
      <c r="D149" s="166" t="s">
        <v>28</v>
      </c>
      <c r="E149" s="239">
        <f t="shared" si="32"/>
        <v>3.2</v>
      </c>
      <c r="F149" s="239">
        <f t="shared" si="33"/>
        <v>0.8</v>
      </c>
      <c r="G149" s="239"/>
      <c r="H149" s="239"/>
      <c r="I149" s="239"/>
      <c r="J149" s="229"/>
      <c r="K149" s="178"/>
      <c r="L149" s="178"/>
      <c r="M149" s="229"/>
      <c r="N149" s="173"/>
      <c r="O149" s="251"/>
      <c r="P149" s="167"/>
      <c r="Q149" s="174">
        <f t="shared" si="37"/>
        <v>4</v>
      </c>
      <c r="R149" s="169">
        <f>VLOOKUP(C149,'BTH mủ tạp'!$D$99:$AK$160,34,0)</f>
        <v>2894</v>
      </c>
      <c r="S149" s="177"/>
      <c r="T149" s="168">
        <f t="shared" si="38"/>
        <v>0</v>
      </c>
      <c r="U149" s="232">
        <f t="shared" si="35"/>
        <v>2894</v>
      </c>
      <c r="V149" s="503">
        <f>VLOOKUP(C149,'Chấm công KT'!$D$95:$AK$156,34,0)</f>
        <v>23</v>
      </c>
      <c r="W149" s="503">
        <f>VLOOKUP(C149,'Chấm công KT'!$D$95:$AL$156,35,0)</f>
        <v>5</v>
      </c>
      <c r="X149" s="503">
        <f>VLOOKUP(C149,'Chấm công KT'!D148:AM156,36,0)</f>
        <v>0</v>
      </c>
      <c r="Y149" s="566"/>
      <c r="Z149" s="566"/>
      <c r="AA149" s="566"/>
      <c r="AB149" s="179"/>
      <c r="AC149" s="175">
        <f t="shared" si="36"/>
        <v>4</v>
      </c>
      <c r="AD149" s="105">
        <f>VLOOKUP(C149,'BTH mủ tạp'!$D$17:$AN$160,36,0)</f>
        <v>1336.3241079635275</v>
      </c>
      <c r="AE149" s="193"/>
      <c r="AF149" s="90"/>
    </row>
    <row r="150" spans="1:32" ht="18.75" customHeight="1">
      <c r="A150" s="166">
        <v>55</v>
      </c>
      <c r="B150" s="228" t="str">
        <f>'Chấm công KT'!C149</f>
        <v>04083</v>
      </c>
      <c r="C150" s="176" t="str">
        <f>'Chấm công KT'!D149</f>
        <v>N. Bù</v>
      </c>
      <c r="D150" s="166" t="s">
        <v>28</v>
      </c>
      <c r="E150" s="239">
        <f t="shared" si="32"/>
        <v>3.2</v>
      </c>
      <c r="F150" s="239">
        <f t="shared" si="33"/>
        <v>0.8</v>
      </c>
      <c r="G150" s="239"/>
      <c r="H150" s="239"/>
      <c r="I150" s="239"/>
      <c r="J150" s="229"/>
      <c r="K150" s="178"/>
      <c r="L150" s="178"/>
      <c r="M150" s="108"/>
      <c r="N150" s="173"/>
      <c r="O150" s="251"/>
      <c r="P150" s="167"/>
      <c r="Q150" s="174">
        <f t="shared" si="37"/>
        <v>4</v>
      </c>
      <c r="R150" s="169">
        <f>VLOOKUP(C150,'BTH mủ tạp'!$D$99:$AK$160,34,0)</f>
        <v>2171</v>
      </c>
      <c r="S150" s="177"/>
      <c r="T150" s="168">
        <f t="shared" si="38"/>
        <v>0</v>
      </c>
      <c r="U150" s="232">
        <f t="shared" si="35"/>
        <v>2171</v>
      </c>
      <c r="V150" s="503">
        <f>VLOOKUP(C150,'Chấm công KT'!$D$95:$AK$156,34,0)</f>
        <v>22</v>
      </c>
      <c r="W150" s="503">
        <f>VLOOKUP(C150,'Chấm công KT'!$D$95:$AL$156,35,0)</f>
        <v>4</v>
      </c>
      <c r="X150" s="503">
        <f>VLOOKUP(C150,'Chấm công KT'!D149:AM156,36,0)</f>
        <v>0</v>
      </c>
      <c r="Y150" s="566"/>
      <c r="Z150" s="566"/>
      <c r="AA150" s="566"/>
      <c r="AB150" s="179"/>
      <c r="AC150" s="175">
        <f t="shared" si="36"/>
        <v>4</v>
      </c>
      <c r="AD150" s="105">
        <f>VLOOKUP(C150,'BTH mủ tạp'!$D$17:$AN$160,36,0)</f>
        <v>1002.4739593603379</v>
      </c>
      <c r="AE150" s="193"/>
      <c r="AF150" s="90"/>
    </row>
    <row r="151" spans="1:32" ht="18.75" customHeight="1">
      <c r="A151" s="166">
        <v>56</v>
      </c>
      <c r="B151" s="228" t="str">
        <f>'Chấm công KT'!C150</f>
        <v>03642</v>
      </c>
      <c r="C151" s="176" t="str">
        <f>'Chấm công KT'!D150</f>
        <v>T. Xơn</v>
      </c>
      <c r="D151" s="166" t="s">
        <v>28</v>
      </c>
      <c r="E151" s="239">
        <f t="shared" si="32"/>
        <v>3.2</v>
      </c>
      <c r="F151" s="239">
        <f t="shared" si="33"/>
        <v>0.8</v>
      </c>
      <c r="G151" s="239"/>
      <c r="H151" s="239"/>
      <c r="I151" s="239"/>
      <c r="J151" s="229"/>
      <c r="K151" s="178"/>
      <c r="L151" s="178"/>
      <c r="M151" s="229"/>
      <c r="N151" s="192"/>
      <c r="O151" s="192"/>
      <c r="P151" s="192"/>
      <c r="Q151" s="174">
        <f t="shared" si="37"/>
        <v>4</v>
      </c>
      <c r="R151" s="169">
        <f>VLOOKUP(C151,'BTH mủ tạp'!$D$99:$AK$160,34,0)</f>
        <v>2857</v>
      </c>
      <c r="S151" s="177"/>
      <c r="T151" s="168">
        <f t="shared" si="38"/>
        <v>0</v>
      </c>
      <c r="U151" s="232">
        <f t="shared" si="35"/>
        <v>2857</v>
      </c>
      <c r="V151" s="503">
        <f>VLOOKUP(C151,'Chấm công KT'!$D$95:$AK$156,34,0)</f>
        <v>23</v>
      </c>
      <c r="W151" s="503">
        <f>VLOOKUP(C151,'Chấm công KT'!$D$95:$AL$156,35,0)</f>
        <v>5</v>
      </c>
      <c r="X151" s="503">
        <f>VLOOKUP(C151,'Chấm công KT'!D150:AM156,36,0)</f>
        <v>0</v>
      </c>
      <c r="Y151" s="566"/>
      <c r="Z151" s="566"/>
      <c r="AA151" s="566"/>
      <c r="AB151" s="179"/>
      <c r="AC151" s="175">
        <f t="shared" si="36"/>
        <v>4</v>
      </c>
      <c r="AD151" s="105">
        <f>VLOOKUP(C151,'BTH mủ tạp'!$D$17:$AN$160,36,0)</f>
        <v>1319.239107274291</v>
      </c>
      <c r="AE151" s="193"/>
      <c r="AF151" s="90"/>
    </row>
    <row r="152" spans="1:32" ht="18.75" customHeight="1">
      <c r="A152" s="166">
        <v>57</v>
      </c>
      <c r="B152" s="228" t="str">
        <f>'Chấm công KT'!C151</f>
        <v>04084</v>
      </c>
      <c r="C152" s="176" t="str">
        <f>'Chấm công KT'!D151</f>
        <v>T. Thi</v>
      </c>
      <c r="D152" s="166" t="s">
        <v>28</v>
      </c>
      <c r="E152" s="239">
        <f t="shared" si="32"/>
        <v>3.2</v>
      </c>
      <c r="F152" s="239">
        <f t="shared" si="33"/>
        <v>0.8</v>
      </c>
      <c r="G152" s="239"/>
      <c r="H152" s="239"/>
      <c r="I152" s="239"/>
      <c r="J152" s="229"/>
      <c r="K152" s="178"/>
      <c r="L152" s="178"/>
      <c r="M152" s="229"/>
      <c r="N152" s="192"/>
      <c r="O152" s="192"/>
      <c r="P152" s="192"/>
      <c r="Q152" s="174">
        <f t="shared" si="37"/>
        <v>4</v>
      </c>
      <c r="R152" s="169">
        <f>VLOOKUP(C152,'BTH mủ tạp'!$D$99:$AK$160,34,0)</f>
        <v>2561</v>
      </c>
      <c r="S152" s="177"/>
      <c r="T152" s="168">
        <f t="shared" si="38"/>
        <v>0</v>
      </c>
      <c r="U152" s="232">
        <f t="shared" si="35"/>
        <v>2561</v>
      </c>
      <c r="V152" s="503">
        <f>VLOOKUP(C152,'Chấm công KT'!$D$95:$AK$156,34,0)</f>
        <v>25</v>
      </c>
      <c r="W152" s="503">
        <f>VLOOKUP(C152,'Chấm công KT'!$D$95:$AL$156,35,0)</f>
        <v>5</v>
      </c>
      <c r="X152" s="503">
        <f>VLOOKUP(C152,'Chấm công KT'!D151:AM156,36,0)</f>
        <v>0</v>
      </c>
      <c r="Y152" s="566"/>
      <c r="Z152" s="566"/>
      <c r="AA152" s="566"/>
      <c r="AB152" s="179"/>
      <c r="AC152" s="175">
        <f t="shared" si="36"/>
        <v>4</v>
      </c>
      <c r="AD152" s="105">
        <f>VLOOKUP(C152,'BTH mủ tạp'!$D$17:$AN$160,36,0)</f>
        <v>1182.5591017603986</v>
      </c>
      <c r="AE152" s="193"/>
      <c r="AF152" s="90"/>
    </row>
    <row r="153" spans="1:32" ht="18.75" customHeight="1">
      <c r="A153" s="166">
        <v>58</v>
      </c>
      <c r="B153" s="228" t="str">
        <f>'Chấm công KT'!C152</f>
        <v>04085</v>
      </c>
      <c r="C153" s="176" t="str">
        <f>'Chấm công KT'!D152</f>
        <v>On chay</v>
      </c>
      <c r="D153" s="166" t="s">
        <v>28</v>
      </c>
      <c r="E153" s="239">
        <f t="shared" si="32"/>
        <v>3.2</v>
      </c>
      <c r="F153" s="239">
        <f t="shared" si="33"/>
        <v>0.8</v>
      </c>
      <c r="G153" s="239"/>
      <c r="H153" s="239"/>
      <c r="I153" s="239"/>
      <c r="J153" s="229"/>
      <c r="K153" s="178"/>
      <c r="L153" s="178"/>
      <c r="M153" s="229"/>
      <c r="N153" s="192"/>
      <c r="O153" s="192"/>
      <c r="P153" s="192"/>
      <c r="Q153" s="174">
        <f t="shared" si="37"/>
        <v>4</v>
      </c>
      <c r="R153" s="169">
        <f>VLOOKUP(C153,'BTH mủ tạp'!$D$99:$AK$160,34,0)</f>
        <v>2656</v>
      </c>
      <c r="S153" s="177"/>
      <c r="T153" s="168">
        <f t="shared" si="38"/>
        <v>0</v>
      </c>
      <c r="U153" s="232">
        <f t="shared" si="35"/>
        <v>2656</v>
      </c>
      <c r="V153" s="503">
        <f>VLOOKUP(C153,'Chấm công KT'!$D$95:$AK$156,34,0)</f>
        <v>25</v>
      </c>
      <c r="W153" s="503">
        <f>VLOOKUP(C153,'Chấm công KT'!$D$95:$AL$156,35,0)</f>
        <v>5</v>
      </c>
      <c r="X153" s="503">
        <f>VLOOKUP(C153,'Chấm công KT'!D152:AM156,36,0)</f>
        <v>0</v>
      </c>
      <c r="Y153" s="566"/>
      <c r="Z153" s="566"/>
      <c r="AA153" s="566"/>
      <c r="AB153" s="179"/>
      <c r="AC153" s="175">
        <f t="shared" ref="AC153:AC160" si="39">Q153</f>
        <v>4</v>
      </c>
      <c r="AD153" s="105">
        <f>VLOOKUP(C153,'BTH mủ tạp'!$D$17:$AN$160,36,0)</f>
        <v>1226.4259954219517</v>
      </c>
      <c r="AE153" s="193"/>
      <c r="AF153" s="90"/>
    </row>
    <row r="154" spans="1:32" ht="18.75" customHeight="1">
      <c r="A154" s="166">
        <v>59</v>
      </c>
      <c r="B154" s="529"/>
      <c r="C154" s="176" t="str">
        <f>'Chấm công KT'!D153</f>
        <v>T. Thong</v>
      </c>
      <c r="D154" s="166" t="s">
        <v>28</v>
      </c>
      <c r="E154" s="178"/>
      <c r="F154" s="239"/>
      <c r="G154" s="239"/>
      <c r="H154" s="239"/>
      <c r="I154" s="239"/>
      <c r="J154" s="229"/>
      <c r="K154" s="191"/>
      <c r="L154" s="191"/>
      <c r="M154" s="229"/>
      <c r="N154" s="192"/>
      <c r="O154" s="192"/>
      <c r="P154" s="192"/>
      <c r="Q154" s="174">
        <f t="shared" si="37"/>
        <v>0</v>
      </c>
      <c r="R154" s="169">
        <f>VLOOKUP(C154,'BTH mủ tạp'!$D$99:$AK$160,34,0)</f>
        <v>1593</v>
      </c>
      <c r="S154" s="177"/>
      <c r="T154" s="168">
        <f t="shared" si="38"/>
        <v>0</v>
      </c>
      <c r="U154" s="232">
        <f t="shared" si="35"/>
        <v>1593</v>
      </c>
      <c r="V154" s="503">
        <f>VLOOKUP(C154,'Chấm công KT'!$D$95:$AK$156,34,0)</f>
        <v>23</v>
      </c>
      <c r="W154" s="503">
        <f>VLOOKUP(C154,'Chấm công KT'!$D$95:$AL$156,35,0)</f>
        <v>5</v>
      </c>
      <c r="X154" s="503">
        <f>VLOOKUP(C154,'Chấm công KT'!D153:AM156,36,0)</f>
        <v>0</v>
      </c>
      <c r="Y154" s="566"/>
      <c r="Z154" s="566"/>
      <c r="AA154" s="566"/>
      <c r="AB154" s="179"/>
      <c r="AC154" s="175">
        <f t="shared" si="39"/>
        <v>0</v>
      </c>
      <c r="AD154" s="105">
        <f>VLOOKUP(C154,'BTH mủ tạp'!$D$17:$AN$160,36,0)</f>
        <v>735.57854318794023</v>
      </c>
      <c r="AE154" s="193"/>
      <c r="AF154" s="90"/>
    </row>
    <row r="155" spans="1:32" ht="18.75" customHeight="1">
      <c r="A155" s="166">
        <v>60</v>
      </c>
      <c r="B155" s="529"/>
      <c r="C155" s="176" t="str">
        <f>'Chấm công KT'!D154</f>
        <v>T. Khách</v>
      </c>
      <c r="D155" s="166" t="s">
        <v>28</v>
      </c>
      <c r="E155" s="178"/>
      <c r="F155" s="239"/>
      <c r="G155" s="239"/>
      <c r="H155" s="239"/>
      <c r="I155" s="239"/>
      <c r="J155" s="229"/>
      <c r="K155" s="191"/>
      <c r="L155" s="191"/>
      <c r="M155" s="229"/>
      <c r="N155" s="192"/>
      <c r="O155" s="192"/>
      <c r="P155" s="192"/>
      <c r="Q155" s="174">
        <f t="shared" si="37"/>
        <v>0</v>
      </c>
      <c r="R155" s="169">
        <f>VLOOKUP(C155,'BTH mủ tạp'!$D$99:$AK$160,34,0)</f>
        <v>1318</v>
      </c>
      <c r="S155" s="177"/>
      <c r="T155" s="168">
        <f t="shared" si="38"/>
        <v>0</v>
      </c>
      <c r="U155" s="232">
        <f t="shared" si="35"/>
        <v>1318</v>
      </c>
      <c r="V155" s="503">
        <f>VLOOKUP(C155,'Chấm công KT'!$D$95:$AK$156,34,0)</f>
        <v>22</v>
      </c>
      <c r="W155" s="503">
        <f>VLOOKUP(C155,'Chấm công KT'!$D$95:$AL$156,35,0)</f>
        <v>5</v>
      </c>
      <c r="X155" s="503">
        <f>VLOOKUP(C155,'Chấm công KT'!D154:AM156,36,0)</f>
        <v>0</v>
      </c>
      <c r="Y155" s="566"/>
      <c r="Z155" s="566"/>
      <c r="AA155" s="566"/>
      <c r="AB155" s="179"/>
      <c r="AC155" s="175">
        <f t="shared" si="39"/>
        <v>0</v>
      </c>
      <c r="AD155" s="105">
        <f>VLOOKUP(C155,'BTH mủ tạp'!$D$17:$AN$160,36,0)</f>
        <v>608.5954299571282</v>
      </c>
      <c r="AE155" s="193"/>
      <c r="AF155" s="90"/>
    </row>
    <row r="156" spans="1:32" ht="18.75" customHeight="1">
      <c r="A156" s="166">
        <v>61</v>
      </c>
      <c r="B156" s="529"/>
      <c r="C156" s="176" t="str">
        <f>'Chấm công KT'!D155</f>
        <v>Nang On Xi</v>
      </c>
      <c r="D156" s="166" t="s">
        <v>28</v>
      </c>
      <c r="E156" s="178"/>
      <c r="F156" s="239"/>
      <c r="G156" s="239"/>
      <c r="H156" s="239"/>
      <c r="I156" s="239"/>
      <c r="J156" s="229"/>
      <c r="K156" s="191"/>
      <c r="L156" s="191"/>
      <c r="M156" s="229"/>
      <c r="N156" s="192"/>
      <c r="O156" s="192"/>
      <c r="P156" s="192"/>
      <c r="Q156" s="174">
        <f t="shared" si="37"/>
        <v>0</v>
      </c>
      <c r="R156" s="169">
        <f>VLOOKUP(C156,'BTH mủ tạp'!$D$99:$AK$160,34,0)</f>
        <v>519</v>
      </c>
      <c r="S156" s="177"/>
      <c r="T156" s="168">
        <f t="shared" si="38"/>
        <v>0</v>
      </c>
      <c r="U156" s="232">
        <f t="shared" si="35"/>
        <v>519</v>
      </c>
      <c r="V156" s="503">
        <f>VLOOKUP(C156,'Chấm công KT'!$D$95:$AK$156,34,0)</f>
        <v>11</v>
      </c>
      <c r="W156" s="503">
        <f>VLOOKUP(C156,'Chấm công KT'!$D$95:$AL$156,35,0)</f>
        <v>5</v>
      </c>
      <c r="X156" s="503">
        <f>VLOOKUP(C156,'Chấm công KT'!D155:AM156,36,0)</f>
        <v>0</v>
      </c>
      <c r="Y156" s="566"/>
      <c r="Z156" s="566"/>
      <c r="AA156" s="566"/>
      <c r="AB156" s="179"/>
      <c r="AC156" s="175">
        <f t="shared" si="39"/>
        <v>0</v>
      </c>
      <c r="AD156" s="105">
        <f>VLOOKUP(C156,'BTH mủ tạp'!$D$17:$AN$160,36,0)</f>
        <v>239.65176642469618</v>
      </c>
      <c r="AE156" s="193"/>
      <c r="AF156" s="90"/>
    </row>
    <row r="157" spans="1:32" ht="18.75" customHeight="1">
      <c r="A157" s="166">
        <v>62</v>
      </c>
      <c r="B157" s="529"/>
      <c r="C157" s="176" t="str">
        <f>'Chấm công KT'!D156</f>
        <v>Thảo Túc</v>
      </c>
      <c r="D157" s="520"/>
      <c r="E157" s="191"/>
      <c r="F157" s="555"/>
      <c r="G157" s="555"/>
      <c r="H157" s="555"/>
      <c r="I157" s="555"/>
      <c r="J157" s="554"/>
      <c r="K157" s="191"/>
      <c r="L157" s="191"/>
      <c r="M157" s="860"/>
      <c r="N157" s="192"/>
      <c r="O157" s="192"/>
      <c r="P157" s="192"/>
      <c r="Q157" s="174">
        <f t="shared" si="37"/>
        <v>0</v>
      </c>
      <c r="R157" s="169">
        <f>VLOOKUP(C157,'BTH mủ tạp'!$D$99:$AK$160,34,0)</f>
        <v>118</v>
      </c>
      <c r="S157" s="177"/>
      <c r="T157" s="168"/>
      <c r="U157" s="232">
        <f t="shared" si="35"/>
        <v>118</v>
      </c>
      <c r="V157" s="503">
        <f>VLOOKUP(C157,'Chấm công KT'!$D$95:$AK$156,34,0)</f>
        <v>2</v>
      </c>
      <c r="W157" s="503">
        <f>VLOOKUP(C157,'Chấm công KT'!$D$95:$AL$156,35,0)</f>
        <v>2</v>
      </c>
      <c r="X157" s="503">
        <f>VLOOKUP(C157,'Chấm công KT'!D156:AM156,36,0)</f>
        <v>0</v>
      </c>
      <c r="Y157" s="566"/>
      <c r="Z157" s="566"/>
      <c r="AA157" s="566"/>
      <c r="AB157" s="179"/>
      <c r="AC157" s="175">
        <f t="shared" si="39"/>
        <v>0</v>
      </c>
      <c r="AD157" s="105">
        <f>VLOOKUP(C157,'BTH mủ tạp'!$D$17:$AN$160,36,0)</f>
        <v>54.487299495402986</v>
      </c>
      <c r="AE157" s="193"/>
      <c r="AF157" s="90"/>
    </row>
    <row r="158" spans="1:32" s="497" customFormat="1" ht="18.75" customHeight="1">
      <c r="A158" s="166">
        <v>63</v>
      </c>
      <c r="B158" s="646"/>
      <c r="C158" s="495" t="s">
        <v>519</v>
      </c>
      <c r="D158" s="498"/>
      <c r="E158" s="489"/>
      <c r="F158" s="499"/>
      <c r="G158" s="499"/>
      <c r="H158" s="499"/>
      <c r="I158" s="499"/>
      <c r="J158" s="500"/>
      <c r="K158" s="489"/>
      <c r="L158" s="489"/>
      <c r="M158" s="518"/>
      <c r="N158" s="490"/>
      <c r="O158" s="490"/>
      <c r="P158" s="490"/>
      <c r="Q158" s="174">
        <f t="shared" si="37"/>
        <v>0</v>
      </c>
      <c r="R158" s="647"/>
      <c r="S158" s="492"/>
      <c r="T158" s="493"/>
      <c r="U158" s="642"/>
      <c r="V158" s="503"/>
      <c r="W158" s="503"/>
      <c r="X158" s="567"/>
      <c r="Y158" s="566"/>
      <c r="Z158" s="566"/>
      <c r="AA158" s="566"/>
      <c r="AB158" s="494"/>
      <c r="AC158" s="648">
        <f t="shared" ref="AC158" si="40">Q158</f>
        <v>0</v>
      </c>
      <c r="AD158" s="643"/>
      <c r="AE158" s="495"/>
      <c r="AF158" s="496"/>
    </row>
    <row r="159" spans="1:32" s="497" customFormat="1" ht="18.75" customHeight="1">
      <c r="A159" s="166">
        <v>64</v>
      </c>
      <c r="B159" s="485"/>
      <c r="C159" s="501" t="s">
        <v>449</v>
      </c>
      <c r="D159" s="498"/>
      <c r="E159" s="489"/>
      <c r="F159" s="499"/>
      <c r="G159" s="499"/>
      <c r="H159" s="499"/>
      <c r="I159" s="499"/>
      <c r="J159" s="500"/>
      <c r="K159" s="489"/>
      <c r="L159" s="489"/>
      <c r="M159" s="489"/>
      <c r="N159" s="490"/>
      <c r="O159" s="490"/>
      <c r="P159" s="490"/>
      <c r="Q159" s="174">
        <f t="shared" si="37"/>
        <v>0</v>
      </c>
      <c r="R159" s="647"/>
      <c r="S159" s="492"/>
      <c r="T159" s="493"/>
      <c r="U159" s="642"/>
      <c r="V159" s="503"/>
      <c r="W159" s="503"/>
      <c r="X159" s="567"/>
      <c r="Y159" s="566"/>
      <c r="Z159" s="620"/>
      <c r="AA159" s="620"/>
      <c r="AB159" s="494"/>
      <c r="AC159" s="648">
        <f t="shared" si="39"/>
        <v>0</v>
      </c>
      <c r="AD159" s="643"/>
      <c r="AE159" s="495"/>
      <c r="AF159" s="496"/>
    </row>
    <row r="160" spans="1:32" s="497" customFormat="1" ht="18.75" customHeight="1">
      <c r="A160" s="166">
        <v>65</v>
      </c>
      <c r="B160" s="485"/>
      <c r="C160" s="644" t="s">
        <v>836</v>
      </c>
      <c r="D160" s="498"/>
      <c r="E160" s="489"/>
      <c r="F160" s="499"/>
      <c r="G160" s="499">
        <v>254.7</v>
      </c>
      <c r="H160" s="499">
        <f>617.2+292.44</f>
        <v>909.6400000000001</v>
      </c>
      <c r="I160" s="499"/>
      <c r="J160" s="500"/>
      <c r="K160" s="489"/>
      <c r="L160" s="489"/>
      <c r="M160" s="500"/>
      <c r="N160" s="490"/>
      <c r="O160" s="490"/>
      <c r="P160" s="490"/>
      <c r="Q160" s="491">
        <f t="shared" si="37"/>
        <v>1164.3400000000001</v>
      </c>
      <c r="R160" s="647"/>
      <c r="S160" s="560"/>
      <c r="T160" s="507"/>
      <c r="U160" s="645"/>
      <c r="V160" s="508"/>
      <c r="W160" s="508"/>
      <c r="X160" s="509"/>
      <c r="Y160" s="508"/>
      <c r="Z160" s="620"/>
      <c r="AA160" s="620"/>
      <c r="AB160" s="510"/>
      <c r="AC160" s="648">
        <f t="shared" si="39"/>
        <v>1164.3400000000001</v>
      </c>
      <c r="AD160" s="643"/>
      <c r="AE160" s="495"/>
      <c r="AF160" s="496"/>
    </row>
    <row r="161" spans="1:41" ht="18.75" customHeight="1">
      <c r="A161" s="1414" t="s">
        <v>58</v>
      </c>
      <c r="B161" s="1414"/>
      <c r="C161" s="1414"/>
      <c r="D161" s="1414"/>
      <c r="E161" s="250">
        <f>E9</f>
        <v>419.19999999999953</v>
      </c>
      <c r="F161" s="688">
        <f t="shared" ref="F161:AC161" si="41">F9</f>
        <v>50.399999999999963</v>
      </c>
      <c r="G161" s="250">
        <f t="shared" si="41"/>
        <v>254.7</v>
      </c>
      <c r="H161" s="250">
        <f t="shared" si="41"/>
        <v>1340.8000000000002</v>
      </c>
      <c r="I161" s="250">
        <f t="shared" si="41"/>
        <v>0</v>
      </c>
      <c r="J161" s="250">
        <f t="shared" si="41"/>
        <v>0</v>
      </c>
      <c r="K161" s="250">
        <f t="shared" si="41"/>
        <v>0</v>
      </c>
      <c r="L161" s="250">
        <f t="shared" si="41"/>
        <v>0</v>
      </c>
      <c r="M161" s="250">
        <f t="shared" si="41"/>
        <v>0</v>
      </c>
      <c r="N161" s="250">
        <f t="shared" si="41"/>
        <v>137.19999999999999</v>
      </c>
      <c r="O161" s="250">
        <f t="shared" si="41"/>
        <v>0</v>
      </c>
      <c r="P161" s="159">
        <f t="shared" si="41"/>
        <v>0</v>
      </c>
      <c r="Q161" s="159">
        <f t="shared" si="41"/>
        <v>2202.2999999999997</v>
      </c>
      <c r="R161" s="250">
        <f t="shared" si="41"/>
        <v>327057</v>
      </c>
      <c r="S161" s="159">
        <f t="shared" si="41"/>
        <v>0</v>
      </c>
      <c r="T161" s="159">
        <f t="shared" si="41"/>
        <v>0</v>
      </c>
      <c r="U161" s="250">
        <f t="shared" si="41"/>
        <v>327057</v>
      </c>
      <c r="V161" s="622">
        <f t="shared" si="41"/>
        <v>3006</v>
      </c>
      <c r="W161" s="622">
        <f t="shared" si="41"/>
        <v>646</v>
      </c>
      <c r="X161" s="622">
        <f t="shared" si="41"/>
        <v>0</v>
      </c>
      <c r="Y161" s="622">
        <f t="shared" si="41"/>
        <v>0</v>
      </c>
      <c r="Z161" s="622">
        <f t="shared" si="41"/>
        <v>0</v>
      </c>
      <c r="AA161" s="622">
        <f t="shared" si="41"/>
        <v>0</v>
      </c>
      <c r="AB161" s="250">
        <f t="shared" si="41"/>
        <v>0</v>
      </c>
      <c r="AC161" s="159">
        <f t="shared" si="41"/>
        <v>2202.2999999999997</v>
      </c>
      <c r="AD161" s="160"/>
      <c r="AE161" s="148"/>
      <c r="AF161" s="149">
        <f>6262+211</f>
        <v>6473</v>
      </c>
      <c r="AG161" s="86"/>
      <c r="AO161" s="2">
        <v>64.900000000000006</v>
      </c>
    </row>
    <row r="162" spans="1:41" ht="18" customHeight="1">
      <c r="R162" s="116"/>
      <c r="V162" s="80" t="s">
        <v>195</v>
      </c>
      <c r="W162" s="80"/>
      <c r="AF162" s="100"/>
      <c r="AG162" s="87">
        <f>89-22</f>
        <v>67</v>
      </c>
      <c r="AO162" s="2">
        <v>27.48</v>
      </c>
    </row>
    <row r="163" spans="1:41" ht="15.75">
      <c r="C163" s="1403" t="s">
        <v>122</v>
      </c>
      <c r="D163" s="1403"/>
      <c r="E163" s="1403"/>
      <c r="F163" s="447"/>
      <c r="G163" s="3"/>
      <c r="H163" s="3"/>
      <c r="I163" s="3"/>
      <c r="J163" s="3"/>
      <c r="K163" s="3"/>
      <c r="L163" s="3"/>
      <c r="M163" s="3"/>
      <c r="N163" s="3"/>
      <c r="O163" s="1396"/>
      <c r="P163" s="1396"/>
      <c r="Q163" s="1396"/>
      <c r="R163" s="116"/>
      <c r="S163" s="58"/>
      <c r="T163" s="3"/>
      <c r="U163" s="1403" t="s">
        <v>141</v>
      </c>
      <c r="V163" s="1403"/>
      <c r="W163" s="1403"/>
      <c r="X163" s="1403"/>
      <c r="Y163" s="1403"/>
      <c r="Z163" s="1403"/>
      <c r="AA163" s="1403"/>
      <c r="AB163" s="1403"/>
      <c r="AC163" s="1403"/>
      <c r="AD163" s="3"/>
      <c r="AE163" s="3"/>
      <c r="AF163" s="49">
        <f>SUM(COUNTIF(AD12:AD160,"A"))</f>
        <v>0</v>
      </c>
      <c r="AG163" s="47"/>
      <c r="AH163" s="2">
        <v>2.21</v>
      </c>
      <c r="AI163" s="2">
        <v>4.6100000000000003</v>
      </c>
      <c r="AJ163" s="2">
        <v>34.04</v>
      </c>
      <c r="AK163" s="2">
        <v>19.05</v>
      </c>
      <c r="AO163" s="2">
        <v>103.6</v>
      </c>
    </row>
    <row r="164" spans="1:41">
      <c r="R164" s="116"/>
      <c r="AF164" s="49">
        <f>SUM(COUNTIF(AD12:AD160,"B"))</f>
        <v>0</v>
      </c>
      <c r="AG164" s="47"/>
      <c r="AH164" s="2">
        <v>2.4900000000000002</v>
      </c>
      <c r="AI164" s="2">
        <v>4.9000000000000004</v>
      </c>
      <c r="AO164" s="2">
        <v>1329.51</v>
      </c>
    </row>
    <row r="165" spans="1:41">
      <c r="G165" s="1395" t="e">
        <f>#REF!*25000</f>
        <v>#REF!</v>
      </c>
      <c r="H165" s="1395"/>
      <c r="I165" s="1395" t="e">
        <f>#REF!*25000</f>
        <v>#REF!</v>
      </c>
      <c r="J165" s="1395"/>
      <c r="R165" s="116"/>
      <c r="AF165" s="49">
        <f>SUM(COUNTIF(AD14:AD162,"C"))</f>
        <v>0</v>
      </c>
      <c r="AG165" s="47"/>
      <c r="AH165" s="2">
        <v>1.64</v>
      </c>
      <c r="AI165" s="2">
        <v>20.7</v>
      </c>
      <c r="AO165" s="2">
        <v>204.12</v>
      </c>
    </row>
    <row r="166" spans="1:41">
      <c r="Q166" s="44">
        <f>P161-13726.58</f>
        <v>-13726.58</v>
      </c>
      <c r="R166" s="397"/>
      <c r="AG166" s="47"/>
      <c r="AH166" s="2">
        <v>9.7799999999999994</v>
      </c>
      <c r="AO166" s="2">
        <v>927.08</v>
      </c>
    </row>
    <row r="167" spans="1:41">
      <c r="R167" s="116"/>
      <c r="AG167" s="47"/>
      <c r="AH167" s="2">
        <f>SUM(AH163:AH166)</f>
        <v>16.119999999999997</v>
      </c>
      <c r="AI167" s="2">
        <f>SUM(AI163:AI166)</f>
        <v>30.21</v>
      </c>
      <c r="AJ167" s="2">
        <f>SUM(AJ163:AJ166)</f>
        <v>34.04</v>
      </c>
      <c r="AK167" s="2">
        <f>SUM(AK163:AK166)</f>
        <v>19.05</v>
      </c>
      <c r="AO167" s="2">
        <v>90.76</v>
      </c>
    </row>
    <row r="168" spans="1:41">
      <c r="C168" s="1411" t="s">
        <v>135</v>
      </c>
      <c r="D168" s="1411"/>
      <c r="E168" s="1411"/>
      <c r="F168" s="610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117"/>
      <c r="R168" s="116"/>
      <c r="S168" s="81"/>
      <c r="T168" s="42"/>
      <c r="U168" s="1411" t="s">
        <v>43</v>
      </c>
      <c r="V168" s="1411"/>
      <c r="W168" s="1411"/>
      <c r="X168" s="1411"/>
      <c r="Y168" s="1411"/>
      <c r="Z168" s="1411"/>
      <c r="AA168" s="1411"/>
      <c r="AB168" s="1411"/>
      <c r="AC168" s="1411"/>
      <c r="AD168" s="42"/>
      <c r="AE168" s="42"/>
      <c r="AH168" s="2">
        <f>AH167/0.17</f>
        <v>94.823529411764682</v>
      </c>
      <c r="AI168" s="2">
        <f>AI167/0.2</f>
        <v>151.04999999999998</v>
      </c>
      <c r="AJ168" s="2">
        <f>AJ167/0.25</f>
        <v>136.16</v>
      </c>
      <c r="AK168" s="2">
        <f>AK167/0.18</f>
        <v>105.83333333333334</v>
      </c>
      <c r="AO168" s="2">
        <v>32.67</v>
      </c>
    </row>
    <row r="169" spans="1:41">
      <c r="R169" s="116"/>
      <c r="AO169" s="2">
        <v>11.24</v>
      </c>
    </row>
    <row r="170" spans="1:41">
      <c r="R170" s="116"/>
      <c r="AO170" s="2">
        <f>SUM(AO161:AO169)</f>
        <v>2791.36</v>
      </c>
    </row>
    <row r="171" spans="1:41">
      <c r="R171" s="116"/>
    </row>
    <row r="172" spans="1:41">
      <c r="R172" s="116"/>
    </row>
    <row r="173" spans="1:41">
      <c r="R173" s="116"/>
    </row>
    <row r="174" spans="1:41">
      <c r="O174" s="44">
        <v>16</v>
      </c>
      <c r="P174" s="44">
        <v>4.9000000000000004</v>
      </c>
      <c r="Q174" s="88">
        <v>292.44</v>
      </c>
      <c r="R174" s="1087">
        <v>3.2</v>
      </c>
      <c r="T174" s="1088">
        <f>Q9-2107.91</f>
        <v>94.389999999999873</v>
      </c>
    </row>
    <row r="175" spans="1:41">
      <c r="O175" s="44">
        <v>10.4</v>
      </c>
      <c r="P175" s="44">
        <v>249.83</v>
      </c>
      <c r="Q175" s="2">
        <v>244.2</v>
      </c>
      <c r="R175" s="116">
        <v>47.2</v>
      </c>
    </row>
    <row r="176" spans="1:41">
      <c r="O176" s="44">
        <v>298.39999999999998</v>
      </c>
      <c r="Q176" s="2">
        <v>202.24</v>
      </c>
      <c r="R176" s="116"/>
    </row>
    <row r="177" spans="15:18">
      <c r="O177" s="44">
        <v>94.4</v>
      </c>
      <c r="Q177" s="2">
        <v>601.91999999999996</v>
      </c>
      <c r="R177" s="116"/>
    </row>
    <row r="178" spans="15:18">
      <c r="O178" s="88">
        <f>SUM(O174:O177)</f>
        <v>419.19999999999993</v>
      </c>
      <c r="P178" s="88">
        <f>SUM(P174:P177)</f>
        <v>254.73000000000002</v>
      </c>
      <c r="Q178" s="88">
        <f>SUM(Q174:Q177)</f>
        <v>1340.8</v>
      </c>
      <c r="R178" s="88">
        <f>SUM(R174:R177)</f>
        <v>50.400000000000006</v>
      </c>
    </row>
    <row r="179" spans="15:18">
      <c r="R179" s="116"/>
    </row>
    <row r="180" spans="15:18">
      <c r="P180" s="44">
        <f>G161-P178</f>
        <v>-3.0000000000029559E-2</v>
      </c>
      <c r="R180" s="116"/>
    </row>
    <row r="181" spans="15:18">
      <c r="Q181" s="88"/>
      <c r="R181" s="116"/>
    </row>
    <row r="182" spans="15:18">
      <c r="R182" s="116"/>
    </row>
    <row r="183" spans="15:18">
      <c r="R183" s="116"/>
    </row>
    <row r="184" spans="15:18">
      <c r="R184" s="116"/>
    </row>
    <row r="185" spans="15:18">
      <c r="R185" s="116"/>
    </row>
    <row r="186" spans="15:18">
      <c r="R186" s="116"/>
    </row>
    <row r="187" spans="15:18">
      <c r="R187" s="116"/>
    </row>
    <row r="188" spans="15:18">
      <c r="R188" s="116"/>
    </row>
    <row r="189" spans="15:18">
      <c r="R189" s="116"/>
    </row>
    <row r="190" spans="15:18">
      <c r="R190" s="116"/>
    </row>
    <row r="191" spans="15:18">
      <c r="R191" s="116"/>
    </row>
    <row r="192" spans="15:18">
      <c r="R192" s="116"/>
    </row>
    <row r="193" spans="18:18">
      <c r="R193" s="116"/>
    </row>
    <row r="194" spans="18:18">
      <c r="R194" s="116"/>
    </row>
    <row r="195" spans="18:18">
      <c r="R195" s="116"/>
    </row>
    <row r="196" spans="18:18">
      <c r="R196" s="116"/>
    </row>
    <row r="197" spans="18:18">
      <c r="R197" s="116"/>
    </row>
    <row r="198" spans="18:18">
      <c r="R198" s="116"/>
    </row>
    <row r="199" spans="18:18">
      <c r="R199" s="116"/>
    </row>
    <row r="200" spans="18:18">
      <c r="R200" s="116"/>
    </row>
    <row r="201" spans="18:18">
      <c r="R201" s="116"/>
    </row>
    <row r="202" spans="18:18">
      <c r="R202" s="116"/>
    </row>
    <row r="203" spans="18:18">
      <c r="R203" s="116"/>
    </row>
    <row r="204" spans="18:18">
      <c r="R204" s="116"/>
    </row>
    <row r="205" spans="18:18">
      <c r="R205" s="116"/>
    </row>
    <row r="206" spans="18:18">
      <c r="R206" s="116"/>
    </row>
    <row r="207" spans="18:18">
      <c r="R207" s="116"/>
    </row>
    <row r="208" spans="18:18">
      <c r="R208" s="116"/>
    </row>
  </sheetData>
  <mergeCells count="39">
    <mergeCell ref="C168:E168"/>
    <mergeCell ref="E6:AE6"/>
    <mergeCell ref="G7:G8"/>
    <mergeCell ref="C6:C8"/>
    <mergeCell ref="AD7:AD8"/>
    <mergeCell ref="U163:AC163"/>
    <mergeCell ref="C163:E163"/>
    <mergeCell ref="U168:AC168"/>
    <mergeCell ref="F7:F8"/>
    <mergeCell ref="B9:D9"/>
    <mergeCell ref="A161:D161"/>
    <mergeCell ref="B6:B8"/>
    <mergeCell ref="A6:A8"/>
    <mergeCell ref="D6:D8"/>
    <mergeCell ref="B95:D95"/>
    <mergeCell ref="B10:D10"/>
    <mergeCell ref="E7:E8"/>
    <mergeCell ref="R2:AE2"/>
    <mergeCell ref="A2:G2"/>
    <mergeCell ref="A3:G3"/>
    <mergeCell ref="A4:G4"/>
    <mergeCell ref="R3:AE3"/>
    <mergeCell ref="A5:AE5"/>
    <mergeCell ref="R7:T7"/>
    <mergeCell ref="H7:H8"/>
    <mergeCell ref="AE7:AE8"/>
    <mergeCell ref="N7:N8"/>
    <mergeCell ref="AC7:AC8"/>
    <mergeCell ref="M7:M8"/>
    <mergeCell ref="G165:H165"/>
    <mergeCell ref="I165:J165"/>
    <mergeCell ref="O163:Q163"/>
    <mergeCell ref="V7:X7"/>
    <mergeCell ref="J7:J8"/>
    <mergeCell ref="K7:K8"/>
    <mergeCell ref="P7:P8"/>
    <mergeCell ref="Q7:Q8"/>
    <mergeCell ref="L7:L8"/>
    <mergeCell ref="I7:I8"/>
  </mergeCells>
  <phoneticPr fontId="25" type="noConversion"/>
  <pageMargins left="0.35433070866141736" right="0.19685039370078741" top="0.15748031496062992" bottom="0.15748031496062992" header="0.15748031496062992" footer="0.19685039370078741"/>
  <pageSetup paperSize="9" scale="40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92D050"/>
  </sheetPr>
  <dimension ref="A1:AC198"/>
  <sheetViews>
    <sheetView topLeftCell="A99" zoomScale="55" zoomScaleNormal="55" zoomScaleSheetLayoutView="50" workbookViewId="0">
      <selection activeCell="L113" sqref="L113"/>
    </sheetView>
  </sheetViews>
  <sheetFormatPr defaultColWidth="9.42578125" defaultRowHeight="23.25"/>
  <cols>
    <col min="1" max="1" width="7.5703125" style="1116" customWidth="1"/>
    <col min="2" max="2" width="15.5703125" style="1116" customWidth="1"/>
    <col min="3" max="3" width="23" style="1133" customWidth="1"/>
    <col min="4" max="4" width="28.7109375" style="1104" customWidth="1"/>
    <col min="5" max="5" width="17.85546875" style="359" customWidth="1"/>
    <col min="6" max="6" width="21.85546875" style="1104" customWidth="1"/>
    <col min="7" max="7" width="21" style="1104" customWidth="1"/>
    <col min="8" max="9" width="16" style="1104" customWidth="1"/>
    <col min="10" max="10" width="24.28515625" style="319" customWidth="1"/>
    <col min="11" max="11" width="12.42578125" style="320" customWidth="1"/>
    <col min="12" max="12" width="23.7109375" style="321" customWidth="1"/>
    <col min="13" max="13" width="18" style="1104" customWidth="1"/>
    <col min="14" max="14" width="16.28515625" style="1104" customWidth="1"/>
    <col min="15" max="15" width="19.85546875" style="1104" hidden="1" customWidth="1"/>
    <col min="16" max="16" width="16.7109375" style="1104" hidden="1" customWidth="1"/>
    <col min="17" max="17" width="17.85546875" style="1104" hidden="1" customWidth="1"/>
    <col min="18" max="18" width="14.140625" style="1104" hidden="1" customWidth="1"/>
    <col min="19" max="19" width="19.85546875" style="1104" hidden="1" customWidth="1"/>
    <col min="20" max="20" width="15.5703125" style="1104" hidden="1" customWidth="1"/>
    <col min="21" max="22" width="16" style="1104" hidden="1" customWidth="1"/>
    <col min="23" max="23" width="25.42578125" style="1104" customWidth="1"/>
    <col min="24" max="24" width="25.140625" style="1104" customWidth="1"/>
    <col min="25" max="25" width="16.7109375" style="1104" hidden="1" customWidth="1"/>
    <col min="26" max="26" width="22.5703125" style="1104" customWidth="1"/>
    <col min="27" max="27" width="25.28515625" style="1104" hidden="1" customWidth="1"/>
    <col min="28" max="28" width="25.5703125" style="1104" hidden="1" customWidth="1"/>
    <col min="29" max="29" width="22.28515625" style="1104" hidden="1" customWidth="1"/>
    <col min="30" max="33" width="9.42578125" style="1104"/>
    <col min="34" max="34" width="9.5703125" style="1104" bestFit="1" customWidth="1"/>
    <col min="35" max="16384" width="9.42578125" style="1104"/>
  </cols>
  <sheetData>
    <row r="1" spans="1:29" ht="25.5">
      <c r="A1" s="1418" t="s">
        <v>54</v>
      </c>
      <c r="B1" s="1418"/>
      <c r="C1" s="1418"/>
      <c r="D1" s="1418"/>
      <c r="E1" s="1418"/>
      <c r="F1" s="1418"/>
      <c r="G1" s="1418"/>
      <c r="H1" s="1418"/>
      <c r="I1" s="1418"/>
      <c r="J1" s="1418"/>
      <c r="K1" s="1418"/>
      <c r="L1" s="1418"/>
      <c r="M1" s="1418"/>
      <c r="N1" s="1418"/>
      <c r="O1" s="1418"/>
      <c r="P1" s="1418"/>
      <c r="Q1" s="1418"/>
      <c r="R1" s="1418"/>
      <c r="S1" s="1418"/>
      <c r="T1" s="1418"/>
      <c r="U1" s="1418"/>
      <c r="V1" s="1418"/>
      <c r="W1" s="1418"/>
      <c r="X1" s="1418"/>
      <c r="Y1" s="1418"/>
      <c r="Z1" s="1418"/>
    </row>
    <row r="2" spans="1:29" ht="21.75" customHeight="1">
      <c r="A2" s="1418" t="s">
        <v>40</v>
      </c>
      <c r="B2" s="1418"/>
      <c r="C2" s="1418"/>
      <c r="D2" s="1418"/>
      <c r="E2" s="1418"/>
      <c r="F2" s="1418"/>
      <c r="G2" s="1418"/>
      <c r="H2" s="1418"/>
      <c r="I2" s="1418"/>
      <c r="J2" s="1418"/>
      <c r="K2" s="1418"/>
      <c r="L2" s="1418"/>
      <c r="M2" s="1418"/>
      <c r="N2" s="1418"/>
      <c r="O2" s="1418"/>
      <c r="P2" s="1418"/>
      <c r="Q2" s="1418"/>
      <c r="R2" s="1418"/>
      <c r="S2" s="1418"/>
      <c r="T2" s="1418"/>
      <c r="U2" s="1418"/>
      <c r="V2" s="1418"/>
      <c r="W2" s="1418"/>
      <c r="X2" s="1418"/>
      <c r="Y2" s="1418"/>
      <c r="Z2" s="1418"/>
    </row>
    <row r="3" spans="1:29" ht="26.25" customHeight="1">
      <c r="A3" s="1425" t="s">
        <v>292</v>
      </c>
      <c r="B3" s="1425"/>
      <c r="C3" s="1426"/>
      <c r="D3" s="1426"/>
      <c r="E3" s="1426"/>
      <c r="F3" s="1426"/>
      <c r="G3" s="1426"/>
      <c r="H3" s="1426"/>
      <c r="I3" s="1426"/>
      <c r="J3" s="1426"/>
      <c r="K3" s="1426"/>
      <c r="L3" s="1426"/>
      <c r="M3" s="1426"/>
      <c r="N3" s="1426"/>
      <c r="O3" s="1426"/>
      <c r="P3" s="1426"/>
      <c r="Q3" s="1426"/>
      <c r="R3" s="1426"/>
      <c r="S3" s="1426"/>
      <c r="T3" s="1426"/>
      <c r="U3" s="1426"/>
      <c r="V3" s="1426"/>
      <c r="W3" s="1426"/>
      <c r="X3" s="1426"/>
      <c r="Y3" s="1426"/>
      <c r="Z3" s="1426"/>
    </row>
    <row r="4" spans="1:29" ht="26.25" customHeight="1">
      <c r="A4" s="943"/>
      <c r="B4" s="943"/>
      <c r="C4" s="943"/>
      <c r="D4" s="943"/>
      <c r="E4" s="943"/>
      <c r="F4" s="943"/>
      <c r="G4" s="943"/>
      <c r="H4" s="943"/>
      <c r="I4" s="943"/>
      <c r="J4" s="943"/>
      <c r="K4" s="943"/>
      <c r="L4" s="943"/>
      <c r="M4" s="943"/>
      <c r="N4" s="943"/>
      <c r="O4" s="943"/>
      <c r="P4" s="943"/>
      <c r="Q4" s="943"/>
      <c r="R4" s="943"/>
      <c r="S4" s="943"/>
      <c r="T4" s="943"/>
      <c r="U4" s="943"/>
      <c r="V4" s="943"/>
      <c r="W4" s="943"/>
      <c r="X4" s="943"/>
      <c r="Y4" s="943"/>
      <c r="Z4" s="943"/>
    </row>
    <row r="5" spans="1:29" ht="26.25" customHeight="1">
      <c r="A5" s="1419" t="s">
        <v>598</v>
      </c>
      <c r="B5" s="1419"/>
      <c r="C5" s="1419"/>
      <c r="D5" s="1419"/>
      <c r="E5" s="1419"/>
      <c r="F5" s="1419"/>
      <c r="G5" s="1419"/>
      <c r="H5" s="1419"/>
      <c r="I5" s="1419"/>
      <c r="J5" s="1419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58"/>
      <c r="X5" s="558"/>
      <c r="Y5" s="558"/>
      <c r="Z5" s="558"/>
    </row>
    <row r="6" spans="1:29" ht="25.5">
      <c r="A6" s="1429" t="s">
        <v>583</v>
      </c>
      <c r="B6" s="1429"/>
      <c r="C6" s="1429"/>
      <c r="D6" s="1429"/>
      <c r="E6" s="1429"/>
      <c r="F6" s="1429"/>
      <c r="G6" s="1429"/>
      <c r="H6" s="1429"/>
      <c r="I6" s="1429"/>
      <c r="J6" s="1429"/>
      <c r="K6" s="557"/>
      <c r="L6" s="557"/>
      <c r="M6" s="557"/>
      <c r="N6" s="557"/>
      <c r="O6" s="557"/>
      <c r="P6" s="557"/>
      <c r="Q6" s="557"/>
      <c r="R6" s="557"/>
      <c r="S6" s="557"/>
      <c r="T6" s="557"/>
      <c r="U6" s="557"/>
      <c r="V6" s="557"/>
      <c r="W6" s="558"/>
      <c r="X6" s="558"/>
      <c r="Y6" s="558"/>
      <c r="Z6" s="558"/>
    </row>
    <row r="7" spans="1:29" ht="25.5">
      <c r="A7" s="1105"/>
      <c r="B7" s="1105"/>
      <c r="C7" s="1105"/>
      <c r="D7" s="1105"/>
      <c r="E7" s="1105"/>
      <c r="F7" s="1105"/>
      <c r="G7" s="1105"/>
      <c r="H7" s="1105"/>
      <c r="I7" s="1105"/>
      <c r="J7" s="1105"/>
      <c r="K7" s="557"/>
      <c r="L7" s="557"/>
      <c r="M7" s="557"/>
      <c r="N7" s="557"/>
      <c r="O7" s="557"/>
      <c r="P7" s="557"/>
      <c r="Q7" s="557"/>
      <c r="R7" s="557"/>
      <c r="S7" s="557"/>
      <c r="T7" s="557"/>
      <c r="U7" s="557"/>
      <c r="V7" s="557"/>
      <c r="W7" s="558"/>
      <c r="X7" s="558"/>
      <c r="Y7" s="558"/>
      <c r="Z7" s="558"/>
    </row>
    <row r="8" spans="1:29" ht="33">
      <c r="A8" s="1420" t="s">
        <v>827</v>
      </c>
      <c r="B8" s="1420"/>
      <c r="C8" s="1420"/>
      <c r="D8" s="1420"/>
      <c r="E8" s="1420"/>
      <c r="F8" s="1420"/>
      <c r="G8" s="1420"/>
      <c r="H8" s="1420"/>
      <c r="I8" s="1420"/>
      <c r="J8" s="1420"/>
      <c r="K8" s="1420"/>
      <c r="L8" s="1420"/>
      <c r="M8" s="1420"/>
      <c r="N8" s="1420"/>
      <c r="O8" s="1420"/>
      <c r="P8" s="1420"/>
      <c r="Q8" s="1420"/>
      <c r="R8" s="1420"/>
      <c r="S8" s="1420"/>
      <c r="T8" s="1420"/>
      <c r="U8" s="1420"/>
      <c r="V8" s="1420"/>
      <c r="W8" s="1420"/>
      <c r="X8" s="1420"/>
      <c r="Y8" s="1420"/>
      <c r="Z8" s="1420"/>
    </row>
    <row r="9" spans="1:29" s="1109" customFormat="1" ht="27.75" customHeight="1">
      <c r="A9" s="1427"/>
      <c r="B9" s="1427"/>
      <c r="C9" s="1427"/>
      <c r="D9" s="1427"/>
      <c r="E9" s="1427"/>
      <c r="F9" s="1427"/>
      <c r="G9" s="1427"/>
      <c r="H9" s="1427"/>
      <c r="I9" s="1427"/>
      <c r="J9" s="1427"/>
      <c r="K9" s="1427"/>
      <c r="L9" s="1427"/>
      <c r="M9" s="1427"/>
      <c r="N9" s="1427"/>
      <c r="O9" s="1427"/>
      <c r="P9" s="1427"/>
      <c r="Q9" s="1427"/>
      <c r="R9" s="1427"/>
      <c r="S9" s="1427"/>
      <c r="T9" s="1427"/>
      <c r="U9" s="1427"/>
      <c r="V9" s="1427"/>
      <c r="W9" s="1427"/>
      <c r="X9" s="1427"/>
      <c r="Y9" s="1427"/>
      <c r="Z9" s="1427"/>
      <c r="AA9" s="1107" t="s">
        <v>34</v>
      </c>
      <c r="AB9" s="1108">
        <f>'BTH mủ tạp'!$AK$16</f>
        <v>168911</v>
      </c>
    </row>
    <row r="10" spans="1:29" s="1109" customFormat="1" ht="27.75" hidden="1" customHeight="1">
      <c r="A10" s="1428"/>
      <c r="B10" s="1428"/>
      <c r="C10" s="1428"/>
      <c r="D10" s="1428"/>
      <c r="E10" s="1428"/>
      <c r="F10" s="1428"/>
      <c r="G10" s="1428"/>
      <c r="H10" s="1428"/>
      <c r="I10" s="1428"/>
      <c r="J10" s="1428"/>
      <c r="K10" s="1428"/>
      <c r="L10" s="1428"/>
      <c r="M10" s="1428"/>
      <c r="N10" s="1428"/>
      <c r="O10" s="1428"/>
      <c r="P10" s="1428"/>
      <c r="Q10" s="1428"/>
      <c r="R10" s="1428"/>
      <c r="S10" s="1428"/>
      <c r="T10" s="1428"/>
      <c r="U10" s="1428"/>
      <c r="V10" s="1428"/>
      <c r="W10" s="1428"/>
      <c r="X10" s="1428"/>
      <c r="Y10" s="1428"/>
      <c r="Z10" s="1428"/>
      <c r="AA10" s="1107" t="s">
        <v>417</v>
      </c>
      <c r="AB10" s="1108">
        <f>'BTH mủ tạp'!$AM$16</f>
        <v>78326.587</v>
      </c>
    </row>
    <row r="11" spans="1:29" s="1109" customFormat="1" ht="18" hidden="1" customHeight="1">
      <c r="A11" s="1219"/>
      <c r="B11" s="1219"/>
      <c r="C11" s="1220"/>
      <c r="D11" s="1220"/>
      <c r="E11" s="1221">
        <v>655.8</v>
      </c>
      <c r="F11" s="1222"/>
      <c r="G11" s="1222"/>
      <c r="H11" s="1222"/>
      <c r="I11" s="1222"/>
      <c r="J11" s="1223"/>
      <c r="K11" s="1224"/>
      <c r="L11" s="1224"/>
      <c r="M11" s="1224"/>
      <c r="N11" s="1224"/>
      <c r="O11" s="1224"/>
      <c r="P11" s="1224"/>
      <c r="Q11" s="1224"/>
      <c r="R11" s="1224"/>
      <c r="S11" s="1224"/>
      <c r="T11" s="1224"/>
      <c r="U11" s="1224"/>
      <c r="V11" s="1224"/>
      <c r="W11" s="1224"/>
      <c r="X11" s="1224"/>
      <c r="Y11" s="1224"/>
      <c r="Z11" s="1224"/>
      <c r="AA11" s="1115" t="s">
        <v>418</v>
      </c>
      <c r="AB11" s="871">
        <v>0.5</v>
      </c>
    </row>
    <row r="12" spans="1:29" ht="30.75" hidden="1" customHeight="1">
      <c r="A12" s="1225"/>
      <c r="B12" s="1225"/>
      <c r="C12" s="1430" t="s">
        <v>296</v>
      </c>
      <c r="D12" s="1430"/>
      <c r="E12" s="1226">
        <f>'CNKT '!F11</f>
        <v>668.84</v>
      </c>
      <c r="F12" s="1227"/>
      <c r="G12" s="1227"/>
      <c r="H12" s="1227"/>
      <c r="I12" s="1227"/>
      <c r="J12" s="1228"/>
      <c r="K12" s="1229"/>
      <c r="L12" s="1230"/>
      <c r="M12" s="1231"/>
      <c r="N12" s="1231"/>
      <c r="O12" s="1231"/>
      <c r="P12" s="1231"/>
      <c r="Q12" s="1231"/>
      <c r="R12" s="1231"/>
      <c r="S12" s="1231"/>
      <c r="T12" s="1231"/>
      <c r="U12" s="1231"/>
      <c r="V12" s="1231"/>
      <c r="W12" s="1231"/>
      <c r="X12" s="1431"/>
      <c r="Y12" s="1431"/>
      <c r="Z12" s="1232">
        <f>AB10/AB9</f>
        <v>0.4637151340054822</v>
      </c>
      <c r="AA12" s="1115" t="s">
        <v>419</v>
      </c>
      <c r="AB12" s="871">
        <v>0.2</v>
      </c>
    </row>
    <row r="13" spans="1:29" s="1110" customFormat="1" ht="26.25" customHeight="1">
      <c r="A13" s="1432" t="s">
        <v>4</v>
      </c>
      <c r="B13" s="1432" t="s">
        <v>95</v>
      </c>
      <c r="C13" s="1433" t="s">
        <v>15</v>
      </c>
      <c r="D13" s="1432" t="s">
        <v>236</v>
      </c>
      <c r="E13" s="1424" t="s">
        <v>20</v>
      </c>
      <c r="F13" s="1424"/>
      <c r="G13" s="1424"/>
      <c r="H13" s="1424"/>
      <c r="I13" s="1424"/>
      <c r="J13" s="1424"/>
      <c r="K13" s="1424"/>
      <c r="L13" s="1424"/>
      <c r="M13" s="1424"/>
      <c r="N13" s="1424"/>
      <c r="O13" s="1424"/>
      <c r="P13" s="1424"/>
      <c r="Q13" s="1424"/>
      <c r="R13" s="1424"/>
      <c r="S13" s="1424"/>
      <c r="T13" s="1424"/>
      <c r="U13" s="1424"/>
      <c r="V13" s="1424"/>
      <c r="W13" s="1424"/>
      <c r="X13" s="1417" t="s">
        <v>364</v>
      </c>
      <c r="Y13" s="1417" t="s">
        <v>166</v>
      </c>
      <c r="Z13" s="1417" t="s">
        <v>366</v>
      </c>
    </row>
    <row r="14" spans="1:29" s="1110" customFormat="1" ht="57" customHeight="1">
      <c r="A14" s="1432"/>
      <c r="B14" s="1432"/>
      <c r="C14" s="1433"/>
      <c r="D14" s="1432"/>
      <c r="E14" s="1434" t="s">
        <v>365</v>
      </c>
      <c r="F14" s="1435"/>
      <c r="G14" s="1235"/>
      <c r="H14" s="1235"/>
      <c r="I14" s="1235"/>
      <c r="J14" s="1417" t="s">
        <v>23</v>
      </c>
      <c r="K14" s="1417"/>
      <c r="L14" s="1417"/>
      <c r="M14" s="1417" t="s">
        <v>24</v>
      </c>
      <c r="N14" s="1417"/>
      <c r="O14" s="1417"/>
      <c r="P14" s="1417"/>
      <c r="Q14" s="1417"/>
      <c r="R14" s="1417"/>
      <c r="S14" s="1417"/>
      <c r="T14" s="1417"/>
      <c r="U14" s="1417"/>
      <c r="V14" s="1417"/>
      <c r="W14" s="1417"/>
      <c r="X14" s="1417"/>
      <c r="Y14" s="1417"/>
      <c r="Z14" s="1417"/>
    </row>
    <row r="15" spans="1:29" s="1120" customFormat="1" ht="159.75" customHeight="1">
      <c r="A15" s="1432"/>
      <c r="B15" s="1432"/>
      <c r="C15" s="1433"/>
      <c r="D15" s="1432"/>
      <c r="E15" s="1236" t="s">
        <v>72</v>
      </c>
      <c r="F15" s="1233" t="s">
        <v>25</v>
      </c>
      <c r="G15" s="1233" t="s">
        <v>363</v>
      </c>
      <c r="H15" s="1233" t="s">
        <v>411</v>
      </c>
      <c r="I15" s="1237" t="s">
        <v>420</v>
      </c>
      <c r="J15" s="1238" t="s">
        <v>412</v>
      </c>
      <c r="K15" s="1234" t="s">
        <v>26</v>
      </c>
      <c r="L15" s="1234" t="s">
        <v>27</v>
      </c>
      <c r="M15" s="1239" t="s">
        <v>442</v>
      </c>
      <c r="N15" s="1240" t="s">
        <v>470</v>
      </c>
      <c r="O15" s="1240" t="s">
        <v>471</v>
      </c>
      <c r="P15" s="1240" t="s">
        <v>472</v>
      </c>
      <c r="Q15" s="1240" t="s">
        <v>546</v>
      </c>
      <c r="R15" s="1240" t="s">
        <v>474</v>
      </c>
      <c r="S15" s="1240" t="s">
        <v>546</v>
      </c>
      <c r="T15" s="1241" t="s">
        <v>517</v>
      </c>
      <c r="U15" s="1241" t="s">
        <v>539</v>
      </c>
      <c r="V15" s="1241"/>
      <c r="W15" s="1234" t="s">
        <v>18</v>
      </c>
      <c r="X15" s="1417"/>
      <c r="Y15" s="1417"/>
      <c r="Z15" s="1417"/>
      <c r="AB15" s="1120">
        <f>5.5*E12</f>
        <v>3678.6200000000003</v>
      </c>
      <c r="AC15" s="1120">
        <f>265*AB15</f>
        <v>974834.3</v>
      </c>
    </row>
    <row r="16" spans="1:29" s="1120" customFormat="1" ht="57.6" customHeight="1">
      <c r="A16" s="1242">
        <v>1</v>
      </c>
      <c r="B16" s="1242" t="str">
        <f>'Chấm công KT'!C13</f>
        <v>03456</v>
      </c>
      <c r="C16" s="1243" t="str">
        <f>TONGHOPCONGDOI!C11</f>
        <v>T. Vôn</v>
      </c>
      <c r="D16" s="1243"/>
      <c r="E16" s="1244"/>
      <c r="F16" s="1243">
        <f>E16*25000</f>
        <v>0</v>
      </c>
      <c r="G16" s="1243">
        <f>VLOOKUP(C16,TONGHOPCONGDOI!C11:AE93,16,0)</f>
        <v>1135</v>
      </c>
      <c r="H16" s="1243">
        <f>VLOOKUP(C16,TONGHOPCONGDOI!C11:AE93,17,0)</f>
        <v>0</v>
      </c>
      <c r="I16" s="1243"/>
      <c r="J16" s="1245">
        <f>$AB$10/$AB$9*G16+H16*$AB$11+I16*$AB$12</f>
        <v>526.31667709622229</v>
      </c>
      <c r="K16" s="1242" t="str">
        <f>VLOOKUP(C16,'BTH mủ tạp'!D17:AN95,37,0)</f>
        <v>B</v>
      </c>
      <c r="L16" s="1246">
        <f>ROUND((IF(K16="A",(G16*$Z$12*6.1),IF(K16="B",(G16*$Z$12*5.8),IF(K16="C",(G16*$Z$12*5.5),IF(K16="C.",(G16*$Z$12*5.5),IF(K16="D",(G16*$Z$12*5.2),0)))))*$E$12+(H16*$AB$11*$E$12*6.1)+I16*$E$12*$AB$12*6.1),0)</f>
        <v>2041726</v>
      </c>
      <c r="M16" s="1243">
        <f>VLOOKUP(C16,TONGHOPCONGDOI!$C$11:$V$91,20,0)</f>
        <v>12</v>
      </c>
      <c r="N16" s="1243">
        <f>VLOOKUP(C16,TONGHOPCONGDOI!$C$11:$W$91,21,0)</f>
        <v>2</v>
      </c>
      <c r="O16" s="1243">
        <f>VLOOKUP(C16,TONGHOPCONGDOI!$C$11:$AD$93,22,0)</f>
        <v>0</v>
      </c>
      <c r="P16" s="1243">
        <f>VLOOKUP(C16,TONGHOPCONGDOI!$C$11:$AD$93,23,0)</f>
        <v>0</v>
      </c>
      <c r="Q16" s="1243">
        <f>VLOOKUP(C16,TONGHOPCONGDOI!$C$11:$AD$93,24,0)</f>
        <v>0</v>
      </c>
      <c r="R16" s="1243">
        <f>VLOOKUP(C16,TONGHOPCONGDOI!$C$11:$AD$93,25,0)</f>
        <v>0</v>
      </c>
      <c r="S16" s="1243"/>
      <c r="T16" s="1244"/>
      <c r="U16" s="1244"/>
      <c r="V16" s="1244"/>
      <c r="W16" s="1247">
        <f>ROUND(((M16*46.1)+(N16*76.9)+(O16*92.2)+(P16*153.8)+(Q16*92.2)+(R16*153.8))*$E$12+(S16*25000)+(T16*10000)+(U16*30000),0)</f>
        <v>472870</v>
      </c>
      <c r="X16" s="1243">
        <f>F16+L16+W16</f>
        <v>2514596</v>
      </c>
      <c r="Y16" s="1243"/>
      <c r="Z16" s="1243">
        <f>VLOOKUP(C16,'CNKT '!D16:AA93,24,0)</f>
        <v>2514596</v>
      </c>
      <c r="AA16" s="1120">
        <f>Z16-X16</f>
        <v>0</v>
      </c>
    </row>
    <row r="17" spans="1:27" s="1120" customFormat="1" ht="50.25" customHeight="1">
      <c r="A17" s="1242">
        <v>2</v>
      </c>
      <c r="B17" s="1242" t="str">
        <f>'Chấm công KT'!C14</f>
        <v>04052</v>
      </c>
      <c r="C17" s="1243" t="str">
        <f>TONGHOPCONGDOI!C12</f>
        <v>T. Feng</v>
      </c>
      <c r="D17" s="1243"/>
      <c r="E17" s="1244"/>
      <c r="F17" s="1243">
        <f t="shared" ref="F17:F80" si="0">E17*25000</f>
        <v>0</v>
      </c>
      <c r="G17" s="1243">
        <f>VLOOKUP(C17,TONGHOPCONGDOI!C12:AE94,16,0)</f>
        <v>1955</v>
      </c>
      <c r="H17" s="1243">
        <f>VLOOKUP(C17,TONGHOPCONGDOI!C12:AE94,17,0)</f>
        <v>0</v>
      </c>
      <c r="I17" s="1243"/>
      <c r="J17" s="1245">
        <f>$AB$10/$AB$9*G17+H17*$AB$11+I17*$AB$12</f>
        <v>906.56308698071769</v>
      </c>
      <c r="K17" s="1242" t="str">
        <f>VLOOKUP(C17,'BTH mủ tạp'!D18:AN96,37,0)</f>
        <v>A</v>
      </c>
      <c r="L17" s="1246">
        <f t="shared" ref="L17:L80" si="1">ROUND((IF(K17="A",(G17*$Z$12*6.1),IF(K17="B",(G17*$Z$12*5.8),IF(K17="C",(G17*$Z$12*5.5),IF(K17="C.",(G17*$Z$12*5.5),IF(K17="D",(G17*$Z$12*5.2),0)))))*$E$12+(H17*$AB$11*$E$12*6.1)+I17*$E$12*$AB$12*6.1),0)</f>
        <v>3698708</v>
      </c>
      <c r="M17" s="1243">
        <f>VLOOKUP(C17,TONGHOPCONGDOI!$C$11:$V$91,20,0)</f>
        <v>21</v>
      </c>
      <c r="N17" s="1243">
        <f>VLOOKUP(C17,TONGHOPCONGDOI!$C$11:$W$91,21,0)</f>
        <v>4</v>
      </c>
      <c r="O17" s="1243">
        <f>VLOOKUP(C17,TONGHOPCONGDOI!$C$11:$AD$93,22,0)</f>
        <v>0</v>
      </c>
      <c r="P17" s="1243">
        <f>VLOOKUP(C17,TONGHOPCONGDOI!$C$11:$AD$93,23,0)</f>
        <v>0</v>
      </c>
      <c r="Q17" s="1243">
        <f>VLOOKUP(C17,TONGHOPCONGDOI!$C$11:$AD$93,24,0)</f>
        <v>0</v>
      </c>
      <c r="R17" s="1243">
        <f>VLOOKUP(C17,TONGHOPCONGDOI!$C$11:$AD$93,25,0)</f>
        <v>0</v>
      </c>
      <c r="S17" s="1243"/>
      <c r="T17" s="1244"/>
      <c r="U17" s="1244"/>
      <c r="V17" s="1244"/>
      <c r="W17" s="1247">
        <f t="shared" ref="W17:W80" si="2">ROUND(((M17*46.1)+(N17*76.9)+(O17*92.2)+(P17*153.8)+(Q17*92.2)+(R17*153.8))*$E$12+(S17*25000)+(T17*10000)+(U17*30000),0)</f>
        <v>853239</v>
      </c>
      <c r="X17" s="1243">
        <f t="shared" ref="X17:X47" si="3">F17+L17+W17</f>
        <v>4551947</v>
      </c>
      <c r="Y17" s="1243"/>
      <c r="Z17" s="1243">
        <f>VLOOKUP(C17,'CNKT '!D17:AA94,24,0)</f>
        <v>4551947</v>
      </c>
      <c r="AA17" s="1120">
        <f t="shared" ref="AA17:AA79" si="4">Z17-X17</f>
        <v>0</v>
      </c>
    </row>
    <row r="18" spans="1:27" s="1120" customFormat="1" ht="50.25" customHeight="1">
      <c r="A18" s="1242">
        <v>3</v>
      </c>
      <c r="B18" s="1242" t="str">
        <f>'Chấm công KT'!C15</f>
        <v>02725</v>
      </c>
      <c r="C18" s="1243" t="str">
        <f>TONGHOPCONGDOI!C13</f>
        <v>T. Sa Văn</v>
      </c>
      <c r="D18" s="1243"/>
      <c r="E18" s="1244"/>
      <c r="F18" s="1243">
        <f t="shared" si="0"/>
        <v>0</v>
      </c>
      <c r="G18" s="1243">
        <f>VLOOKUP(C18,TONGHOPCONGDOI!C13:AE94,16,0)</f>
        <v>1903</v>
      </c>
      <c r="H18" s="1243">
        <f>VLOOKUP(C18,TONGHOPCONGDOI!C13:AE94,17,0)</f>
        <v>0</v>
      </c>
      <c r="I18" s="1243"/>
      <c r="J18" s="1245">
        <f t="shared" ref="J18:J47" si="5">$AB$10/$AB$9*G18+H18*$AB$11+I18*$AB$12</f>
        <v>882.44990001243264</v>
      </c>
      <c r="K18" s="1242" t="str">
        <f>VLOOKUP(C18,'BTH mủ tạp'!D19:AN97,37,0)</f>
        <v>A</v>
      </c>
      <c r="L18" s="1246">
        <f t="shared" si="1"/>
        <v>3600329</v>
      </c>
      <c r="M18" s="1243">
        <f>VLOOKUP(C18,TONGHOPCONGDOI!$C$11:$V$91,20,0)</f>
        <v>19</v>
      </c>
      <c r="N18" s="1243">
        <f>VLOOKUP(C18,TONGHOPCONGDOI!$C$11:$W$91,21,0)</f>
        <v>5</v>
      </c>
      <c r="O18" s="1243">
        <f>VLOOKUP(C18,TONGHOPCONGDOI!$C$11:$AD$93,22,0)</f>
        <v>0</v>
      </c>
      <c r="P18" s="1243">
        <f>VLOOKUP(C18,TONGHOPCONGDOI!$C$11:$AD$93,23,0)</f>
        <v>0</v>
      </c>
      <c r="Q18" s="1243">
        <f>VLOOKUP(C18,TONGHOPCONGDOI!$C$11:$AD$93,24,0)</f>
        <v>0</v>
      </c>
      <c r="R18" s="1243">
        <f>VLOOKUP(C18,TONGHOPCONGDOI!$C$11:$AD$93,25,0)</f>
        <v>0</v>
      </c>
      <c r="S18" s="1243"/>
      <c r="T18" s="1244"/>
      <c r="U18" s="1244"/>
      <c r="V18" s="1244"/>
      <c r="W18" s="1247">
        <f t="shared" si="2"/>
        <v>843006</v>
      </c>
      <c r="X18" s="1243">
        <f t="shared" si="3"/>
        <v>4443335</v>
      </c>
      <c r="Y18" s="1243"/>
      <c r="Z18" s="1243">
        <f>VLOOKUP(C18,'CNKT '!D18:AA95,24,0)</f>
        <v>4443335</v>
      </c>
      <c r="AA18" s="1120">
        <f t="shared" si="4"/>
        <v>0</v>
      </c>
    </row>
    <row r="19" spans="1:27" s="1120" customFormat="1" ht="50.25" customHeight="1">
      <c r="A19" s="1242">
        <v>4</v>
      </c>
      <c r="B19" s="1242" t="str">
        <f>'Chấm công KT'!C16</f>
        <v>04053</v>
      </c>
      <c r="C19" s="1243" t="str">
        <f>TONGHOPCONGDOI!C14</f>
        <v>Lăm Ma Thu</v>
      </c>
      <c r="D19" s="1243"/>
      <c r="E19" s="1244"/>
      <c r="F19" s="1243">
        <f t="shared" si="0"/>
        <v>0</v>
      </c>
      <c r="G19" s="1243">
        <f>VLOOKUP(C19,TONGHOPCONGDOI!C14:AE94,16,0)</f>
        <v>2145</v>
      </c>
      <c r="H19" s="1243">
        <f>VLOOKUP(C19,TONGHOPCONGDOI!C14:AE94,17,0)</f>
        <v>0</v>
      </c>
      <c r="I19" s="1243"/>
      <c r="J19" s="1245">
        <f t="shared" si="5"/>
        <v>994.66896244175928</v>
      </c>
      <c r="K19" s="1242" t="str">
        <f>VLOOKUP(C19,'BTH mủ tạp'!D20:AN98,37,0)</f>
        <v>B</v>
      </c>
      <c r="L19" s="1246">
        <f t="shared" si="1"/>
        <v>3858591</v>
      </c>
      <c r="M19" s="1243">
        <f>VLOOKUP(C19,TONGHOPCONGDOI!$C$11:$V$91,20,0)</f>
        <v>20</v>
      </c>
      <c r="N19" s="1243">
        <f>VLOOKUP(C19,TONGHOPCONGDOI!$C$11:$W$91,21,0)</f>
        <v>5</v>
      </c>
      <c r="O19" s="1243">
        <f>VLOOKUP(C19,TONGHOPCONGDOI!$C$11:$AD$93,22,0)</f>
        <v>0</v>
      </c>
      <c r="P19" s="1243">
        <f>VLOOKUP(C19,TONGHOPCONGDOI!$C$11:$AD$93,23,0)</f>
        <v>0</v>
      </c>
      <c r="Q19" s="1243">
        <f>VLOOKUP(C19,TONGHOPCONGDOI!$C$11:$AD$93,24,0)</f>
        <v>0</v>
      </c>
      <c r="R19" s="1243">
        <f>VLOOKUP(C19,TONGHOPCONGDOI!$C$11:$AD$93,25,0)</f>
        <v>0</v>
      </c>
      <c r="S19" s="1243"/>
      <c r="T19" s="1244"/>
      <c r="U19" s="1244"/>
      <c r="V19" s="1244"/>
      <c r="W19" s="1247">
        <f t="shared" si="2"/>
        <v>873839</v>
      </c>
      <c r="X19" s="1243">
        <f t="shared" si="3"/>
        <v>4732430</v>
      </c>
      <c r="Y19" s="1243"/>
      <c r="Z19" s="1243">
        <f>VLOOKUP(C19,'CNKT '!D19:AA96,24,0)</f>
        <v>4732430</v>
      </c>
      <c r="AA19" s="1120">
        <f t="shared" si="4"/>
        <v>0</v>
      </c>
    </row>
    <row r="20" spans="1:27" s="1120" customFormat="1" ht="50.25" customHeight="1">
      <c r="A20" s="1242">
        <v>5</v>
      </c>
      <c r="B20" s="1242" t="str">
        <f>'Chấm công KT'!C17</f>
        <v>03459</v>
      </c>
      <c r="C20" s="1243" t="str">
        <f>TONGHOPCONGDOI!C15</f>
        <v>N. Vạt</v>
      </c>
      <c r="D20" s="1243"/>
      <c r="E20" s="1244"/>
      <c r="F20" s="1243">
        <f t="shared" si="0"/>
        <v>0</v>
      </c>
      <c r="G20" s="1243">
        <f>VLOOKUP(C20,TONGHOPCONGDOI!C15:AE94,16,0)</f>
        <v>2015</v>
      </c>
      <c r="H20" s="1243">
        <f>VLOOKUP(C20,TONGHOPCONGDOI!C15:AE94,17,0)</f>
        <v>0</v>
      </c>
      <c r="I20" s="1243"/>
      <c r="J20" s="1245">
        <f t="shared" si="5"/>
        <v>934.3859950210466</v>
      </c>
      <c r="K20" s="1242" t="str">
        <f>VLOOKUP(C20,'BTH mủ tạp'!D21:AN99,37,0)</f>
        <v>A</v>
      </c>
      <c r="L20" s="1246">
        <f t="shared" si="1"/>
        <v>3812224</v>
      </c>
      <c r="M20" s="1243">
        <f>VLOOKUP(C20,TONGHOPCONGDOI!$C$11:$V$91,20,0)</f>
        <v>19</v>
      </c>
      <c r="N20" s="1243">
        <f>VLOOKUP(C20,TONGHOPCONGDOI!$C$11:$W$91,21,0)</f>
        <v>4</v>
      </c>
      <c r="O20" s="1243">
        <f>VLOOKUP(C20,TONGHOPCONGDOI!$C$11:$AD$93,22,0)</f>
        <v>0</v>
      </c>
      <c r="P20" s="1243">
        <f>VLOOKUP(C20,TONGHOPCONGDOI!$C$11:$AD$93,23,0)</f>
        <v>0</v>
      </c>
      <c r="Q20" s="1243">
        <f>VLOOKUP(C20,TONGHOPCONGDOI!$C$11:$AD$93,24,0)</f>
        <v>0</v>
      </c>
      <c r="R20" s="1243">
        <f>VLOOKUP(C20,TONGHOPCONGDOI!$C$11:$AD$93,25,0)</f>
        <v>0</v>
      </c>
      <c r="S20" s="1243"/>
      <c r="T20" s="1244"/>
      <c r="U20" s="1244"/>
      <c r="V20" s="1244"/>
      <c r="W20" s="1247">
        <f t="shared" si="2"/>
        <v>791572</v>
      </c>
      <c r="X20" s="1243">
        <f t="shared" si="3"/>
        <v>4603796</v>
      </c>
      <c r="Y20" s="1243"/>
      <c r="Z20" s="1243">
        <f>VLOOKUP(C20,'CNKT '!D20:AA97,24,0)</f>
        <v>4603796</v>
      </c>
      <c r="AA20" s="1120">
        <f t="shared" si="4"/>
        <v>0</v>
      </c>
    </row>
    <row r="21" spans="1:27" s="1120" customFormat="1" ht="50.25" customHeight="1">
      <c r="A21" s="1242">
        <v>6</v>
      </c>
      <c r="B21" s="1242" t="str">
        <f>'Chấm công KT'!C18</f>
        <v>04054</v>
      </c>
      <c r="C21" s="1243" t="str">
        <f>TONGHOPCONGDOI!C16</f>
        <v>N. Kay Son</v>
      </c>
      <c r="D21" s="1243"/>
      <c r="E21" s="1244"/>
      <c r="F21" s="1243">
        <f t="shared" si="0"/>
        <v>0</v>
      </c>
      <c r="G21" s="1243">
        <f>VLOOKUP(C21,TONGHOPCONGDOI!C16:AE94,16,0)</f>
        <v>2401</v>
      </c>
      <c r="H21" s="1243">
        <f>VLOOKUP(C21,TONGHOPCONGDOI!C16:AE94,17,0)</f>
        <v>0</v>
      </c>
      <c r="I21" s="1243"/>
      <c r="J21" s="1245">
        <f t="shared" si="5"/>
        <v>1113.3800367471626</v>
      </c>
      <c r="K21" s="1242" t="str">
        <f>VLOOKUP(C21,'BTH mủ tạp'!D22:AN100,37,0)</f>
        <v>A</v>
      </c>
      <c r="L21" s="1246">
        <f t="shared" si="1"/>
        <v>4542506</v>
      </c>
      <c r="M21" s="1243">
        <f>VLOOKUP(C21,TONGHOPCONGDOI!$C$11:$V$91,20,0)</f>
        <v>20</v>
      </c>
      <c r="N21" s="1243">
        <f>VLOOKUP(C21,TONGHOPCONGDOI!$C$11:$W$91,21,0)</f>
        <v>4</v>
      </c>
      <c r="O21" s="1243">
        <f>VLOOKUP(C21,TONGHOPCONGDOI!$C$11:$AD$93,22,0)</f>
        <v>0</v>
      </c>
      <c r="P21" s="1243">
        <f>VLOOKUP(C21,TONGHOPCONGDOI!$C$11:$AD$93,23,0)</f>
        <v>0</v>
      </c>
      <c r="Q21" s="1243">
        <f>VLOOKUP(C21,TONGHOPCONGDOI!$C$11:$AD$93,24,0)</f>
        <v>0</v>
      </c>
      <c r="R21" s="1243">
        <f>VLOOKUP(C21,TONGHOPCONGDOI!$C$11:$AD$93,25,0)</f>
        <v>0</v>
      </c>
      <c r="S21" s="1243"/>
      <c r="T21" s="1244"/>
      <c r="U21" s="1244"/>
      <c r="V21" s="1244"/>
      <c r="W21" s="1247">
        <f t="shared" si="2"/>
        <v>822406</v>
      </c>
      <c r="X21" s="1243">
        <f t="shared" si="3"/>
        <v>5364912</v>
      </c>
      <c r="Y21" s="1243"/>
      <c r="Z21" s="1243">
        <f>VLOOKUP(C21,'CNKT '!D21:AA97,24,0)</f>
        <v>5364912</v>
      </c>
      <c r="AA21" s="1120">
        <f t="shared" si="4"/>
        <v>0</v>
      </c>
    </row>
    <row r="22" spans="1:27" s="1120" customFormat="1" ht="50.25" customHeight="1">
      <c r="A22" s="1242">
        <v>7</v>
      </c>
      <c r="B22" s="1242" t="str">
        <f>'Chấm công KT'!C19</f>
        <v>04055</v>
      </c>
      <c r="C22" s="1243" t="str">
        <f>TONGHOPCONGDOI!C17</f>
        <v>T. Đèng 1</v>
      </c>
      <c r="D22" s="1243"/>
      <c r="E22" s="1244"/>
      <c r="F22" s="1243">
        <f t="shared" si="0"/>
        <v>0</v>
      </c>
      <c r="G22" s="1243">
        <f>VLOOKUP(C22,TONGHOPCONGDOI!C17:AE94,16,0)</f>
        <v>1993</v>
      </c>
      <c r="H22" s="1243">
        <f>VLOOKUP(C22,TONGHOPCONGDOI!C17:AE94,17,0)</f>
        <v>0</v>
      </c>
      <c r="I22" s="1243"/>
      <c r="J22" s="1245">
        <f t="shared" si="5"/>
        <v>924.184262072926</v>
      </c>
      <c r="K22" s="1242" t="str">
        <f>VLOOKUP(C22,'BTH mủ tạp'!D23:AN101,37,0)</f>
        <v>A</v>
      </c>
      <c r="L22" s="1246">
        <f t="shared" si="1"/>
        <v>3770602</v>
      </c>
      <c r="M22" s="1243">
        <f>VLOOKUP(C22,TONGHOPCONGDOI!$C$11:$V$91,20,0)</f>
        <v>23</v>
      </c>
      <c r="N22" s="1243">
        <f>VLOOKUP(C22,TONGHOPCONGDOI!$C$11:$W$91,21,0)</f>
        <v>5</v>
      </c>
      <c r="O22" s="1243">
        <f>VLOOKUP(C22,TONGHOPCONGDOI!$C$11:$AD$93,22,0)</f>
        <v>0</v>
      </c>
      <c r="P22" s="1243">
        <f>VLOOKUP(C22,TONGHOPCONGDOI!$C$11:$AD$93,23,0)</f>
        <v>0</v>
      </c>
      <c r="Q22" s="1243">
        <f>VLOOKUP(C22,TONGHOPCONGDOI!$C$11:$AD$93,24,0)</f>
        <v>0</v>
      </c>
      <c r="R22" s="1243">
        <f>VLOOKUP(C22,TONGHOPCONGDOI!$C$11:$AD$93,25,0)</f>
        <v>0</v>
      </c>
      <c r="S22" s="1243"/>
      <c r="T22" s="1244"/>
      <c r="U22" s="1244"/>
      <c r="V22" s="1244"/>
      <c r="W22" s="1247">
        <f t="shared" si="2"/>
        <v>966340</v>
      </c>
      <c r="X22" s="1243">
        <f t="shared" si="3"/>
        <v>4736942</v>
      </c>
      <c r="Y22" s="1243"/>
      <c r="Z22" s="1243">
        <f>VLOOKUP(C22,'CNKT '!D22:AA98,24,0)</f>
        <v>4736942</v>
      </c>
      <c r="AA22" s="1120">
        <f t="shared" si="4"/>
        <v>0</v>
      </c>
    </row>
    <row r="23" spans="1:27" s="1120" customFormat="1" ht="50.25" customHeight="1">
      <c r="A23" s="1242">
        <v>8</v>
      </c>
      <c r="B23" s="1242" t="str">
        <f>'Chấm công KT'!C20</f>
        <v>03462</v>
      </c>
      <c r="C23" s="1243" t="str">
        <f>TONGHOPCONGDOI!C18</f>
        <v>T . Bua Ngân</v>
      </c>
      <c r="D23" s="1243"/>
      <c r="E23" s="1244"/>
      <c r="F23" s="1243">
        <f t="shared" si="0"/>
        <v>0</v>
      </c>
      <c r="G23" s="1243">
        <f>VLOOKUP(C23,TONGHOPCONGDOI!C18:AE94,16,0)</f>
        <v>2333</v>
      </c>
      <c r="H23" s="1243">
        <f>VLOOKUP(C23,TONGHOPCONGDOI!C18:AE94,17,0)</f>
        <v>0</v>
      </c>
      <c r="I23" s="1243"/>
      <c r="J23" s="1245">
        <f t="shared" si="5"/>
        <v>1081.84740763479</v>
      </c>
      <c r="K23" s="1242" t="str">
        <f>VLOOKUP(C23,'BTH mủ tạp'!D24:AN102,37,0)</f>
        <v>A</v>
      </c>
      <c r="L23" s="1246">
        <f t="shared" si="1"/>
        <v>4413855</v>
      </c>
      <c r="M23" s="1243">
        <f>VLOOKUP(C23,TONGHOPCONGDOI!$C$11:$V$91,20,0)</f>
        <v>23</v>
      </c>
      <c r="N23" s="1243">
        <f>VLOOKUP(C23,TONGHOPCONGDOI!$C$11:$W$91,21,0)</f>
        <v>5</v>
      </c>
      <c r="O23" s="1243">
        <f>VLOOKUP(C23,TONGHOPCONGDOI!$C$11:$AD$93,22,0)</f>
        <v>0</v>
      </c>
      <c r="P23" s="1243">
        <f>VLOOKUP(C23,TONGHOPCONGDOI!$C$11:$AD$93,23,0)</f>
        <v>0</v>
      </c>
      <c r="Q23" s="1243">
        <f>VLOOKUP(C23,TONGHOPCONGDOI!$C$11:$AD$93,24,0)</f>
        <v>0</v>
      </c>
      <c r="R23" s="1243">
        <f>VLOOKUP(C23,TONGHOPCONGDOI!$C$11:$AD$93,25,0)</f>
        <v>0</v>
      </c>
      <c r="S23" s="1243"/>
      <c r="T23" s="1244"/>
      <c r="U23" s="1244"/>
      <c r="V23" s="1244"/>
      <c r="W23" s="1247">
        <f t="shared" si="2"/>
        <v>966340</v>
      </c>
      <c r="X23" s="1243">
        <f t="shared" si="3"/>
        <v>5380195</v>
      </c>
      <c r="Y23" s="1243"/>
      <c r="Z23" s="1243">
        <f>VLOOKUP(C23,'CNKT '!D23:AA98,24,0)</f>
        <v>5380195</v>
      </c>
      <c r="AA23" s="1120">
        <f t="shared" si="4"/>
        <v>0</v>
      </c>
    </row>
    <row r="24" spans="1:27" s="1120" customFormat="1" ht="50.25" customHeight="1">
      <c r="A24" s="1242">
        <v>9</v>
      </c>
      <c r="B24" s="1242" t="str">
        <f>'Chấm công KT'!C21</f>
        <v>03463</v>
      </c>
      <c r="C24" s="1243" t="str">
        <f>TONGHOPCONGDOI!C19</f>
        <v>T Căng</v>
      </c>
      <c r="D24" s="1243"/>
      <c r="E24" s="1244"/>
      <c r="F24" s="1243">
        <f t="shared" si="0"/>
        <v>0</v>
      </c>
      <c r="G24" s="1243">
        <f>VLOOKUP(C24,TONGHOPCONGDOI!C19:AE94,16,0)</f>
        <v>2885</v>
      </c>
      <c r="H24" s="1243">
        <f>VLOOKUP(C24,TONGHOPCONGDOI!C19:AE94,17,0)</f>
        <v>0</v>
      </c>
      <c r="I24" s="1243"/>
      <c r="J24" s="1245">
        <f t="shared" si="5"/>
        <v>1337.8181616058162</v>
      </c>
      <c r="K24" s="1242" t="str">
        <f>VLOOKUP(C24,'BTH mủ tạp'!D25:AN103,37,0)</f>
        <v>A</v>
      </c>
      <c r="L24" s="1246">
        <f t="shared" si="1"/>
        <v>5458196</v>
      </c>
      <c r="M24" s="1243">
        <f>VLOOKUP(C24,TONGHOPCONGDOI!$C$11:$V$91,20,0)</f>
        <v>23</v>
      </c>
      <c r="N24" s="1243">
        <f>VLOOKUP(C24,TONGHOPCONGDOI!$C$11:$W$91,21,0)</f>
        <v>5</v>
      </c>
      <c r="O24" s="1243">
        <f>VLOOKUP(C24,TONGHOPCONGDOI!$C$11:$AD$93,22,0)</f>
        <v>0</v>
      </c>
      <c r="P24" s="1243">
        <f>VLOOKUP(C24,TONGHOPCONGDOI!$C$11:$AD$93,23,0)</f>
        <v>0</v>
      </c>
      <c r="Q24" s="1243">
        <f>VLOOKUP(C24,TONGHOPCONGDOI!$C$11:$AD$93,24,0)</f>
        <v>0</v>
      </c>
      <c r="R24" s="1243">
        <f>VLOOKUP(C24,TONGHOPCONGDOI!$C$11:$AD$93,25,0)</f>
        <v>0</v>
      </c>
      <c r="S24" s="1243"/>
      <c r="T24" s="1244"/>
      <c r="U24" s="1244"/>
      <c r="V24" s="1244"/>
      <c r="W24" s="1247">
        <f t="shared" si="2"/>
        <v>966340</v>
      </c>
      <c r="X24" s="1243">
        <f t="shared" si="3"/>
        <v>6424536</v>
      </c>
      <c r="Y24" s="1243"/>
      <c r="Z24" s="1243">
        <f>VLOOKUP(C24,'CNKT '!D24:AA98,24,0)</f>
        <v>6424536</v>
      </c>
      <c r="AA24" s="1120">
        <f t="shared" si="4"/>
        <v>0</v>
      </c>
    </row>
    <row r="25" spans="1:27" s="1120" customFormat="1" ht="50.25" customHeight="1">
      <c r="A25" s="1242">
        <v>10</v>
      </c>
      <c r="B25" s="1242" t="str">
        <f>'Chấm công KT'!C22</f>
        <v>03464</v>
      </c>
      <c r="C25" s="1243" t="str">
        <f>TONGHOPCONGDOI!C20</f>
        <v>N. Phôn 1</v>
      </c>
      <c r="D25" s="1243"/>
      <c r="E25" s="1244"/>
      <c r="F25" s="1243">
        <f t="shared" si="0"/>
        <v>0</v>
      </c>
      <c r="G25" s="1243">
        <f>VLOOKUP(C25,TONGHOPCONGDOI!C20:AE94,16,0)</f>
        <v>2848</v>
      </c>
      <c r="H25" s="1243">
        <f>VLOOKUP(C25,TONGHOPCONGDOI!C20:AE94,17,0)</f>
        <v>0</v>
      </c>
      <c r="I25" s="1243"/>
      <c r="J25" s="1245">
        <f t="shared" si="5"/>
        <v>1320.6607016476132</v>
      </c>
      <c r="K25" s="1242" t="str">
        <f>VLOOKUP(C25,'BTH mủ tạp'!D26:AN104,37,0)</f>
        <v>A</v>
      </c>
      <c r="L25" s="1246">
        <f t="shared" si="1"/>
        <v>5388195</v>
      </c>
      <c r="M25" s="1243">
        <f>VLOOKUP(C25,TONGHOPCONGDOI!$C$11:$V$91,20,0)</f>
        <v>23</v>
      </c>
      <c r="N25" s="1243">
        <f>VLOOKUP(C25,TONGHOPCONGDOI!$C$11:$W$91,21,0)</f>
        <v>5</v>
      </c>
      <c r="O25" s="1243">
        <f>VLOOKUP(C25,TONGHOPCONGDOI!$C$11:$AD$93,22,0)</f>
        <v>0</v>
      </c>
      <c r="P25" s="1243">
        <f>VLOOKUP(C25,TONGHOPCONGDOI!$C$11:$AD$93,23,0)</f>
        <v>0</v>
      </c>
      <c r="Q25" s="1243">
        <f>VLOOKUP(C25,TONGHOPCONGDOI!$C$11:$AD$93,24,0)</f>
        <v>0</v>
      </c>
      <c r="R25" s="1243">
        <f>VLOOKUP(C25,TONGHOPCONGDOI!$C$11:$AD$93,25,0)</f>
        <v>0</v>
      </c>
      <c r="S25" s="1243"/>
      <c r="T25" s="1244"/>
      <c r="U25" s="1244"/>
      <c r="V25" s="1244"/>
      <c r="W25" s="1247">
        <f t="shared" si="2"/>
        <v>966340</v>
      </c>
      <c r="X25" s="1243">
        <f t="shared" si="3"/>
        <v>6354535</v>
      </c>
      <c r="Y25" s="1243"/>
      <c r="Z25" s="1243">
        <f>VLOOKUP(C25,'CNKT '!D25:AA98,24,0)</f>
        <v>6354535</v>
      </c>
      <c r="AA25" s="1120">
        <f t="shared" si="4"/>
        <v>0</v>
      </c>
    </row>
    <row r="26" spans="1:27" s="1120" customFormat="1" ht="50.25" customHeight="1">
      <c r="A26" s="1242">
        <v>11</v>
      </c>
      <c r="B26" s="1242" t="str">
        <f>'Chấm công KT'!C23</f>
        <v>03465</v>
      </c>
      <c r="C26" s="1243" t="str">
        <f>TONGHOPCONGDOI!C21</f>
        <v>T. In Păn</v>
      </c>
      <c r="D26" s="1243"/>
      <c r="E26" s="1244"/>
      <c r="F26" s="1243">
        <f t="shared" si="0"/>
        <v>0</v>
      </c>
      <c r="G26" s="1243">
        <f>VLOOKUP(C26,TONGHOPCONGDOI!C21:AE94,16,0)</f>
        <v>2182</v>
      </c>
      <c r="H26" s="1243">
        <f>VLOOKUP(C26,TONGHOPCONGDOI!C21:AE94,17,0)</f>
        <v>0</v>
      </c>
      <c r="I26" s="1243"/>
      <c r="J26" s="1245">
        <f t="shared" si="5"/>
        <v>1011.8264223999622</v>
      </c>
      <c r="K26" s="1242" t="str">
        <f>VLOOKUP(C26,'BTH mủ tạp'!D27:AN105,37,0)</f>
        <v>A</v>
      </c>
      <c r="L26" s="1246">
        <f t="shared" si="1"/>
        <v>4128175</v>
      </c>
      <c r="M26" s="1243">
        <f>VLOOKUP(C26,TONGHOPCONGDOI!$C$11:$V$91,20,0)</f>
        <v>20</v>
      </c>
      <c r="N26" s="1243">
        <f>VLOOKUP(C26,TONGHOPCONGDOI!$C$11:$W$91,21,0)</f>
        <v>5</v>
      </c>
      <c r="O26" s="1243">
        <f>VLOOKUP(C26,TONGHOPCONGDOI!$C$11:$AD$93,22,0)</f>
        <v>0</v>
      </c>
      <c r="P26" s="1243">
        <f>VLOOKUP(C26,TONGHOPCONGDOI!$C$11:$AD$93,23,0)</f>
        <v>0</v>
      </c>
      <c r="Q26" s="1243">
        <f>VLOOKUP(C26,TONGHOPCONGDOI!$C$11:$AD$93,24,0)</f>
        <v>0</v>
      </c>
      <c r="R26" s="1243">
        <f>VLOOKUP(C26,TONGHOPCONGDOI!$C$11:$AD$93,25,0)</f>
        <v>0</v>
      </c>
      <c r="S26" s="1243"/>
      <c r="T26" s="1244"/>
      <c r="U26" s="1244"/>
      <c r="V26" s="1244"/>
      <c r="W26" s="1247">
        <f t="shared" si="2"/>
        <v>873839</v>
      </c>
      <c r="X26" s="1243">
        <f t="shared" si="3"/>
        <v>5002014</v>
      </c>
      <c r="Y26" s="1243"/>
      <c r="Z26" s="1243">
        <f>VLOOKUP(C26,'CNKT '!D26:AA98,24,0)</f>
        <v>5002014</v>
      </c>
      <c r="AA26" s="1120">
        <f t="shared" si="4"/>
        <v>0</v>
      </c>
    </row>
    <row r="27" spans="1:27" s="1120" customFormat="1" ht="50.25" customHeight="1">
      <c r="A27" s="1242">
        <v>12</v>
      </c>
      <c r="B27" s="1242" t="str">
        <f>'Chấm công KT'!C24</f>
        <v>03466</v>
      </c>
      <c r="C27" s="1243" t="str">
        <f>TONGHOPCONGDOI!C22</f>
        <v>N. Keo</v>
      </c>
      <c r="D27" s="1243"/>
      <c r="E27" s="1244"/>
      <c r="F27" s="1243">
        <f t="shared" si="0"/>
        <v>0</v>
      </c>
      <c r="G27" s="1243">
        <f>VLOOKUP(C27,TONGHOPCONGDOI!C22:AE94,16,0)</f>
        <v>3179</v>
      </c>
      <c r="H27" s="1243">
        <f>VLOOKUP(C27,TONGHOPCONGDOI!C22:AE94,17,0)</f>
        <v>0</v>
      </c>
      <c r="I27" s="1243"/>
      <c r="J27" s="1245">
        <f t="shared" si="5"/>
        <v>1474.150411003428</v>
      </c>
      <c r="K27" s="1242" t="str">
        <f>VLOOKUP(C27,'BTH mủ tạp'!D28:AN106,37,0)</f>
        <v>A</v>
      </c>
      <c r="L27" s="1246">
        <f t="shared" si="1"/>
        <v>6014422</v>
      </c>
      <c r="M27" s="1243">
        <f>VLOOKUP(C27,TONGHOPCONGDOI!$C$11:$V$91,20,0)</f>
        <v>23</v>
      </c>
      <c r="N27" s="1243">
        <f>VLOOKUP(C27,TONGHOPCONGDOI!$C$11:$W$91,21,0)</f>
        <v>5</v>
      </c>
      <c r="O27" s="1243">
        <f>VLOOKUP(C27,TONGHOPCONGDOI!$C$11:$AD$93,22,0)</f>
        <v>0</v>
      </c>
      <c r="P27" s="1243">
        <f>VLOOKUP(C27,TONGHOPCONGDOI!$C$11:$AD$93,23,0)</f>
        <v>0</v>
      </c>
      <c r="Q27" s="1243">
        <f>VLOOKUP(C27,TONGHOPCONGDOI!$C$11:$AD$93,24,0)</f>
        <v>0</v>
      </c>
      <c r="R27" s="1243">
        <f>VLOOKUP(C27,TONGHOPCONGDOI!$C$11:$AD$93,25,0)</f>
        <v>0</v>
      </c>
      <c r="S27" s="1243"/>
      <c r="T27" s="1244"/>
      <c r="U27" s="1244"/>
      <c r="V27" s="1244"/>
      <c r="W27" s="1247">
        <f t="shared" si="2"/>
        <v>966340</v>
      </c>
      <c r="X27" s="1243">
        <f t="shared" si="3"/>
        <v>6980762</v>
      </c>
      <c r="Y27" s="1243"/>
      <c r="Z27" s="1243">
        <f>VLOOKUP(C27,'CNKT '!D27:AA98,24,0)</f>
        <v>6980762</v>
      </c>
      <c r="AA27" s="1120">
        <f t="shared" si="4"/>
        <v>0</v>
      </c>
    </row>
    <row r="28" spans="1:27" s="1120" customFormat="1" ht="50.25" customHeight="1">
      <c r="A28" s="1242">
        <v>13</v>
      </c>
      <c r="B28" s="1242" t="str">
        <f>'Chấm công KT'!C25</f>
        <v>02727</v>
      </c>
      <c r="C28" s="1243" t="str">
        <f>TONGHOPCONGDOI!C23</f>
        <v>T. Thong Đon</v>
      </c>
      <c r="D28" s="1243"/>
      <c r="E28" s="1244"/>
      <c r="F28" s="1243">
        <f t="shared" si="0"/>
        <v>0</v>
      </c>
      <c r="G28" s="1243">
        <f>VLOOKUP(C28,TONGHOPCONGDOI!C23:AE94,16,0)</f>
        <v>2523</v>
      </c>
      <c r="H28" s="1243">
        <f>VLOOKUP(C28,TONGHOPCONGDOI!C23:AE94,17,0)</f>
        <v>0</v>
      </c>
      <c r="I28" s="1243"/>
      <c r="J28" s="1245">
        <f t="shared" si="5"/>
        <v>1169.9532830958317</v>
      </c>
      <c r="K28" s="1242" t="str">
        <f>VLOOKUP(C28,'BTH mủ tạp'!D29:AN107,37,0)</f>
        <v>A</v>
      </c>
      <c r="L28" s="1246">
        <f t="shared" si="1"/>
        <v>4773320</v>
      </c>
      <c r="M28" s="1243">
        <f>VLOOKUP(C28,TONGHOPCONGDOI!$C$11:$V$91,20,0)</f>
        <v>20</v>
      </c>
      <c r="N28" s="1243">
        <f>VLOOKUP(C28,TONGHOPCONGDOI!$C$11:$W$91,21,0)</f>
        <v>5</v>
      </c>
      <c r="O28" s="1243">
        <f>VLOOKUP(C28,TONGHOPCONGDOI!$C$11:$AD$93,22,0)</f>
        <v>0</v>
      </c>
      <c r="P28" s="1243">
        <f>VLOOKUP(C28,TONGHOPCONGDOI!$C$11:$AD$93,23,0)</f>
        <v>0</v>
      </c>
      <c r="Q28" s="1243">
        <f>VLOOKUP(C28,TONGHOPCONGDOI!$C$11:$AD$93,24,0)</f>
        <v>0</v>
      </c>
      <c r="R28" s="1243">
        <f>VLOOKUP(C28,TONGHOPCONGDOI!$C$11:$AD$93,25,0)</f>
        <v>0</v>
      </c>
      <c r="S28" s="1243"/>
      <c r="T28" s="1244"/>
      <c r="U28" s="1244"/>
      <c r="V28" s="1244"/>
      <c r="W28" s="1247">
        <f t="shared" si="2"/>
        <v>873839</v>
      </c>
      <c r="X28" s="1243">
        <f t="shared" si="3"/>
        <v>5647159</v>
      </c>
      <c r="Y28" s="1243"/>
      <c r="Z28" s="1243">
        <f>VLOOKUP(C28,'CNKT '!D28:AA98,24,0)</f>
        <v>5647159</v>
      </c>
      <c r="AA28" s="1120">
        <f t="shared" si="4"/>
        <v>0</v>
      </c>
    </row>
    <row r="29" spans="1:27" s="1120" customFormat="1" ht="50.25" customHeight="1">
      <c r="A29" s="1242">
        <v>14</v>
      </c>
      <c r="B29" s="1242" t="str">
        <f>'Chấm công KT'!C26</f>
        <v>03467</v>
      </c>
      <c r="C29" s="1243" t="str">
        <f>TONGHOPCONGDOI!C24</f>
        <v>T. Hin</v>
      </c>
      <c r="D29" s="1243"/>
      <c r="E29" s="1244"/>
      <c r="F29" s="1243">
        <f t="shared" si="0"/>
        <v>0</v>
      </c>
      <c r="G29" s="1243">
        <f>VLOOKUP(C29,TONGHOPCONGDOI!C24:AE94,16,0)</f>
        <v>2309</v>
      </c>
      <c r="H29" s="1243">
        <f>VLOOKUP(C29,TONGHOPCONGDOI!C24:AE94,17,0)</f>
        <v>0</v>
      </c>
      <c r="I29" s="1243"/>
      <c r="J29" s="1245">
        <f t="shared" si="5"/>
        <v>1070.7182444186583</v>
      </c>
      <c r="K29" s="1242" t="str">
        <f>VLOOKUP(C29,'BTH mủ tạp'!D30:AN108,37,0)</f>
        <v>A</v>
      </c>
      <c r="L29" s="1246">
        <f t="shared" si="1"/>
        <v>4368449</v>
      </c>
      <c r="M29" s="1243">
        <f>VLOOKUP(C29,TONGHOPCONGDOI!$C$11:$V$91,20,0)</f>
        <v>22</v>
      </c>
      <c r="N29" s="1243">
        <f>VLOOKUP(C29,TONGHOPCONGDOI!$C$11:$W$91,21,0)</f>
        <v>5</v>
      </c>
      <c r="O29" s="1243">
        <f>VLOOKUP(C29,TONGHOPCONGDOI!$C$11:$AD$93,22,0)</f>
        <v>0</v>
      </c>
      <c r="P29" s="1243">
        <f>VLOOKUP(C29,TONGHOPCONGDOI!$C$11:$AD$93,23,0)</f>
        <v>0</v>
      </c>
      <c r="Q29" s="1243">
        <f>VLOOKUP(C29,TONGHOPCONGDOI!$C$11:$AD$93,24,0)</f>
        <v>0</v>
      </c>
      <c r="R29" s="1243">
        <f>VLOOKUP(C29,TONGHOPCONGDOI!$C$11:$AD$93,25,0)</f>
        <v>0</v>
      </c>
      <c r="S29" s="1243"/>
      <c r="T29" s="1244"/>
      <c r="U29" s="1244"/>
      <c r="V29" s="1244"/>
      <c r="W29" s="1247">
        <f t="shared" si="2"/>
        <v>935507</v>
      </c>
      <c r="X29" s="1243">
        <f t="shared" si="3"/>
        <v>5303956</v>
      </c>
      <c r="Y29" s="1243"/>
      <c r="Z29" s="1243">
        <f>VLOOKUP(C29,'CNKT '!D29:AA98,24,0)</f>
        <v>5303956</v>
      </c>
      <c r="AA29" s="1120">
        <f t="shared" si="4"/>
        <v>0</v>
      </c>
    </row>
    <row r="30" spans="1:27" s="1120" customFormat="1" ht="50.25" customHeight="1">
      <c r="A30" s="1242">
        <v>15</v>
      </c>
      <c r="B30" s="1242" t="str">
        <f>'Chấm công KT'!C27</f>
        <v>04056</v>
      </c>
      <c r="C30" s="1243" t="str">
        <f>TONGHOPCONGDOI!C25</f>
        <v>N. Ly Phon</v>
      </c>
      <c r="D30" s="1243"/>
      <c r="E30" s="1244"/>
      <c r="F30" s="1243">
        <f t="shared" si="0"/>
        <v>0</v>
      </c>
      <c r="G30" s="1243">
        <f>VLOOKUP(C30,TONGHOPCONGDOI!C25:AE94,16,0)</f>
        <v>1650</v>
      </c>
      <c r="H30" s="1243">
        <f>VLOOKUP(C30,TONGHOPCONGDOI!C25:AE94,17,0)</f>
        <v>0</v>
      </c>
      <c r="I30" s="1243"/>
      <c r="J30" s="1245">
        <f t="shared" si="5"/>
        <v>765.12997110904564</v>
      </c>
      <c r="K30" s="1242" t="str">
        <f>VLOOKUP(C30,'BTH mủ tạp'!D31:AN109,37,0)</f>
        <v>B</v>
      </c>
      <c r="L30" s="1246">
        <f t="shared" si="1"/>
        <v>2968147</v>
      </c>
      <c r="M30" s="1243">
        <f>VLOOKUP(C30,TONGHOPCONGDOI!$C$11:$V$91,20,0)</f>
        <v>19</v>
      </c>
      <c r="N30" s="1243">
        <f>VLOOKUP(C30,TONGHOPCONGDOI!$C$11:$W$91,21,0)</f>
        <v>4</v>
      </c>
      <c r="O30" s="1243">
        <f>VLOOKUP(C30,TONGHOPCONGDOI!$C$11:$AD$93,22,0)</f>
        <v>0</v>
      </c>
      <c r="P30" s="1243">
        <f>VLOOKUP(C30,TONGHOPCONGDOI!$C$11:$AD$93,23,0)</f>
        <v>0</v>
      </c>
      <c r="Q30" s="1243">
        <f>VLOOKUP(C30,TONGHOPCONGDOI!$C$11:$AD$93,24,0)</f>
        <v>0</v>
      </c>
      <c r="R30" s="1243">
        <f>VLOOKUP(C30,TONGHOPCONGDOI!$C$11:$AD$93,25,0)</f>
        <v>0</v>
      </c>
      <c r="S30" s="1243"/>
      <c r="T30" s="1244"/>
      <c r="U30" s="1244"/>
      <c r="V30" s="1244"/>
      <c r="W30" s="1247">
        <f t="shared" si="2"/>
        <v>791572</v>
      </c>
      <c r="X30" s="1243">
        <f t="shared" si="3"/>
        <v>3759719</v>
      </c>
      <c r="Y30" s="1243"/>
      <c r="Z30" s="1243">
        <f>VLOOKUP(C30,'CNKT '!D30:AA98,24,0)</f>
        <v>3759719</v>
      </c>
      <c r="AA30" s="1120">
        <f t="shared" si="4"/>
        <v>0</v>
      </c>
    </row>
    <row r="31" spans="1:27" s="1120" customFormat="1" ht="50.25" customHeight="1">
      <c r="A31" s="1242">
        <v>16</v>
      </c>
      <c r="B31" s="1242" t="str">
        <f>'Chấm công KT'!C28</f>
        <v>03469</v>
      </c>
      <c r="C31" s="1243" t="str">
        <f>TONGHOPCONGDOI!C26</f>
        <v>T. Xôm Va Nít</v>
      </c>
      <c r="D31" s="1243"/>
      <c r="E31" s="1244"/>
      <c r="F31" s="1243">
        <f t="shared" si="0"/>
        <v>0</v>
      </c>
      <c r="G31" s="1243">
        <f>VLOOKUP(C31,TONGHOPCONGDOI!C26:AE94,16,0)</f>
        <v>3122</v>
      </c>
      <c r="H31" s="1243">
        <f>VLOOKUP(C31,TONGHOPCONGDOI!C26:AE94,17,0)</f>
        <v>0</v>
      </c>
      <c r="I31" s="1243"/>
      <c r="J31" s="1245">
        <f t="shared" si="5"/>
        <v>1447.7186483651153</v>
      </c>
      <c r="K31" s="1242" t="str">
        <f>VLOOKUP(C31,'BTH mủ tạp'!D32:AN110,37,0)</f>
        <v>B</v>
      </c>
      <c r="L31" s="1246">
        <f t="shared" si="1"/>
        <v>5616094</v>
      </c>
      <c r="M31" s="1243">
        <f>VLOOKUP(C31,TONGHOPCONGDOI!$C$11:$V$91,20,0)</f>
        <v>23</v>
      </c>
      <c r="N31" s="1243">
        <f>VLOOKUP(C31,TONGHOPCONGDOI!$C$11:$W$91,21,0)</f>
        <v>5</v>
      </c>
      <c r="O31" s="1243">
        <f>VLOOKUP(C31,TONGHOPCONGDOI!$C$11:$AD$93,22,0)</f>
        <v>0</v>
      </c>
      <c r="P31" s="1243">
        <f>VLOOKUP(C31,TONGHOPCONGDOI!$C$11:$AD$93,23,0)</f>
        <v>0</v>
      </c>
      <c r="Q31" s="1243">
        <f>VLOOKUP(C31,TONGHOPCONGDOI!$C$11:$AD$93,24,0)</f>
        <v>0</v>
      </c>
      <c r="R31" s="1243">
        <f>VLOOKUP(C31,TONGHOPCONGDOI!$C$11:$AD$93,25,0)</f>
        <v>0</v>
      </c>
      <c r="S31" s="1243"/>
      <c r="T31" s="1244"/>
      <c r="U31" s="1244"/>
      <c r="V31" s="1244"/>
      <c r="W31" s="1247">
        <f t="shared" si="2"/>
        <v>966340</v>
      </c>
      <c r="X31" s="1243">
        <f t="shared" si="3"/>
        <v>6582434</v>
      </c>
      <c r="Y31" s="1243"/>
      <c r="Z31" s="1243">
        <f>VLOOKUP(C31,'CNKT '!D31:AA98,24,0)</f>
        <v>6582434</v>
      </c>
      <c r="AA31" s="1120">
        <f t="shared" si="4"/>
        <v>0</v>
      </c>
    </row>
    <row r="32" spans="1:27" s="1120" customFormat="1" ht="50.25" customHeight="1">
      <c r="A32" s="1242">
        <v>17</v>
      </c>
      <c r="B32" s="1242" t="str">
        <f>'Chấm công KT'!C29</f>
        <v>03470</v>
      </c>
      <c r="C32" s="1243" t="str">
        <f>TONGHOPCONGDOI!C27</f>
        <v>T. Lọi</v>
      </c>
      <c r="D32" s="1243"/>
      <c r="E32" s="1244"/>
      <c r="F32" s="1243">
        <f t="shared" si="0"/>
        <v>0</v>
      </c>
      <c r="G32" s="1243">
        <f>VLOOKUP(C32,TONGHOPCONGDOI!C27:AE94,16,0)</f>
        <v>2112</v>
      </c>
      <c r="H32" s="1243">
        <f>VLOOKUP(C32,TONGHOPCONGDOI!C27:AE94,17,0)</f>
        <v>0</v>
      </c>
      <c r="I32" s="1243"/>
      <c r="J32" s="1245">
        <f t="shared" si="5"/>
        <v>979.36636301957844</v>
      </c>
      <c r="K32" s="1242" t="str">
        <f>VLOOKUP(C32,'BTH mủ tạp'!D33:AN111,37,0)</f>
        <v>B</v>
      </c>
      <c r="L32" s="1246">
        <f t="shared" si="1"/>
        <v>3799229</v>
      </c>
      <c r="M32" s="1243">
        <f>VLOOKUP(C32,TONGHOPCONGDOI!$C$11:$V$91,20,0)</f>
        <v>19</v>
      </c>
      <c r="N32" s="1243">
        <f>VLOOKUP(C32,TONGHOPCONGDOI!$C$11:$W$91,21,0)</f>
        <v>4</v>
      </c>
      <c r="O32" s="1243">
        <f>VLOOKUP(C32,TONGHOPCONGDOI!$C$11:$AD$93,22,0)</f>
        <v>0</v>
      </c>
      <c r="P32" s="1243">
        <f>VLOOKUP(C32,TONGHOPCONGDOI!$C$11:$AD$93,23,0)</f>
        <v>0</v>
      </c>
      <c r="Q32" s="1243">
        <f>VLOOKUP(C32,TONGHOPCONGDOI!$C$11:$AD$93,24,0)</f>
        <v>0</v>
      </c>
      <c r="R32" s="1243">
        <f>VLOOKUP(C32,TONGHOPCONGDOI!$C$11:$AD$93,25,0)</f>
        <v>0</v>
      </c>
      <c r="S32" s="1243"/>
      <c r="T32" s="1244"/>
      <c r="U32" s="1244"/>
      <c r="V32" s="1244"/>
      <c r="W32" s="1247">
        <f t="shared" si="2"/>
        <v>791572</v>
      </c>
      <c r="X32" s="1243">
        <f t="shared" si="3"/>
        <v>4590801</v>
      </c>
      <c r="Y32" s="1243"/>
      <c r="Z32" s="1243">
        <f>VLOOKUP(C32,'CNKT '!D32:AA98,24,0)</f>
        <v>4590801</v>
      </c>
      <c r="AA32" s="1120">
        <f t="shared" si="4"/>
        <v>0</v>
      </c>
    </row>
    <row r="33" spans="1:27" s="1120" customFormat="1" ht="50.25" customHeight="1">
      <c r="A33" s="1242">
        <v>18</v>
      </c>
      <c r="B33" s="1242" t="str">
        <f>'Chấm công KT'!C30</f>
        <v>03471</v>
      </c>
      <c r="C33" s="1243" t="str">
        <f>TONGHOPCONGDOI!C28</f>
        <v>T. Phô Thong</v>
      </c>
      <c r="D33" s="1243"/>
      <c r="E33" s="1244"/>
      <c r="F33" s="1243">
        <f t="shared" si="0"/>
        <v>0</v>
      </c>
      <c r="G33" s="1243">
        <f>VLOOKUP(C33,TONGHOPCONGDOI!C28:AE94,16,0)</f>
        <v>2729</v>
      </c>
      <c r="H33" s="1243">
        <f>VLOOKUP(C33,TONGHOPCONGDOI!C28:AE94,17,0)</f>
        <v>0</v>
      </c>
      <c r="I33" s="1243"/>
      <c r="J33" s="1245">
        <f t="shared" si="5"/>
        <v>1265.4786007009609</v>
      </c>
      <c r="K33" s="1242" t="str">
        <f>VLOOKUP(C33,'BTH mủ tạp'!D34:AN112,37,0)</f>
        <v>A</v>
      </c>
      <c r="L33" s="1246">
        <f t="shared" si="1"/>
        <v>5163057</v>
      </c>
      <c r="M33" s="1243">
        <f>VLOOKUP(C33,TONGHOPCONGDOI!$C$11:$V$91,20,0)</f>
        <v>23</v>
      </c>
      <c r="N33" s="1243">
        <f>VLOOKUP(C33,TONGHOPCONGDOI!$C$11:$W$91,21,0)</f>
        <v>5</v>
      </c>
      <c r="O33" s="1243">
        <f>VLOOKUP(C33,TONGHOPCONGDOI!$C$11:$AD$93,22,0)</f>
        <v>0</v>
      </c>
      <c r="P33" s="1243">
        <f>VLOOKUP(C33,TONGHOPCONGDOI!$C$11:$AD$93,23,0)</f>
        <v>0</v>
      </c>
      <c r="Q33" s="1243">
        <f>VLOOKUP(C33,TONGHOPCONGDOI!$C$11:$AD$93,24,0)</f>
        <v>0</v>
      </c>
      <c r="R33" s="1243">
        <f>VLOOKUP(C33,TONGHOPCONGDOI!$C$11:$AD$93,25,0)</f>
        <v>0</v>
      </c>
      <c r="S33" s="1243"/>
      <c r="T33" s="1244"/>
      <c r="U33" s="1244"/>
      <c r="V33" s="1244"/>
      <c r="W33" s="1247">
        <f t="shared" si="2"/>
        <v>966340</v>
      </c>
      <c r="X33" s="1243">
        <f t="shared" si="3"/>
        <v>6129397</v>
      </c>
      <c r="Y33" s="1243"/>
      <c r="Z33" s="1243">
        <f>VLOOKUP(C33,'CNKT '!D33:AA98,24,0)</f>
        <v>6129397</v>
      </c>
      <c r="AA33" s="1120">
        <f t="shared" si="4"/>
        <v>0</v>
      </c>
    </row>
    <row r="34" spans="1:27" s="1120" customFormat="1" ht="50.25" customHeight="1">
      <c r="A34" s="1242">
        <v>19</v>
      </c>
      <c r="B34" s="1242" t="str">
        <f>'Chấm công KT'!C31</f>
        <v>03472</v>
      </c>
      <c r="C34" s="1243" t="str">
        <f>TONGHOPCONGDOI!C29</f>
        <v>N. Soi</v>
      </c>
      <c r="D34" s="1243"/>
      <c r="E34" s="1244"/>
      <c r="F34" s="1243">
        <f t="shared" si="0"/>
        <v>0</v>
      </c>
      <c r="G34" s="1243">
        <f>VLOOKUP(C34,TONGHOPCONGDOI!C29:AE94,16,0)</f>
        <v>1472</v>
      </c>
      <c r="H34" s="1243">
        <f>VLOOKUP(C34,TONGHOPCONGDOI!C29:AE94,17,0)</f>
        <v>0</v>
      </c>
      <c r="I34" s="1243"/>
      <c r="J34" s="1245">
        <f t="shared" si="5"/>
        <v>682.58867725606979</v>
      </c>
      <c r="K34" s="1242" t="str">
        <f>VLOOKUP(C34,'BTH mủ tạp'!D35:AN113,37,0)</f>
        <v>A</v>
      </c>
      <c r="L34" s="1246">
        <f t="shared" si="1"/>
        <v>2784910</v>
      </c>
      <c r="M34" s="1243">
        <f>VLOOKUP(C34,TONGHOPCONGDOI!$C$11:$V$91,20,0)</f>
        <v>20</v>
      </c>
      <c r="N34" s="1243">
        <f>VLOOKUP(C34,TONGHOPCONGDOI!$C$11:$W$91,21,0)</f>
        <v>5</v>
      </c>
      <c r="O34" s="1243">
        <f>VLOOKUP(C34,TONGHOPCONGDOI!$C$11:$AD$93,22,0)</f>
        <v>0</v>
      </c>
      <c r="P34" s="1243">
        <f>VLOOKUP(C34,TONGHOPCONGDOI!$C$11:$AD$93,23,0)</f>
        <v>0</v>
      </c>
      <c r="Q34" s="1243">
        <f>VLOOKUP(C34,TONGHOPCONGDOI!$C$11:$AD$93,24,0)</f>
        <v>0</v>
      </c>
      <c r="R34" s="1243">
        <f>VLOOKUP(C34,TONGHOPCONGDOI!$C$11:$AD$93,25,0)</f>
        <v>0</v>
      </c>
      <c r="S34" s="1243"/>
      <c r="T34" s="1244"/>
      <c r="U34" s="1244"/>
      <c r="V34" s="1244"/>
      <c r="W34" s="1247">
        <f t="shared" si="2"/>
        <v>873839</v>
      </c>
      <c r="X34" s="1243">
        <f t="shared" si="3"/>
        <v>3658749</v>
      </c>
      <c r="Y34" s="1243"/>
      <c r="Z34" s="1243">
        <f>VLOOKUP(C34,'CNKT '!D34:AA98,24,0)</f>
        <v>3658749</v>
      </c>
      <c r="AA34" s="1120">
        <f t="shared" si="4"/>
        <v>0</v>
      </c>
    </row>
    <row r="35" spans="1:27" s="1120" customFormat="1" ht="50.25" customHeight="1">
      <c r="A35" s="1242">
        <v>20</v>
      </c>
      <c r="B35" s="1242" t="str">
        <f>'Chấm công KT'!C32</f>
        <v>03473</v>
      </c>
      <c r="C35" s="1243" t="str">
        <f>TONGHOPCONGDOI!C30</f>
        <v>N. Me Kha La</v>
      </c>
      <c r="D35" s="1243"/>
      <c r="E35" s="1244"/>
      <c r="F35" s="1243">
        <f t="shared" si="0"/>
        <v>0</v>
      </c>
      <c r="G35" s="1243">
        <f>VLOOKUP(C35,TONGHOPCONGDOI!C30:AE94,16,0)</f>
        <v>2260</v>
      </c>
      <c r="H35" s="1243">
        <f>VLOOKUP(C35,TONGHOPCONGDOI!C30:AE94,17,0)</f>
        <v>0</v>
      </c>
      <c r="I35" s="1243"/>
      <c r="J35" s="1245">
        <f t="shared" si="5"/>
        <v>1047.9962028523898</v>
      </c>
      <c r="K35" s="1242" t="str">
        <f>VLOOKUP(C35,'BTH mủ tạp'!D36:AN114,37,0)</f>
        <v>A</v>
      </c>
      <c r="L35" s="1246">
        <f t="shared" si="1"/>
        <v>4275745</v>
      </c>
      <c r="M35" s="1243">
        <f>VLOOKUP(C35,TONGHOPCONGDOI!$C$11:$V$91,20,0)</f>
        <v>19</v>
      </c>
      <c r="N35" s="1243">
        <f>VLOOKUP(C35,TONGHOPCONGDOI!$C$11:$W$91,21,0)</f>
        <v>5</v>
      </c>
      <c r="O35" s="1243">
        <f>VLOOKUP(C35,TONGHOPCONGDOI!$C$11:$AD$93,22,0)</f>
        <v>0</v>
      </c>
      <c r="P35" s="1243">
        <f>VLOOKUP(C35,TONGHOPCONGDOI!$C$11:$AD$93,23,0)</f>
        <v>0</v>
      </c>
      <c r="Q35" s="1243">
        <f>VLOOKUP(C35,TONGHOPCONGDOI!$C$11:$AD$93,24,0)</f>
        <v>0</v>
      </c>
      <c r="R35" s="1243">
        <f>VLOOKUP(C35,TONGHOPCONGDOI!$C$11:$AD$93,25,0)</f>
        <v>0</v>
      </c>
      <c r="S35" s="1243"/>
      <c r="T35" s="1244"/>
      <c r="U35" s="1244"/>
      <c r="V35" s="1244"/>
      <c r="W35" s="1247">
        <f t="shared" si="2"/>
        <v>843006</v>
      </c>
      <c r="X35" s="1243">
        <f t="shared" si="3"/>
        <v>5118751</v>
      </c>
      <c r="Y35" s="1243"/>
      <c r="Z35" s="1243">
        <f>VLOOKUP(C35,'CNKT '!D35:AA98,24,0)</f>
        <v>5118751</v>
      </c>
      <c r="AA35" s="1120">
        <f t="shared" si="4"/>
        <v>0</v>
      </c>
    </row>
    <row r="36" spans="1:27" s="1120" customFormat="1" ht="50.25" customHeight="1">
      <c r="A36" s="1242">
        <v>21</v>
      </c>
      <c r="B36" s="1242" t="str">
        <f>'Chấm công KT'!C33</f>
        <v>03474</v>
      </c>
      <c r="C36" s="1243" t="str">
        <f>TONGHOPCONGDOI!C31</f>
        <v>N. Mon Khăm</v>
      </c>
      <c r="D36" s="1243"/>
      <c r="E36" s="1244"/>
      <c r="F36" s="1243">
        <f t="shared" si="0"/>
        <v>0</v>
      </c>
      <c r="G36" s="1243">
        <f>VLOOKUP(C36,TONGHOPCONGDOI!C31:AE94,16,0)</f>
        <v>2248</v>
      </c>
      <c r="H36" s="1243">
        <f>VLOOKUP(C36,TONGHOPCONGDOI!C31:AE94,17,0)</f>
        <v>0</v>
      </c>
      <c r="I36" s="1243"/>
      <c r="J36" s="1245">
        <f t="shared" si="5"/>
        <v>1042.4316212443239</v>
      </c>
      <c r="K36" s="1242" t="str">
        <f>VLOOKUP(C36,'BTH mủ tạp'!D37:AN115,37,0)</f>
        <v>A</v>
      </c>
      <c r="L36" s="1246">
        <f t="shared" si="1"/>
        <v>4253042</v>
      </c>
      <c r="M36" s="1243">
        <f>VLOOKUP(C36,TONGHOPCONGDOI!$C$11:$V$91,20,0)</f>
        <v>22</v>
      </c>
      <c r="N36" s="1243">
        <f>VLOOKUP(C36,TONGHOPCONGDOI!$C$11:$W$91,21,0)</f>
        <v>5</v>
      </c>
      <c r="O36" s="1243">
        <f>VLOOKUP(C36,TONGHOPCONGDOI!$C$11:$AD$93,22,0)</f>
        <v>0</v>
      </c>
      <c r="P36" s="1243">
        <f>VLOOKUP(C36,TONGHOPCONGDOI!$C$11:$AD$93,23,0)</f>
        <v>0</v>
      </c>
      <c r="Q36" s="1243">
        <f>VLOOKUP(C36,TONGHOPCONGDOI!$C$11:$AD$93,24,0)</f>
        <v>0</v>
      </c>
      <c r="R36" s="1243">
        <f>VLOOKUP(C36,TONGHOPCONGDOI!$C$11:$AD$93,25,0)</f>
        <v>0</v>
      </c>
      <c r="S36" s="1243"/>
      <c r="T36" s="1244"/>
      <c r="U36" s="1244"/>
      <c r="V36" s="1244"/>
      <c r="W36" s="1247">
        <f t="shared" si="2"/>
        <v>935507</v>
      </c>
      <c r="X36" s="1243">
        <f t="shared" si="3"/>
        <v>5188549</v>
      </c>
      <c r="Y36" s="1243"/>
      <c r="Z36" s="1243">
        <f>VLOOKUP(C36,'CNKT '!D36:AA98,24,0)</f>
        <v>5188549</v>
      </c>
      <c r="AA36" s="1120">
        <f t="shared" si="4"/>
        <v>0</v>
      </c>
    </row>
    <row r="37" spans="1:27" s="1120" customFormat="1" ht="50.25" customHeight="1">
      <c r="A37" s="1242">
        <v>22</v>
      </c>
      <c r="B37" s="1242" t="str">
        <f>'Chấm công KT'!C34</f>
        <v>04057</v>
      </c>
      <c r="C37" s="1243" t="str">
        <f>TONGHOPCONGDOI!C32</f>
        <v>N. Bua Lay</v>
      </c>
      <c r="D37" s="1243"/>
      <c r="E37" s="1244"/>
      <c r="F37" s="1243">
        <f t="shared" si="0"/>
        <v>0</v>
      </c>
      <c r="G37" s="1243">
        <f>VLOOKUP(C37,TONGHOPCONGDOI!C32:AE94,16,0)</f>
        <v>1824</v>
      </c>
      <c r="H37" s="1243">
        <f>VLOOKUP(C37,TONGHOPCONGDOI!C32:AE94,17,0)</f>
        <v>0</v>
      </c>
      <c r="I37" s="1243"/>
      <c r="J37" s="1245">
        <f t="shared" si="5"/>
        <v>845.81640442599951</v>
      </c>
      <c r="K37" s="1242" t="str">
        <f>VLOOKUP(C37,'BTH mủ tạp'!D38:AN116,37,0)</f>
        <v>A</v>
      </c>
      <c r="L37" s="1246">
        <f t="shared" si="1"/>
        <v>3450867</v>
      </c>
      <c r="M37" s="1243">
        <f>VLOOKUP(C37,TONGHOPCONGDOI!$C$11:$V$91,20,0)</f>
        <v>23</v>
      </c>
      <c r="N37" s="1243">
        <f>VLOOKUP(C37,TONGHOPCONGDOI!$C$11:$W$91,21,0)</f>
        <v>5</v>
      </c>
      <c r="O37" s="1243">
        <f>VLOOKUP(C37,TONGHOPCONGDOI!$C$11:$AD$93,22,0)</f>
        <v>0</v>
      </c>
      <c r="P37" s="1243">
        <f>VLOOKUP(C37,TONGHOPCONGDOI!$C$11:$AD$93,23,0)</f>
        <v>0</v>
      </c>
      <c r="Q37" s="1243">
        <f>VLOOKUP(C37,TONGHOPCONGDOI!$C$11:$AD$93,24,0)</f>
        <v>0</v>
      </c>
      <c r="R37" s="1243">
        <f>VLOOKUP(C37,TONGHOPCONGDOI!$C$11:$AD$93,25,0)</f>
        <v>0</v>
      </c>
      <c r="S37" s="1243"/>
      <c r="T37" s="1244"/>
      <c r="U37" s="1244"/>
      <c r="V37" s="1244"/>
      <c r="W37" s="1247">
        <f t="shared" si="2"/>
        <v>966340</v>
      </c>
      <c r="X37" s="1243">
        <f t="shared" si="3"/>
        <v>4417207</v>
      </c>
      <c r="Y37" s="1243"/>
      <c r="Z37" s="1243">
        <f>VLOOKUP(C37,'CNKT '!D37:AA98,24,0)</f>
        <v>4417207</v>
      </c>
      <c r="AA37" s="1120">
        <f t="shared" si="4"/>
        <v>0</v>
      </c>
    </row>
    <row r="38" spans="1:27" s="1120" customFormat="1" ht="50.25" customHeight="1">
      <c r="A38" s="1242">
        <v>23</v>
      </c>
      <c r="B38" s="1242" t="str">
        <f>'Chấm công KT'!C35</f>
        <v>03476</v>
      </c>
      <c r="C38" s="1243" t="str">
        <f>TONGHOPCONGDOI!C33</f>
        <v>T. Bin Ly.</v>
      </c>
      <c r="D38" s="1243"/>
      <c r="E38" s="1244"/>
      <c r="F38" s="1243">
        <f t="shared" si="0"/>
        <v>0</v>
      </c>
      <c r="G38" s="1243">
        <f>VLOOKUP(C38,TONGHOPCONGDOI!C33:AE94,16,0)</f>
        <v>2609</v>
      </c>
      <c r="H38" s="1243">
        <f>VLOOKUP(C38,TONGHOPCONGDOI!C33:AE94,17,0)</f>
        <v>0</v>
      </c>
      <c r="I38" s="1243"/>
      <c r="J38" s="1245">
        <f t="shared" si="5"/>
        <v>1209.8327846203031</v>
      </c>
      <c r="K38" s="1242" t="str">
        <f>VLOOKUP(C38,'BTH mủ tạp'!D39:AN117,37,0)</f>
        <v>A</v>
      </c>
      <c r="L38" s="1246">
        <f t="shared" si="1"/>
        <v>4936026</v>
      </c>
      <c r="M38" s="1243">
        <f>VLOOKUP(C38,TONGHOPCONGDOI!$C$11:$V$91,20,0)</f>
        <v>21</v>
      </c>
      <c r="N38" s="1243">
        <f>VLOOKUP(C38,TONGHOPCONGDOI!$C$11:$W$91,21,0)</f>
        <v>5</v>
      </c>
      <c r="O38" s="1243">
        <f>VLOOKUP(C38,TONGHOPCONGDOI!$C$11:$AD$93,22,0)</f>
        <v>0</v>
      </c>
      <c r="P38" s="1243">
        <f>VLOOKUP(C38,TONGHOPCONGDOI!$C$11:$AD$93,23,0)</f>
        <v>0</v>
      </c>
      <c r="Q38" s="1243">
        <f>VLOOKUP(C38,TONGHOPCONGDOI!$C$11:$AD$93,24,0)</f>
        <v>0</v>
      </c>
      <c r="R38" s="1243">
        <f>VLOOKUP(C38,TONGHOPCONGDOI!$C$11:$AD$93,25,0)</f>
        <v>0</v>
      </c>
      <c r="S38" s="1243"/>
      <c r="T38" s="1244"/>
      <c r="U38" s="1244"/>
      <c r="V38" s="1244"/>
      <c r="W38" s="1247">
        <f t="shared" si="2"/>
        <v>904673</v>
      </c>
      <c r="X38" s="1243">
        <f t="shared" si="3"/>
        <v>5840699</v>
      </c>
      <c r="Y38" s="1243"/>
      <c r="Z38" s="1243">
        <f>VLOOKUP(C38,'CNKT '!D38:AA98,24,0)</f>
        <v>5840699</v>
      </c>
      <c r="AA38" s="1120">
        <f t="shared" si="4"/>
        <v>0</v>
      </c>
    </row>
    <row r="39" spans="1:27" s="1120" customFormat="1" ht="50.25" customHeight="1">
      <c r="A39" s="1242">
        <v>24</v>
      </c>
      <c r="B39" s="1242" t="str">
        <f>'Chấm công KT'!C36</f>
        <v>03477</v>
      </c>
      <c r="C39" s="1243" t="str">
        <f>TONGHOPCONGDOI!C34</f>
        <v>N. Phim Phon.</v>
      </c>
      <c r="D39" s="1243"/>
      <c r="E39" s="1244"/>
      <c r="F39" s="1243">
        <f t="shared" si="0"/>
        <v>0</v>
      </c>
      <c r="G39" s="1243">
        <f>VLOOKUP(C39,TONGHOPCONGDOI!C34:AE94,16,0)</f>
        <v>1924</v>
      </c>
      <c r="H39" s="1243">
        <f>VLOOKUP(C39,TONGHOPCONGDOI!C34:AE94,17,0)</f>
        <v>0</v>
      </c>
      <c r="I39" s="1243"/>
      <c r="J39" s="1245">
        <f t="shared" si="5"/>
        <v>892.18791782654773</v>
      </c>
      <c r="K39" s="1242" t="str">
        <f>VLOOKUP(C39,'BTH mủ tạp'!D40:AN118,37,0)</f>
        <v>B</v>
      </c>
      <c r="L39" s="1246">
        <f t="shared" si="1"/>
        <v>3461040</v>
      </c>
      <c r="M39" s="1243">
        <f>VLOOKUP(C39,TONGHOPCONGDOI!$C$11:$V$91,20,0)</f>
        <v>23</v>
      </c>
      <c r="N39" s="1243">
        <f>VLOOKUP(C39,TONGHOPCONGDOI!$C$11:$W$91,21,0)</f>
        <v>5</v>
      </c>
      <c r="O39" s="1243">
        <f>VLOOKUP(C39,TONGHOPCONGDOI!$C$11:$AD$93,22,0)</f>
        <v>0</v>
      </c>
      <c r="P39" s="1243">
        <f>VLOOKUP(C39,TONGHOPCONGDOI!$C$11:$AD$93,23,0)</f>
        <v>0</v>
      </c>
      <c r="Q39" s="1243">
        <f>VLOOKUP(C39,TONGHOPCONGDOI!$C$11:$AD$93,24,0)</f>
        <v>0</v>
      </c>
      <c r="R39" s="1243">
        <f>VLOOKUP(C39,TONGHOPCONGDOI!$C$11:$AD$93,25,0)</f>
        <v>0</v>
      </c>
      <c r="S39" s="1243"/>
      <c r="T39" s="1244"/>
      <c r="U39" s="1244"/>
      <c r="V39" s="1244"/>
      <c r="W39" s="1247">
        <f t="shared" si="2"/>
        <v>966340</v>
      </c>
      <c r="X39" s="1243">
        <f t="shared" si="3"/>
        <v>4427380</v>
      </c>
      <c r="Y39" s="1243"/>
      <c r="Z39" s="1243">
        <f>VLOOKUP(C39,'CNKT '!D39:AA98,24,0)</f>
        <v>4427380</v>
      </c>
      <c r="AA39" s="1120">
        <f t="shared" si="4"/>
        <v>0</v>
      </c>
    </row>
    <row r="40" spans="1:27" s="1120" customFormat="1" ht="50.25" customHeight="1">
      <c r="A40" s="1242">
        <v>25</v>
      </c>
      <c r="B40" s="1242" t="str">
        <f>'Chấm công KT'!C37</f>
        <v>03478</v>
      </c>
      <c r="C40" s="1243" t="str">
        <f>TONGHOPCONGDOI!C35</f>
        <v>N. Nong</v>
      </c>
      <c r="D40" s="1243"/>
      <c r="E40" s="1244"/>
      <c r="F40" s="1243">
        <f t="shared" si="0"/>
        <v>0</v>
      </c>
      <c r="G40" s="1243">
        <f>VLOOKUP(C40,TONGHOPCONGDOI!C35:AE94,16,0)</f>
        <v>2449</v>
      </c>
      <c r="H40" s="1243">
        <f>VLOOKUP(C40,TONGHOPCONGDOI!C35:AE94,17,0)</f>
        <v>0</v>
      </c>
      <c r="I40" s="1243"/>
      <c r="J40" s="1245">
        <f t="shared" si="5"/>
        <v>1135.6383631794258</v>
      </c>
      <c r="K40" s="1242" t="str">
        <f>VLOOKUP(C40,'BTH mủ tạp'!D41:AN119,37,0)</f>
        <v>B</v>
      </c>
      <c r="L40" s="1246">
        <f t="shared" si="1"/>
        <v>4405450</v>
      </c>
      <c r="M40" s="1243">
        <f>VLOOKUP(C40,TONGHOPCONGDOI!$C$11:$V$91,20,0)</f>
        <v>20</v>
      </c>
      <c r="N40" s="1243">
        <f>VLOOKUP(C40,TONGHOPCONGDOI!$C$11:$W$91,21,0)</f>
        <v>5</v>
      </c>
      <c r="O40" s="1243">
        <f>VLOOKUP(C40,TONGHOPCONGDOI!$C$11:$AD$93,22,0)</f>
        <v>0</v>
      </c>
      <c r="P40" s="1243">
        <f>VLOOKUP(C40,TONGHOPCONGDOI!$C$11:$AD$93,23,0)</f>
        <v>0</v>
      </c>
      <c r="Q40" s="1243">
        <f>VLOOKUP(C40,TONGHOPCONGDOI!$C$11:$AD$93,24,0)</f>
        <v>0</v>
      </c>
      <c r="R40" s="1243">
        <f>VLOOKUP(C40,TONGHOPCONGDOI!$C$11:$AD$93,25,0)</f>
        <v>0</v>
      </c>
      <c r="S40" s="1243"/>
      <c r="T40" s="1244"/>
      <c r="U40" s="1244"/>
      <c r="V40" s="1244"/>
      <c r="W40" s="1247">
        <f t="shared" si="2"/>
        <v>873839</v>
      </c>
      <c r="X40" s="1243">
        <f t="shared" si="3"/>
        <v>5279289</v>
      </c>
      <c r="Y40" s="1243"/>
      <c r="Z40" s="1243">
        <f>VLOOKUP(C40,'CNKT '!D40:AA98,24,0)</f>
        <v>5279289</v>
      </c>
      <c r="AA40" s="1120">
        <f t="shared" si="4"/>
        <v>0</v>
      </c>
    </row>
    <row r="41" spans="1:27" s="1120" customFormat="1" ht="50.25" customHeight="1">
      <c r="A41" s="1242">
        <v>26</v>
      </c>
      <c r="B41" s="1242" t="str">
        <f>'Chấm công KT'!C38</f>
        <v>03479</v>
      </c>
      <c r="C41" s="1243" t="str">
        <f>TONGHOPCONGDOI!C36</f>
        <v>N. Tun 1</v>
      </c>
      <c r="D41" s="1243"/>
      <c r="E41" s="1244"/>
      <c r="F41" s="1243">
        <f t="shared" si="0"/>
        <v>0</v>
      </c>
      <c r="G41" s="1243">
        <f>VLOOKUP(C41,TONGHOPCONGDOI!C36:AE94,16,0)</f>
        <v>2717</v>
      </c>
      <c r="H41" s="1243">
        <f>VLOOKUP(C41,TONGHOPCONGDOI!C36:AE94,17,0)</f>
        <v>0</v>
      </c>
      <c r="I41" s="1243"/>
      <c r="J41" s="1245">
        <f t="shared" si="5"/>
        <v>1259.9140190928952</v>
      </c>
      <c r="K41" s="1242" t="str">
        <f>VLOOKUP(C41,'BTH mủ tạp'!D42:AN120,37,0)</f>
        <v>A</v>
      </c>
      <c r="L41" s="1246">
        <f t="shared" si="1"/>
        <v>5140353</v>
      </c>
      <c r="M41" s="1243">
        <f>VLOOKUP(C41,TONGHOPCONGDOI!$C$11:$V$91,20,0)</f>
        <v>20</v>
      </c>
      <c r="N41" s="1243">
        <f>VLOOKUP(C41,TONGHOPCONGDOI!$C$11:$W$91,21,0)</f>
        <v>5</v>
      </c>
      <c r="O41" s="1243">
        <f>VLOOKUP(C41,TONGHOPCONGDOI!$C$11:$AD$93,22,0)</f>
        <v>0</v>
      </c>
      <c r="P41" s="1243">
        <f>VLOOKUP(C41,TONGHOPCONGDOI!$C$11:$AD$93,23,0)</f>
        <v>0</v>
      </c>
      <c r="Q41" s="1243">
        <f>VLOOKUP(C41,TONGHOPCONGDOI!$C$11:$AD$93,24,0)</f>
        <v>0</v>
      </c>
      <c r="R41" s="1243">
        <f>VLOOKUP(C41,TONGHOPCONGDOI!$C$11:$AD$93,25,0)</f>
        <v>0</v>
      </c>
      <c r="S41" s="1243"/>
      <c r="T41" s="1244"/>
      <c r="U41" s="1244"/>
      <c r="V41" s="1244"/>
      <c r="W41" s="1247">
        <f t="shared" si="2"/>
        <v>873839</v>
      </c>
      <c r="X41" s="1243">
        <f t="shared" si="3"/>
        <v>6014192</v>
      </c>
      <c r="Y41" s="1243"/>
      <c r="Z41" s="1243">
        <f>VLOOKUP(C41,'CNKT '!D41:AA98,24,0)</f>
        <v>6014192</v>
      </c>
      <c r="AA41" s="1120">
        <f t="shared" si="4"/>
        <v>0</v>
      </c>
    </row>
    <row r="42" spans="1:27" s="1120" customFormat="1" ht="50.25" customHeight="1">
      <c r="A42" s="1242">
        <v>27</v>
      </c>
      <c r="B42" s="1242" t="str">
        <f>'Chấm công KT'!C39</f>
        <v>03480</v>
      </c>
      <c r="C42" s="1243" t="str">
        <f>TONGHOPCONGDOI!C37</f>
        <v>T . Lốc</v>
      </c>
      <c r="D42" s="1243"/>
      <c r="E42" s="1244"/>
      <c r="F42" s="1243">
        <f t="shared" si="0"/>
        <v>0</v>
      </c>
      <c r="G42" s="1243">
        <f>VLOOKUP(C42,TONGHOPCONGDOI!C37:AE94,16,0)</f>
        <v>2702</v>
      </c>
      <c r="H42" s="1243">
        <f>VLOOKUP(C42,TONGHOPCONGDOI!C37:AE94,17,0)</f>
        <v>0</v>
      </c>
      <c r="I42" s="1243"/>
      <c r="J42" s="1245">
        <f t="shared" si="5"/>
        <v>1252.9582920828129</v>
      </c>
      <c r="K42" s="1242" t="str">
        <f>VLOOKUP(C42,'BTH mủ tạp'!D43:AN121,37,0)</f>
        <v>A</v>
      </c>
      <c r="L42" s="1246">
        <f t="shared" si="1"/>
        <v>5111975</v>
      </c>
      <c r="M42" s="1243">
        <f>VLOOKUP(C42,TONGHOPCONGDOI!$C$11:$V$91,20,0)</f>
        <v>20</v>
      </c>
      <c r="N42" s="1243">
        <f>VLOOKUP(C42,TONGHOPCONGDOI!$C$11:$W$91,21,0)</f>
        <v>5</v>
      </c>
      <c r="O42" s="1243">
        <f>VLOOKUP(C42,TONGHOPCONGDOI!$C$11:$AD$93,22,0)</f>
        <v>0</v>
      </c>
      <c r="P42" s="1243">
        <f>VLOOKUP(C42,TONGHOPCONGDOI!$C$11:$AD$93,23,0)</f>
        <v>0</v>
      </c>
      <c r="Q42" s="1243">
        <f>VLOOKUP(C42,TONGHOPCONGDOI!$C$11:$AD$93,24,0)</f>
        <v>0</v>
      </c>
      <c r="R42" s="1243">
        <f>VLOOKUP(C42,TONGHOPCONGDOI!$C$11:$AD$93,25,0)</f>
        <v>0</v>
      </c>
      <c r="S42" s="1243"/>
      <c r="T42" s="1244"/>
      <c r="U42" s="1244"/>
      <c r="V42" s="1244"/>
      <c r="W42" s="1247">
        <f t="shared" si="2"/>
        <v>873839</v>
      </c>
      <c r="X42" s="1243">
        <f t="shared" si="3"/>
        <v>5985814</v>
      </c>
      <c r="Y42" s="1243"/>
      <c r="Z42" s="1243">
        <f>VLOOKUP(C42,'CNKT '!D42:AA98,24,0)</f>
        <v>5985814</v>
      </c>
      <c r="AA42" s="1120">
        <f t="shared" si="4"/>
        <v>0</v>
      </c>
    </row>
    <row r="43" spans="1:27" s="1120" customFormat="1" ht="50.25" customHeight="1">
      <c r="A43" s="1242">
        <v>28</v>
      </c>
      <c r="B43" s="1242" t="str">
        <f>'Chấm công KT'!C40</f>
        <v>03481</v>
      </c>
      <c r="C43" s="1243" t="str">
        <f>TONGHOPCONGDOI!C38</f>
        <v>N . Khâm (1)</v>
      </c>
      <c r="D43" s="1243"/>
      <c r="E43" s="1244"/>
      <c r="F43" s="1243">
        <f t="shared" si="0"/>
        <v>0</v>
      </c>
      <c r="G43" s="1243">
        <f>VLOOKUP(C43,TONGHOPCONGDOI!C38:AE94,16,0)</f>
        <v>3031</v>
      </c>
      <c r="H43" s="1243">
        <f>VLOOKUP(C43,TONGHOPCONGDOI!C38:AE94,17,0)</f>
        <v>0</v>
      </c>
      <c r="I43" s="1243"/>
      <c r="J43" s="1245">
        <f t="shared" si="5"/>
        <v>1405.5205711706164</v>
      </c>
      <c r="K43" s="1242" t="str">
        <f>VLOOKUP(C43,'BTH mủ tạp'!D44:AN122,37,0)</f>
        <v>A</v>
      </c>
      <c r="L43" s="1246">
        <f t="shared" si="1"/>
        <v>5734417</v>
      </c>
      <c r="M43" s="1243">
        <f>VLOOKUP(C43,TONGHOPCONGDOI!$C$11:$V$91,20,0)</f>
        <v>22</v>
      </c>
      <c r="N43" s="1243">
        <f>VLOOKUP(C43,TONGHOPCONGDOI!$C$11:$W$91,21,0)</f>
        <v>5</v>
      </c>
      <c r="O43" s="1243">
        <f>VLOOKUP(C43,TONGHOPCONGDOI!$C$11:$AD$93,22,0)</f>
        <v>0</v>
      </c>
      <c r="P43" s="1243">
        <f>VLOOKUP(C43,TONGHOPCONGDOI!$C$11:$AD$93,23,0)</f>
        <v>0</v>
      </c>
      <c r="Q43" s="1243">
        <f>VLOOKUP(C43,TONGHOPCONGDOI!$C$11:$AD$93,24,0)</f>
        <v>0</v>
      </c>
      <c r="R43" s="1243">
        <f>VLOOKUP(C43,TONGHOPCONGDOI!$C$11:$AD$93,25,0)</f>
        <v>0</v>
      </c>
      <c r="S43" s="1243"/>
      <c r="T43" s="1244"/>
      <c r="U43" s="1244"/>
      <c r="V43" s="1244"/>
      <c r="W43" s="1247">
        <f t="shared" si="2"/>
        <v>935507</v>
      </c>
      <c r="X43" s="1243">
        <f t="shared" si="3"/>
        <v>6669924</v>
      </c>
      <c r="Y43" s="1243"/>
      <c r="Z43" s="1243">
        <f>VLOOKUP(C43,'CNKT '!D43:AA98,24,0)</f>
        <v>6669924</v>
      </c>
      <c r="AA43" s="1120">
        <f t="shared" si="4"/>
        <v>0</v>
      </c>
    </row>
    <row r="44" spans="1:27" s="1120" customFormat="1" ht="50.25" customHeight="1">
      <c r="A44" s="1242">
        <v>29</v>
      </c>
      <c r="B44" s="1242" t="str">
        <f>'Chấm công KT'!C41</f>
        <v>03482</v>
      </c>
      <c r="C44" s="1243" t="str">
        <f>TONGHOPCONGDOI!C39</f>
        <v>T . Phết</v>
      </c>
      <c r="D44" s="1243"/>
      <c r="E44" s="1244"/>
      <c r="F44" s="1243">
        <f t="shared" si="0"/>
        <v>0</v>
      </c>
      <c r="G44" s="1243">
        <f>VLOOKUP(C44,TONGHOPCONGDOI!C39:AE94,16,0)</f>
        <v>3072</v>
      </c>
      <c r="H44" s="1243">
        <f>VLOOKUP(C44,TONGHOPCONGDOI!C39:AE94,17,0)</f>
        <v>0</v>
      </c>
      <c r="I44" s="1243"/>
      <c r="J44" s="1245">
        <f t="shared" si="5"/>
        <v>1424.5328916648414</v>
      </c>
      <c r="K44" s="1242" t="str">
        <f>VLOOKUP(C44,'BTH mủ tạp'!D45:AN123,37,0)</f>
        <v>A</v>
      </c>
      <c r="L44" s="1246">
        <f t="shared" si="1"/>
        <v>5811986</v>
      </c>
      <c r="M44" s="1243">
        <f>VLOOKUP(C44,TONGHOPCONGDOI!$C$11:$V$91,20,0)</f>
        <v>22</v>
      </c>
      <c r="N44" s="1243">
        <f>VLOOKUP(C44,TONGHOPCONGDOI!$C$11:$W$91,21,0)</f>
        <v>5</v>
      </c>
      <c r="O44" s="1243">
        <f>VLOOKUP(C44,TONGHOPCONGDOI!$C$11:$AD$93,22,0)</f>
        <v>0</v>
      </c>
      <c r="P44" s="1243">
        <f>VLOOKUP(C44,TONGHOPCONGDOI!$C$11:$AD$93,23,0)</f>
        <v>0</v>
      </c>
      <c r="Q44" s="1243">
        <f>VLOOKUP(C44,TONGHOPCONGDOI!$C$11:$AD$93,24,0)</f>
        <v>0</v>
      </c>
      <c r="R44" s="1243">
        <f>VLOOKUP(C44,TONGHOPCONGDOI!$C$11:$AD$93,25,0)</f>
        <v>0</v>
      </c>
      <c r="S44" s="1243"/>
      <c r="T44" s="1244"/>
      <c r="U44" s="1244"/>
      <c r="V44" s="1244"/>
      <c r="W44" s="1247">
        <f t="shared" si="2"/>
        <v>935507</v>
      </c>
      <c r="X44" s="1243">
        <f t="shared" si="3"/>
        <v>6747493</v>
      </c>
      <c r="Y44" s="1243"/>
      <c r="Z44" s="1243">
        <f>VLOOKUP(C44,'CNKT '!D44:AA98,24,0)</f>
        <v>6747493</v>
      </c>
      <c r="AA44" s="1120">
        <f t="shared" si="4"/>
        <v>0</v>
      </c>
    </row>
    <row r="45" spans="1:27" s="1120" customFormat="1" ht="50.25" customHeight="1">
      <c r="A45" s="1242">
        <v>30</v>
      </c>
      <c r="B45" s="1242" t="str">
        <f>'Chấm công KT'!C42</f>
        <v>03483</v>
      </c>
      <c r="C45" s="1243" t="str">
        <f>TONGHOPCONGDOI!C40</f>
        <v>T. Viêng Sa Văn</v>
      </c>
      <c r="D45" s="1243"/>
      <c r="E45" s="1244"/>
      <c r="F45" s="1243">
        <f t="shared" si="0"/>
        <v>0</v>
      </c>
      <c r="G45" s="1243">
        <f>VLOOKUP(C45,TONGHOPCONGDOI!C40:AE94,16,0)</f>
        <v>3023</v>
      </c>
      <c r="H45" s="1243">
        <f>VLOOKUP(C45,TONGHOPCONGDOI!C40:AE94,17,0)</f>
        <v>0</v>
      </c>
      <c r="I45" s="1243"/>
      <c r="J45" s="1245">
        <f t="shared" si="5"/>
        <v>1401.8108500985727</v>
      </c>
      <c r="K45" s="1242" t="str">
        <f>VLOOKUP(C45,'BTH mủ tạp'!D46:AN124,37,0)</f>
        <v>A</v>
      </c>
      <c r="L45" s="1246">
        <f t="shared" si="1"/>
        <v>5719282</v>
      </c>
      <c r="M45" s="1243">
        <f>VLOOKUP(C45,TONGHOPCONGDOI!$C$11:$V$91,20,0)</f>
        <v>22</v>
      </c>
      <c r="N45" s="1243">
        <f>VLOOKUP(C45,TONGHOPCONGDOI!$C$11:$W$91,21,0)</f>
        <v>5</v>
      </c>
      <c r="O45" s="1243">
        <f>VLOOKUP(C45,TONGHOPCONGDOI!$C$11:$AD$93,22,0)</f>
        <v>0</v>
      </c>
      <c r="P45" s="1243">
        <f>VLOOKUP(C45,TONGHOPCONGDOI!$C$11:$AD$93,23,0)</f>
        <v>0</v>
      </c>
      <c r="Q45" s="1243">
        <f>VLOOKUP(C45,TONGHOPCONGDOI!$C$11:$AD$93,24,0)</f>
        <v>0</v>
      </c>
      <c r="R45" s="1243">
        <f>VLOOKUP(C45,TONGHOPCONGDOI!$C$11:$AD$93,25,0)</f>
        <v>0</v>
      </c>
      <c r="S45" s="1243"/>
      <c r="T45" s="1244"/>
      <c r="U45" s="1244"/>
      <c r="V45" s="1244"/>
      <c r="W45" s="1247">
        <f t="shared" si="2"/>
        <v>935507</v>
      </c>
      <c r="X45" s="1243">
        <f t="shared" si="3"/>
        <v>6654789</v>
      </c>
      <c r="Y45" s="1243"/>
      <c r="Z45" s="1243">
        <f>VLOOKUP(C45,'CNKT '!D45:AA98,24,0)</f>
        <v>6654789</v>
      </c>
      <c r="AA45" s="1120">
        <f t="shared" si="4"/>
        <v>0</v>
      </c>
    </row>
    <row r="46" spans="1:27" s="1120" customFormat="1" ht="50.25" customHeight="1">
      <c r="A46" s="1242">
        <v>31</v>
      </c>
      <c r="B46" s="1242" t="str">
        <f>'Chấm công KT'!C43</f>
        <v>03484</v>
      </c>
      <c r="C46" s="1243" t="str">
        <f>TONGHOPCONGDOI!C41</f>
        <v>T. Ca Te</v>
      </c>
      <c r="D46" s="1243"/>
      <c r="E46" s="1244"/>
      <c r="F46" s="1243">
        <f t="shared" si="0"/>
        <v>0</v>
      </c>
      <c r="G46" s="1243">
        <f>VLOOKUP(C46,TONGHOPCONGDOI!C41:AE94,16,0)</f>
        <v>2662</v>
      </c>
      <c r="H46" s="1243">
        <f>VLOOKUP(C46,TONGHOPCONGDOI!C41:AE94,17,0)</f>
        <v>0</v>
      </c>
      <c r="I46" s="1243"/>
      <c r="J46" s="1245">
        <f t="shared" si="5"/>
        <v>1234.4096867225935</v>
      </c>
      <c r="K46" s="1242" t="str">
        <f>VLOOKUP(C46,'BTH mủ tạp'!D47:AN125,37,0)</f>
        <v>A</v>
      </c>
      <c r="L46" s="1246">
        <f t="shared" si="1"/>
        <v>5036298</v>
      </c>
      <c r="M46" s="1243">
        <f>VLOOKUP(C46,TONGHOPCONGDOI!$C$11:$V$91,20,0)</f>
        <v>18</v>
      </c>
      <c r="N46" s="1243">
        <f>VLOOKUP(C46,TONGHOPCONGDOI!$C$11:$W$91,21,0)</f>
        <v>4</v>
      </c>
      <c r="O46" s="1243">
        <f>VLOOKUP(C46,TONGHOPCONGDOI!$C$11:$AD$93,22,0)</f>
        <v>0</v>
      </c>
      <c r="P46" s="1243">
        <f>VLOOKUP(C46,TONGHOPCONGDOI!$C$11:$AD$93,23,0)</f>
        <v>0</v>
      </c>
      <c r="Q46" s="1243">
        <f>VLOOKUP(C46,TONGHOPCONGDOI!$C$11:$AD$93,24,0)</f>
        <v>0</v>
      </c>
      <c r="R46" s="1243">
        <f>VLOOKUP(C46,TONGHOPCONGDOI!$C$11:$AD$93,25,0)</f>
        <v>0</v>
      </c>
      <c r="S46" s="1243"/>
      <c r="T46" s="1244"/>
      <c r="U46" s="1244"/>
      <c r="V46" s="1244"/>
      <c r="W46" s="1247">
        <f t="shared" si="2"/>
        <v>760739</v>
      </c>
      <c r="X46" s="1243">
        <f t="shared" si="3"/>
        <v>5797037</v>
      </c>
      <c r="Y46" s="1243"/>
      <c r="Z46" s="1243">
        <f>VLOOKUP(C46,'CNKT '!D46:AA98,24,0)</f>
        <v>5797037</v>
      </c>
      <c r="AA46" s="1120">
        <f t="shared" si="4"/>
        <v>0</v>
      </c>
    </row>
    <row r="47" spans="1:27" s="1120" customFormat="1" ht="50.25" customHeight="1">
      <c r="A47" s="1242">
        <v>32</v>
      </c>
      <c r="B47" s="1242" t="str">
        <f>'Chấm công KT'!C44</f>
        <v>03485</v>
      </c>
      <c r="C47" s="1243" t="str">
        <f>TONGHOPCONGDOI!C42</f>
        <v>T. Lâm Phon</v>
      </c>
      <c r="D47" s="1243"/>
      <c r="E47" s="1244"/>
      <c r="F47" s="1243">
        <f t="shared" si="0"/>
        <v>0</v>
      </c>
      <c r="G47" s="1243">
        <f>VLOOKUP(C47,TONGHOPCONGDOI!C42:AE94,16,0)</f>
        <v>2819</v>
      </c>
      <c r="H47" s="1243">
        <f>VLOOKUP(C47,TONGHOPCONGDOI!C42:AE94,17,0)</f>
        <v>0</v>
      </c>
      <c r="I47" s="1243"/>
      <c r="J47" s="1245">
        <f t="shared" si="5"/>
        <v>1307.2129627614543</v>
      </c>
      <c r="K47" s="1242" t="str">
        <f>VLOOKUP(C47,'BTH mủ tạp'!D48:AN126,37,0)</f>
        <v>B</v>
      </c>
      <c r="L47" s="1246">
        <f t="shared" si="1"/>
        <v>5071035</v>
      </c>
      <c r="M47" s="1243">
        <f>VLOOKUP(C47,TONGHOPCONGDOI!$C$11:$V$91,20,0)</f>
        <v>20</v>
      </c>
      <c r="N47" s="1243">
        <f>VLOOKUP(C47,TONGHOPCONGDOI!$C$11:$W$91,21,0)</f>
        <v>5</v>
      </c>
      <c r="O47" s="1243">
        <f>VLOOKUP(C47,TONGHOPCONGDOI!$C$11:$AD$93,22,0)</f>
        <v>0</v>
      </c>
      <c r="P47" s="1243">
        <f>VLOOKUP(C47,TONGHOPCONGDOI!$C$11:$AD$93,23,0)</f>
        <v>0</v>
      </c>
      <c r="Q47" s="1243">
        <f>VLOOKUP(C47,TONGHOPCONGDOI!$C$11:$AD$93,24,0)</f>
        <v>0</v>
      </c>
      <c r="R47" s="1243">
        <f>VLOOKUP(C47,TONGHOPCONGDOI!$C$11:$AD$93,25,0)</f>
        <v>0</v>
      </c>
      <c r="S47" s="1243"/>
      <c r="T47" s="1244"/>
      <c r="U47" s="1244"/>
      <c r="V47" s="1244"/>
      <c r="W47" s="1247">
        <f t="shared" si="2"/>
        <v>873839</v>
      </c>
      <c r="X47" s="1243">
        <f t="shared" si="3"/>
        <v>5944874</v>
      </c>
      <c r="Y47" s="1243"/>
      <c r="Z47" s="1243">
        <f>VLOOKUP(C47,'CNKT '!D47:AA98,24,0)</f>
        <v>5944874</v>
      </c>
      <c r="AA47" s="1120">
        <f t="shared" si="4"/>
        <v>0</v>
      </c>
    </row>
    <row r="48" spans="1:27" s="1120" customFormat="1" ht="50.25" customHeight="1">
      <c r="A48" s="1242">
        <v>33</v>
      </c>
      <c r="B48" s="1242" t="str">
        <f>'Chấm công KT'!C45</f>
        <v>02712</v>
      </c>
      <c r="C48" s="1243" t="str">
        <f>TONGHOPCONGDOI!C43</f>
        <v>T. Sô Đa</v>
      </c>
      <c r="D48" s="1243"/>
      <c r="E48" s="1244"/>
      <c r="F48" s="1243">
        <f t="shared" si="0"/>
        <v>0</v>
      </c>
      <c r="G48" s="1243">
        <f>VLOOKUP(C48,TONGHOPCONGDOI!C43:AE94,16,0)</f>
        <v>2937</v>
      </c>
      <c r="H48" s="1243">
        <f>VLOOKUP(C48,TONGHOPCONGDOI!C43:AE94,17,0)</f>
        <v>0</v>
      </c>
      <c r="I48" s="1243"/>
      <c r="J48" s="1245">
        <f t="shared" ref="J48:J79" si="6">$AB$10/$AB$9*G48+H48*$AB$11+I48*$AB$12</f>
        <v>1361.9313485741013</v>
      </c>
      <c r="K48" s="1242" t="str">
        <f>VLOOKUP(C48,'BTH mủ tạp'!D49:AN127,37,0)</f>
        <v>A</v>
      </c>
      <c r="L48" s="1246">
        <f t="shared" si="1"/>
        <v>5556576</v>
      </c>
      <c r="M48" s="1243">
        <f>VLOOKUP(C48,TONGHOPCONGDOI!$C$11:$V$91,20,0)</f>
        <v>23</v>
      </c>
      <c r="N48" s="1243">
        <f>VLOOKUP(C48,TONGHOPCONGDOI!$C$11:$W$91,21,0)</f>
        <v>5</v>
      </c>
      <c r="O48" s="1243">
        <f>VLOOKUP(C48,TONGHOPCONGDOI!$C$11:$AD$93,22,0)</f>
        <v>0</v>
      </c>
      <c r="P48" s="1243">
        <f>VLOOKUP(C48,TONGHOPCONGDOI!$C$11:$AD$93,23,0)</f>
        <v>0</v>
      </c>
      <c r="Q48" s="1243">
        <f>VLOOKUP(C48,TONGHOPCONGDOI!$C$11:$AD$93,24,0)</f>
        <v>0</v>
      </c>
      <c r="R48" s="1243">
        <f>VLOOKUP(C48,TONGHOPCONGDOI!$C$11:$AD$93,25,0)</f>
        <v>0</v>
      </c>
      <c r="S48" s="1243"/>
      <c r="T48" s="1244"/>
      <c r="U48" s="1244"/>
      <c r="V48" s="1244"/>
      <c r="W48" s="1247">
        <f t="shared" si="2"/>
        <v>966340</v>
      </c>
      <c r="X48" s="1243">
        <f t="shared" ref="X48:X79" si="7">F48+L48+W48</f>
        <v>6522916</v>
      </c>
      <c r="Y48" s="1243"/>
      <c r="Z48" s="1243">
        <f>VLOOKUP(C48,'CNKT '!D48:AA98,24,0)</f>
        <v>6522916</v>
      </c>
      <c r="AA48" s="1120">
        <f t="shared" si="4"/>
        <v>0</v>
      </c>
    </row>
    <row r="49" spans="1:27" s="1120" customFormat="1" ht="50.25" customHeight="1">
      <c r="A49" s="1242">
        <v>34</v>
      </c>
      <c r="B49" s="1242" t="str">
        <f>'Chấm công KT'!C46</f>
        <v>02722</v>
      </c>
      <c r="C49" s="1243" t="str">
        <f>TONGHOPCONGDOI!C44</f>
        <v>T. Phu Ngân</v>
      </c>
      <c r="D49" s="1243"/>
      <c r="E49" s="1244"/>
      <c r="F49" s="1243">
        <f t="shared" si="0"/>
        <v>0</v>
      </c>
      <c r="G49" s="1243">
        <f>VLOOKUP(C49,TONGHOPCONGDOI!C44:AE94,16,0)</f>
        <v>3221</v>
      </c>
      <c r="H49" s="1243">
        <f>VLOOKUP(C49,TONGHOPCONGDOI!C44:AE94,17,0)</f>
        <v>0</v>
      </c>
      <c r="I49" s="1243"/>
      <c r="J49" s="1245">
        <f t="shared" si="6"/>
        <v>1493.6264466316582</v>
      </c>
      <c r="K49" s="1242" t="str">
        <f>VLOOKUP(C49,'BTH mủ tạp'!D50:AN128,37,0)</f>
        <v>A</v>
      </c>
      <c r="L49" s="1246">
        <f t="shared" si="1"/>
        <v>6093882</v>
      </c>
      <c r="M49" s="1243">
        <f>VLOOKUP(C49,TONGHOPCONGDOI!$C$11:$V$91,20,0)</f>
        <v>22</v>
      </c>
      <c r="N49" s="1243">
        <f>VLOOKUP(C49,TONGHOPCONGDOI!$C$11:$W$91,21,0)</f>
        <v>5</v>
      </c>
      <c r="O49" s="1243">
        <f>VLOOKUP(C49,TONGHOPCONGDOI!$C$11:$AD$93,22,0)</f>
        <v>0</v>
      </c>
      <c r="P49" s="1243">
        <f>VLOOKUP(C49,TONGHOPCONGDOI!$C$11:$AD$93,23,0)</f>
        <v>0</v>
      </c>
      <c r="Q49" s="1243">
        <f>VLOOKUP(C49,TONGHOPCONGDOI!$C$11:$AD$93,24,0)</f>
        <v>0</v>
      </c>
      <c r="R49" s="1243">
        <f>VLOOKUP(C49,TONGHOPCONGDOI!$C$11:$AD$93,25,0)</f>
        <v>0</v>
      </c>
      <c r="S49" s="1243"/>
      <c r="T49" s="1244"/>
      <c r="U49" s="1244"/>
      <c r="V49" s="1244"/>
      <c r="W49" s="1247">
        <f t="shared" si="2"/>
        <v>935507</v>
      </c>
      <c r="X49" s="1243">
        <f t="shared" si="7"/>
        <v>7029389</v>
      </c>
      <c r="Y49" s="1243"/>
      <c r="Z49" s="1243">
        <f>VLOOKUP(C49,'CNKT '!D49:AA98,24,0)</f>
        <v>7029389</v>
      </c>
      <c r="AA49" s="1120">
        <f t="shared" si="4"/>
        <v>0</v>
      </c>
    </row>
    <row r="50" spans="1:27" s="1120" customFormat="1" ht="50.25" customHeight="1">
      <c r="A50" s="1242">
        <v>35</v>
      </c>
      <c r="B50" s="1242" t="str">
        <f>'Chấm công KT'!C47</f>
        <v>02714</v>
      </c>
      <c r="C50" s="1243" t="str">
        <f>TONGHOPCONGDOI!C45</f>
        <v>N. Tủn</v>
      </c>
      <c r="D50" s="1243"/>
      <c r="E50" s="1244"/>
      <c r="F50" s="1243">
        <f t="shared" si="0"/>
        <v>0</v>
      </c>
      <c r="G50" s="1243">
        <f>VLOOKUP(C50,TONGHOPCONGDOI!C45:AE94,16,0)</f>
        <v>1945</v>
      </c>
      <c r="H50" s="1243">
        <f>VLOOKUP(C50,TONGHOPCONGDOI!C45:AE94,17,0)</f>
        <v>0</v>
      </c>
      <c r="I50" s="1243"/>
      <c r="J50" s="1245">
        <f t="shared" si="6"/>
        <v>901.92593564066283</v>
      </c>
      <c r="K50" s="1242" t="str">
        <f>VLOOKUP(C50,'BTH mủ tạp'!D51:AN129,37,0)</f>
        <v>A</v>
      </c>
      <c r="L50" s="1246">
        <f t="shared" si="1"/>
        <v>3679789</v>
      </c>
      <c r="M50" s="1243">
        <f>VLOOKUP(C50,TONGHOPCONGDOI!$C$11:$V$91,20,0)</f>
        <v>21</v>
      </c>
      <c r="N50" s="1243">
        <f>VLOOKUP(C50,TONGHOPCONGDOI!$C$11:$W$91,21,0)</f>
        <v>5</v>
      </c>
      <c r="O50" s="1243">
        <f>VLOOKUP(C50,TONGHOPCONGDOI!$C$11:$AD$93,22,0)</f>
        <v>0</v>
      </c>
      <c r="P50" s="1243">
        <f>VLOOKUP(C50,TONGHOPCONGDOI!$C$11:$AD$93,23,0)</f>
        <v>0</v>
      </c>
      <c r="Q50" s="1243">
        <f>VLOOKUP(C50,TONGHOPCONGDOI!$C$11:$AD$93,24,0)</f>
        <v>0</v>
      </c>
      <c r="R50" s="1243">
        <f>VLOOKUP(C50,TONGHOPCONGDOI!$C$11:$AD$93,25,0)</f>
        <v>0</v>
      </c>
      <c r="S50" s="1243"/>
      <c r="T50" s="1244"/>
      <c r="U50" s="1244"/>
      <c r="V50" s="1244"/>
      <c r="W50" s="1247">
        <f t="shared" si="2"/>
        <v>904673</v>
      </c>
      <c r="X50" s="1243">
        <f t="shared" si="7"/>
        <v>4584462</v>
      </c>
      <c r="Y50" s="1243"/>
      <c r="Z50" s="1243">
        <f>VLOOKUP(C50,'CNKT '!D50:AA98,24,0)</f>
        <v>4584462</v>
      </c>
      <c r="AA50" s="1120">
        <f t="shared" si="4"/>
        <v>0</v>
      </c>
    </row>
    <row r="51" spans="1:27" s="1120" customFormat="1" ht="50.25" customHeight="1">
      <c r="A51" s="1242">
        <v>36</v>
      </c>
      <c r="B51" s="1242" t="str">
        <f>'Chấm công KT'!C48</f>
        <v>02713</v>
      </c>
      <c r="C51" s="1243" t="str">
        <f>TONGHOPCONGDOI!C46</f>
        <v>T. Lung</v>
      </c>
      <c r="D51" s="1243"/>
      <c r="E51" s="1244"/>
      <c r="F51" s="1243">
        <f t="shared" si="0"/>
        <v>0</v>
      </c>
      <c r="G51" s="1243">
        <f>VLOOKUP(C51,TONGHOPCONGDOI!C46:AE94,16,0)</f>
        <v>1947</v>
      </c>
      <c r="H51" s="1243">
        <f>VLOOKUP(C51,TONGHOPCONGDOI!C46:AE94,17,0)</f>
        <v>0</v>
      </c>
      <c r="I51" s="1243"/>
      <c r="J51" s="1245">
        <f t="shared" si="6"/>
        <v>902.85336590867382</v>
      </c>
      <c r="K51" s="1242" t="str">
        <f>VLOOKUP(C51,'BTH mủ tạp'!D52:AN130,37,0)</f>
        <v>A</v>
      </c>
      <c r="L51" s="1246">
        <f t="shared" si="1"/>
        <v>3683573</v>
      </c>
      <c r="M51" s="1243">
        <f>VLOOKUP(C51,TONGHOPCONGDOI!$C$11:$V$91,20,0)</f>
        <v>21</v>
      </c>
      <c r="N51" s="1243">
        <f>VLOOKUP(C51,TONGHOPCONGDOI!$C$11:$W$91,21,0)</f>
        <v>5</v>
      </c>
      <c r="O51" s="1243">
        <f>VLOOKUP(C51,TONGHOPCONGDOI!$C$11:$AD$93,22,0)</f>
        <v>0</v>
      </c>
      <c r="P51" s="1243">
        <f>VLOOKUP(C51,TONGHOPCONGDOI!$C$11:$AD$93,23,0)</f>
        <v>0</v>
      </c>
      <c r="Q51" s="1243">
        <f>VLOOKUP(C51,TONGHOPCONGDOI!$C$11:$AD$93,24,0)</f>
        <v>0</v>
      </c>
      <c r="R51" s="1243">
        <f>VLOOKUP(C51,TONGHOPCONGDOI!$C$11:$AD$93,25,0)</f>
        <v>0</v>
      </c>
      <c r="S51" s="1243"/>
      <c r="T51" s="1244"/>
      <c r="U51" s="1244"/>
      <c r="V51" s="1244"/>
      <c r="W51" s="1247">
        <f t="shared" si="2"/>
        <v>904673</v>
      </c>
      <c r="X51" s="1243">
        <f t="shared" si="7"/>
        <v>4588246</v>
      </c>
      <c r="Y51" s="1243"/>
      <c r="Z51" s="1243">
        <f>VLOOKUP(C51,'CNKT '!D51:AA98,24,0)</f>
        <v>4588246</v>
      </c>
      <c r="AA51" s="1120">
        <f t="shared" si="4"/>
        <v>0</v>
      </c>
    </row>
    <row r="52" spans="1:27" s="1120" customFormat="1" ht="50.25" customHeight="1">
      <c r="A52" s="1242">
        <v>37</v>
      </c>
      <c r="B52" s="1242" t="str">
        <f>'Chấm công KT'!C49</f>
        <v>04058</v>
      </c>
      <c r="C52" s="1243" t="str">
        <f>TONGHOPCONGDOI!C47</f>
        <v>T. Bi Ly (2)</v>
      </c>
      <c r="D52" s="1243"/>
      <c r="E52" s="1244"/>
      <c r="F52" s="1243">
        <f t="shared" si="0"/>
        <v>0</v>
      </c>
      <c r="G52" s="1243">
        <f>VLOOKUP(C52,TONGHOPCONGDOI!C47:AE94,16,0)</f>
        <v>2194</v>
      </c>
      <c r="H52" s="1243">
        <f>VLOOKUP(C52,TONGHOPCONGDOI!C47:AE94,17,0)</f>
        <v>0</v>
      </c>
      <c r="I52" s="1243"/>
      <c r="J52" s="1245">
        <f t="shared" si="6"/>
        <v>1017.3910040080279</v>
      </c>
      <c r="K52" s="1242" t="str">
        <f>VLOOKUP(C52,'BTH mủ tạp'!D53:AN131,37,0)</f>
        <v>B</v>
      </c>
      <c r="L52" s="1246">
        <f t="shared" si="1"/>
        <v>3946736</v>
      </c>
      <c r="M52" s="1243">
        <f>VLOOKUP(C52,TONGHOPCONGDOI!$C$11:$V$91,20,0)</f>
        <v>21</v>
      </c>
      <c r="N52" s="1243">
        <f>VLOOKUP(C52,TONGHOPCONGDOI!$C$11:$W$91,21,0)</f>
        <v>5</v>
      </c>
      <c r="O52" s="1243">
        <f>VLOOKUP(C52,TONGHOPCONGDOI!$C$11:$AD$93,22,0)</f>
        <v>0</v>
      </c>
      <c r="P52" s="1243">
        <f>VLOOKUP(C52,TONGHOPCONGDOI!$C$11:$AD$93,23,0)</f>
        <v>0</v>
      </c>
      <c r="Q52" s="1243">
        <f>VLOOKUP(C52,TONGHOPCONGDOI!$C$11:$AD$93,24,0)</f>
        <v>0</v>
      </c>
      <c r="R52" s="1243">
        <f>VLOOKUP(C52,TONGHOPCONGDOI!$C$11:$AD$93,25,0)</f>
        <v>0</v>
      </c>
      <c r="S52" s="1243"/>
      <c r="T52" s="1244"/>
      <c r="U52" s="1244"/>
      <c r="V52" s="1244"/>
      <c r="W52" s="1247">
        <f t="shared" si="2"/>
        <v>904673</v>
      </c>
      <c r="X52" s="1243">
        <f t="shared" si="7"/>
        <v>4851409</v>
      </c>
      <c r="Y52" s="1243"/>
      <c r="Z52" s="1243">
        <f>VLOOKUP(C52,'CNKT '!D52:AA98,24,0)</f>
        <v>4851409</v>
      </c>
      <c r="AA52" s="1120">
        <f t="shared" si="4"/>
        <v>0</v>
      </c>
    </row>
    <row r="53" spans="1:27" s="1120" customFormat="1" ht="50.25" customHeight="1">
      <c r="A53" s="1242">
        <v>38</v>
      </c>
      <c r="B53" s="1242" t="str">
        <f>'Chấm công KT'!C50</f>
        <v>03487</v>
      </c>
      <c r="C53" s="1243" t="str">
        <f>TONGHOPCONGDOI!C48</f>
        <v>N. Ba Say</v>
      </c>
      <c r="D53" s="1243"/>
      <c r="E53" s="1244"/>
      <c r="F53" s="1243">
        <f t="shared" si="0"/>
        <v>0</v>
      </c>
      <c r="G53" s="1243">
        <f>VLOOKUP(C53,TONGHOPCONGDOI!C48:AE94,16,0)</f>
        <v>1776</v>
      </c>
      <c r="H53" s="1243">
        <f>VLOOKUP(C53,TONGHOPCONGDOI!C48:AE94,17,0)</f>
        <v>0</v>
      </c>
      <c r="I53" s="1243"/>
      <c r="J53" s="1245">
        <f t="shared" si="6"/>
        <v>823.55807799373633</v>
      </c>
      <c r="K53" s="1242" t="str">
        <f>VLOOKUP(C53,'BTH mủ tạp'!D54:AN132,37,0)</f>
        <v>B</v>
      </c>
      <c r="L53" s="1246">
        <f t="shared" si="1"/>
        <v>3194806</v>
      </c>
      <c r="M53" s="1243">
        <f>VLOOKUP(C53,TONGHOPCONGDOI!$C$11:$V$91,20,0)</f>
        <v>21</v>
      </c>
      <c r="N53" s="1243">
        <f>VLOOKUP(C53,TONGHOPCONGDOI!$C$11:$W$91,21,0)</f>
        <v>5</v>
      </c>
      <c r="O53" s="1243">
        <f>VLOOKUP(C53,TONGHOPCONGDOI!$C$11:$AD$93,22,0)</f>
        <v>0</v>
      </c>
      <c r="P53" s="1243">
        <f>VLOOKUP(C53,TONGHOPCONGDOI!$C$11:$AD$93,23,0)</f>
        <v>0</v>
      </c>
      <c r="Q53" s="1243">
        <f>VLOOKUP(C53,TONGHOPCONGDOI!$C$11:$AD$93,24,0)</f>
        <v>0</v>
      </c>
      <c r="R53" s="1243">
        <f>VLOOKUP(C53,TONGHOPCONGDOI!$C$11:$AD$93,25,0)</f>
        <v>0</v>
      </c>
      <c r="S53" s="1243"/>
      <c r="T53" s="1244"/>
      <c r="U53" s="1244"/>
      <c r="V53" s="1244"/>
      <c r="W53" s="1247">
        <f t="shared" si="2"/>
        <v>904673</v>
      </c>
      <c r="X53" s="1243">
        <f t="shared" si="7"/>
        <v>4099479</v>
      </c>
      <c r="Y53" s="1243"/>
      <c r="Z53" s="1243">
        <f>VLOOKUP(C53,'CNKT '!D53:AA98,24,0)</f>
        <v>4099479</v>
      </c>
      <c r="AA53" s="1120">
        <f t="shared" si="4"/>
        <v>0</v>
      </c>
    </row>
    <row r="54" spans="1:27" s="1120" customFormat="1" ht="50.25" customHeight="1">
      <c r="A54" s="1242">
        <v>39</v>
      </c>
      <c r="B54" s="1242" t="str">
        <f>'Chấm công KT'!C51</f>
        <v>03488</v>
      </c>
      <c r="C54" s="1243" t="str">
        <f>TONGHOPCONGDOI!C49</f>
        <v>N. Đeng</v>
      </c>
      <c r="D54" s="1243"/>
      <c r="E54" s="1244"/>
      <c r="F54" s="1243">
        <f t="shared" si="0"/>
        <v>0</v>
      </c>
      <c r="G54" s="1243">
        <f>VLOOKUP(C54,TONGHOPCONGDOI!C49:AE94,16,0)</f>
        <v>2198</v>
      </c>
      <c r="H54" s="1243">
        <f>VLOOKUP(C54,TONGHOPCONGDOI!C49:AE94,17,0)</f>
        <v>0</v>
      </c>
      <c r="I54" s="1243"/>
      <c r="J54" s="1245">
        <f t="shared" si="6"/>
        <v>1019.2458645440498</v>
      </c>
      <c r="K54" s="1242" t="str">
        <f>VLOOKUP(C54,'BTH mủ tạp'!D55:AN133,37,0)</f>
        <v>A</v>
      </c>
      <c r="L54" s="1246">
        <f t="shared" si="1"/>
        <v>4158446</v>
      </c>
      <c r="M54" s="1243">
        <f>VLOOKUP(C54,TONGHOPCONGDOI!$C$11:$V$91,20,0)</f>
        <v>20</v>
      </c>
      <c r="N54" s="1243">
        <f>VLOOKUP(C54,TONGHOPCONGDOI!$C$11:$W$91,21,0)</f>
        <v>5</v>
      </c>
      <c r="O54" s="1243">
        <f>VLOOKUP(C54,TONGHOPCONGDOI!$C$11:$AD$93,22,0)</f>
        <v>0</v>
      </c>
      <c r="P54" s="1243">
        <f>VLOOKUP(C54,TONGHOPCONGDOI!$C$11:$AD$93,23,0)</f>
        <v>0</v>
      </c>
      <c r="Q54" s="1243">
        <f>VLOOKUP(C54,TONGHOPCONGDOI!$C$11:$AD$93,24,0)</f>
        <v>0</v>
      </c>
      <c r="R54" s="1243">
        <f>VLOOKUP(C54,TONGHOPCONGDOI!$C$11:$AD$93,25,0)</f>
        <v>0</v>
      </c>
      <c r="S54" s="1243"/>
      <c r="T54" s="1244"/>
      <c r="U54" s="1244"/>
      <c r="V54" s="1244"/>
      <c r="W54" s="1247">
        <f t="shared" si="2"/>
        <v>873839</v>
      </c>
      <c r="X54" s="1243">
        <f t="shared" si="7"/>
        <v>5032285</v>
      </c>
      <c r="Y54" s="1243"/>
      <c r="Z54" s="1243">
        <f>VLOOKUP(C54,'CNKT '!D54:AA98,24,0)</f>
        <v>5032285</v>
      </c>
      <c r="AA54" s="1120">
        <f t="shared" si="4"/>
        <v>0</v>
      </c>
    </row>
    <row r="55" spans="1:27" s="1120" customFormat="1" ht="50.25" customHeight="1">
      <c r="A55" s="1242">
        <v>40</v>
      </c>
      <c r="B55" s="1242" t="str">
        <f>'Chấm công KT'!C52</f>
        <v>03489</v>
      </c>
      <c r="C55" s="1243" t="str">
        <f>TONGHOPCONGDOI!C50</f>
        <v>T. Tinh</v>
      </c>
      <c r="D55" s="1243"/>
      <c r="E55" s="1244"/>
      <c r="F55" s="1243">
        <f t="shared" si="0"/>
        <v>0</v>
      </c>
      <c r="G55" s="1243">
        <f>VLOOKUP(C55,TONGHOPCONGDOI!C50:AE94,16,0)</f>
        <v>1703</v>
      </c>
      <c r="H55" s="1243">
        <f>VLOOKUP(C55,TONGHOPCONGDOI!C50:AE94,17,0)</f>
        <v>0</v>
      </c>
      <c r="I55" s="1243"/>
      <c r="J55" s="1245">
        <f t="shared" si="6"/>
        <v>789.70687321133619</v>
      </c>
      <c r="K55" s="1242" t="str">
        <f>VLOOKUP(C55,'BTH mủ tạp'!D56:AN134,37,0)</f>
        <v>A</v>
      </c>
      <c r="L55" s="1246">
        <f t="shared" si="1"/>
        <v>3221944</v>
      </c>
      <c r="M55" s="1243">
        <f>VLOOKUP(C55,TONGHOPCONGDOI!$C$11:$V$91,20,0)</f>
        <v>22</v>
      </c>
      <c r="N55" s="1243">
        <f>VLOOKUP(C55,TONGHOPCONGDOI!$C$11:$W$91,21,0)</f>
        <v>5</v>
      </c>
      <c r="O55" s="1243">
        <f>VLOOKUP(C55,TONGHOPCONGDOI!$C$11:$AD$93,22,0)</f>
        <v>0</v>
      </c>
      <c r="P55" s="1243">
        <f>VLOOKUP(C55,TONGHOPCONGDOI!$C$11:$AD$93,23,0)</f>
        <v>0</v>
      </c>
      <c r="Q55" s="1243">
        <f>VLOOKUP(C55,TONGHOPCONGDOI!$C$11:$AD$93,24,0)</f>
        <v>0</v>
      </c>
      <c r="R55" s="1243">
        <f>VLOOKUP(C55,TONGHOPCONGDOI!$C$11:$AD$93,25,0)</f>
        <v>0</v>
      </c>
      <c r="S55" s="1243"/>
      <c r="T55" s="1244"/>
      <c r="U55" s="1244"/>
      <c r="V55" s="1244"/>
      <c r="W55" s="1247">
        <f t="shared" si="2"/>
        <v>935507</v>
      </c>
      <c r="X55" s="1243">
        <f t="shared" si="7"/>
        <v>4157451</v>
      </c>
      <c r="Y55" s="1243"/>
      <c r="Z55" s="1243">
        <f>VLOOKUP(C55,'CNKT '!D55:AA98,24,0)</f>
        <v>4157451</v>
      </c>
      <c r="AA55" s="1120">
        <f t="shared" si="4"/>
        <v>0</v>
      </c>
    </row>
    <row r="56" spans="1:27" s="1120" customFormat="1" ht="50.25" customHeight="1">
      <c r="A56" s="1242">
        <v>41</v>
      </c>
      <c r="B56" s="1242" t="str">
        <f>'Chấm công KT'!C53</f>
        <v>04059</v>
      </c>
      <c r="C56" s="1243" t="str">
        <f>TONGHOPCONGDOI!C51</f>
        <v>T. Khăm Pỏi</v>
      </c>
      <c r="D56" s="1243"/>
      <c r="E56" s="1244"/>
      <c r="F56" s="1243">
        <f t="shared" si="0"/>
        <v>0</v>
      </c>
      <c r="G56" s="1243">
        <f>VLOOKUP(C56,TONGHOPCONGDOI!C51:AE94,16,0)</f>
        <v>2260</v>
      </c>
      <c r="H56" s="1243">
        <f>VLOOKUP(C56,TONGHOPCONGDOI!C51:AE94,17,0)</f>
        <v>0</v>
      </c>
      <c r="I56" s="1243"/>
      <c r="J56" s="1245">
        <f t="shared" si="6"/>
        <v>1047.9962028523898</v>
      </c>
      <c r="K56" s="1242" t="str">
        <f>VLOOKUP(C56,'BTH mủ tạp'!D57:AN135,37,0)</f>
        <v>A</v>
      </c>
      <c r="L56" s="1246">
        <f t="shared" si="1"/>
        <v>4275745</v>
      </c>
      <c r="M56" s="1243">
        <f>VLOOKUP(C56,TONGHOPCONGDOI!$C$11:$V$91,20,0)</f>
        <v>21</v>
      </c>
      <c r="N56" s="1243">
        <f>VLOOKUP(C56,TONGHOPCONGDOI!$C$11:$W$91,21,0)</f>
        <v>4</v>
      </c>
      <c r="O56" s="1243">
        <f>VLOOKUP(C56,TONGHOPCONGDOI!$C$11:$AD$93,22,0)</f>
        <v>0</v>
      </c>
      <c r="P56" s="1243">
        <f>VLOOKUP(C56,TONGHOPCONGDOI!$C$11:$AD$93,23,0)</f>
        <v>0</v>
      </c>
      <c r="Q56" s="1243">
        <f>VLOOKUP(C56,TONGHOPCONGDOI!$C$11:$AD$93,24,0)</f>
        <v>0</v>
      </c>
      <c r="R56" s="1243">
        <f>VLOOKUP(C56,TONGHOPCONGDOI!$C$11:$AD$93,25,0)</f>
        <v>0</v>
      </c>
      <c r="S56" s="1243"/>
      <c r="T56" s="1244"/>
      <c r="U56" s="1244"/>
      <c r="V56" s="1244"/>
      <c r="W56" s="1247">
        <f t="shared" si="2"/>
        <v>853239</v>
      </c>
      <c r="X56" s="1243">
        <f t="shared" si="7"/>
        <v>5128984</v>
      </c>
      <c r="Y56" s="1243"/>
      <c r="Z56" s="1243">
        <f>VLOOKUP(C56,'CNKT '!D56:AA98,24,0)</f>
        <v>5128984</v>
      </c>
      <c r="AA56" s="1120">
        <f t="shared" si="4"/>
        <v>0</v>
      </c>
    </row>
    <row r="57" spans="1:27" s="1120" customFormat="1" ht="50.25" customHeight="1">
      <c r="A57" s="1242">
        <v>42</v>
      </c>
      <c r="B57" s="1242" t="str">
        <f>'Chấm công KT'!C54</f>
        <v>03491</v>
      </c>
      <c r="C57" s="1243" t="str">
        <f>TONGHOPCONGDOI!C52</f>
        <v>Lăm Ngân</v>
      </c>
      <c r="D57" s="1243"/>
      <c r="E57" s="1244"/>
      <c r="F57" s="1243">
        <f t="shared" si="0"/>
        <v>0</v>
      </c>
      <c r="G57" s="1243">
        <f>VLOOKUP(C57,TONGHOPCONGDOI!C52:AE94,16,0)</f>
        <v>2352</v>
      </c>
      <c r="H57" s="1243">
        <f>VLOOKUP(C57,TONGHOPCONGDOI!C52:AE94,17,0)</f>
        <v>0</v>
      </c>
      <c r="I57" s="1243"/>
      <c r="J57" s="1245">
        <f t="shared" si="6"/>
        <v>1090.6579951808942</v>
      </c>
      <c r="K57" s="1242" t="str">
        <f>VLOOKUP(C57,'BTH mủ tạp'!D58:AN136,37,0)</f>
        <v>A</v>
      </c>
      <c r="L57" s="1246">
        <f t="shared" si="1"/>
        <v>4449802</v>
      </c>
      <c r="M57" s="1243">
        <f>VLOOKUP(C57,TONGHOPCONGDOI!$C$11:$V$91,20,0)</f>
        <v>20</v>
      </c>
      <c r="N57" s="1243">
        <f>VLOOKUP(C57,TONGHOPCONGDOI!$C$11:$W$91,21,0)</f>
        <v>5</v>
      </c>
      <c r="O57" s="1243">
        <f>VLOOKUP(C57,TONGHOPCONGDOI!$C$11:$AD$93,22,0)</f>
        <v>0</v>
      </c>
      <c r="P57" s="1243">
        <f>VLOOKUP(C57,TONGHOPCONGDOI!$C$11:$AD$93,23,0)</f>
        <v>0</v>
      </c>
      <c r="Q57" s="1243">
        <f>VLOOKUP(C57,TONGHOPCONGDOI!$C$11:$AD$93,24,0)</f>
        <v>0</v>
      </c>
      <c r="R57" s="1243">
        <f>VLOOKUP(C57,TONGHOPCONGDOI!$C$11:$AD$93,25,0)</f>
        <v>0</v>
      </c>
      <c r="S57" s="1243"/>
      <c r="T57" s="1244"/>
      <c r="U57" s="1244"/>
      <c r="V57" s="1244"/>
      <c r="W57" s="1247">
        <f t="shared" si="2"/>
        <v>873839</v>
      </c>
      <c r="X57" s="1243">
        <f t="shared" si="7"/>
        <v>5323641</v>
      </c>
      <c r="Y57" s="1243"/>
      <c r="Z57" s="1243">
        <f>VLOOKUP(C57,'CNKT '!D57:AA98,24,0)</f>
        <v>5323641</v>
      </c>
      <c r="AA57" s="1120">
        <f t="shared" si="4"/>
        <v>0</v>
      </c>
    </row>
    <row r="58" spans="1:27" s="1120" customFormat="1" ht="50.25" customHeight="1">
      <c r="A58" s="1242">
        <v>43</v>
      </c>
      <c r="B58" s="1242" t="str">
        <f>'Chấm công KT'!C55</f>
        <v>04060</v>
      </c>
      <c r="C58" s="1243" t="str">
        <f>TONGHOPCONGDOI!C53</f>
        <v>T. Không</v>
      </c>
      <c r="D58" s="1243"/>
      <c r="E58" s="1244"/>
      <c r="F58" s="1243">
        <f t="shared" si="0"/>
        <v>0</v>
      </c>
      <c r="G58" s="1243">
        <f>VLOOKUP(C58,TONGHOPCONGDOI!C53:AE94,16,0)</f>
        <v>1929</v>
      </c>
      <c r="H58" s="1243">
        <f>VLOOKUP(C58,TONGHOPCONGDOI!C53:AE94,17,0)</f>
        <v>0</v>
      </c>
      <c r="I58" s="1243"/>
      <c r="J58" s="1245">
        <f t="shared" si="6"/>
        <v>894.50649349657522</v>
      </c>
      <c r="K58" s="1242" t="str">
        <f>VLOOKUP(C58,'BTH mủ tạp'!D59:AN137,37,0)</f>
        <v>A</v>
      </c>
      <c r="L58" s="1246">
        <f t="shared" si="1"/>
        <v>3649519</v>
      </c>
      <c r="M58" s="1243">
        <f>VLOOKUP(C58,TONGHOPCONGDOI!$C$11:$V$91,20,0)</f>
        <v>23</v>
      </c>
      <c r="N58" s="1243">
        <f>VLOOKUP(C58,TONGHOPCONGDOI!$C$11:$W$91,21,0)</f>
        <v>5</v>
      </c>
      <c r="O58" s="1243">
        <f>VLOOKUP(C58,TONGHOPCONGDOI!$C$11:$AD$93,22,0)</f>
        <v>0</v>
      </c>
      <c r="P58" s="1243">
        <f>VLOOKUP(C58,TONGHOPCONGDOI!$C$11:$AD$93,23,0)</f>
        <v>0</v>
      </c>
      <c r="Q58" s="1243">
        <f>VLOOKUP(C58,TONGHOPCONGDOI!$C$11:$AD$93,24,0)</f>
        <v>0</v>
      </c>
      <c r="R58" s="1243">
        <f>VLOOKUP(C58,TONGHOPCONGDOI!$C$11:$AD$93,25,0)</f>
        <v>0</v>
      </c>
      <c r="S58" s="1243"/>
      <c r="T58" s="1244"/>
      <c r="U58" s="1244"/>
      <c r="V58" s="1244"/>
      <c r="W58" s="1247">
        <f t="shared" si="2"/>
        <v>966340</v>
      </c>
      <c r="X58" s="1243">
        <f t="shared" si="7"/>
        <v>4615859</v>
      </c>
      <c r="Y58" s="1243"/>
      <c r="Z58" s="1243">
        <f>VLOOKUP(C58,'CNKT '!D58:AA98,24,0)</f>
        <v>4615859</v>
      </c>
      <c r="AA58" s="1120">
        <f t="shared" si="4"/>
        <v>0</v>
      </c>
    </row>
    <row r="59" spans="1:27" s="1120" customFormat="1" ht="50.25" customHeight="1">
      <c r="A59" s="1242">
        <v>44</v>
      </c>
      <c r="B59" s="1242" t="str">
        <f>'Chấm công KT'!C56</f>
        <v>03492</v>
      </c>
      <c r="C59" s="1243" t="str">
        <f>TONGHOPCONGDOI!C54</f>
        <v>T. Lem</v>
      </c>
      <c r="D59" s="1243"/>
      <c r="E59" s="1244"/>
      <c r="F59" s="1243">
        <f t="shared" si="0"/>
        <v>0</v>
      </c>
      <c r="G59" s="1243">
        <f>VLOOKUP(C59,TONGHOPCONGDOI!C54:AE94,16,0)</f>
        <v>2372</v>
      </c>
      <c r="H59" s="1243">
        <f>VLOOKUP(C59,TONGHOPCONGDOI!C54:AE94,17,0)</f>
        <v>0</v>
      </c>
      <c r="I59" s="1243"/>
      <c r="J59" s="1245">
        <f t="shared" si="6"/>
        <v>1099.9322978610037</v>
      </c>
      <c r="K59" s="1242" t="str">
        <f>VLOOKUP(C59,'BTH mủ tạp'!D60:AN138,37,0)</f>
        <v>A</v>
      </c>
      <c r="L59" s="1246">
        <f t="shared" si="1"/>
        <v>4487640</v>
      </c>
      <c r="M59" s="1243">
        <f>VLOOKUP(C59,TONGHOPCONGDOI!$C$11:$V$91,20,0)</f>
        <v>22</v>
      </c>
      <c r="N59" s="1243">
        <f>VLOOKUP(C59,TONGHOPCONGDOI!$C$11:$W$91,21,0)</f>
        <v>5</v>
      </c>
      <c r="O59" s="1243">
        <f>VLOOKUP(C59,TONGHOPCONGDOI!$C$11:$AD$93,22,0)</f>
        <v>0</v>
      </c>
      <c r="P59" s="1243">
        <f>VLOOKUP(C59,TONGHOPCONGDOI!$C$11:$AD$93,23,0)</f>
        <v>0</v>
      </c>
      <c r="Q59" s="1243">
        <f>VLOOKUP(C59,TONGHOPCONGDOI!$C$11:$AD$93,24,0)</f>
        <v>0</v>
      </c>
      <c r="R59" s="1243">
        <f>VLOOKUP(C59,TONGHOPCONGDOI!$C$11:$AD$93,25,0)</f>
        <v>0</v>
      </c>
      <c r="S59" s="1243"/>
      <c r="T59" s="1244"/>
      <c r="U59" s="1244"/>
      <c r="V59" s="1244"/>
      <c r="W59" s="1247">
        <f t="shared" si="2"/>
        <v>935507</v>
      </c>
      <c r="X59" s="1243">
        <f t="shared" si="7"/>
        <v>5423147</v>
      </c>
      <c r="Y59" s="1243"/>
      <c r="Z59" s="1243">
        <f>VLOOKUP(C59,'CNKT '!D59:AA98,24,0)</f>
        <v>5423147</v>
      </c>
      <c r="AA59" s="1120">
        <f t="shared" si="4"/>
        <v>0</v>
      </c>
    </row>
    <row r="60" spans="1:27" s="1120" customFormat="1" ht="50.25" customHeight="1">
      <c r="A60" s="1242">
        <v>45</v>
      </c>
      <c r="B60" s="1242" t="str">
        <f>'Chấm công KT'!C57</f>
        <v>03493</v>
      </c>
      <c r="C60" s="1243" t="str">
        <f>TONGHOPCONGDOI!C55</f>
        <v>T. Pông</v>
      </c>
      <c r="D60" s="1243"/>
      <c r="E60" s="1244"/>
      <c r="F60" s="1243">
        <f t="shared" si="0"/>
        <v>0</v>
      </c>
      <c r="G60" s="1243">
        <f>VLOOKUP(C60,TONGHOPCONGDOI!C55:AE94,16,0)</f>
        <v>3438</v>
      </c>
      <c r="H60" s="1243">
        <f>VLOOKUP(C60,TONGHOPCONGDOI!C55:AE94,17,0)</f>
        <v>0</v>
      </c>
      <c r="I60" s="1243"/>
      <c r="J60" s="1245">
        <f t="shared" si="6"/>
        <v>1594.2526307108478</v>
      </c>
      <c r="K60" s="1242" t="str">
        <f>VLOOKUP(C60,'BTH mủ tạp'!D61:AN139,37,0)</f>
        <v>A</v>
      </c>
      <c r="L60" s="1246">
        <f t="shared" si="1"/>
        <v>6504430</v>
      </c>
      <c r="M60" s="1243">
        <f>VLOOKUP(C60,TONGHOPCONGDOI!$C$11:$V$91,20,0)</f>
        <v>22</v>
      </c>
      <c r="N60" s="1243">
        <f>VLOOKUP(C60,TONGHOPCONGDOI!$C$11:$W$91,21,0)</f>
        <v>5</v>
      </c>
      <c r="O60" s="1243">
        <f>VLOOKUP(C60,TONGHOPCONGDOI!$C$11:$AD$93,22,0)</f>
        <v>0</v>
      </c>
      <c r="P60" s="1243">
        <f>VLOOKUP(C60,TONGHOPCONGDOI!$C$11:$AD$93,23,0)</f>
        <v>0</v>
      </c>
      <c r="Q60" s="1243">
        <f>VLOOKUP(C60,TONGHOPCONGDOI!$C$11:$AD$93,24,0)</f>
        <v>0</v>
      </c>
      <c r="R60" s="1243">
        <f>VLOOKUP(C60,TONGHOPCONGDOI!$C$11:$AD$93,25,0)</f>
        <v>0</v>
      </c>
      <c r="S60" s="1243"/>
      <c r="T60" s="1244"/>
      <c r="U60" s="1244"/>
      <c r="V60" s="1244"/>
      <c r="W60" s="1247">
        <f t="shared" si="2"/>
        <v>935507</v>
      </c>
      <c r="X60" s="1243">
        <f t="shared" si="7"/>
        <v>7439937</v>
      </c>
      <c r="Y60" s="1243"/>
      <c r="Z60" s="1243">
        <f>VLOOKUP(C60,'CNKT '!D60:AA98,24,0)</f>
        <v>7439937</v>
      </c>
      <c r="AA60" s="1120">
        <f t="shared" si="4"/>
        <v>0</v>
      </c>
    </row>
    <row r="61" spans="1:27" s="1120" customFormat="1" ht="50.25" customHeight="1">
      <c r="A61" s="1242">
        <v>46</v>
      </c>
      <c r="B61" s="1242" t="str">
        <f>'Chấm công KT'!C58</f>
        <v>03496</v>
      </c>
      <c r="C61" s="1243" t="str">
        <f>TONGHOPCONGDOI!C56</f>
        <v>T. Lốp</v>
      </c>
      <c r="D61" s="1243"/>
      <c r="E61" s="1244"/>
      <c r="F61" s="1243">
        <f t="shared" si="0"/>
        <v>0</v>
      </c>
      <c r="G61" s="1243">
        <f>VLOOKUP(C61,TONGHOPCONGDOI!C56:AE94,16,0)</f>
        <v>2981</v>
      </c>
      <c r="H61" s="1243">
        <f>VLOOKUP(C61,TONGHOPCONGDOI!C56:AE94,17,0)</f>
        <v>0</v>
      </c>
      <c r="I61" s="1243"/>
      <c r="J61" s="1245">
        <f t="shared" si="6"/>
        <v>1382.3348144703425</v>
      </c>
      <c r="K61" s="1242" t="str">
        <f>VLOOKUP(C61,'BTH mủ tạp'!D62:AN140,37,0)</f>
        <v>A</v>
      </c>
      <c r="L61" s="1246">
        <f t="shared" si="1"/>
        <v>5639821</v>
      </c>
      <c r="M61" s="1243">
        <f>VLOOKUP(C61,TONGHOPCONGDOI!$C$11:$V$91,20,0)</f>
        <v>23</v>
      </c>
      <c r="N61" s="1243">
        <f>VLOOKUP(C61,TONGHOPCONGDOI!$C$11:$W$91,21,0)</f>
        <v>5</v>
      </c>
      <c r="O61" s="1243">
        <f>VLOOKUP(C61,TONGHOPCONGDOI!$C$11:$AD$93,22,0)</f>
        <v>0</v>
      </c>
      <c r="P61" s="1243">
        <f>VLOOKUP(C61,TONGHOPCONGDOI!$C$11:$AD$93,23,0)</f>
        <v>0</v>
      </c>
      <c r="Q61" s="1243">
        <f>VLOOKUP(C61,TONGHOPCONGDOI!$C$11:$AD$93,24,0)</f>
        <v>0</v>
      </c>
      <c r="R61" s="1243">
        <f>VLOOKUP(C61,TONGHOPCONGDOI!$C$11:$AD$93,25,0)</f>
        <v>0</v>
      </c>
      <c r="S61" s="1243"/>
      <c r="T61" s="1244"/>
      <c r="U61" s="1244"/>
      <c r="V61" s="1244"/>
      <c r="W61" s="1247">
        <f t="shared" si="2"/>
        <v>966340</v>
      </c>
      <c r="X61" s="1243">
        <f t="shared" si="7"/>
        <v>6606161</v>
      </c>
      <c r="Y61" s="1243"/>
      <c r="Z61" s="1243">
        <f>VLOOKUP(C61,'CNKT '!D61:AA98,24,0)</f>
        <v>6606161</v>
      </c>
      <c r="AA61" s="1120">
        <f t="shared" si="4"/>
        <v>0</v>
      </c>
    </row>
    <row r="62" spans="1:27" s="1120" customFormat="1" ht="50.25" customHeight="1">
      <c r="A62" s="1242">
        <v>47</v>
      </c>
      <c r="B62" s="1242" t="str">
        <f>'Chấm công KT'!C59</f>
        <v>04061</v>
      </c>
      <c r="C62" s="1243" t="str">
        <f>TONGHOPCONGDOI!C57</f>
        <v>N. Nu Ni</v>
      </c>
      <c r="D62" s="1243"/>
      <c r="E62" s="1244"/>
      <c r="F62" s="1243">
        <f t="shared" si="0"/>
        <v>0</v>
      </c>
      <c r="G62" s="1243">
        <f>VLOOKUP(C62,TONGHOPCONGDOI!C57:AE94,16,0)</f>
        <v>3004</v>
      </c>
      <c r="H62" s="1243">
        <f>VLOOKUP(C62,TONGHOPCONGDOI!C57:AE94,17,0)</f>
        <v>0</v>
      </c>
      <c r="I62" s="1243"/>
      <c r="J62" s="1245">
        <f t="shared" si="6"/>
        <v>1393.0002625524685</v>
      </c>
      <c r="K62" s="1242" t="str">
        <f>VLOOKUP(C62,'BTH mủ tạp'!D63:AN141,37,0)</f>
        <v>B</v>
      </c>
      <c r="L62" s="1246">
        <f t="shared" si="1"/>
        <v>5403827</v>
      </c>
      <c r="M62" s="1243">
        <f>VLOOKUP(C62,TONGHOPCONGDOI!$C$11:$V$91,20,0)</f>
        <v>23</v>
      </c>
      <c r="N62" s="1243">
        <f>VLOOKUP(C62,TONGHOPCONGDOI!$C$11:$W$91,21,0)</f>
        <v>5</v>
      </c>
      <c r="O62" s="1243">
        <f>VLOOKUP(C62,TONGHOPCONGDOI!$C$11:$AD$93,22,0)</f>
        <v>0</v>
      </c>
      <c r="P62" s="1243">
        <f>VLOOKUP(C62,TONGHOPCONGDOI!$C$11:$AD$93,23,0)</f>
        <v>0</v>
      </c>
      <c r="Q62" s="1243">
        <f>VLOOKUP(C62,TONGHOPCONGDOI!$C$11:$AD$93,24,0)</f>
        <v>0</v>
      </c>
      <c r="R62" s="1243">
        <f>VLOOKUP(C62,TONGHOPCONGDOI!$C$11:$AD$93,25,0)</f>
        <v>0</v>
      </c>
      <c r="S62" s="1243"/>
      <c r="T62" s="1244"/>
      <c r="U62" s="1244"/>
      <c r="V62" s="1244"/>
      <c r="W62" s="1247">
        <f t="shared" si="2"/>
        <v>966340</v>
      </c>
      <c r="X62" s="1243">
        <f t="shared" si="7"/>
        <v>6370167</v>
      </c>
      <c r="Y62" s="1243"/>
      <c r="Z62" s="1243">
        <f>VLOOKUP(C62,'CNKT '!D62:AA98,24,0)</f>
        <v>6370167</v>
      </c>
      <c r="AA62" s="1120">
        <f t="shared" si="4"/>
        <v>0</v>
      </c>
    </row>
    <row r="63" spans="1:27" s="1120" customFormat="1" ht="50.25" customHeight="1">
      <c r="A63" s="1242">
        <v>48</v>
      </c>
      <c r="B63" s="1242" t="str">
        <f>'Chấm công KT'!C60</f>
        <v>03494</v>
      </c>
      <c r="C63" s="1243" t="str">
        <f>TONGHOPCONGDOI!C58</f>
        <v>T. Đi</v>
      </c>
      <c r="D63" s="1243"/>
      <c r="E63" s="1244"/>
      <c r="F63" s="1243">
        <f t="shared" si="0"/>
        <v>0</v>
      </c>
      <c r="G63" s="1243">
        <f>VLOOKUP(C63,TONGHOPCONGDOI!C58:AE94,16,0)</f>
        <v>1429</v>
      </c>
      <c r="H63" s="1243">
        <f>VLOOKUP(C63,TONGHOPCONGDOI!C58:AE94,17,0)</f>
        <v>0</v>
      </c>
      <c r="I63" s="1243"/>
      <c r="J63" s="1245">
        <f t="shared" si="6"/>
        <v>662.6489264938341</v>
      </c>
      <c r="K63" s="1242" t="str">
        <f>VLOOKUP(C63,'BTH mủ tạp'!D64:AN142,37,0)</f>
        <v>A</v>
      </c>
      <c r="L63" s="1246">
        <f t="shared" si="1"/>
        <v>2703557</v>
      </c>
      <c r="M63" s="1243">
        <f>VLOOKUP(C63,TONGHOPCONGDOI!$C$11:$V$91,20,0)</f>
        <v>16</v>
      </c>
      <c r="N63" s="1243">
        <f>VLOOKUP(C63,TONGHOPCONGDOI!$C$11:$W$91,21,0)</f>
        <v>4</v>
      </c>
      <c r="O63" s="1243">
        <f>VLOOKUP(C63,TONGHOPCONGDOI!$C$11:$AD$93,22,0)</f>
        <v>0</v>
      </c>
      <c r="P63" s="1243">
        <f>VLOOKUP(C63,TONGHOPCONGDOI!$C$11:$AD$93,23,0)</f>
        <v>0</v>
      </c>
      <c r="Q63" s="1243">
        <f>VLOOKUP(C63,TONGHOPCONGDOI!$C$11:$AD$93,24,0)</f>
        <v>0</v>
      </c>
      <c r="R63" s="1243">
        <f>VLOOKUP(C63,TONGHOPCONGDOI!$C$11:$AD$93,25,0)</f>
        <v>0</v>
      </c>
      <c r="S63" s="1243"/>
      <c r="T63" s="1244"/>
      <c r="U63" s="1244"/>
      <c r="V63" s="1244"/>
      <c r="W63" s="1247">
        <f t="shared" si="2"/>
        <v>699072</v>
      </c>
      <c r="X63" s="1243">
        <f t="shared" si="7"/>
        <v>3402629</v>
      </c>
      <c r="Y63" s="1243"/>
      <c r="Z63" s="1243">
        <f>VLOOKUP(C63,'CNKT '!D63:AA98,24,0)</f>
        <v>3402629</v>
      </c>
      <c r="AA63" s="1120">
        <f t="shared" si="4"/>
        <v>0</v>
      </c>
    </row>
    <row r="64" spans="1:27" s="1120" customFormat="1" ht="50.25" customHeight="1">
      <c r="A64" s="1242">
        <v>49</v>
      </c>
      <c r="B64" s="1242" t="str">
        <f>'Chấm công KT'!C61</f>
        <v>03495</v>
      </c>
      <c r="C64" s="1243" t="str">
        <f>TONGHOPCONGDOI!C59</f>
        <v>N. On Xi</v>
      </c>
      <c r="D64" s="1243"/>
      <c r="E64" s="1244"/>
      <c r="F64" s="1243">
        <f t="shared" si="0"/>
        <v>0</v>
      </c>
      <c r="G64" s="1243">
        <f>VLOOKUP(C64,TONGHOPCONGDOI!C59:AE94,16,0)</f>
        <v>1920</v>
      </c>
      <c r="H64" s="1243">
        <f>VLOOKUP(C64,TONGHOPCONGDOI!C59:AE94,17,0)</f>
        <v>0</v>
      </c>
      <c r="I64" s="1243"/>
      <c r="J64" s="1245">
        <f t="shared" si="6"/>
        <v>890.33305729052586</v>
      </c>
      <c r="K64" s="1242" t="str">
        <f>VLOOKUP(C64,'BTH mủ tạp'!D65:AN143,37,0)</f>
        <v>B</v>
      </c>
      <c r="L64" s="1246">
        <f t="shared" si="1"/>
        <v>3453844</v>
      </c>
      <c r="M64" s="1243">
        <f>VLOOKUP(C64,TONGHOPCONGDOI!$C$11:$V$91,20,0)</f>
        <v>21</v>
      </c>
      <c r="N64" s="1243">
        <f>VLOOKUP(C64,TONGHOPCONGDOI!$C$11:$W$91,21,0)</f>
        <v>5</v>
      </c>
      <c r="O64" s="1243">
        <f>VLOOKUP(C64,TONGHOPCONGDOI!$C$11:$AD$93,22,0)</f>
        <v>0</v>
      </c>
      <c r="P64" s="1243">
        <f>VLOOKUP(C64,TONGHOPCONGDOI!$C$11:$AD$93,23,0)</f>
        <v>0</v>
      </c>
      <c r="Q64" s="1243">
        <f>VLOOKUP(C64,TONGHOPCONGDOI!$C$11:$AD$93,24,0)</f>
        <v>0</v>
      </c>
      <c r="R64" s="1243">
        <f>VLOOKUP(C64,TONGHOPCONGDOI!$C$11:$AD$93,25,0)</f>
        <v>0</v>
      </c>
      <c r="S64" s="1243"/>
      <c r="T64" s="1244"/>
      <c r="U64" s="1244"/>
      <c r="V64" s="1244"/>
      <c r="W64" s="1247">
        <f t="shared" si="2"/>
        <v>904673</v>
      </c>
      <c r="X64" s="1243">
        <f t="shared" si="7"/>
        <v>4358517</v>
      </c>
      <c r="Y64" s="1243"/>
      <c r="Z64" s="1243">
        <f>VLOOKUP(C64,'CNKT '!D64:AA98,24,0)</f>
        <v>4358517</v>
      </c>
      <c r="AA64" s="1120">
        <f t="shared" si="4"/>
        <v>0</v>
      </c>
    </row>
    <row r="65" spans="1:27" s="1120" customFormat="1" ht="50.25" customHeight="1">
      <c r="A65" s="1242">
        <v>50</v>
      </c>
      <c r="B65" s="1242" t="str">
        <f>'Chấm công KT'!C62</f>
        <v>04062</v>
      </c>
      <c r="C65" s="1243" t="str">
        <f>TONGHOPCONGDOI!C60</f>
        <v>N. Thông La</v>
      </c>
      <c r="D65" s="1243"/>
      <c r="E65" s="1244"/>
      <c r="F65" s="1243">
        <f t="shared" si="0"/>
        <v>0</v>
      </c>
      <c r="G65" s="1243">
        <f>VLOOKUP(C65,TONGHOPCONGDOI!C60:AE94,16,0)</f>
        <v>2490</v>
      </c>
      <c r="H65" s="1243">
        <f>VLOOKUP(C65,TONGHOPCONGDOI!C60:AE94,17,0)</f>
        <v>0</v>
      </c>
      <c r="I65" s="1243"/>
      <c r="J65" s="1245">
        <f t="shared" si="6"/>
        <v>1154.6506836736507</v>
      </c>
      <c r="K65" s="1242" t="str">
        <f>VLOOKUP(C65,'BTH mủ tạp'!D66:AN144,37,0)</f>
        <v>A</v>
      </c>
      <c r="L65" s="1246">
        <f t="shared" si="1"/>
        <v>4710887</v>
      </c>
      <c r="M65" s="1243">
        <f>VLOOKUP(C65,TONGHOPCONGDOI!$C$11:$V$91,20,0)</f>
        <v>23</v>
      </c>
      <c r="N65" s="1243">
        <f>VLOOKUP(C65,TONGHOPCONGDOI!$C$11:$W$91,21,0)</f>
        <v>5</v>
      </c>
      <c r="O65" s="1243">
        <f>VLOOKUP(C65,TONGHOPCONGDOI!$C$11:$AD$93,22,0)</f>
        <v>0</v>
      </c>
      <c r="P65" s="1243">
        <f>VLOOKUP(C65,TONGHOPCONGDOI!$C$11:$AD$93,23,0)</f>
        <v>0</v>
      </c>
      <c r="Q65" s="1243">
        <f>VLOOKUP(C65,TONGHOPCONGDOI!$C$11:$AD$93,24,0)</f>
        <v>0</v>
      </c>
      <c r="R65" s="1243">
        <f>VLOOKUP(C65,TONGHOPCONGDOI!$C$11:$AD$93,25,0)</f>
        <v>0</v>
      </c>
      <c r="S65" s="1243"/>
      <c r="T65" s="1244"/>
      <c r="U65" s="1244"/>
      <c r="V65" s="1244"/>
      <c r="W65" s="1247">
        <f t="shared" si="2"/>
        <v>966340</v>
      </c>
      <c r="X65" s="1243">
        <f t="shared" si="7"/>
        <v>5677227</v>
      </c>
      <c r="Y65" s="1243"/>
      <c r="Z65" s="1243">
        <f>VLOOKUP(C65,'CNKT '!D65:AA98,24,0)</f>
        <v>5677227</v>
      </c>
      <c r="AA65" s="1120">
        <f t="shared" si="4"/>
        <v>0</v>
      </c>
    </row>
    <row r="66" spans="1:27" s="1120" customFormat="1" ht="50.25" customHeight="1">
      <c r="A66" s="1242">
        <v>51</v>
      </c>
      <c r="B66" s="1242" t="str">
        <f>'Chấm công KT'!C63</f>
        <v>03497</v>
      </c>
      <c r="C66" s="1243" t="str">
        <f>TONGHOPCONGDOI!C61</f>
        <v>T. Son Xay</v>
      </c>
      <c r="D66" s="1243"/>
      <c r="E66" s="1244"/>
      <c r="F66" s="1243">
        <f t="shared" si="0"/>
        <v>0</v>
      </c>
      <c r="G66" s="1243">
        <f>VLOOKUP(C66,TONGHOPCONGDOI!C61:AE94,16,0)</f>
        <v>2572</v>
      </c>
      <c r="H66" s="1243">
        <f>VLOOKUP(C66,TONGHOPCONGDOI!C61:AE94,17,0)</f>
        <v>0</v>
      </c>
      <c r="I66" s="1243"/>
      <c r="J66" s="1245">
        <f t="shared" si="6"/>
        <v>1192.6753246621001</v>
      </c>
      <c r="K66" s="1242" t="str">
        <f>VLOOKUP(C66,'BTH mủ tạp'!D67:AN145,37,0)</f>
        <v>A</v>
      </c>
      <c r="L66" s="1246">
        <f t="shared" si="1"/>
        <v>4866025</v>
      </c>
      <c r="M66" s="1243">
        <f>VLOOKUP(C66,TONGHOPCONGDOI!$C$11:$V$91,20,0)</f>
        <v>20</v>
      </c>
      <c r="N66" s="1243">
        <f>VLOOKUP(C66,TONGHOPCONGDOI!$C$11:$W$91,21,0)</f>
        <v>5</v>
      </c>
      <c r="O66" s="1243">
        <f>VLOOKUP(C66,TONGHOPCONGDOI!$C$11:$AD$93,22,0)</f>
        <v>0</v>
      </c>
      <c r="P66" s="1243">
        <f>VLOOKUP(C66,TONGHOPCONGDOI!$C$11:$AD$93,23,0)</f>
        <v>0</v>
      </c>
      <c r="Q66" s="1243">
        <f>VLOOKUP(C66,TONGHOPCONGDOI!$C$11:$AD$93,24,0)</f>
        <v>0</v>
      </c>
      <c r="R66" s="1243">
        <f>VLOOKUP(C66,TONGHOPCONGDOI!$C$11:$AD$93,25,0)</f>
        <v>0</v>
      </c>
      <c r="S66" s="1243"/>
      <c r="T66" s="1244"/>
      <c r="U66" s="1244"/>
      <c r="V66" s="1244"/>
      <c r="W66" s="1247">
        <f t="shared" si="2"/>
        <v>873839</v>
      </c>
      <c r="X66" s="1243">
        <f t="shared" si="7"/>
        <v>5739864</v>
      </c>
      <c r="Y66" s="1243"/>
      <c r="Z66" s="1243">
        <f>VLOOKUP(C66,'CNKT '!D66:AA98,24,0)</f>
        <v>5739864</v>
      </c>
      <c r="AA66" s="1120">
        <f t="shared" si="4"/>
        <v>0</v>
      </c>
    </row>
    <row r="67" spans="1:27" s="1120" customFormat="1" ht="50.25" customHeight="1">
      <c r="A67" s="1242">
        <v>52</v>
      </c>
      <c r="B67" s="1242" t="str">
        <f>'Chấm công KT'!C64</f>
        <v>03498</v>
      </c>
      <c r="C67" s="1243" t="str">
        <f>TONGHOPCONGDOI!C62</f>
        <v>N. Lăm Phay</v>
      </c>
      <c r="D67" s="1243"/>
      <c r="E67" s="1244"/>
      <c r="F67" s="1243">
        <f t="shared" si="0"/>
        <v>0</v>
      </c>
      <c r="G67" s="1243">
        <f>VLOOKUP(C67,TONGHOPCONGDOI!C62:AE94,16,0)</f>
        <v>2593</v>
      </c>
      <c r="H67" s="1243">
        <f>VLOOKUP(C67,TONGHOPCONGDOI!C62:AE94,17,0)</f>
        <v>0</v>
      </c>
      <c r="I67" s="1243"/>
      <c r="J67" s="1245">
        <f t="shared" si="6"/>
        <v>1202.4133424762153</v>
      </c>
      <c r="K67" s="1242" t="str">
        <f>VLOOKUP(C67,'BTH mủ tạp'!D68:AN146,37,0)</f>
        <v>A</v>
      </c>
      <c r="L67" s="1246">
        <f t="shared" si="1"/>
        <v>4905755</v>
      </c>
      <c r="M67" s="1243">
        <f>VLOOKUP(C67,TONGHOPCONGDOI!$C$11:$V$91,20,0)</f>
        <v>21</v>
      </c>
      <c r="N67" s="1243">
        <f>VLOOKUP(C67,TONGHOPCONGDOI!$C$11:$W$91,21,0)</f>
        <v>5</v>
      </c>
      <c r="O67" s="1243">
        <f>VLOOKUP(C67,TONGHOPCONGDOI!$C$11:$AD$93,22,0)</f>
        <v>0</v>
      </c>
      <c r="P67" s="1243">
        <f>VLOOKUP(C67,TONGHOPCONGDOI!$C$11:$AD$93,23,0)</f>
        <v>0</v>
      </c>
      <c r="Q67" s="1243">
        <f>VLOOKUP(C67,TONGHOPCONGDOI!$C$11:$AD$93,24,0)</f>
        <v>0</v>
      </c>
      <c r="R67" s="1243">
        <f>VLOOKUP(C67,TONGHOPCONGDOI!$C$11:$AD$93,25,0)</f>
        <v>0</v>
      </c>
      <c r="S67" s="1243"/>
      <c r="T67" s="1244"/>
      <c r="U67" s="1244"/>
      <c r="V67" s="1244"/>
      <c r="W67" s="1247">
        <f t="shared" si="2"/>
        <v>904673</v>
      </c>
      <c r="X67" s="1243">
        <f t="shared" si="7"/>
        <v>5810428</v>
      </c>
      <c r="Y67" s="1243"/>
      <c r="Z67" s="1243">
        <f>VLOOKUP(C67,'CNKT '!D67:AA98,24,0)</f>
        <v>5810428</v>
      </c>
      <c r="AA67" s="1120">
        <f t="shared" si="4"/>
        <v>0</v>
      </c>
    </row>
    <row r="68" spans="1:27" s="1120" customFormat="1" ht="50.25" customHeight="1">
      <c r="A68" s="1242">
        <v>53</v>
      </c>
      <c r="B68" s="1242" t="str">
        <f>'Chấm công KT'!C65</f>
        <v>02706</v>
      </c>
      <c r="C68" s="1243" t="str">
        <f>TONGHOPCONGDOI!C63</f>
        <v>T. Nhung</v>
      </c>
      <c r="D68" s="1243"/>
      <c r="E68" s="1244"/>
      <c r="F68" s="1243">
        <f t="shared" si="0"/>
        <v>0</v>
      </c>
      <c r="G68" s="1243">
        <f>VLOOKUP(C68,TONGHOPCONGDOI!C63:AE94,16,0)</f>
        <v>2707</v>
      </c>
      <c r="H68" s="1243">
        <f>VLOOKUP(C68,TONGHOPCONGDOI!C63:AE94,17,0)</f>
        <v>0</v>
      </c>
      <c r="I68" s="1243"/>
      <c r="J68" s="1245">
        <f t="shared" si="6"/>
        <v>1255.2768677528404</v>
      </c>
      <c r="K68" s="1242" t="str">
        <f>VLOOKUP(C68,'BTH mủ tạp'!D69:AN147,37,0)</f>
        <v>A</v>
      </c>
      <c r="L68" s="1246">
        <f t="shared" si="1"/>
        <v>5121434</v>
      </c>
      <c r="M68" s="1243">
        <f>VLOOKUP(C68,TONGHOPCONGDOI!$C$11:$V$91,20,0)</f>
        <v>22</v>
      </c>
      <c r="N68" s="1243">
        <f>VLOOKUP(C68,TONGHOPCONGDOI!$C$11:$W$91,21,0)</f>
        <v>5</v>
      </c>
      <c r="O68" s="1243">
        <f>VLOOKUP(C68,TONGHOPCONGDOI!$C$11:$AD$93,22,0)</f>
        <v>0</v>
      </c>
      <c r="P68" s="1243">
        <f>VLOOKUP(C68,TONGHOPCONGDOI!$C$11:$AD$93,23,0)</f>
        <v>0</v>
      </c>
      <c r="Q68" s="1243">
        <f>VLOOKUP(C68,TONGHOPCONGDOI!$C$11:$AD$93,24,0)</f>
        <v>0</v>
      </c>
      <c r="R68" s="1243">
        <f>VLOOKUP(C68,TONGHOPCONGDOI!$C$11:$AD$93,25,0)</f>
        <v>0</v>
      </c>
      <c r="S68" s="1243"/>
      <c r="T68" s="1244"/>
      <c r="U68" s="1244"/>
      <c r="V68" s="1244"/>
      <c r="W68" s="1247">
        <f t="shared" si="2"/>
        <v>935507</v>
      </c>
      <c r="X68" s="1243">
        <f t="shared" si="7"/>
        <v>6056941</v>
      </c>
      <c r="Y68" s="1243"/>
      <c r="Z68" s="1243">
        <f>VLOOKUP(C68,'CNKT '!D68:AA98,24,0)</f>
        <v>6056941</v>
      </c>
      <c r="AA68" s="1120">
        <f t="shared" si="4"/>
        <v>0</v>
      </c>
    </row>
    <row r="69" spans="1:27" s="1120" customFormat="1" ht="50.25" customHeight="1">
      <c r="A69" s="1242">
        <v>54</v>
      </c>
      <c r="B69" s="1242" t="str">
        <f>'Chấm công KT'!C66</f>
        <v>04063</v>
      </c>
      <c r="C69" s="1243" t="str">
        <f>TONGHOPCONGDOI!C64</f>
        <v>T. Khay Khăm</v>
      </c>
      <c r="D69" s="1243"/>
      <c r="E69" s="1244"/>
      <c r="F69" s="1243">
        <f t="shared" si="0"/>
        <v>0</v>
      </c>
      <c r="G69" s="1243">
        <f>VLOOKUP(C69,TONGHOPCONGDOI!C64:AE94,16,0)</f>
        <v>1093</v>
      </c>
      <c r="H69" s="1243">
        <f>VLOOKUP(C69,TONGHOPCONGDOI!C64:AE94,17,0)</f>
        <v>0</v>
      </c>
      <c r="I69" s="1243"/>
      <c r="J69" s="1245">
        <f t="shared" si="6"/>
        <v>506.84064146799204</v>
      </c>
      <c r="K69" s="1242" t="str">
        <f>VLOOKUP(C69,'BTH mủ tạp'!D70:AN148,37,0)</f>
        <v>B</v>
      </c>
      <c r="L69" s="1246">
        <f t="shared" si="1"/>
        <v>1966173</v>
      </c>
      <c r="M69" s="1243">
        <f>VLOOKUP(C69,TONGHOPCONGDOI!$C$11:$V$91,20,0)</f>
        <v>18</v>
      </c>
      <c r="N69" s="1243">
        <f>VLOOKUP(C69,TONGHOPCONGDOI!$C$11:$W$91,21,0)</f>
        <v>3</v>
      </c>
      <c r="O69" s="1243">
        <f>VLOOKUP(C69,TONGHOPCONGDOI!$C$11:$AD$93,22,0)</f>
        <v>0</v>
      </c>
      <c r="P69" s="1243">
        <f>VLOOKUP(C69,TONGHOPCONGDOI!$C$11:$AD$93,23,0)</f>
        <v>0</v>
      </c>
      <c r="Q69" s="1243">
        <f>VLOOKUP(C69,TONGHOPCONGDOI!$C$11:$AD$93,24,0)</f>
        <v>0</v>
      </c>
      <c r="R69" s="1243">
        <f>VLOOKUP(C69,TONGHOPCONGDOI!$C$11:$AD$93,25,0)</f>
        <v>0</v>
      </c>
      <c r="S69" s="1243"/>
      <c r="T69" s="1244"/>
      <c r="U69" s="1244"/>
      <c r="V69" s="1244"/>
      <c r="W69" s="1247">
        <f t="shared" si="2"/>
        <v>709305</v>
      </c>
      <c r="X69" s="1243">
        <f t="shared" si="7"/>
        <v>2675478</v>
      </c>
      <c r="Y69" s="1243"/>
      <c r="Z69" s="1243">
        <f>VLOOKUP(C69,'CNKT '!D69:AA98,24,0)</f>
        <v>2675478</v>
      </c>
      <c r="AA69" s="1120">
        <f t="shared" si="4"/>
        <v>0</v>
      </c>
    </row>
    <row r="70" spans="1:27" s="1120" customFormat="1" ht="50.25" customHeight="1">
      <c r="A70" s="1242">
        <v>55</v>
      </c>
      <c r="B70" s="1242" t="str">
        <f>'Chấm công KT'!C67</f>
        <v>04064</v>
      </c>
      <c r="C70" s="1243" t="str">
        <f>TONGHOPCONGDOI!C65</f>
        <v>N. Khay Chăn</v>
      </c>
      <c r="D70" s="1243"/>
      <c r="E70" s="1244"/>
      <c r="F70" s="1243">
        <f t="shared" si="0"/>
        <v>0</v>
      </c>
      <c r="G70" s="1243">
        <f>VLOOKUP(C70,TONGHOPCONGDOI!C65:AE94,16,0)</f>
        <v>2699</v>
      </c>
      <c r="H70" s="1243">
        <f>VLOOKUP(C70,TONGHOPCONGDOI!C65:AE94,17,0)</f>
        <v>0</v>
      </c>
      <c r="I70" s="1243"/>
      <c r="J70" s="1245">
        <f t="shared" si="6"/>
        <v>1251.5671466807964</v>
      </c>
      <c r="K70" s="1242" t="str">
        <f>VLOOKUP(C70,'BTH mủ tạp'!D71:AN149,37,0)</f>
        <v>A</v>
      </c>
      <c r="L70" s="1246">
        <f t="shared" si="1"/>
        <v>5106299</v>
      </c>
      <c r="M70" s="1243">
        <f>VLOOKUP(C70,TONGHOPCONGDOI!$C$11:$V$91,20,0)</f>
        <v>23</v>
      </c>
      <c r="N70" s="1243">
        <f>VLOOKUP(C70,TONGHOPCONGDOI!$C$11:$W$91,21,0)</f>
        <v>5</v>
      </c>
      <c r="O70" s="1243">
        <f>VLOOKUP(C70,TONGHOPCONGDOI!$C$11:$AD$93,22,0)</f>
        <v>0</v>
      </c>
      <c r="P70" s="1243">
        <f>VLOOKUP(C70,TONGHOPCONGDOI!$C$11:$AD$93,23,0)</f>
        <v>0</v>
      </c>
      <c r="Q70" s="1243">
        <f>VLOOKUP(C70,TONGHOPCONGDOI!$C$11:$AD$93,24,0)</f>
        <v>0</v>
      </c>
      <c r="R70" s="1243">
        <f>VLOOKUP(C70,TONGHOPCONGDOI!$C$11:$AD$93,25,0)</f>
        <v>0</v>
      </c>
      <c r="S70" s="1243"/>
      <c r="T70" s="1244"/>
      <c r="U70" s="1244"/>
      <c r="V70" s="1244"/>
      <c r="W70" s="1247">
        <f t="shared" si="2"/>
        <v>966340</v>
      </c>
      <c r="X70" s="1243">
        <f t="shared" si="7"/>
        <v>6072639</v>
      </c>
      <c r="Y70" s="1243"/>
      <c r="Z70" s="1243">
        <f>VLOOKUP(C70,'CNKT '!D70:AA98,24,0)</f>
        <v>6072639</v>
      </c>
      <c r="AA70" s="1120">
        <f t="shared" si="4"/>
        <v>0</v>
      </c>
    </row>
    <row r="71" spans="1:27" s="1120" customFormat="1" ht="50.25" customHeight="1">
      <c r="A71" s="1242">
        <v>56</v>
      </c>
      <c r="B71" s="1242" t="str">
        <f>'Chấm công KT'!C68</f>
        <v>03501</v>
      </c>
      <c r="C71" s="1243" t="str">
        <f>TONGHOPCONGDOI!C66</f>
        <v>T Dăn</v>
      </c>
      <c r="D71" s="1243"/>
      <c r="E71" s="1244"/>
      <c r="F71" s="1243">
        <f t="shared" si="0"/>
        <v>0</v>
      </c>
      <c r="G71" s="1243">
        <f>VLOOKUP(C71,TONGHOPCONGDOI!C66:AE94,16,0)</f>
        <v>2165</v>
      </c>
      <c r="H71" s="1243">
        <f>VLOOKUP(C71,TONGHOPCONGDOI!C66:AE94,17,0)</f>
        <v>0</v>
      </c>
      <c r="I71" s="1243"/>
      <c r="J71" s="1245">
        <f t="shared" si="6"/>
        <v>1003.943265121869</v>
      </c>
      <c r="K71" s="1242" t="str">
        <f>VLOOKUP(C71,'BTH mủ tạp'!D72:AN150,37,0)</f>
        <v>A</v>
      </c>
      <c r="L71" s="1246">
        <f t="shared" si="1"/>
        <v>4096012</v>
      </c>
      <c r="M71" s="1243">
        <f>VLOOKUP(C71,TONGHOPCONGDOI!$C$11:$V$91,20,0)</f>
        <v>22</v>
      </c>
      <c r="N71" s="1243">
        <f>VLOOKUP(C71,TONGHOPCONGDOI!$C$11:$W$91,21,0)</f>
        <v>5</v>
      </c>
      <c r="O71" s="1243">
        <f>VLOOKUP(C71,TONGHOPCONGDOI!$C$11:$AD$93,22,0)</f>
        <v>0</v>
      </c>
      <c r="P71" s="1243">
        <f>VLOOKUP(C71,TONGHOPCONGDOI!$C$11:$AD$93,23,0)</f>
        <v>0</v>
      </c>
      <c r="Q71" s="1243">
        <f>VLOOKUP(C71,TONGHOPCONGDOI!$C$11:$AD$93,24,0)</f>
        <v>0</v>
      </c>
      <c r="R71" s="1243">
        <f>VLOOKUP(C71,TONGHOPCONGDOI!$C$11:$AD$93,25,0)</f>
        <v>0</v>
      </c>
      <c r="S71" s="1243"/>
      <c r="T71" s="1244"/>
      <c r="U71" s="1244"/>
      <c r="V71" s="1244"/>
      <c r="W71" s="1247">
        <f t="shared" si="2"/>
        <v>935507</v>
      </c>
      <c r="X71" s="1243">
        <f t="shared" si="7"/>
        <v>5031519</v>
      </c>
      <c r="Y71" s="1243"/>
      <c r="Z71" s="1243">
        <f>VLOOKUP(C71,'CNKT '!D71:AA98,24,0)</f>
        <v>5031519</v>
      </c>
      <c r="AA71" s="1120">
        <f t="shared" si="4"/>
        <v>0</v>
      </c>
    </row>
    <row r="72" spans="1:27" s="1120" customFormat="1" ht="50.25" customHeight="1">
      <c r="A72" s="1242">
        <v>57</v>
      </c>
      <c r="B72" s="1242" t="str">
        <f>'Chấm công KT'!C69</f>
        <v>03502</v>
      </c>
      <c r="C72" s="1243" t="str">
        <f>TONGHOPCONGDOI!C67</f>
        <v>T. Xợt</v>
      </c>
      <c r="D72" s="1243"/>
      <c r="E72" s="1244"/>
      <c r="F72" s="1243">
        <f t="shared" si="0"/>
        <v>0</v>
      </c>
      <c r="G72" s="1243">
        <f>VLOOKUP(C72,TONGHOPCONGDOI!C67:AE94,16,0)</f>
        <v>2360</v>
      </c>
      <c r="H72" s="1243">
        <f>VLOOKUP(C72,TONGHOPCONGDOI!C67:AE94,17,0)</f>
        <v>0</v>
      </c>
      <c r="I72" s="1243"/>
      <c r="J72" s="1245">
        <f t="shared" si="6"/>
        <v>1094.367716252938</v>
      </c>
      <c r="K72" s="1242" t="str">
        <f>VLOOKUP(C72,'BTH mủ tạp'!D73:AN151,37,0)</f>
        <v>A</v>
      </c>
      <c r="L72" s="1246">
        <f t="shared" si="1"/>
        <v>4464937</v>
      </c>
      <c r="M72" s="1243">
        <f>VLOOKUP(C72,TONGHOPCONGDOI!$C$11:$V$91,20,0)</f>
        <v>23</v>
      </c>
      <c r="N72" s="1243">
        <f>VLOOKUP(C72,TONGHOPCONGDOI!$C$11:$W$91,21,0)</f>
        <v>5</v>
      </c>
      <c r="O72" s="1243">
        <f>VLOOKUP(C72,TONGHOPCONGDOI!$C$11:$AD$93,22,0)</f>
        <v>0</v>
      </c>
      <c r="P72" s="1243">
        <f>VLOOKUP(C72,TONGHOPCONGDOI!$C$11:$AD$93,23,0)</f>
        <v>0</v>
      </c>
      <c r="Q72" s="1243">
        <f>VLOOKUP(C72,TONGHOPCONGDOI!$C$11:$AD$93,24,0)</f>
        <v>0</v>
      </c>
      <c r="R72" s="1243">
        <f>VLOOKUP(C72,TONGHOPCONGDOI!$C$11:$AD$93,25,0)</f>
        <v>0</v>
      </c>
      <c r="S72" s="1243"/>
      <c r="T72" s="1244"/>
      <c r="U72" s="1244"/>
      <c r="V72" s="1244"/>
      <c r="W72" s="1247">
        <f t="shared" si="2"/>
        <v>966340</v>
      </c>
      <c r="X72" s="1243">
        <f t="shared" si="7"/>
        <v>5431277</v>
      </c>
      <c r="Y72" s="1243"/>
      <c r="Z72" s="1243">
        <f>VLOOKUP(C72,'CNKT '!D72:AA98,24,0)</f>
        <v>5431277</v>
      </c>
      <c r="AA72" s="1120">
        <f t="shared" si="4"/>
        <v>0</v>
      </c>
    </row>
    <row r="73" spans="1:27" s="1120" customFormat="1" ht="50.25" customHeight="1">
      <c r="A73" s="1242">
        <v>58</v>
      </c>
      <c r="B73" s="1242" t="str">
        <f>'Chấm công KT'!C70</f>
        <v>04065</v>
      </c>
      <c r="C73" s="1243" t="str">
        <f>TONGHOPCONGDOI!C68</f>
        <v>N. Phết 2</v>
      </c>
      <c r="D73" s="1243"/>
      <c r="E73" s="1244"/>
      <c r="F73" s="1243">
        <f t="shared" si="0"/>
        <v>0</v>
      </c>
      <c r="G73" s="1243">
        <f>VLOOKUP(C73,TONGHOPCONGDOI!C68:AE94,16,0)</f>
        <v>2565</v>
      </c>
      <c r="H73" s="1243">
        <f>VLOOKUP(C73,TONGHOPCONGDOI!C68:AE94,17,0)</f>
        <v>0</v>
      </c>
      <c r="I73" s="1243"/>
      <c r="J73" s="1245">
        <f t="shared" si="6"/>
        <v>1189.4293187240619</v>
      </c>
      <c r="K73" s="1242" t="str">
        <f>VLOOKUP(C73,'BTH mủ tạp'!D74:AN152,37,0)</f>
        <v>A</v>
      </c>
      <c r="L73" s="1246">
        <f t="shared" si="1"/>
        <v>4852781</v>
      </c>
      <c r="M73" s="1243">
        <f>VLOOKUP(C73,TONGHOPCONGDOI!$C$11:$V$91,20,0)</f>
        <v>21</v>
      </c>
      <c r="N73" s="1243">
        <f>VLOOKUP(C73,TONGHOPCONGDOI!$C$11:$W$91,21,0)</f>
        <v>4</v>
      </c>
      <c r="O73" s="1243">
        <f>VLOOKUP(C73,TONGHOPCONGDOI!$C$11:$AD$93,22,0)</f>
        <v>0</v>
      </c>
      <c r="P73" s="1243">
        <f>VLOOKUP(C73,TONGHOPCONGDOI!$C$11:$AD$93,23,0)</f>
        <v>0</v>
      </c>
      <c r="Q73" s="1243">
        <f>VLOOKUP(C73,TONGHOPCONGDOI!$C$11:$AD$93,24,0)</f>
        <v>0</v>
      </c>
      <c r="R73" s="1243">
        <f>VLOOKUP(C73,TONGHOPCONGDOI!$C$11:$AD$93,25,0)</f>
        <v>0</v>
      </c>
      <c r="S73" s="1243"/>
      <c r="T73" s="1244"/>
      <c r="U73" s="1244"/>
      <c r="V73" s="1244"/>
      <c r="W73" s="1247">
        <f t="shared" si="2"/>
        <v>853239</v>
      </c>
      <c r="X73" s="1243">
        <f t="shared" si="7"/>
        <v>5706020</v>
      </c>
      <c r="Y73" s="1243"/>
      <c r="Z73" s="1243">
        <f>VLOOKUP(C73,'CNKT '!D73:AA98,24,0)</f>
        <v>5706020</v>
      </c>
      <c r="AA73" s="1120">
        <f t="shared" si="4"/>
        <v>0</v>
      </c>
    </row>
    <row r="74" spans="1:27" s="1120" customFormat="1" ht="50.25" customHeight="1">
      <c r="A74" s="1242">
        <v>59</v>
      </c>
      <c r="B74" s="1242" t="str">
        <f>'Chấm công KT'!C71</f>
        <v>03504</v>
      </c>
      <c r="C74" s="1243" t="str">
        <f>TONGHOPCONGDOI!C69</f>
        <v>T. Cạp</v>
      </c>
      <c r="D74" s="1243"/>
      <c r="E74" s="1244"/>
      <c r="F74" s="1243">
        <f t="shared" si="0"/>
        <v>0</v>
      </c>
      <c r="G74" s="1243">
        <f>VLOOKUP(C74,TONGHOPCONGDOI!C69:AE94,16,0)</f>
        <v>1424</v>
      </c>
      <c r="H74" s="1243">
        <f>VLOOKUP(C74,TONGHOPCONGDOI!C69:AE94,17,0)</f>
        <v>0</v>
      </c>
      <c r="I74" s="1243"/>
      <c r="J74" s="1245">
        <f t="shared" si="6"/>
        <v>660.33035082380661</v>
      </c>
      <c r="K74" s="1242" t="str">
        <f>VLOOKUP(C74,'BTH mủ tạp'!D75:AN153,37,0)</f>
        <v>A</v>
      </c>
      <c r="L74" s="1246">
        <f t="shared" si="1"/>
        <v>2694098</v>
      </c>
      <c r="M74" s="1243">
        <f>VLOOKUP(C74,TONGHOPCONGDOI!$C$11:$V$91,20,0)</f>
        <v>18</v>
      </c>
      <c r="N74" s="1243">
        <f>VLOOKUP(C74,TONGHOPCONGDOI!$C$11:$W$91,21,0)</f>
        <v>4</v>
      </c>
      <c r="O74" s="1243">
        <f>VLOOKUP(C74,TONGHOPCONGDOI!$C$11:$AD$93,22,0)</f>
        <v>0</v>
      </c>
      <c r="P74" s="1243">
        <f>VLOOKUP(C74,TONGHOPCONGDOI!$C$11:$AD$93,23,0)</f>
        <v>0</v>
      </c>
      <c r="Q74" s="1243">
        <f>VLOOKUP(C74,TONGHOPCONGDOI!$C$11:$AD$93,24,0)</f>
        <v>0</v>
      </c>
      <c r="R74" s="1243">
        <f>VLOOKUP(C74,TONGHOPCONGDOI!$C$11:$AD$93,25,0)</f>
        <v>0</v>
      </c>
      <c r="S74" s="1243"/>
      <c r="T74" s="1244"/>
      <c r="U74" s="1244"/>
      <c r="V74" s="1244"/>
      <c r="W74" s="1247">
        <f t="shared" si="2"/>
        <v>760739</v>
      </c>
      <c r="X74" s="1243">
        <f t="shared" si="7"/>
        <v>3454837</v>
      </c>
      <c r="Y74" s="1243"/>
      <c r="Z74" s="1243">
        <f>VLOOKUP(C74,'CNKT '!D74:AA98,24,0)</f>
        <v>3454837</v>
      </c>
      <c r="AA74" s="1120">
        <f t="shared" si="4"/>
        <v>0</v>
      </c>
    </row>
    <row r="75" spans="1:27" s="1120" customFormat="1" ht="50.25" customHeight="1">
      <c r="A75" s="1242">
        <v>60</v>
      </c>
      <c r="B75" s="1242" t="str">
        <f>'Chấm công KT'!C72</f>
        <v>04066</v>
      </c>
      <c r="C75" s="1243" t="str">
        <f>TONGHOPCONGDOI!C70</f>
        <v>T. Toi</v>
      </c>
      <c r="D75" s="1243"/>
      <c r="E75" s="1244"/>
      <c r="F75" s="1243">
        <f t="shared" si="0"/>
        <v>0</v>
      </c>
      <c r="G75" s="1243">
        <f>VLOOKUP(C75,TONGHOPCONGDOI!C70:AE94,16,0)</f>
        <v>2224</v>
      </c>
      <c r="H75" s="1243">
        <f>VLOOKUP(C75,TONGHOPCONGDOI!C70:AE94,17,0)</f>
        <v>0</v>
      </c>
      <c r="I75" s="1243"/>
      <c r="J75" s="1245">
        <f t="shared" si="6"/>
        <v>1031.3024580281924</v>
      </c>
      <c r="K75" s="1242" t="str">
        <f>VLOOKUP(C75,'BTH mủ tạp'!D76:AN154,37,0)</f>
        <v>A</v>
      </c>
      <c r="L75" s="1246">
        <f t="shared" si="1"/>
        <v>4207636</v>
      </c>
      <c r="M75" s="1243">
        <f>VLOOKUP(C75,TONGHOPCONGDOI!$C$11:$V$91,20,0)</f>
        <v>20</v>
      </c>
      <c r="N75" s="1243">
        <f>VLOOKUP(C75,TONGHOPCONGDOI!$C$11:$W$91,21,0)</f>
        <v>4</v>
      </c>
      <c r="O75" s="1243">
        <f>VLOOKUP(C75,TONGHOPCONGDOI!$C$11:$AD$93,22,0)</f>
        <v>0</v>
      </c>
      <c r="P75" s="1243">
        <f>VLOOKUP(C75,TONGHOPCONGDOI!$C$11:$AD$93,23,0)</f>
        <v>0</v>
      </c>
      <c r="Q75" s="1243">
        <f>VLOOKUP(C75,TONGHOPCONGDOI!$C$11:$AD$93,24,0)</f>
        <v>0</v>
      </c>
      <c r="R75" s="1243">
        <f>VLOOKUP(C75,TONGHOPCONGDOI!$C$11:$AD$93,25,0)</f>
        <v>0</v>
      </c>
      <c r="S75" s="1243"/>
      <c r="T75" s="1244"/>
      <c r="U75" s="1244"/>
      <c r="V75" s="1244"/>
      <c r="W75" s="1247">
        <f t="shared" si="2"/>
        <v>822406</v>
      </c>
      <c r="X75" s="1243">
        <f t="shared" si="7"/>
        <v>5030042</v>
      </c>
      <c r="Y75" s="1243"/>
      <c r="Z75" s="1243">
        <f>VLOOKUP(C75,'CNKT '!D75:AA98,24,0)</f>
        <v>5030042</v>
      </c>
      <c r="AA75" s="1120">
        <f t="shared" si="4"/>
        <v>0</v>
      </c>
    </row>
    <row r="76" spans="1:27" s="1120" customFormat="1" ht="50.25" customHeight="1">
      <c r="A76" s="1242">
        <v>61</v>
      </c>
      <c r="B76" s="1242" t="str">
        <f>'Chấm công KT'!C73</f>
        <v>03506</v>
      </c>
      <c r="C76" s="1243" t="str">
        <f>TONGHOPCONGDOI!C71</f>
        <v>N. Bua Hom</v>
      </c>
      <c r="D76" s="1243"/>
      <c r="E76" s="1244"/>
      <c r="F76" s="1243">
        <f t="shared" si="0"/>
        <v>0</v>
      </c>
      <c r="G76" s="1243">
        <f>VLOOKUP(C76,TONGHOPCONGDOI!C71:AE94,16,0)</f>
        <v>2727</v>
      </c>
      <c r="H76" s="1243">
        <f>VLOOKUP(C76,TONGHOPCONGDOI!C71:AE94,17,0)</f>
        <v>0</v>
      </c>
      <c r="I76" s="1243"/>
      <c r="J76" s="1245">
        <f t="shared" si="6"/>
        <v>1264.5511704329499</v>
      </c>
      <c r="K76" s="1242" t="str">
        <f>VLOOKUP(C76,'BTH mủ tạp'!D77:AN155,37,0)</f>
        <v>A</v>
      </c>
      <c r="L76" s="1246">
        <f t="shared" si="1"/>
        <v>5159273</v>
      </c>
      <c r="M76" s="1243">
        <f>VLOOKUP(C76,TONGHOPCONGDOI!$C$11:$V$91,20,0)</f>
        <v>22</v>
      </c>
      <c r="N76" s="1243">
        <f>VLOOKUP(C76,TONGHOPCONGDOI!$C$11:$W$91,21,0)</f>
        <v>4</v>
      </c>
      <c r="O76" s="1243">
        <f>VLOOKUP(C76,TONGHOPCONGDOI!$C$11:$AD$93,22,0)</f>
        <v>0</v>
      </c>
      <c r="P76" s="1243">
        <f>VLOOKUP(C76,TONGHOPCONGDOI!$C$11:$AD$93,23,0)</f>
        <v>0</v>
      </c>
      <c r="Q76" s="1243">
        <f>VLOOKUP(C76,TONGHOPCONGDOI!$C$11:$AD$93,24,0)</f>
        <v>0</v>
      </c>
      <c r="R76" s="1243">
        <f>VLOOKUP(C76,TONGHOPCONGDOI!$C$11:$AD$93,25,0)</f>
        <v>0</v>
      </c>
      <c r="S76" s="1243"/>
      <c r="T76" s="1244"/>
      <c r="U76" s="1244"/>
      <c r="V76" s="1244"/>
      <c r="W76" s="1247">
        <f t="shared" si="2"/>
        <v>884073</v>
      </c>
      <c r="X76" s="1243">
        <f t="shared" si="7"/>
        <v>6043346</v>
      </c>
      <c r="Y76" s="1243"/>
      <c r="Z76" s="1243">
        <f>VLOOKUP(C76,'CNKT '!D76:AA98,24,0)</f>
        <v>6043346</v>
      </c>
      <c r="AA76" s="1120">
        <f t="shared" si="4"/>
        <v>0</v>
      </c>
    </row>
    <row r="77" spans="1:27" s="1120" customFormat="1" ht="50.25" customHeight="1">
      <c r="A77" s="1242">
        <v>62</v>
      </c>
      <c r="B77" s="1242" t="str">
        <f>'Chấm công KT'!C74</f>
        <v>04067</v>
      </c>
      <c r="C77" s="1243" t="str">
        <f>TONGHOPCONGDOI!C72</f>
        <v>N. Lăm Phay (2)</v>
      </c>
      <c r="D77" s="1243"/>
      <c r="E77" s="1244"/>
      <c r="F77" s="1243">
        <f t="shared" si="0"/>
        <v>0</v>
      </c>
      <c r="G77" s="1243">
        <f>VLOOKUP(C77,TONGHOPCONGDOI!C72:AE94,16,0)</f>
        <v>2232</v>
      </c>
      <c r="H77" s="1243">
        <f>VLOOKUP(C77,TONGHOPCONGDOI!C72:AE94,17,0)</f>
        <v>0</v>
      </c>
      <c r="I77" s="1243"/>
      <c r="J77" s="1245">
        <f t="shared" si="6"/>
        <v>1035.0121791002364</v>
      </c>
      <c r="K77" s="1242" t="str">
        <f>VLOOKUP(C77,'BTH mủ tạp'!D78:AN156,37,0)</f>
        <v>A</v>
      </c>
      <c r="L77" s="1246">
        <f t="shared" si="1"/>
        <v>4222771</v>
      </c>
      <c r="M77" s="1243">
        <f>VLOOKUP(C77,TONGHOPCONGDOI!$C$11:$V$91,20,0)</f>
        <v>20</v>
      </c>
      <c r="N77" s="1243">
        <f>VLOOKUP(C77,TONGHOPCONGDOI!$C$11:$W$91,21,0)</f>
        <v>5</v>
      </c>
      <c r="O77" s="1243">
        <f>VLOOKUP(C77,TONGHOPCONGDOI!$C$11:$AD$93,22,0)</f>
        <v>0</v>
      </c>
      <c r="P77" s="1243">
        <f>VLOOKUP(C77,TONGHOPCONGDOI!$C$11:$AD$93,23,0)</f>
        <v>0</v>
      </c>
      <c r="Q77" s="1243">
        <f>VLOOKUP(C77,TONGHOPCONGDOI!$C$11:$AD$93,24,0)</f>
        <v>0</v>
      </c>
      <c r="R77" s="1243">
        <f>VLOOKUP(C77,TONGHOPCONGDOI!$C$11:$AD$93,25,0)</f>
        <v>0</v>
      </c>
      <c r="S77" s="1243"/>
      <c r="T77" s="1244"/>
      <c r="U77" s="1244"/>
      <c r="V77" s="1244"/>
      <c r="W77" s="1247">
        <f t="shared" si="2"/>
        <v>873839</v>
      </c>
      <c r="X77" s="1243">
        <f t="shared" si="7"/>
        <v>5096610</v>
      </c>
      <c r="Y77" s="1243"/>
      <c r="Z77" s="1243">
        <f>VLOOKUP(C77,'CNKT '!D77:AA98,24,0)</f>
        <v>5096610</v>
      </c>
      <c r="AA77" s="1120">
        <f t="shared" si="4"/>
        <v>0</v>
      </c>
    </row>
    <row r="78" spans="1:27" s="1120" customFormat="1" ht="50.25" customHeight="1">
      <c r="A78" s="1242">
        <v>63</v>
      </c>
      <c r="B78" s="1242" t="str">
        <f>'Chấm công KT'!C75</f>
        <v>03508</v>
      </c>
      <c r="C78" s="1243" t="str">
        <f>TONGHOPCONGDOI!C73</f>
        <v>T. Đèng</v>
      </c>
      <c r="D78" s="1243"/>
      <c r="E78" s="1244"/>
      <c r="F78" s="1243">
        <f t="shared" si="0"/>
        <v>0</v>
      </c>
      <c r="G78" s="1243">
        <f>VLOOKUP(C78,TONGHOPCONGDOI!C73:AE94,16,0)</f>
        <v>1321</v>
      </c>
      <c r="H78" s="1243">
        <f>VLOOKUP(C78,TONGHOPCONGDOI!C73:AE94,17,0)</f>
        <v>0</v>
      </c>
      <c r="I78" s="1243"/>
      <c r="J78" s="1245">
        <f t="shared" si="6"/>
        <v>612.56769202124201</v>
      </c>
      <c r="K78" s="1242" t="str">
        <f>VLOOKUP(C78,'BTH mủ tạp'!D79:AN157,37,0)</f>
        <v>B</v>
      </c>
      <c r="L78" s="1246">
        <f t="shared" si="1"/>
        <v>2376317</v>
      </c>
      <c r="M78" s="1243">
        <f>VLOOKUP(C78,TONGHOPCONGDOI!$C$11:$V$91,20,0)</f>
        <v>24</v>
      </c>
      <c r="N78" s="1243">
        <f>VLOOKUP(C78,TONGHOPCONGDOI!$C$11:$W$91,21,0)</f>
        <v>5</v>
      </c>
      <c r="O78" s="1243">
        <f>VLOOKUP(C78,TONGHOPCONGDOI!$C$11:$AD$93,22,0)</f>
        <v>0</v>
      </c>
      <c r="P78" s="1243">
        <f>VLOOKUP(C78,TONGHOPCONGDOI!$C$11:$AD$93,23,0)</f>
        <v>0</v>
      </c>
      <c r="Q78" s="1243">
        <f>VLOOKUP(C78,TONGHOPCONGDOI!$C$11:$AD$93,24,0)</f>
        <v>0</v>
      </c>
      <c r="R78" s="1243">
        <f>VLOOKUP(C78,TONGHOPCONGDOI!$C$11:$AD$93,25,0)</f>
        <v>0</v>
      </c>
      <c r="S78" s="1243"/>
      <c r="T78" s="1244"/>
      <c r="U78" s="1244"/>
      <c r="V78" s="1244"/>
      <c r="W78" s="1247">
        <f t="shared" si="2"/>
        <v>997174</v>
      </c>
      <c r="X78" s="1243">
        <f t="shared" si="7"/>
        <v>3373491</v>
      </c>
      <c r="Y78" s="1243"/>
      <c r="Z78" s="1243">
        <f>VLOOKUP(C78,'CNKT '!D78:AA98,24,0)</f>
        <v>3373491</v>
      </c>
      <c r="AA78" s="1120">
        <f t="shared" si="4"/>
        <v>0</v>
      </c>
    </row>
    <row r="79" spans="1:27" s="1120" customFormat="1" ht="50.25" customHeight="1">
      <c r="A79" s="1242">
        <v>64</v>
      </c>
      <c r="B79" s="1242" t="str">
        <f>'Chấm công KT'!C76</f>
        <v>03512</v>
      </c>
      <c r="C79" s="1243" t="str">
        <f>TONGHOPCONGDOI!C74</f>
        <v>N. Đon</v>
      </c>
      <c r="D79" s="1243"/>
      <c r="E79" s="1244"/>
      <c r="F79" s="1243">
        <f t="shared" si="0"/>
        <v>0</v>
      </c>
      <c r="G79" s="1243">
        <f>VLOOKUP(C79,TONGHOPCONGDOI!C74:AE94,16,0)</f>
        <v>1835</v>
      </c>
      <c r="H79" s="1243">
        <f>VLOOKUP(C79,TONGHOPCONGDOI!C74:AE94,17,0)</f>
        <v>0</v>
      </c>
      <c r="I79" s="1243"/>
      <c r="J79" s="1245">
        <f t="shared" si="6"/>
        <v>850.91727090005986</v>
      </c>
      <c r="K79" s="1242" t="str">
        <f>VLOOKUP(C79,'BTH mủ tạp'!D80:AN158,37,0)</f>
        <v>A</v>
      </c>
      <c r="L79" s="1246">
        <f t="shared" si="1"/>
        <v>3471678</v>
      </c>
      <c r="M79" s="1243">
        <f>VLOOKUP(C79,TONGHOPCONGDOI!$C$11:$V$91,20,0)</f>
        <v>22</v>
      </c>
      <c r="N79" s="1243">
        <f>VLOOKUP(C79,TONGHOPCONGDOI!$C$11:$W$91,21,0)</f>
        <v>4</v>
      </c>
      <c r="O79" s="1243">
        <f>VLOOKUP(C79,TONGHOPCONGDOI!$C$11:$AD$93,22,0)</f>
        <v>0</v>
      </c>
      <c r="P79" s="1243">
        <f>VLOOKUP(C79,TONGHOPCONGDOI!$C$11:$AD$93,23,0)</f>
        <v>0</v>
      </c>
      <c r="Q79" s="1243">
        <f>VLOOKUP(C79,TONGHOPCONGDOI!$C$11:$AD$93,24,0)</f>
        <v>0</v>
      </c>
      <c r="R79" s="1243">
        <f>VLOOKUP(C79,TONGHOPCONGDOI!$C$11:$AD$93,25,0)</f>
        <v>0</v>
      </c>
      <c r="S79" s="1243"/>
      <c r="T79" s="1244"/>
      <c r="U79" s="1244"/>
      <c r="V79" s="1244"/>
      <c r="W79" s="1247">
        <f t="shared" si="2"/>
        <v>884073</v>
      </c>
      <c r="X79" s="1243">
        <f t="shared" si="7"/>
        <v>4355751</v>
      </c>
      <c r="Y79" s="1243"/>
      <c r="Z79" s="1243">
        <f>VLOOKUP(C79,'CNKT '!D79:AA98,24,0)</f>
        <v>4355751</v>
      </c>
      <c r="AA79" s="1120">
        <f t="shared" si="4"/>
        <v>0</v>
      </c>
    </row>
    <row r="80" spans="1:27" s="1120" customFormat="1" ht="50.25" customHeight="1">
      <c r="A80" s="1242">
        <v>65</v>
      </c>
      <c r="B80" s="1242" t="str">
        <f>'Chấm công KT'!C77</f>
        <v>04068</v>
      </c>
      <c r="C80" s="1243" t="str">
        <f>TONGHOPCONGDOI!C75</f>
        <v xml:space="preserve">T. La </v>
      </c>
      <c r="D80" s="1243"/>
      <c r="E80" s="1244"/>
      <c r="F80" s="1243">
        <f t="shared" si="0"/>
        <v>0</v>
      </c>
      <c r="G80" s="1243">
        <f>VLOOKUP(C80,TONGHOPCONGDOI!C75:AE94,16,0)</f>
        <v>1285</v>
      </c>
      <c r="H80" s="1243">
        <f>VLOOKUP(C80,TONGHOPCONGDOI!C75:AE94,17,0)</f>
        <v>0</v>
      </c>
      <c r="I80" s="1243"/>
      <c r="J80" s="1245">
        <f t="shared" ref="J80" si="8">$AB$10/$AB$9*G80+H80*$AB$11+I80*$AB$12</f>
        <v>595.87394719704457</v>
      </c>
      <c r="K80" s="1242" t="str">
        <f>VLOOKUP(C80,'BTH mủ tạp'!D81:AN159,37,0)</f>
        <v>B</v>
      </c>
      <c r="L80" s="1246">
        <f t="shared" si="1"/>
        <v>2311557</v>
      </c>
      <c r="M80" s="1243">
        <f>VLOOKUP(C80,TONGHOPCONGDOI!$C$11:$V$91,20,0)</f>
        <v>20</v>
      </c>
      <c r="N80" s="1243">
        <f>VLOOKUP(C80,TONGHOPCONGDOI!$C$11:$W$91,21,0)</f>
        <v>4</v>
      </c>
      <c r="O80" s="1243">
        <f>VLOOKUP(C80,TONGHOPCONGDOI!$C$11:$AD$93,22,0)</f>
        <v>0</v>
      </c>
      <c r="P80" s="1243">
        <f>VLOOKUP(C80,TONGHOPCONGDOI!$C$11:$AD$93,23,0)</f>
        <v>0</v>
      </c>
      <c r="Q80" s="1243">
        <f>VLOOKUP(C80,TONGHOPCONGDOI!$C$11:$AD$93,24,0)</f>
        <v>0</v>
      </c>
      <c r="R80" s="1243">
        <f>VLOOKUP(C80,TONGHOPCONGDOI!$C$11:$AD$93,25,0)</f>
        <v>0</v>
      </c>
      <c r="S80" s="1243"/>
      <c r="T80" s="1244"/>
      <c r="U80" s="1244"/>
      <c r="V80" s="1244"/>
      <c r="W80" s="1247">
        <f t="shared" si="2"/>
        <v>822406</v>
      </c>
      <c r="X80" s="1243">
        <f t="shared" ref="X80:X98" si="9">F80+L80+W80</f>
        <v>3133963</v>
      </c>
      <c r="Y80" s="1243"/>
      <c r="Z80" s="1243">
        <f>VLOOKUP(C80,'CNKT '!D80:AA98,24,0)</f>
        <v>3133963</v>
      </c>
      <c r="AA80" s="1120">
        <f t="shared" ref="AA80:AA87" si="10">Z80-X80</f>
        <v>0</v>
      </c>
    </row>
    <row r="81" spans="1:27" s="1120" customFormat="1" ht="50.25" customHeight="1">
      <c r="A81" s="1242">
        <v>66</v>
      </c>
      <c r="B81" s="1242" t="str">
        <f>'Chấm công KT'!C78</f>
        <v>04069</v>
      </c>
      <c r="C81" s="1243" t="str">
        <f>TONGHOPCONGDOI!C76</f>
        <v>T. Bờm</v>
      </c>
      <c r="D81" s="1243"/>
      <c r="E81" s="1244"/>
      <c r="F81" s="1243">
        <f t="shared" ref="F81:F98" si="11">E81*25000</f>
        <v>0</v>
      </c>
      <c r="G81" s="1243">
        <f>VLOOKUP(C81,TONGHOPCONGDOI!C76:AE94,16,0)</f>
        <v>1785</v>
      </c>
      <c r="H81" s="1243">
        <f>VLOOKUP(C81,TONGHOPCONGDOI!C76:AE94,17,0)</f>
        <v>0</v>
      </c>
      <c r="I81" s="1243"/>
      <c r="J81" s="1245">
        <f t="shared" ref="J81:J93" si="12">$AB$10/$AB$9*G81+H81*$AB$11+I81*$AB$12</f>
        <v>827.73151419978569</v>
      </c>
      <c r="K81" s="1242" t="str">
        <f>VLOOKUP(C81,'BTH mủ tạp'!D82:AN160,37,0)</f>
        <v>B</v>
      </c>
      <c r="L81" s="1246">
        <f t="shared" ref="L81:L88" si="13">ROUND((IF(K81="A",(G81*$Z$12*6.1),IF(K81="B",(G81*$Z$12*5.8),IF(K81="C",(G81*$Z$12*5.5),IF(K81="C.",(G81*$Z$12*5.5),IF(K81="D",(G81*$Z$12*5.2),0)))))*$E$12+(H81*$AB$11*$E$12*6.1)+I81*$E$12*$AB$12*6.1),0)</f>
        <v>3210996</v>
      </c>
      <c r="M81" s="1243">
        <f>VLOOKUP(C81,TONGHOPCONGDOI!$C$11:$V$91,20,0)</f>
        <v>22</v>
      </c>
      <c r="N81" s="1243">
        <f>VLOOKUP(C81,TONGHOPCONGDOI!$C$11:$W$91,21,0)</f>
        <v>4</v>
      </c>
      <c r="O81" s="1243">
        <f>VLOOKUP(C81,TONGHOPCONGDOI!$C$11:$AD$93,22,0)</f>
        <v>0</v>
      </c>
      <c r="P81" s="1243">
        <f>VLOOKUP(C81,TONGHOPCONGDOI!$C$11:$AD$93,23,0)</f>
        <v>0</v>
      </c>
      <c r="Q81" s="1243">
        <f>VLOOKUP(C81,TONGHOPCONGDOI!$C$11:$AD$93,24,0)</f>
        <v>0</v>
      </c>
      <c r="R81" s="1243">
        <f>VLOOKUP(C81,TONGHOPCONGDOI!$C$11:$AD$93,25,0)</f>
        <v>0</v>
      </c>
      <c r="S81" s="1243"/>
      <c r="T81" s="1244"/>
      <c r="U81" s="1244"/>
      <c r="V81" s="1244"/>
      <c r="W81" s="1247">
        <f t="shared" ref="W81:W97" si="14">ROUND(((M81*46.1)+(N81*76.9)+(O81*92.2)+(P81*153.8)+(Q81*92.2)+(R81*153.8))*$E$12+(S81*25000)+(T81*10000)+(U81*30000),0)</f>
        <v>884073</v>
      </c>
      <c r="X81" s="1243">
        <f t="shared" si="9"/>
        <v>4095069</v>
      </c>
      <c r="Y81" s="1243"/>
      <c r="Z81" s="1243">
        <f>VLOOKUP(C81,'CNKT '!D81:AA98,24,0)</f>
        <v>4095069</v>
      </c>
      <c r="AA81" s="1120">
        <f t="shared" si="10"/>
        <v>0</v>
      </c>
    </row>
    <row r="82" spans="1:27" s="1120" customFormat="1" ht="50.25" customHeight="1">
      <c r="A82" s="1242">
        <v>67</v>
      </c>
      <c r="B82" s="1242" t="str">
        <f>'Chấm công KT'!C79</f>
        <v>03546</v>
      </c>
      <c r="C82" s="1243" t="str">
        <f>TONGHOPCONGDOI!C77</f>
        <v>T. Nọi</v>
      </c>
      <c r="D82" s="1243"/>
      <c r="E82" s="1244"/>
      <c r="F82" s="1243">
        <f t="shared" si="11"/>
        <v>0</v>
      </c>
      <c r="G82" s="1243">
        <f>VLOOKUP(C82,TONGHOPCONGDOI!C77:AE94,16,0)</f>
        <v>1792</v>
      </c>
      <c r="H82" s="1243">
        <f>VLOOKUP(C82,TONGHOPCONGDOI!C77:AE94,17,0)</f>
        <v>0</v>
      </c>
      <c r="I82" s="1243"/>
      <c r="J82" s="1245">
        <f t="shared" si="12"/>
        <v>830.97752013782406</v>
      </c>
      <c r="K82" s="1242" t="str">
        <f>VLOOKUP(C82,'BTH mủ tạp'!D83:AN161,37,0)</f>
        <v>A</v>
      </c>
      <c r="L82" s="1246">
        <f t="shared" si="13"/>
        <v>3390325</v>
      </c>
      <c r="M82" s="1243">
        <f>VLOOKUP(C82,TONGHOPCONGDOI!$C$11:$V$91,20,0)</f>
        <v>23</v>
      </c>
      <c r="N82" s="1243">
        <f>VLOOKUP(C82,TONGHOPCONGDOI!$C$11:$W$91,21,0)</f>
        <v>5</v>
      </c>
      <c r="O82" s="1243">
        <f>VLOOKUP(C82,TONGHOPCONGDOI!$C$11:$AD$93,22,0)</f>
        <v>0</v>
      </c>
      <c r="P82" s="1243">
        <f>VLOOKUP(C82,TONGHOPCONGDOI!$C$11:$AD$93,23,0)</f>
        <v>0</v>
      </c>
      <c r="Q82" s="1243">
        <f>VLOOKUP(C82,TONGHOPCONGDOI!$C$11:$AD$93,24,0)</f>
        <v>0</v>
      </c>
      <c r="R82" s="1243">
        <f>VLOOKUP(C82,TONGHOPCONGDOI!$C$11:$AD$93,25,0)</f>
        <v>0</v>
      </c>
      <c r="S82" s="1243"/>
      <c r="T82" s="1244"/>
      <c r="U82" s="1244"/>
      <c r="V82" s="1244"/>
      <c r="W82" s="1247">
        <f t="shared" si="14"/>
        <v>966340</v>
      </c>
      <c r="X82" s="1243">
        <f t="shared" si="9"/>
        <v>4356665</v>
      </c>
      <c r="Y82" s="1243"/>
      <c r="Z82" s="1243">
        <f>VLOOKUP(C82,'CNKT '!D82:AA98,24,0)</f>
        <v>4356665</v>
      </c>
      <c r="AA82" s="1120">
        <f t="shared" si="10"/>
        <v>0</v>
      </c>
    </row>
    <row r="83" spans="1:27" s="1120" customFormat="1" ht="50.25" customHeight="1">
      <c r="A83" s="1242">
        <v>68</v>
      </c>
      <c r="B83" s="1242" t="str">
        <f>'Chấm công KT'!C80</f>
        <v>03571</v>
      </c>
      <c r="C83" s="1243" t="str">
        <f>TONGHOPCONGDOI!C78</f>
        <v>T. Ê</v>
      </c>
      <c r="D83" s="1243"/>
      <c r="E83" s="1244"/>
      <c r="F83" s="1243">
        <f t="shared" si="11"/>
        <v>0</v>
      </c>
      <c r="G83" s="1243">
        <f>VLOOKUP(C83,TONGHOPCONGDOI!C78:AE94,16,0)</f>
        <v>1301</v>
      </c>
      <c r="H83" s="1243">
        <f>VLOOKUP(C83,TONGHOPCONGDOI!C78:AE94,17,0)</f>
        <v>0</v>
      </c>
      <c r="I83" s="1243"/>
      <c r="J83" s="1245">
        <f t="shared" si="12"/>
        <v>603.2933893411323</v>
      </c>
      <c r="K83" s="1242" t="str">
        <f>VLOOKUP(C83,'BTH mủ tạp'!D84:AN162,37,0)</f>
        <v>B</v>
      </c>
      <c r="L83" s="1246">
        <f t="shared" si="13"/>
        <v>2340339</v>
      </c>
      <c r="M83" s="1243">
        <f>VLOOKUP(C83,TONGHOPCONGDOI!$C$11:$V$91,20,0)</f>
        <v>22</v>
      </c>
      <c r="N83" s="1243">
        <f>VLOOKUP(C83,TONGHOPCONGDOI!$C$11:$W$91,21,0)</f>
        <v>5</v>
      </c>
      <c r="O83" s="1243">
        <f>VLOOKUP(C83,TONGHOPCONGDOI!$C$11:$AD$93,22,0)</f>
        <v>0</v>
      </c>
      <c r="P83" s="1243">
        <f>VLOOKUP(C83,TONGHOPCONGDOI!$C$11:$AD$93,23,0)</f>
        <v>0</v>
      </c>
      <c r="Q83" s="1243">
        <f>VLOOKUP(C83,TONGHOPCONGDOI!$C$11:$AD$93,24,0)</f>
        <v>0</v>
      </c>
      <c r="R83" s="1243">
        <f>VLOOKUP(C83,TONGHOPCONGDOI!$C$11:$AD$93,25,0)</f>
        <v>0</v>
      </c>
      <c r="S83" s="1243"/>
      <c r="T83" s="1244"/>
      <c r="U83" s="1244"/>
      <c r="V83" s="1244"/>
      <c r="W83" s="1247">
        <f t="shared" si="14"/>
        <v>935507</v>
      </c>
      <c r="X83" s="1243">
        <f t="shared" si="9"/>
        <v>3275846</v>
      </c>
      <c r="Y83" s="1243"/>
      <c r="Z83" s="1243">
        <f>VLOOKUP(C83,'CNKT '!D83:AA98,24,0)</f>
        <v>3275846</v>
      </c>
      <c r="AA83" s="1120">
        <f t="shared" si="10"/>
        <v>0</v>
      </c>
    </row>
    <row r="84" spans="1:27" s="1120" customFormat="1" ht="50.25" customHeight="1">
      <c r="A84" s="1242">
        <v>69</v>
      </c>
      <c r="B84" s="1242" t="str">
        <f>'Chấm công KT'!C81</f>
        <v>04070</v>
      </c>
      <c r="C84" s="1243" t="str">
        <f>TONGHOPCONGDOI!C79</f>
        <v>T Bun</v>
      </c>
      <c r="D84" s="1243"/>
      <c r="E84" s="1244"/>
      <c r="F84" s="1243">
        <f t="shared" si="11"/>
        <v>0</v>
      </c>
      <c r="G84" s="1243">
        <f>VLOOKUP(C84,TONGHOPCONGDOI!C79:AE94,16,0)</f>
        <v>1568</v>
      </c>
      <c r="H84" s="1243">
        <f>VLOOKUP(C84,TONGHOPCONGDOI!C79:AE94,17,0)</f>
        <v>0</v>
      </c>
      <c r="I84" s="1243"/>
      <c r="J84" s="1245">
        <f t="shared" si="12"/>
        <v>727.10533012059614</v>
      </c>
      <c r="K84" s="1242" t="str">
        <f>VLOOKUP(C84,'BTH mủ tạp'!D85:AN163,37,0)</f>
        <v>A</v>
      </c>
      <c r="L84" s="1246">
        <f t="shared" si="13"/>
        <v>2966534</v>
      </c>
      <c r="M84" s="1243">
        <f>VLOOKUP(C84,TONGHOPCONGDOI!$C$11:$V$91,20,0)</f>
        <v>18</v>
      </c>
      <c r="N84" s="1243">
        <f>VLOOKUP(C84,TONGHOPCONGDOI!$C$11:$W$91,21,0)</f>
        <v>5</v>
      </c>
      <c r="O84" s="1243">
        <f>VLOOKUP(C84,TONGHOPCONGDOI!$C$11:$AD$93,22,0)</f>
        <v>0</v>
      </c>
      <c r="P84" s="1243">
        <f>VLOOKUP(C84,TONGHOPCONGDOI!$C$11:$AD$93,23,0)</f>
        <v>0</v>
      </c>
      <c r="Q84" s="1243">
        <f>VLOOKUP(C84,TONGHOPCONGDOI!$C$11:$AD$93,24,0)</f>
        <v>0</v>
      </c>
      <c r="R84" s="1243">
        <f>VLOOKUP(C84,TONGHOPCONGDOI!$C$11:$AD$93,25,0)</f>
        <v>0</v>
      </c>
      <c r="S84" s="1243"/>
      <c r="T84" s="1244"/>
      <c r="U84" s="1244"/>
      <c r="V84" s="1244"/>
      <c r="W84" s="1247">
        <f t="shared" si="14"/>
        <v>812172</v>
      </c>
      <c r="X84" s="1243">
        <f t="shared" si="9"/>
        <v>3778706</v>
      </c>
      <c r="Y84" s="1243"/>
      <c r="Z84" s="1243">
        <f>VLOOKUP(C84,'CNKT '!D84:AA98,24,0)</f>
        <v>3778706</v>
      </c>
      <c r="AA84" s="1120">
        <f t="shared" si="10"/>
        <v>0</v>
      </c>
    </row>
    <row r="85" spans="1:27" s="1120" customFormat="1" ht="50.25" customHeight="1">
      <c r="A85" s="1242">
        <v>70</v>
      </c>
      <c r="B85" s="1242" t="str">
        <f>'Chấm công KT'!C82</f>
        <v>03515</v>
      </c>
      <c r="C85" s="1243" t="str">
        <f>TONGHOPCONGDOI!C80</f>
        <v>N. Xi</v>
      </c>
      <c r="D85" s="1243"/>
      <c r="E85" s="1244"/>
      <c r="F85" s="1243">
        <f t="shared" si="11"/>
        <v>0</v>
      </c>
      <c r="G85" s="1243">
        <f>VLOOKUP(C85,TONGHOPCONGDOI!C80:AE94,16,0)</f>
        <v>2427</v>
      </c>
      <c r="H85" s="1243">
        <f>VLOOKUP(C85,TONGHOPCONGDOI!C80:AE94,17,0)</f>
        <v>0</v>
      </c>
      <c r="I85" s="1243"/>
      <c r="J85" s="1245">
        <f t="shared" si="12"/>
        <v>1125.4366302313053</v>
      </c>
      <c r="K85" s="1242" t="str">
        <f>VLOOKUP(C85,'BTH mủ tạp'!D86:AN164,37,0)</f>
        <v>A</v>
      </c>
      <c r="L85" s="1246">
        <f t="shared" si="13"/>
        <v>4591696</v>
      </c>
      <c r="M85" s="1243">
        <f>VLOOKUP(C85,TONGHOPCONGDOI!$C$11:$V$91,20,0)</f>
        <v>23</v>
      </c>
      <c r="N85" s="1243">
        <f>VLOOKUP(C85,TONGHOPCONGDOI!$C$11:$W$91,21,0)</f>
        <v>5</v>
      </c>
      <c r="O85" s="1243">
        <f>VLOOKUP(C85,TONGHOPCONGDOI!$C$11:$AD$93,22,0)</f>
        <v>0</v>
      </c>
      <c r="P85" s="1243">
        <f>VLOOKUP(C85,TONGHOPCONGDOI!$C$11:$AD$93,23,0)</f>
        <v>0</v>
      </c>
      <c r="Q85" s="1243">
        <f>VLOOKUP(C85,TONGHOPCONGDOI!$C$11:$AD$93,24,0)</f>
        <v>0</v>
      </c>
      <c r="R85" s="1243">
        <f>VLOOKUP(C85,TONGHOPCONGDOI!$C$11:$AD$93,25,0)</f>
        <v>0</v>
      </c>
      <c r="S85" s="1243"/>
      <c r="T85" s="1244"/>
      <c r="U85" s="1244"/>
      <c r="V85" s="1244"/>
      <c r="W85" s="1247">
        <f t="shared" si="14"/>
        <v>966340</v>
      </c>
      <c r="X85" s="1243">
        <f t="shared" si="9"/>
        <v>5558036</v>
      </c>
      <c r="Y85" s="1243"/>
      <c r="Z85" s="1243">
        <f>VLOOKUP(C85,'CNKT '!D85:AA98,24,0)</f>
        <v>5558036</v>
      </c>
      <c r="AA85" s="1120">
        <f t="shared" si="10"/>
        <v>0</v>
      </c>
    </row>
    <row r="86" spans="1:27" s="1120" customFormat="1" ht="50.25" customHeight="1">
      <c r="A86" s="1242">
        <v>71</v>
      </c>
      <c r="B86" s="1242" t="str">
        <f>'Chấm công KT'!C83</f>
        <v>03516</v>
      </c>
      <c r="C86" s="1243" t="str">
        <f>TONGHOPCONGDOI!C81</f>
        <v>N. Chay</v>
      </c>
      <c r="D86" s="1243"/>
      <c r="E86" s="1244"/>
      <c r="F86" s="1243">
        <f t="shared" si="11"/>
        <v>0</v>
      </c>
      <c r="G86" s="1243">
        <f>VLOOKUP(C86,TONGHOPCONGDOI!C81:AE94,16,0)</f>
        <v>1459</v>
      </c>
      <c r="H86" s="1243">
        <f>VLOOKUP(C86,TONGHOPCONGDOI!C81:AE94,17,0)</f>
        <v>0</v>
      </c>
      <c r="I86" s="1243"/>
      <c r="J86" s="1245">
        <f t="shared" si="12"/>
        <v>676.56038051399855</v>
      </c>
      <c r="K86" s="1242" t="str">
        <f>VLOOKUP(C86,'BTH mủ tạp'!D87:AN165,37,0)</f>
        <v>A</v>
      </c>
      <c r="L86" s="1246">
        <f t="shared" si="13"/>
        <v>2760315</v>
      </c>
      <c r="M86" s="1243">
        <f>VLOOKUP(C86,TONGHOPCONGDOI!$C$11:$V$91,20,0)</f>
        <v>17</v>
      </c>
      <c r="N86" s="1243">
        <f>VLOOKUP(C86,TONGHOPCONGDOI!$C$11:$W$91,21,0)</f>
        <v>4</v>
      </c>
      <c r="O86" s="1243">
        <f>VLOOKUP(C86,TONGHOPCONGDOI!$C$11:$AD$93,22,0)</f>
        <v>0</v>
      </c>
      <c r="P86" s="1243">
        <f>VLOOKUP(C86,TONGHOPCONGDOI!$C$11:$AD$93,23,0)</f>
        <v>0</v>
      </c>
      <c r="Q86" s="1243">
        <f>VLOOKUP(C86,TONGHOPCONGDOI!$C$11:$AD$93,24,0)</f>
        <v>0</v>
      </c>
      <c r="R86" s="1243">
        <f>VLOOKUP(C86,TONGHOPCONGDOI!$C$11:$AD$93,25,0)</f>
        <v>0</v>
      </c>
      <c r="S86" s="1243"/>
      <c r="T86" s="1244"/>
      <c r="U86" s="1244"/>
      <c r="V86" s="1244"/>
      <c r="W86" s="1247">
        <f t="shared" si="14"/>
        <v>729905</v>
      </c>
      <c r="X86" s="1243">
        <f t="shared" si="9"/>
        <v>3490220</v>
      </c>
      <c r="Y86" s="1243"/>
      <c r="Z86" s="1243">
        <f>VLOOKUP(C86,'CNKT '!D86:AA98,24,0)</f>
        <v>3490220</v>
      </c>
      <c r="AA86" s="1120">
        <f>Z86-X86</f>
        <v>0</v>
      </c>
    </row>
    <row r="87" spans="1:27" s="1120" customFormat="1" ht="50.25" customHeight="1">
      <c r="A87" s="1242">
        <v>72</v>
      </c>
      <c r="B87" s="1242" t="str">
        <f>'Chấm công KT'!C84</f>
        <v>03544</v>
      </c>
      <c r="C87" s="1243" t="str">
        <f>TONGHOPCONGDOI!C82</f>
        <v>T. Ta</v>
      </c>
      <c r="D87" s="1243"/>
      <c r="E87" s="1244"/>
      <c r="F87" s="1243">
        <f t="shared" si="11"/>
        <v>0</v>
      </c>
      <c r="G87" s="1243">
        <f>VLOOKUP(C87,TONGHOPCONGDOI!C82:AE94,16,0)</f>
        <v>1582</v>
      </c>
      <c r="H87" s="1243">
        <f>VLOOKUP(C87,TONGHOPCONGDOI!C82:AE94,17,0)</f>
        <v>0</v>
      </c>
      <c r="I87" s="1243"/>
      <c r="J87" s="1245">
        <f t="shared" si="12"/>
        <v>733.59734199667287</v>
      </c>
      <c r="K87" s="1242" t="str">
        <f>VLOOKUP(C87,'BTH mủ tạp'!D88:AN166,37,0)</f>
        <v>A</v>
      </c>
      <c r="L87" s="1246">
        <f t="shared" si="13"/>
        <v>2993021</v>
      </c>
      <c r="M87" s="1243">
        <f>VLOOKUP(C87,TONGHOPCONGDOI!$C$11:$V$91,20,0)</f>
        <v>23</v>
      </c>
      <c r="N87" s="1243">
        <f>VLOOKUP(C87,TONGHOPCONGDOI!$C$11:$W$91,21,0)</f>
        <v>5</v>
      </c>
      <c r="O87" s="1243">
        <f>VLOOKUP(C87,TONGHOPCONGDOI!$C$11:$AD$93,22,0)</f>
        <v>0</v>
      </c>
      <c r="P87" s="1243">
        <f>VLOOKUP(C87,TONGHOPCONGDOI!$C$11:$AD$93,23,0)</f>
        <v>0</v>
      </c>
      <c r="Q87" s="1243">
        <f>VLOOKUP(C87,TONGHOPCONGDOI!$C$11:$AD$93,24,0)</f>
        <v>0</v>
      </c>
      <c r="R87" s="1243">
        <f>VLOOKUP(C87,TONGHOPCONGDOI!$C$11:$AD$93,25,0)</f>
        <v>0</v>
      </c>
      <c r="S87" s="1243"/>
      <c r="T87" s="1244"/>
      <c r="U87" s="1244"/>
      <c r="V87" s="1244"/>
      <c r="W87" s="1247">
        <f t="shared" si="14"/>
        <v>966340</v>
      </c>
      <c r="X87" s="1243">
        <f t="shared" si="9"/>
        <v>3959361</v>
      </c>
      <c r="Y87" s="1243"/>
      <c r="Z87" s="1243">
        <f>VLOOKUP(C87,'CNKT '!D87:AA98,24,0)</f>
        <v>3959361</v>
      </c>
      <c r="AA87" s="1120">
        <f t="shared" si="10"/>
        <v>0</v>
      </c>
    </row>
    <row r="88" spans="1:27" s="1120" customFormat="1" ht="50.25" customHeight="1">
      <c r="A88" s="1242">
        <v>73</v>
      </c>
      <c r="B88" s="1242" t="str">
        <f>'Chấm công KT'!C85</f>
        <v>04071</v>
      </c>
      <c r="C88" s="1243" t="str">
        <f>TONGHOPCONGDOI!C83</f>
        <v>T. Ne</v>
      </c>
      <c r="D88" s="1243"/>
      <c r="E88" s="1244"/>
      <c r="F88" s="1243">
        <f t="shared" si="11"/>
        <v>0</v>
      </c>
      <c r="G88" s="1243">
        <f>VLOOKUP(C88,TONGHOPCONGDOI!C83:AE94,16,0)</f>
        <v>1588</v>
      </c>
      <c r="H88" s="1243">
        <f>VLOOKUP(C88,TONGHOPCONGDOI!C83:AE94,17,0)</f>
        <v>0</v>
      </c>
      <c r="I88" s="1243"/>
      <c r="J88" s="1245">
        <f t="shared" si="12"/>
        <v>736.37963280070574</v>
      </c>
      <c r="K88" s="1242" t="str">
        <f>VLOOKUP(C88,'BTH mủ tạp'!D89:AN167,37,0)</f>
        <v>A</v>
      </c>
      <c r="L88" s="1246">
        <f t="shared" si="13"/>
        <v>3004373</v>
      </c>
      <c r="M88" s="1243">
        <f>VLOOKUP(C88,TONGHOPCONGDOI!$C$11:$V$91,20,0)</f>
        <v>23</v>
      </c>
      <c r="N88" s="1243">
        <f>VLOOKUP(C88,TONGHOPCONGDOI!$C$11:$W$91,21,0)</f>
        <v>5</v>
      </c>
      <c r="O88" s="1243">
        <f>VLOOKUP(C88,TONGHOPCONGDOI!$C$11:$AD$93,22,0)</f>
        <v>0</v>
      </c>
      <c r="P88" s="1243">
        <f>VLOOKUP(C88,TONGHOPCONGDOI!$C$11:$AD$93,23,0)</f>
        <v>0</v>
      </c>
      <c r="Q88" s="1243">
        <f>VLOOKUP(C88,TONGHOPCONGDOI!$C$11:$AD$93,24,0)</f>
        <v>0</v>
      </c>
      <c r="R88" s="1243">
        <f>VLOOKUP(C88,TONGHOPCONGDOI!$C$11:$AD$93,25,0)</f>
        <v>0</v>
      </c>
      <c r="S88" s="1243"/>
      <c r="T88" s="1244"/>
      <c r="U88" s="1244"/>
      <c r="V88" s="1244"/>
      <c r="W88" s="1247">
        <f t="shared" si="14"/>
        <v>966340</v>
      </c>
      <c r="X88" s="1243">
        <f t="shared" si="9"/>
        <v>3970713</v>
      </c>
      <c r="Y88" s="1243"/>
      <c r="Z88" s="1243">
        <f>VLOOKUP(C88,'CNKT '!D88:AA98,24,0)</f>
        <v>3970713</v>
      </c>
      <c r="AA88" s="1120">
        <f t="shared" ref="AA88:AA96" si="15">Z88-X88</f>
        <v>0</v>
      </c>
    </row>
    <row r="89" spans="1:27" s="1120" customFormat="1" ht="50.25" customHeight="1">
      <c r="A89" s="1242">
        <v>74</v>
      </c>
      <c r="B89" s="1242"/>
      <c r="C89" s="1243" t="str">
        <f>TONGHOPCONGDOI!C84</f>
        <v>T. Tý</v>
      </c>
      <c r="D89" s="1243"/>
      <c r="E89" s="1244"/>
      <c r="F89" s="1243">
        <f t="shared" si="11"/>
        <v>0</v>
      </c>
      <c r="G89" s="1243">
        <f>VLOOKUP(C89,TONGHOPCONGDOI!C84:AE94,16,0)</f>
        <v>109</v>
      </c>
      <c r="H89" s="1243">
        <f>VLOOKUP(C89,TONGHOPCONGDOI!C84:AE94,17,0)</f>
        <v>0</v>
      </c>
      <c r="I89" s="1243"/>
      <c r="J89" s="1245">
        <f t="shared" si="12"/>
        <v>50.544949606597562</v>
      </c>
      <c r="K89" s="1242" t="str">
        <f>VLOOKUP(C89,'BTH mủ tạp'!D90:AN168,37,0)</f>
        <v>C.</v>
      </c>
      <c r="L89" s="1246">
        <f>ROUND((IF(K89="A",(G89*$Z$12*6.1),IF(K89="B",(G89*$Z$12*5.8),IF(K89="C",(G89*$Z$12*5.5),IF(K89="C.",(G89*$Z$12*5.5),IF(K89="D",(G89*$Z$12*5.2),0)))))*$E$12+(H89*$AB$11*$E$12*6.1)+I89*$E$12*$AB$12*6.1),0)</f>
        <v>185936</v>
      </c>
      <c r="M89" s="1243">
        <f>VLOOKUP(C89,TONGHOPCONGDOI!$C$11:$V$91,20,0)</f>
        <v>7</v>
      </c>
      <c r="N89" s="1243">
        <f>VLOOKUP(C89,TONGHOPCONGDOI!$C$11:$W$91,21,0)</f>
        <v>1</v>
      </c>
      <c r="O89" s="1243">
        <f>VLOOKUP(C89,TONGHOPCONGDOI!$C$11:$AD$93,22,0)</f>
        <v>0</v>
      </c>
      <c r="P89" s="1243">
        <f>VLOOKUP(C89,TONGHOPCONGDOI!$C$11:$AD$93,23,0)</f>
        <v>0</v>
      </c>
      <c r="Q89" s="1243">
        <f>VLOOKUP(C89,TONGHOPCONGDOI!$C$11:$AD$93,24,0)</f>
        <v>0</v>
      </c>
      <c r="R89" s="1243">
        <f>VLOOKUP(C89,TONGHOPCONGDOI!$C$11:$AD$93,25,0)</f>
        <v>0</v>
      </c>
      <c r="S89" s="1243"/>
      <c r="T89" s="1244"/>
      <c r="U89" s="1244"/>
      <c r="V89" s="1244"/>
      <c r="W89" s="1247">
        <f>ROUND(((M89*46.1)+(N89*76.9)+(O89*92.2)+(P89*153.8)+(Q89*92.2)+(R89*153.8))*$E$12+(S89*25000)+(T89*10000)+(U89*30000),0)</f>
        <v>267268</v>
      </c>
      <c r="X89" s="1243">
        <f>F89+L89+W89</f>
        <v>453204</v>
      </c>
      <c r="Y89" s="1243"/>
      <c r="Z89" s="1243">
        <f>VLOOKUP(C89,'CNKT '!D89:AA98,24,0)</f>
        <v>453204</v>
      </c>
      <c r="AA89" s="1120">
        <f t="shared" si="15"/>
        <v>0</v>
      </c>
    </row>
    <row r="90" spans="1:27" s="1120" customFormat="1" ht="50.25" customHeight="1">
      <c r="A90" s="1242">
        <v>75</v>
      </c>
      <c r="B90" s="1242"/>
      <c r="C90" s="1243" t="str">
        <f>TONGHOPCONGDOI!C85</f>
        <v>T. Lã</v>
      </c>
      <c r="D90" s="1243"/>
      <c r="E90" s="1244"/>
      <c r="F90" s="1243">
        <f t="shared" si="11"/>
        <v>0</v>
      </c>
      <c r="G90" s="1243">
        <f>VLOOKUP(C90,TONGHOPCONGDOI!C85:AE94,16,0)</f>
        <v>1137</v>
      </c>
      <c r="H90" s="1243">
        <f>VLOOKUP(C90,TONGHOPCONGDOI!C85:AE94,17,0)</f>
        <v>0</v>
      </c>
      <c r="I90" s="1243"/>
      <c r="J90" s="1245">
        <f t="shared" si="12"/>
        <v>527.24410736423329</v>
      </c>
      <c r="K90" s="1242" t="str">
        <f>VLOOKUP(C90,'BTH mủ tạp'!D91:AN169,37,0)</f>
        <v>C.</v>
      </c>
      <c r="L90" s="1246">
        <f>ROUND((IF(K90="A",(G90*$Z$12*6.1),IF(K90="B",(G90*$Z$12*5.8),IF(K90="C",(G90*$Z$12*5.5),IF(K90="C.",(G90*$Z$12*5.5),IF(K90="D",(G90*$Z$12*5.2),0)))))*$E$12+(H90*$AB$11*$E$12*6.1)+I90*$E$12*$AB$12*6.1),0)</f>
        <v>1939531</v>
      </c>
      <c r="M90" s="1243">
        <f>VLOOKUP(C90,TONGHOPCONGDOI!$C$11:$V$91,20,0)</f>
        <v>22</v>
      </c>
      <c r="N90" s="1243">
        <f>VLOOKUP(C90,TONGHOPCONGDOI!$C$11:$W$91,21,0)</f>
        <v>3</v>
      </c>
      <c r="O90" s="1243">
        <f>VLOOKUP(C90,TONGHOPCONGDOI!$C$11:$AD$93,22,0)</f>
        <v>0</v>
      </c>
      <c r="P90" s="1243">
        <f>VLOOKUP(C90,TONGHOPCONGDOI!$C$11:$AD$93,23,0)</f>
        <v>0</v>
      </c>
      <c r="Q90" s="1243">
        <f>VLOOKUP(C90,TONGHOPCONGDOI!$C$11:$AD$93,24,0)</f>
        <v>0</v>
      </c>
      <c r="R90" s="1243">
        <f>VLOOKUP(C90,TONGHOPCONGDOI!$C$11:$AD$93,25,0)</f>
        <v>0</v>
      </c>
      <c r="S90" s="1243"/>
      <c r="T90" s="1244"/>
      <c r="U90" s="1244"/>
      <c r="V90" s="1244"/>
      <c r="W90" s="1247">
        <f t="shared" si="14"/>
        <v>832639</v>
      </c>
      <c r="X90" s="1243">
        <f t="shared" si="9"/>
        <v>2772170</v>
      </c>
      <c r="Y90" s="1243"/>
      <c r="Z90" s="1243">
        <f>VLOOKUP(C90,'CNKT '!D90:AA98,24,0)</f>
        <v>2772170</v>
      </c>
      <c r="AA90" s="1120">
        <f t="shared" si="15"/>
        <v>0</v>
      </c>
    </row>
    <row r="91" spans="1:27" s="1120" customFormat="1" ht="50.25" customHeight="1">
      <c r="A91" s="1242">
        <v>76</v>
      </c>
      <c r="B91" s="1242"/>
      <c r="C91" s="1243" t="str">
        <f>TONGHOPCONGDOI!C86</f>
        <v>N. Veo</v>
      </c>
      <c r="D91" s="1243"/>
      <c r="E91" s="1244"/>
      <c r="F91" s="1243">
        <f t="shared" si="11"/>
        <v>0</v>
      </c>
      <c r="G91" s="1243">
        <f>VLOOKUP(C91,TONGHOPCONGDOI!C86:AE94,16,0)</f>
        <v>1347</v>
      </c>
      <c r="H91" s="1243">
        <f>VLOOKUP(C91,TONGHOPCONGDOI!C86:AE94,17,0)</f>
        <v>0</v>
      </c>
      <c r="I91" s="1243"/>
      <c r="J91" s="1245">
        <f t="shared" si="12"/>
        <v>624.62428550538448</v>
      </c>
      <c r="K91" s="1242" t="str">
        <f>VLOOKUP(C91,'BTH mủ tạp'!D92:AN170,37,0)</f>
        <v>C.</v>
      </c>
      <c r="L91" s="1246">
        <f t="shared" ref="L91:L95" si="16">ROUND((IF(K91="A",(G91*$Z$12*6.1),IF(K91="B",(G91*$Z$12*5.8),IF(K91="C",(G91*$Z$12*5.5),IF(K91="C.",(G91*$Z$12*5.5),IF(K91="D",(G91*$Z$12*5.2),0)))))*$E$12+(H91*$AB$11*$E$12*6.1)+I91*$E$12*$AB$12*6.1),0)</f>
        <v>2297755</v>
      </c>
      <c r="M91" s="1243">
        <f>VLOOKUP(C91,TONGHOPCONGDOI!$C$11:$V$91,20,0)</f>
        <v>20</v>
      </c>
      <c r="N91" s="1243">
        <f>VLOOKUP(C91,TONGHOPCONGDOI!$C$11:$W$91,21,0)</f>
        <v>3</v>
      </c>
      <c r="O91" s="1243">
        <f>VLOOKUP(C91,TONGHOPCONGDOI!$C$11:$AD$93,22,0)</f>
        <v>0</v>
      </c>
      <c r="P91" s="1243">
        <f>VLOOKUP(C91,TONGHOPCONGDOI!$C$11:$AD$93,23,0)</f>
        <v>0</v>
      </c>
      <c r="Q91" s="1243">
        <f>VLOOKUP(C91,TONGHOPCONGDOI!$C$11:$AD$93,24,0)</f>
        <v>0</v>
      </c>
      <c r="R91" s="1243">
        <f>VLOOKUP(C91,TONGHOPCONGDOI!$C$11:$AD$93,25,0)</f>
        <v>0</v>
      </c>
      <c r="S91" s="1243"/>
      <c r="T91" s="1244"/>
      <c r="U91" s="1244"/>
      <c r="V91" s="1244"/>
      <c r="W91" s="1247">
        <f t="shared" si="14"/>
        <v>770972</v>
      </c>
      <c r="X91" s="1243">
        <f t="shared" si="9"/>
        <v>3068727</v>
      </c>
      <c r="Y91" s="1243"/>
      <c r="Z91" s="1243">
        <f>VLOOKUP(C91,'CNKT '!D91:AA98,24,0)</f>
        <v>3068727</v>
      </c>
      <c r="AA91" s="1120">
        <f t="shared" si="15"/>
        <v>0</v>
      </c>
    </row>
    <row r="92" spans="1:27" s="1120" customFormat="1" ht="50.25" customHeight="1">
      <c r="A92" s="1242">
        <v>77</v>
      </c>
      <c r="B92" s="1242"/>
      <c r="C92" s="1243" t="str">
        <f>TONGHOPCONGDOI!C87</f>
        <v>T. Pu</v>
      </c>
      <c r="D92" s="1243"/>
      <c r="E92" s="1244"/>
      <c r="F92" s="1243">
        <f t="shared" si="11"/>
        <v>0</v>
      </c>
      <c r="G92" s="1243">
        <f>VLOOKUP(C92,TONGHOPCONGDOI!C87:AE94,16,0)</f>
        <v>870</v>
      </c>
      <c r="H92" s="1243"/>
      <c r="I92" s="1243"/>
      <c r="J92" s="1245">
        <f t="shared" si="12"/>
        <v>403.4321665847695</v>
      </c>
      <c r="K92" s="1242" t="str">
        <f>VLOOKUP(C92,'BTH mủ tạp'!D93:AN171,37,0)</f>
        <v>C.</v>
      </c>
      <c r="L92" s="1246">
        <f t="shared" si="16"/>
        <v>1484074</v>
      </c>
      <c r="M92" s="1243">
        <f>VLOOKUP(C92,TONGHOPCONGDOI!$C$11:$V$91,20,0)</f>
        <v>15</v>
      </c>
      <c r="N92" s="1243">
        <f>VLOOKUP(C92,TONGHOPCONGDOI!$C$11:$W$91,21,0)</f>
        <v>2</v>
      </c>
      <c r="O92" s="1243">
        <f>VLOOKUP(C92,TONGHOPCONGDOI!$C$11:$AD$93,22,0)</f>
        <v>0</v>
      </c>
      <c r="P92" s="1243">
        <f>VLOOKUP(C92,TONGHOPCONGDOI!$C$11:$AD$93,23,0)</f>
        <v>0</v>
      </c>
      <c r="Q92" s="1243">
        <f>VLOOKUP(C92,TONGHOPCONGDOI!$C$11:$AD$93,24,0)</f>
        <v>0</v>
      </c>
      <c r="R92" s="1243">
        <f>VLOOKUP(C92,TONGHOPCONGDOI!$C$11:$AD$93,25,0)</f>
        <v>0</v>
      </c>
      <c r="S92" s="1243"/>
      <c r="T92" s="1244"/>
      <c r="U92" s="1244"/>
      <c r="V92" s="1244"/>
      <c r="W92" s="1247">
        <f t="shared" si="14"/>
        <v>565370</v>
      </c>
      <c r="X92" s="1243">
        <f t="shared" si="9"/>
        <v>2049444</v>
      </c>
      <c r="Y92" s="1243"/>
      <c r="Z92" s="1243">
        <f>VLOOKUP(C92,'CNKT '!D92:AA98,24,0)</f>
        <v>2049444</v>
      </c>
      <c r="AA92" s="1120">
        <f t="shared" si="15"/>
        <v>0</v>
      </c>
    </row>
    <row r="93" spans="1:27" s="1120" customFormat="1" ht="50.25" customHeight="1">
      <c r="A93" s="1242">
        <v>78</v>
      </c>
      <c r="B93" s="1242"/>
      <c r="C93" s="1243" t="str">
        <f>TONGHOPCONGDOI!C88</f>
        <v>T. Ta.</v>
      </c>
      <c r="D93" s="1243"/>
      <c r="E93" s="1244"/>
      <c r="F93" s="1243">
        <f t="shared" si="11"/>
        <v>0</v>
      </c>
      <c r="G93" s="1243">
        <f>VLOOKUP(C93,TONGHOPCONGDOI!C88:AE94,16,0)</f>
        <v>717</v>
      </c>
      <c r="H93" s="1243"/>
      <c r="I93" s="1243"/>
      <c r="J93" s="1245">
        <f t="shared" si="12"/>
        <v>332.48375108193073</v>
      </c>
      <c r="K93" s="1242" t="str">
        <f>VLOOKUP(C93,'BTH mủ tạp'!D94:AN172,37,0)</f>
        <v>C.</v>
      </c>
      <c r="L93" s="1246">
        <f t="shared" si="16"/>
        <v>1223081</v>
      </c>
      <c r="M93" s="1243">
        <f>VLOOKUP(C93,TONGHOPCONGDOI!$C$11:$V$91,20,0)</f>
        <v>12</v>
      </c>
      <c r="N93" s="1243">
        <f>VLOOKUP(C93,TONGHOPCONGDOI!$C$11:$W$91,21,0)</f>
        <v>2</v>
      </c>
      <c r="O93" s="1243">
        <f>VLOOKUP(C93,TONGHOPCONGDOI!$C$11:$AD$93,22,0)</f>
        <v>0</v>
      </c>
      <c r="P93" s="1243">
        <f>VLOOKUP(C93,TONGHOPCONGDOI!$C$11:$AD$93,23,0)</f>
        <v>0</v>
      </c>
      <c r="Q93" s="1243">
        <f>VLOOKUP(C93,TONGHOPCONGDOI!$C$11:$AD$93,24,0)</f>
        <v>0</v>
      </c>
      <c r="R93" s="1243">
        <f>VLOOKUP(C93,TONGHOPCONGDOI!$C$11:$AD$93,25,0)</f>
        <v>0</v>
      </c>
      <c r="S93" s="1243"/>
      <c r="T93" s="1244"/>
      <c r="U93" s="1244"/>
      <c r="V93" s="1244"/>
      <c r="W93" s="1247">
        <f t="shared" si="14"/>
        <v>472870</v>
      </c>
      <c r="X93" s="1243">
        <f t="shared" si="9"/>
        <v>1695951</v>
      </c>
      <c r="Y93" s="1243"/>
      <c r="Z93" s="1243">
        <f>VLOOKUP(C93,'CNKT '!D93:AA98,24,0)</f>
        <v>1695951</v>
      </c>
      <c r="AA93" s="1120">
        <f t="shared" si="15"/>
        <v>0</v>
      </c>
    </row>
    <row r="94" spans="1:27" s="1120" customFormat="1" ht="50.25" customHeight="1">
      <c r="A94" s="1242">
        <v>79</v>
      </c>
      <c r="B94" s="1242"/>
      <c r="C94" s="1243" t="str">
        <f>TONGHOPCONGDOI!C89</f>
        <v>N. Nang</v>
      </c>
      <c r="D94" s="1248"/>
      <c r="E94" s="1244"/>
      <c r="F94" s="1243">
        <f t="shared" si="11"/>
        <v>0</v>
      </c>
      <c r="G94" s="1243">
        <f>VLOOKUP(C94,TONGHOPCONGDOI!C89:AE94,16,0)</f>
        <v>477</v>
      </c>
      <c r="H94" s="1243"/>
      <c r="I94" s="1243"/>
      <c r="J94" s="1245">
        <f>$AB$10/$AB$9*G94+H94*$AB$11+I94*$AB$12</f>
        <v>221.192118920615</v>
      </c>
      <c r="K94" s="1242" t="str">
        <f>VLOOKUP(C94,'BTH mủ tạp'!D95:AN173,37,0)</f>
        <v>C.</v>
      </c>
      <c r="L94" s="1246">
        <f t="shared" si="16"/>
        <v>813682</v>
      </c>
      <c r="M94" s="1243">
        <f>VLOOKUP(C94,TONGHOPCONGDOI!$C$11:$V$91,20,0)</f>
        <v>6</v>
      </c>
      <c r="N94" s="1243">
        <f>VLOOKUP(C94,TONGHOPCONGDOI!$C$11:$W$91,21,0)</f>
        <v>1</v>
      </c>
      <c r="O94" s="1243">
        <f>VLOOKUP(C94,TONGHOPCONGDOI!$C$11:$AD$93,22,0)</f>
        <v>0</v>
      </c>
      <c r="P94" s="1243">
        <f>VLOOKUP(C94,TONGHOPCONGDOI!$C$11:$AD$93,23,0)</f>
        <v>0</v>
      </c>
      <c r="Q94" s="1243">
        <f>VLOOKUP(C94,TONGHOPCONGDOI!$C$11:$AD$93,24,0)</f>
        <v>0</v>
      </c>
      <c r="R94" s="1243">
        <f>VLOOKUP(C94,TONGHOPCONGDOI!$C$11:$AD$93,25,0)</f>
        <v>0</v>
      </c>
      <c r="S94" s="1243"/>
      <c r="T94" s="1244"/>
      <c r="U94" s="1244"/>
      <c r="V94" s="1244"/>
      <c r="W94" s="1247">
        <f t="shared" si="14"/>
        <v>236435</v>
      </c>
      <c r="X94" s="1243">
        <f t="shared" si="9"/>
        <v>1050117</v>
      </c>
      <c r="Y94" s="1243"/>
      <c r="Z94" s="1243">
        <f>VLOOKUP(C94,'CNKT '!D94:AA98,24,0)</f>
        <v>1050117</v>
      </c>
      <c r="AA94" s="1120">
        <f t="shared" si="15"/>
        <v>0</v>
      </c>
    </row>
    <row r="95" spans="1:27" s="1120" customFormat="1" ht="50.25" customHeight="1">
      <c r="A95" s="1242">
        <v>80</v>
      </c>
      <c r="B95" s="1242"/>
      <c r="C95" s="1243" t="str">
        <f>TONGHOPCONGDOI!C90</f>
        <v>T. Tan</v>
      </c>
      <c r="D95" s="1248"/>
      <c r="E95" s="1244">
        <f>VLOOKUP(C95,TONGHOPCONGDOI!$C$11:$Q$93,15,0)</f>
        <v>0</v>
      </c>
      <c r="F95" s="1243">
        <f t="shared" si="11"/>
        <v>0</v>
      </c>
      <c r="G95" s="1243">
        <f>VLOOKUP(C95,TONGHOPCONGDOI!C90:AE94,16,0)</f>
        <v>351</v>
      </c>
      <c r="H95" s="1243"/>
      <c r="I95" s="1243"/>
      <c r="J95" s="1245">
        <f>$AB$10/$AB$9*G95+H95*$AB$11+I95*$AB$12</f>
        <v>162.76401203592425</v>
      </c>
      <c r="K95" s="1242" t="str">
        <f>VLOOKUP(C95,'BTH mủ tạp'!D96:AN174,37,0)</f>
        <v>C.</v>
      </c>
      <c r="L95" s="1246">
        <f t="shared" si="16"/>
        <v>598747</v>
      </c>
      <c r="M95" s="1243">
        <f>VLOOKUP(C95,TONGHOPCONGDOI!$C$11:$V$91,20,0)</f>
        <v>3</v>
      </c>
      <c r="N95" s="1243">
        <f>VLOOKUP(C95,TONGHOPCONGDOI!$C$11:$W$91,21,0)</f>
        <v>1</v>
      </c>
      <c r="O95" s="1243">
        <f>VLOOKUP(C95,TONGHOPCONGDOI!$C$11:$AD$93,22,0)</f>
        <v>0</v>
      </c>
      <c r="P95" s="1243">
        <f>VLOOKUP(C95,TONGHOPCONGDOI!$C$11:$AD$93,23,0)</f>
        <v>0</v>
      </c>
      <c r="Q95" s="1243">
        <f>VLOOKUP(C95,TONGHOPCONGDOI!$C$11:$AD$93,24,0)</f>
        <v>0</v>
      </c>
      <c r="R95" s="1243">
        <f>VLOOKUP(C95,TONGHOPCONGDOI!$C$11:$AD$93,25,0)</f>
        <v>0</v>
      </c>
      <c r="S95" s="1243"/>
      <c r="T95" s="1244"/>
      <c r="U95" s="1244"/>
      <c r="V95" s="1244"/>
      <c r="W95" s="1247">
        <f t="shared" si="14"/>
        <v>143934</v>
      </c>
      <c r="X95" s="1243">
        <f t="shared" si="9"/>
        <v>742681</v>
      </c>
      <c r="Y95" s="1243"/>
      <c r="Z95" s="1243">
        <f>VLOOKUP(C95,'CNKT '!D95:AA98,24,0)</f>
        <v>742681</v>
      </c>
      <c r="AA95" s="1120">
        <f t="shared" si="15"/>
        <v>0</v>
      </c>
    </row>
    <row r="96" spans="1:27" s="1120" customFormat="1" ht="50.25" customHeight="1">
      <c r="A96" s="1242">
        <v>81</v>
      </c>
      <c r="B96" s="1242"/>
      <c r="C96" s="1249" t="str">
        <f>TONGHOPCONGDOI!C91</f>
        <v>T. Tu</v>
      </c>
      <c r="D96" s="1248"/>
      <c r="E96" s="1244"/>
      <c r="F96" s="1243"/>
      <c r="G96" s="1243">
        <f>VLOOKUP(C96,TONGHOPCONGDOI!C91:AE95,16,0)</f>
        <v>272</v>
      </c>
      <c r="H96" s="1243"/>
      <c r="I96" s="1243">
        <f>'BTH mủ Sỉum'!AH16</f>
        <v>0</v>
      </c>
      <c r="J96" s="1245">
        <f>$AB$10/$AB$9*G96+H96*$AB$11+I96*$AB$12</f>
        <v>126.13051644949115</v>
      </c>
      <c r="K96" s="1242" t="str">
        <f>VLOOKUP(C96,'BTH mủ tạp'!D97:AN175,37,0)</f>
        <v>C.</v>
      </c>
      <c r="L96" s="1246">
        <f>ROUND((IF(K96="A",(G96*$Z$12*6.1),IF(K96="B",(G96*$Z$12*5.8),IF(K96="C",(G96*$Z$12*5.5),IF(K96="C.",(G96*$Z$12*5.5),IF(K96="D",(G96*$Z$12*5.2),0)))))*$E$12+(H96*$AB$11*$E$12*6.1)+I96*$E$12*$AB$12*6.1),0)</f>
        <v>463986</v>
      </c>
      <c r="M96" s="1243">
        <f>VLOOKUP(C96,TONGHOPCONGDOI!$C$11:$V$91,20,0)</f>
        <v>2</v>
      </c>
      <c r="N96" s="1243">
        <f>VLOOKUP(C96,TONGHOPCONGDOI!$C$11:$W$91,21,0)</f>
        <v>0</v>
      </c>
      <c r="O96" s="1243"/>
      <c r="P96" s="1243"/>
      <c r="Q96" s="1243"/>
      <c r="R96" s="1243"/>
      <c r="S96" s="1243"/>
      <c r="T96" s="1244"/>
      <c r="U96" s="1244"/>
      <c r="V96" s="1244"/>
      <c r="W96" s="1247">
        <f>ROUND(((M96*46.1)+(N96*76.9)+(O96*92.2)+(P96*153.8)+(Q96*92.2)+(R96*153.8))*$E$12+(S96*25000)+(T96*10000)+(U96*30000),0)</f>
        <v>61667</v>
      </c>
      <c r="X96" s="1243">
        <f t="shared" si="9"/>
        <v>525653</v>
      </c>
      <c r="Y96" s="1243"/>
      <c r="Z96" s="1243">
        <f>VLOOKUP(C96,'CNKT '!D96:AA98,24,0)</f>
        <v>525653</v>
      </c>
      <c r="AA96" s="1120">
        <f t="shared" si="15"/>
        <v>0</v>
      </c>
    </row>
    <row r="97" spans="1:28" s="1120" customFormat="1" ht="50.25" customHeight="1">
      <c r="A97" s="1242">
        <v>82</v>
      </c>
      <c r="B97" s="1242"/>
      <c r="C97" s="1243">
        <f>TONGHOPCONGDOI!C92</f>
        <v>0</v>
      </c>
      <c r="D97" s="1248"/>
      <c r="E97" s="1244">
        <f>VLOOKUP(C97,TONGHOPCONGDOI!$C$11:$Q$93,15,0)</f>
        <v>0</v>
      </c>
      <c r="F97" s="1243">
        <f t="shared" si="11"/>
        <v>0</v>
      </c>
      <c r="G97" s="1243"/>
      <c r="H97" s="1243"/>
      <c r="I97" s="1243"/>
      <c r="J97" s="1245"/>
      <c r="K97" s="1242"/>
      <c r="L97" s="1246"/>
      <c r="M97" s="1243"/>
      <c r="N97" s="1243"/>
      <c r="O97" s="1243">
        <f>VLOOKUP(C97,TONGHOPCONGDOI!$C$11:$AD$93,22,0)</f>
        <v>0</v>
      </c>
      <c r="P97" s="1243">
        <f>VLOOKUP(C97,TONGHOPCONGDOI!$C$11:$AD$93,23,0)</f>
        <v>0</v>
      </c>
      <c r="Q97" s="1243">
        <f>VLOOKUP(C97,TONGHOPCONGDOI!$C$11:$AD$93,24,0)</f>
        <v>0</v>
      </c>
      <c r="R97" s="1243">
        <f>VLOOKUP(C97,TONGHOPCONGDOI!$C$11:$AD$93,25,0)</f>
        <v>0</v>
      </c>
      <c r="S97" s="1243"/>
      <c r="T97" s="1244">
        <f t="shared" ref="T97" si="17">SUM(M97:R97)</f>
        <v>0</v>
      </c>
      <c r="U97" s="1244"/>
      <c r="V97" s="1244"/>
      <c r="W97" s="1247">
        <f t="shared" si="14"/>
        <v>0</v>
      </c>
      <c r="X97" s="1243">
        <f t="shared" si="9"/>
        <v>0</v>
      </c>
      <c r="Y97" s="1243"/>
      <c r="Z97" s="1243">
        <f>VLOOKUP(C97,'CNKT '!D97:AA98,24,0)</f>
        <v>0</v>
      </c>
      <c r="AA97" s="1120">
        <f>Z97-X97</f>
        <v>0</v>
      </c>
    </row>
    <row r="98" spans="1:28" s="1121" customFormat="1" ht="50.25" customHeight="1">
      <c r="A98" s="1250">
        <v>82</v>
      </c>
      <c r="B98" s="1251"/>
      <c r="C98" s="1252" t="str">
        <f>TONGHOPCONGDOI!C94</f>
        <v>T. Tạch</v>
      </c>
      <c r="D98" s="1253"/>
      <c r="E98" s="1254"/>
      <c r="F98" s="1252">
        <f t="shared" si="11"/>
        <v>0</v>
      </c>
      <c r="G98" s="1252"/>
      <c r="H98" s="1252"/>
      <c r="I98" s="1252"/>
      <c r="J98" s="1255"/>
      <c r="K98" s="1250"/>
      <c r="L98" s="1256"/>
      <c r="M98" s="1252"/>
      <c r="N98" s="1243"/>
      <c r="O98" s="1252">
        <f>VLOOKUP(C98,TONGHOPCONGDOI!$C$11:$AD$94,22,0)</f>
        <v>0</v>
      </c>
      <c r="P98" s="1252">
        <f>VLOOKUP(C98,TONGHOPCONGDOI!$C$11:$AD$94,23,0)</f>
        <v>0</v>
      </c>
      <c r="Q98" s="1252">
        <f>VLOOKUP(C98,TONGHOPCONGDOI!$C$11:$AD$94,24,0)</f>
        <v>0</v>
      </c>
      <c r="R98" s="1252">
        <f>VLOOKUP(C98,TONGHOPCONGDOI!$C$11:$AD$94,25,0)</f>
        <v>0</v>
      </c>
      <c r="S98" s="1252"/>
      <c r="T98" s="1252"/>
      <c r="U98" s="1252"/>
      <c r="V98" s="1254"/>
      <c r="W98" s="1257">
        <f t="shared" ref="W98" si="18">((M98*46.1)+(N98*76.9)+(O98*92.2)+(P98*153.8)+(Q98*92.2)+(R98*153.8))*$E$12+(S98*20000)+(T98*10000)+(U98*30000)</f>
        <v>0</v>
      </c>
      <c r="X98" s="1252">
        <f t="shared" si="9"/>
        <v>0</v>
      </c>
      <c r="Y98" s="1252"/>
      <c r="Z98" s="1252">
        <f>VLOOKUP(C98,'CNKT '!D98:AA100,24,0)</f>
        <v>0</v>
      </c>
    </row>
    <row r="99" spans="1:28" s="1120" customFormat="1" ht="50.25" customHeight="1">
      <c r="A99" s="1421" t="s">
        <v>383</v>
      </c>
      <c r="B99" s="1422"/>
      <c r="C99" s="1422"/>
      <c r="D99" s="1423"/>
      <c r="E99" s="1258">
        <f>SUM(E16:E98)</f>
        <v>0</v>
      </c>
      <c r="F99" s="1259">
        <f t="shared" ref="F99:Z99" si="19">SUM(F16:F98)</f>
        <v>0</v>
      </c>
      <c r="G99" s="1260">
        <f t="shared" si="19"/>
        <v>168911</v>
      </c>
      <c r="H99" s="1259">
        <f t="shared" si="19"/>
        <v>0</v>
      </c>
      <c r="I99" s="1259">
        <f t="shared" si="19"/>
        <v>0</v>
      </c>
      <c r="J99" s="1260">
        <f t="shared" si="19"/>
        <v>78326.587000000029</v>
      </c>
      <c r="K99" s="1259">
        <f t="shared" si="19"/>
        <v>0</v>
      </c>
      <c r="L99" s="1259">
        <f>SUM(L16:L98)</f>
        <v>315510212</v>
      </c>
      <c r="M99" s="1260">
        <f>SUM(M16:M98)</f>
        <v>1623</v>
      </c>
      <c r="N99" s="1260">
        <f t="shared" si="19"/>
        <v>357</v>
      </c>
      <c r="O99" s="1259">
        <f t="shared" si="19"/>
        <v>0</v>
      </c>
      <c r="P99" s="1259">
        <f t="shared" si="19"/>
        <v>0</v>
      </c>
      <c r="Q99" s="1259">
        <f t="shared" si="19"/>
        <v>0</v>
      </c>
      <c r="R99" s="1259">
        <f t="shared" si="19"/>
        <v>0</v>
      </c>
      <c r="S99" s="1259">
        <f t="shared" si="19"/>
        <v>0</v>
      </c>
      <c r="T99" s="1259">
        <f t="shared" si="19"/>
        <v>0</v>
      </c>
      <c r="U99" s="1259">
        <f t="shared" si="19"/>
        <v>0</v>
      </c>
      <c r="V99" s="1259">
        <f t="shared" si="19"/>
        <v>0</v>
      </c>
      <c r="W99" s="1259">
        <f t="shared" si="19"/>
        <v>68404676</v>
      </c>
      <c r="X99" s="1259">
        <f>SUM(X16:X98)</f>
        <v>383914888</v>
      </c>
      <c r="Y99" s="1259">
        <f t="shared" si="19"/>
        <v>0</v>
      </c>
      <c r="Z99" s="1259">
        <f t="shared" si="19"/>
        <v>383914888</v>
      </c>
      <c r="AA99" s="1120">
        <f>X99-Z99</f>
        <v>0</v>
      </c>
      <c r="AB99" s="1120">
        <v>97959067</v>
      </c>
    </row>
    <row r="100" spans="1:28" ht="50.25" customHeight="1">
      <c r="A100" s="1437" t="s">
        <v>860</v>
      </c>
      <c r="B100" s="1437"/>
      <c r="C100" s="1437"/>
      <c r="D100" s="1437"/>
      <c r="E100" s="1437"/>
      <c r="F100" s="1437"/>
      <c r="G100" s="1437"/>
      <c r="H100" s="1437"/>
      <c r="I100" s="1437"/>
      <c r="J100" s="1437"/>
      <c r="K100" s="1437"/>
      <c r="L100" s="1437"/>
      <c r="M100" s="1437"/>
      <c r="N100" s="1437"/>
      <c r="O100" s="1437"/>
      <c r="P100" s="1437"/>
      <c r="Q100" s="1437"/>
      <c r="R100" s="1437"/>
      <c r="S100" s="1437"/>
      <c r="T100" s="1437"/>
      <c r="U100" s="1437"/>
      <c r="V100" s="1437"/>
      <c r="W100" s="1437"/>
      <c r="X100" s="1437"/>
      <c r="Y100" s="1437"/>
      <c r="Z100" s="1437"/>
      <c r="AB100" s="1122">
        <f>G99*Z12/1000</f>
        <v>78.326587000000004</v>
      </c>
    </row>
    <row r="101" spans="1:28" ht="12.75" customHeight="1">
      <c r="A101" s="1261"/>
      <c r="B101" s="1261"/>
      <c r="C101" s="1261"/>
      <c r="D101" s="1261"/>
      <c r="E101" s="1261"/>
      <c r="F101" s="1261"/>
      <c r="G101" s="1261"/>
      <c r="H101" s="1261"/>
      <c r="I101" s="1261"/>
      <c r="J101" s="1261"/>
      <c r="K101" s="1261"/>
      <c r="L101" s="1261"/>
      <c r="M101" s="1261"/>
      <c r="N101" s="1261"/>
      <c r="O101" s="1261"/>
      <c r="P101" s="1261"/>
      <c r="Q101" s="1261"/>
      <c r="R101" s="1261"/>
      <c r="S101" s="1261"/>
      <c r="T101" s="1261"/>
      <c r="U101" s="1261"/>
      <c r="V101" s="1261"/>
      <c r="W101" s="1261"/>
      <c r="X101" s="1261"/>
      <c r="Y101" s="1261"/>
      <c r="Z101" s="1261"/>
    </row>
    <row r="102" spans="1:28" ht="31.15" customHeight="1">
      <c r="A102" s="1225"/>
      <c r="B102" s="1225"/>
      <c r="C102" s="1225"/>
      <c r="D102" s="1225"/>
      <c r="E102" s="1225"/>
      <c r="F102" s="1225"/>
      <c r="G102" s="1225"/>
      <c r="H102" s="1225"/>
      <c r="I102" s="1225"/>
      <c r="J102" s="1225"/>
      <c r="K102" s="1225"/>
      <c r="L102" s="1225"/>
      <c r="M102" s="1225"/>
      <c r="N102" s="1443" t="s">
        <v>861</v>
      </c>
      <c r="O102" s="1443"/>
      <c r="P102" s="1443"/>
      <c r="Q102" s="1443"/>
      <c r="R102" s="1443"/>
      <c r="S102" s="1443"/>
      <c r="T102" s="1443"/>
      <c r="U102" s="1443"/>
      <c r="V102" s="1443"/>
      <c r="W102" s="1443"/>
      <c r="X102" s="1443"/>
      <c r="Y102" s="1443"/>
      <c r="Z102" s="1443"/>
      <c r="AA102" s="1123"/>
    </row>
    <row r="103" spans="1:28" ht="31.15" customHeight="1">
      <c r="A103" s="1225"/>
      <c r="B103" s="1225"/>
      <c r="C103" s="1225"/>
      <c r="D103" s="1225"/>
      <c r="E103" s="1225"/>
      <c r="F103" s="1225"/>
      <c r="G103" s="1225">
        <f>SUBTOTAL(9,G89:G96)</f>
        <v>5280</v>
      </c>
      <c r="H103" s="1225"/>
      <c r="I103" s="1225"/>
      <c r="J103" s="1225"/>
      <c r="K103" s="1225"/>
      <c r="L103" s="1225"/>
      <c r="M103" s="1225"/>
      <c r="N103" s="1225"/>
      <c r="O103" s="1225"/>
      <c r="P103" s="1225"/>
      <c r="Q103" s="1225"/>
      <c r="R103" s="1225"/>
      <c r="S103" s="1225"/>
      <c r="T103" s="1225"/>
      <c r="U103" s="1225"/>
      <c r="V103" s="1225"/>
      <c r="W103" s="1225"/>
      <c r="X103" s="1225"/>
      <c r="Y103" s="1225"/>
      <c r="Z103" s="1225"/>
      <c r="AA103" s="1123"/>
    </row>
    <row r="104" spans="1:28" ht="31.15" customHeight="1">
      <c r="A104" s="1442" t="s">
        <v>584</v>
      </c>
      <c r="B104" s="1442"/>
      <c r="C104" s="1442"/>
      <c r="D104" s="1442"/>
      <c r="E104" s="1442"/>
      <c r="F104" s="1442"/>
      <c r="G104" s="1442"/>
      <c r="H104" s="1442"/>
      <c r="I104" s="1442"/>
      <c r="J104" s="1442"/>
      <c r="K104" s="1442"/>
      <c r="L104" s="1442"/>
      <c r="M104" s="1442"/>
      <c r="N104" s="1442"/>
      <c r="O104" s="1442"/>
      <c r="P104" s="1442"/>
      <c r="Q104" s="1442"/>
      <c r="R104" s="1442"/>
      <c r="S104" s="1442"/>
      <c r="T104" s="1442"/>
      <c r="U104" s="1442"/>
      <c r="V104" s="1442"/>
      <c r="W104" s="1442"/>
      <c r="X104" s="1442"/>
      <c r="Y104" s="1442"/>
      <c r="Z104" s="1442"/>
      <c r="AA104" s="1123"/>
    </row>
    <row r="105" spans="1:28" s="1109" customFormat="1" ht="31.15" customHeight="1">
      <c r="A105" s="1123"/>
      <c r="B105" s="1123"/>
      <c r="C105" s="1123"/>
      <c r="D105" s="1123"/>
      <c r="E105" s="1123"/>
      <c r="F105" s="1123"/>
      <c r="G105" s="1123"/>
      <c r="H105" s="1123"/>
      <c r="I105" s="1123"/>
      <c r="J105" s="1123"/>
      <c r="K105" s="1123"/>
      <c r="L105" s="1123"/>
      <c r="M105" s="1123"/>
      <c r="N105" s="1123"/>
      <c r="O105" s="1123"/>
      <c r="P105" s="1123"/>
      <c r="Q105" s="1123"/>
      <c r="R105" s="1123"/>
      <c r="S105" s="1123"/>
      <c r="T105" s="1123"/>
      <c r="U105" s="1123"/>
      <c r="V105" s="1123"/>
      <c r="W105" s="1123"/>
      <c r="X105" s="1123"/>
      <c r="Y105" s="1123"/>
      <c r="Z105" s="1123"/>
      <c r="AA105" s="1123"/>
    </row>
    <row r="106" spans="1:28" s="1109" customFormat="1" ht="31.15" customHeight="1">
      <c r="A106" s="1123"/>
      <c r="B106" s="1123"/>
      <c r="C106" s="1123"/>
      <c r="D106" s="1123"/>
      <c r="E106" s="1123"/>
      <c r="F106" s="1123"/>
      <c r="G106" s="1123"/>
      <c r="H106" s="1123"/>
      <c r="I106" s="1123"/>
      <c r="J106" s="1123"/>
      <c r="K106" s="1123"/>
      <c r="L106" s="1123"/>
      <c r="M106" s="1123"/>
      <c r="N106" s="1123"/>
      <c r="O106" s="1123"/>
      <c r="P106" s="1123"/>
      <c r="Q106" s="1123"/>
      <c r="R106" s="1123"/>
      <c r="S106" s="1123"/>
      <c r="T106" s="1123"/>
      <c r="U106" s="1123"/>
      <c r="V106" s="1123"/>
      <c r="W106" s="1123"/>
      <c r="X106" s="1123"/>
      <c r="Y106" s="1123"/>
      <c r="Z106" s="1123"/>
    </row>
    <row r="107" spans="1:28" s="1109" customFormat="1" ht="31.15" customHeight="1">
      <c r="A107" s="1123"/>
      <c r="B107" s="1123"/>
      <c r="C107" s="1123"/>
      <c r="D107" s="1123"/>
      <c r="E107" s="1123"/>
      <c r="F107" s="1123"/>
      <c r="G107" s="1123"/>
      <c r="H107" s="1123"/>
      <c r="I107" s="1123"/>
      <c r="J107" s="1123"/>
      <c r="K107" s="1123"/>
      <c r="L107" s="1123"/>
      <c r="M107" s="1123"/>
      <c r="N107" s="1123"/>
      <c r="O107" s="1123"/>
      <c r="P107" s="1123"/>
      <c r="Q107" s="1123"/>
      <c r="R107" s="1123"/>
      <c r="S107" s="1123"/>
      <c r="T107" s="1123"/>
      <c r="U107" s="1123"/>
      <c r="V107" s="1123"/>
      <c r="W107" s="1123"/>
      <c r="X107" s="1123"/>
      <c r="Y107" s="1123"/>
      <c r="Z107" s="1123"/>
    </row>
    <row r="108" spans="1:28" s="1109" customFormat="1" ht="31.15" customHeight="1">
      <c r="A108" s="1123"/>
      <c r="B108" s="1123"/>
      <c r="C108" s="1123"/>
      <c r="D108" s="1123"/>
      <c r="E108" s="1123"/>
      <c r="F108" s="1123"/>
      <c r="G108" s="1123">
        <f>G99+'Trạm 2'!G82</f>
        <v>327057</v>
      </c>
      <c r="H108" s="1123"/>
      <c r="I108" s="1123">
        <f>J99+'Trạm 2'!J82</f>
        <v>151351.57400000005</v>
      </c>
      <c r="J108" s="1123">
        <f>L99+'Trạm 2'!L82</f>
        <v>607849756</v>
      </c>
      <c r="K108" s="1123"/>
      <c r="L108" s="1123">
        <f>M99+'Trạm 2'!M82</f>
        <v>3006</v>
      </c>
      <c r="M108" s="1123">
        <f>N99+'Trạm 2'!N82</f>
        <v>646</v>
      </c>
      <c r="N108" s="1123"/>
      <c r="O108" s="1123"/>
      <c r="P108" s="1123"/>
      <c r="Q108" s="1123"/>
      <c r="R108" s="1123"/>
      <c r="S108" s="1123"/>
      <c r="T108" s="1123"/>
      <c r="U108" s="1123"/>
      <c r="V108" s="1123"/>
      <c r="W108" s="1123">
        <f>W99+'Trạm 2'!W82</f>
        <v>125911822</v>
      </c>
      <c r="X108" s="1123"/>
      <c r="Y108" s="1123"/>
      <c r="Z108" s="1123"/>
    </row>
    <row r="109" spans="1:28" s="1109" customFormat="1" ht="31.15" customHeight="1">
      <c r="A109" s="1123"/>
      <c r="B109" s="1123"/>
      <c r="C109" s="1123"/>
      <c r="D109" s="1123"/>
      <c r="E109" s="1123"/>
      <c r="F109" s="1123"/>
      <c r="G109" s="1123"/>
      <c r="H109" s="1123"/>
      <c r="I109" s="1123"/>
      <c r="J109" s="1123"/>
      <c r="K109" s="1123"/>
      <c r="L109" s="1123"/>
      <c r="M109" s="1123"/>
      <c r="N109" s="1123"/>
      <c r="O109" s="1123"/>
      <c r="P109" s="1123"/>
      <c r="Q109" s="1123"/>
      <c r="R109" s="1123"/>
      <c r="S109" s="1123"/>
      <c r="T109" s="1123"/>
      <c r="U109" s="1123"/>
      <c r="V109" s="1123"/>
      <c r="W109" s="1123"/>
      <c r="X109" s="1123"/>
      <c r="Y109" s="1123"/>
      <c r="Z109" s="1123"/>
    </row>
    <row r="110" spans="1:28" s="1109" customFormat="1" ht="31.15" customHeight="1">
      <c r="A110" s="1123"/>
      <c r="B110" s="1123"/>
      <c r="C110" s="1123"/>
      <c r="D110" s="1123"/>
      <c r="E110" s="1123"/>
      <c r="F110" s="1123"/>
      <c r="G110" s="1123"/>
      <c r="H110" s="1123"/>
      <c r="I110" s="1123"/>
      <c r="J110" s="1123"/>
      <c r="K110" s="1123"/>
      <c r="L110" s="1123"/>
      <c r="M110" s="1123"/>
      <c r="N110" s="1123"/>
      <c r="O110" s="1123"/>
      <c r="P110" s="1123"/>
      <c r="Q110" s="1123"/>
      <c r="R110" s="1123"/>
      <c r="S110" s="1123"/>
      <c r="T110" s="1123"/>
      <c r="U110" s="1123"/>
      <c r="V110" s="1123"/>
      <c r="W110" s="1123"/>
      <c r="X110" s="1123"/>
      <c r="Y110" s="1123"/>
      <c r="Z110" s="1123"/>
    </row>
    <row r="111" spans="1:28" s="1109" customFormat="1" ht="31.15" customHeight="1">
      <c r="A111" s="1123"/>
      <c r="B111" s="1123"/>
      <c r="C111" s="1123"/>
      <c r="D111" s="1123"/>
      <c r="E111" s="1123"/>
      <c r="F111" s="1123"/>
      <c r="G111" s="1123"/>
      <c r="H111" s="1123"/>
      <c r="I111" s="1123"/>
      <c r="J111" s="1123"/>
      <c r="K111" s="1123"/>
      <c r="L111" s="1123"/>
      <c r="M111" s="1123"/>
      <c r="N111" s="1123"/>
      <c r="O111" s="1123"/>
      <c r="P111" s="1123"/>
      <c r="Q111" s="1123"/>
      <c r="R111" s="1123"/>
      <c r="S111" s="1123"/>
      <c r="T111" s="1123"/>
      <c r="U111" s="1123"/>
      <c r="V111" s="1123"/>
      <c r="W111" s="1123"/>
      <c r="X111" s="1123"/>
      <c r="Y111" s="1123"/>
      <c r="Z111" s="1123"/>
    </row>
    <row r="112" spans="1:28" s="1109" customFormat="1" ht="31.15" customHeight="1">
      <c r="A112" s="1123"/>
      <c r="B112" s="1123"/>
      <c r="C112" s="1123"/>
      <c r="D112" s="1123"/>
      <c r="E112" s="1123"/>
      <c r="F112" s="1123"/>
      <c r="G112" s="1123"/>
      <c r="H112" s="1123"/>
      <c r="I112" s="1123"/>
      <c r="J112" s="1123"/>
      <c r="K112" s="1123"/>
      <c r="L112" s="1123"/>
      <c r="M112" s="1123"/>
      <c r="N112" s="1123"/>
      <c r="O112" s="1123"/>
      <c r="P112" s="1123"/>
      <c r="Q112" s="1123"/>
      <c r="R112" s="1123"/>
      <c r="S112" s="1123"/>
      <c r="T112" s="1123"/>
      <c r="U112" s="1123"/>
      <c r="V112" s="1123"/>
      <c r="W112" s="1123"/>
      <c r="X112" s="1123"/>
      <c r="Y112" s="1123"/>
      <c r="Z112" s="1123"/>
    </row>
    <row r="113" spans="1:26" s="1109" customFormat="1" ht="31.15" customHeight="1">
      <c r="A113" s="1123"/>
      <c r="B113" s="1123"/>
      <c r="C113" s="1123"/>
      <c r="D113" s="1123"/>
      <c r="E113" s="1123"/>
      <c r="F113" s="1123"/>
      <c r="G113" s="1123"/>
      <c r="H113" s="1123"/>
      <c r="I113" s="1123"/>
      <c r="J113" s="1123"/>
      <c r="K113" s="1123"/>
      <c r="L113" s="1123"/>
      <c r="M113" s="1123"/>
      <c r="N113" s="1123"/>
      <c r="O113" s="1123"/>
      <c r="P113" s="1123"/>
      <c r="Q113" s="1123"/>
      <c r="R113" s="1123"/>
      <c r="S113" s="1123"/>
      <c r="T113" s="1123"/>
      <c r="U113" s="1123"/>
      <c r="V113" s="1123"/>
      <c r="W113" s="1123"/>
      <c r="X113" s="1123"/>
      <c r="Y113" s="1123"/>
      <c r="Z113" s="1123"/>
    </row>
    <row r="114" spans="1:26" s="1109" customFormat="1" ht="31.15" customHeight="1">
      <c r="A114" s="1123"/>
      <c r="B114" s="1123"/>
      <c r="C114" s="1123"/>
      <c r="D114" s="1123"/>
      <c r="E114" s="1123"/>
      <c r="F114" s="1123"/>
      <c r="G114" s="1123"/>
      <c r="H114" s="1123"/>
      <c r="I114" s="1123"/>
      <c r="J114" s="1123"/>
      <c r="K114" s="1123"/>
      <c r="L114" s="1123"/>
      <c r="M114" s="1123"/>
      <c r="N114" s="1123"/>
      <c r="O114" s="1123"/>
      <c r="P114" s="1123"/>
      <c r="Q114" s="1123"/>
      <c r="R114" s="1123"/>
      <c r="S114" s="1123"/>
      <c r="T114" s="1123"/>
      <c r="U114" s="1123"/>
      <c r="V114" s="1123"/>
      <c r="W114" s="1123"/>
      <c r="X114" s="1123"/>
      <c r="Y114" s="1123"/>
      <c r="Z114" s="1123"/>
    </row>
    <row r="115" spans="1:26" s="1109" customFormat="1" ht="31.15" customHeight="1">
      <c r="A115" s="1123"/>
      <c r="B115" s="1123"/>
      <c r="C115" s="1123"/>
      <c r="D115" s="1123"/>
      <c r="E115" s="1123"/>
      <c r="F115" s="1123"/>
      <c r="G115" s="1123"/>
      <c r="H115" s="1123"/>
      <c r="I115" s="1123"/>
      <c r="J115" s="1123"/>
      <c r="K115" s="1123"/>
      <c r="L115" s="1123"/>
      <c r="M115" s="1123"/>
      <c r="N115" s="1123"/>
      <c r="O115" s="1123"/>
      <c r="P115" s="1123"/>
      <c r="Q115" s="1123"/>
      <c r="R115" s="1123"/>
      <c r="S115" s="1123"/>
      <c r="T115" s="1123"/>
      <c r="U115" s="1123"/>
      <c r="V115" s="1123"/>
      <c r="W115" s="1123"/>
      <c r="X115" s="1123"/>
      <c r="Y115" s="1123"/>
      <c r="Z115" s="1123"/>
    </row>
    <row r="116" spans="1:26" s="1109" customFormat="1" ht="19.5" customHeight="1">
      <c r="A116" s="1111"/>
      <c r="B116" s="1111"/>
      <c r="C116" s="1110"/>
      <c r="D116" s="1110"/>
      <c r="E116" s="1124"/>
      <c r="F116" s="1110"/>
      <c r="G116" s="1110"/>
      <c r="H116" s="1110"/>
      <c r="I116" s="1110"/>
      <c r="J116" s="1125"/>
      <c r="K116" s="1110"/>
      <c r="W116" s="1124"/>
      <c r="X116" s="1126"/>
      <c r="Y116" s="1110"/>
      <c r="Z116" s="1110"/>
    </row>
    <row r="117" spans="1:26" s="1109" customFormat="1" ht="19.5" customHeight="1">
      <c r="A117" s="1111"/>
      <c r="B117" s="1111"/>
      <c r="C117" s="1110"/>
      <c r="D117" s="1126"/>
      <c r="E117" s="1124"/>
      <c r="F117" s="1127"/>
      <c r="G117" s="1127"/>
      <c r="H117" s="1127"/>
      <c r="I117" s="1127"/>
      <c r="J117" s="1125"/>
      <c r="K117" s="1110"/>
      <c r="L117" s="1124"/>
      <c r="W117" s="1104"/>
      <c r="X117" s="1124"/>
    </row>
    <row r="118" spans="1:26">
      <c r="C118" s="1104"/>
      <c r="E118" s="1128"/>
      <c r="F118" s="1128"/>
      <c r="G118" s="1128"/>
      <c r="H118" s="1128"/>
      <c r="I118" s="1128"/>
      <c r="J118" s="322"/>
      <c r="K118" s="322"/>
      <c r="L118" s="1128"/>
    </row>
    <row r="119" spans="1:26">
      <c r="C119" s="1104"/>
      <c r="E119" s="1128"/>
      <c r="F119" s="1112"/>
      <c r="G119" s="1112"/>
      <c r="H119" s="1112"/>
      <c r="I119" s="1112"/>
      <c r="J119" s="322"/>
      <c r="K119" s="322"/>
      <c r="L119" s="1112"/>
      <c r="M119" s="1438"/>
      <c r="N119" s="1438"/>
      <c r="O119" s="1438"/>
      <c r="P119" s="1129"/>
      <c r="Q119" s="1129"/>
      <c r="R119" s="1129"/>
      <c r="S119" s="1129"/>
    </row>
    <row r="120" spans="1:26">
      <c r="C120" s="1104"/>
      <c r="E120" s="1128"/>
      <c r="F120" s="1112"/>
      <c r="G120" s="1112"/>
      <c r="H120" s="1112"/>
      <c r="I120" s="1112"/>
      <c r="J120" s="322"/>
      <c r="K120" s="322"/>
      <c r="L120" s="1112"/>
      <c r="M120" s="1129"/>
      <c r="N120" s="1129"/>
      <c r="O120" s="1129"/>
      <c r="P120" s="1129"/>
      <c r="Q120" s="1129"/>
      <c r="R120" s="1129"/>
      <c r="S120" s="1129"/>
    </row>
    <row r="121" spans="1:26">
      <c r="C121" s="1104"/>
      <c r="E121" s="1128"/>
      <c r="F121" s="1112"/>
      <c r="G121" s="1112"/>
      <c r="H121" s="1112"/>
      <c r="I121" s="1112"/>
      <c r="J121" s="322"/>
      <c r="K121" s="322"/>
      <c r="L121" s="1112"/>
      <c r="M121" s="1129"/>
      <c r="N121" s="1129"/>
      <c r="O121" s="1129"/>
      <c r="P121" s="1129"/>
      <c r="Q121" s="1129"/>
      <c r="R121" s="1129"/>
      <c r="S121" s="1129"/>
    </row>
    <row r="122" spans="1:26">
      <c r="C122" s="1104"/>
      <c r="E122" s="1128"/>
      <c r="F122" s="1112"/>
      <c r="G122" s="1112"/>
      <c r="H122" s="1112"/>
      <c r="I122" s="1112"/>
      <c r="J122" s="322"/>
      <c r="K122" s="322"/>
      <c r="L122" s="1112"/>
      <c r="M122" s="1129"/>
      <c r="N122" s="1129"/>
      <c r="O122" s="1129"/>
      <c r="P122" s="1129"/>
      <c r="Q122" s="1129"/>
      <c r="R122" s="1129"/>
      <c r="S122" s="1129"/>
    </row>
    <row r="123" spans="1:26">
      <c r="C123" s="1104"/>
      <c r="E123" s="1128"/>
      <c r="F123" s="1112"/>
      <c r="G123" s="1112"/>
      <c r="H123" s="1112"/>
      <c r="I123" s="1112"/>
      <c r="J123" s="322"/>
      <c r="K123" s="322"/>
      <c r="L123" s="1112"/>
      <c r="M123" s="1129"/>
      <c r="N123" s="1129"/>
      <c r="O123" s="1129"/>
      <c r="P123" s="1129"/>
      <c r="Q123" s="1129"/>
      <c r="R123" s="1129"/>
      <c r="S123" s="1129"/>
    </row>
    <row r="124" spans="1:26">
      <c r="C124" s="1104"/>
      <c r="E124" s="1128"/>
      <c r="F124" s="1112"/>
      <c r="G124" s="1112"/>
      <c r="H124" s="1112"/>
      <c r="I124" s="1112"/>
      <c r="J124" s="322"/>
      <c r="K124" s="322"/>
      <c r="L124" s="1112"/>
      <c r="M124" s="1129"/>
      <c r="N124" s="1129"/>
      <c r="O124" s="1129"/>
      <c r="P124" s="1129"/>
      <c r="Q124" s="1129"/>
      <c r="R124" s="1129"/>
      <c r="S124" s="1129"/>
    </row>
    <row r="125" spans="1:26">
      <c r="C125" s="1104"/>
      <c r="E125" s="1128"/>
      <c r="F125" s="1112"/>
      <c r="G125" s="1112"/>
      <c r="H125" s="1112"/>
      <c r="I125" s="1112"/>
      <c r="J125" s="322"/>
      <c r="K125" s="322"/>
      <c r="L125" s="1112"/>
      <c r="M125" s="1129"/>
      <c r="N125" s="1129"/>
      <c r="O125" s="1129"/>
      <c r="P125" s="1129"/>
      <c r="Q125" s="1129"/>
      <c r="R125" s="1129"/>
      <c r="S125" s="1129"/>
    </row>
    <row r="126" spans="1:26">
      <c r="C126" s="1104"/>
      <c r="E126" s="1128"/>
      <c r="F126" s="1112"/>
      <c r="G126" s="1112"/>
      <c r="H126" s="1112"/>
      <c r="I126" s="1112"/>
      <c r="J126" s="322"/>
      <c r="K126" s="322"/>
      <c r="L126" s="1112"/>
      <c r="M126" s="1129"/>
      <c r="N126" s="1129"/>
      <c r="O126" s="1129"/>
      <c r="P126" s="1129"/>
      <c r="Q126" s="1129"/>
      <c r="R126" s="1129"/>
      <c r="S126" s="1129"/>
    </row>
    <row r="127" spans="1:26">
      <c r="C127" s="1104"/>
      <c r="E127" s="1128"/>
      <c r="F127" s="1112"/>
      <c r="G127" s="1112"/>
      <c r="H127" s="1112"/>
      <c r="I127" s="1112"/>
      <c r="J127" s="322"/>
      <c r="K127" s="322"/>
      <c r="L127" s="1112"/>
      <c r="M127" s="1129"/>
      <c r="N127" s="1129"/>
      <c r="O127" s="1129"/>
      <c r="P127" s="1129"/>
      <c r="Q127" s="1129"/>
      <c r="R127" s="1129"/>
      <c r="S127" s="1129"/>
    </row>
    <row r="128" spans="1:26">
      <c r="C128" s="1104"/>
      <c r="E128" s="1128"/>
      <c r="F128" s="1112"/>
      <c r="G128" s="1112"/>
      <c r="H128" s="1112"/>
      <c r="I128" s="1112"/>
      <c r="J128" s="322"/>
      <c r="K128" s="322"/>
      <c r="L128" s="1112"/>
      <c r="M128" s="1129"/>
      <c r="N128" s="1129"/>
      <c r="O128" s="1129"/>
      <c r="P128" s="1129"/>
      <c r="Q128" s="1129"/>
      <c r="R128" s="1129"/>
      <c r="S128" s="1129"/>
    </row>
    <row r="129" spans="3:19">
      <c r="C129" s="1104"/>
      <c r="E129" s="1128"/>
      <c r="F129" s="1112"/>
      <c r="G129" s="1112"/>
      <c r="H129" s="1112"/>
      <c r="I129" s="1112"/>
      <c r="J129" s="322"/>
      <c r="K129" s="322"/>
      <c r="L129" s="1112"/>
      <c r="M129" s="1129"/>
      <c r="N129" s="1129"/>
      <c r="O129" s="1129"/>
      <c r="P129" s="1129"/>
      <c r="Q129" s="1129"/>
      <c r="R129" s="1129"/>
      <c r="S129" s="1129"/>
    </row>
    <row r="130" spans="3:19">
      <c r="C130" s="1104"/>
      <c r="E130" s="1128"/>
      <c r="F130" s="1112"/>
      <c r="G130" s="1112"/>
      <c r="H130" s="1112"/>
      <c r="I130" s="1112"/>
      <c r="J130" s="322"/>
      <c r="K130" s="322"/>
      <c r="L130" s="1112"/>
      <c r="M130" s="1129"/>
      <c r="N130" s="1129"/>
      <c r="O130" s="1129"/>
      <c r="P130" s="1129"/>
      <c r="Q130" s="1129"/>
      <c r="R130" s="1129"/>
      <c r="S130" s="1129"/>
    </row>
    <row r="131" spans="3:19">
      <c r="C131" s="1104"/>
      <c r="E131" s="1128"/>
      <c r="F131" s="1112"/>
      <c r="G131" s="1112"/>
      <c r="H131" s="1112"/>
      <c r="I131" s="1112"/>
      <c r="J131" s="322"/>
      <c r="K131" s="322"/>
      <c r="L131" s="1112"/>
      <c r="M131" s="1129"/>
      <c r="N131" s="1129"/>
      <c r="O131" s="1129"/>
      <c r="P131" s="1129"/>
      <c r="Q131" s="1129"/>
      <c r="R131" s="1129"/>
      <c r="S131" s="1129"/>
    </row>
    <row r="132" spans="3:19">
      <c r="C132" s="1104"/>
      <c r="E132" s="1128"/>
      <c r="F132" s="1112"/>
      <c r="G132" s="1112"/>
      <c r="H132" s="1112"/>
      <c r="I132" s="1112"/>
      <c r="J132" s="322"/>
      <c r="K132" s="322"/>
      <c r="L132" s="1112"/>
      <c r="M132" s="1129"/>
      <c r="N132" s="1129"/>
      <c r="O132" s="1129"/>
      <c r="P132" s="1129"/>
      <c r="Q132" s="1129"/>
      <c r="R132" s="1129"/>
      <c r="S132" s="1129"/>
    </row>
    <row r="133" spans="3:19">
      <c r="C133" s="1104"/>
      <c r="E133" s="1128"/>
      <c r="F133" s="1112"/>
      <c r="G133" s="1112"/>
      <c r="H133" s="1112"/>
      <c r="I133" s="1112"/>
      <c r="J133" s="322"/>
      <c r="K133" s="322"/>
      <c r="L133" s="1112"/>
      <c r="M133" s="1129"/>
      <c r="N133" s="1129"/>
      <c r="O133" s="1129"/>
      <c r="P133" s="1129"/>
      <c r="Q133" s="1129"/>
      <c r="R133" s="1129"/>
      <c r="S133" s="1129"/>
    </row>
    <row r="134" spans="3:19">
      <c r="C134" s="1104"/>
      <c r="E134" s="1128"/>
      <c r="F134" s="1112"/>
      <c r="G134" s="1112"/>
      <c r="H134" s="1112"/>
      <c r="I134" s="1112"/>
      <c r="J134" s="322"/>
      <c r="K134" s="322"/>
      <c r="L134" s="1112"/>
      <c r="M134" s="1129"/>
      <c r="N134" s="1129"/>
      <c r="O134" s="1129"/>
      <c r="P134" s="1129"/>
      <c r="Q134" s="1129"/>
      <c r="R134" s="1129"/>
      <c r="S134" s="1129"/>
    </row>
    <row r="135" spans="3:19">
      <c r="C135" s="1104"/>
      <c r="E135" s="1128"/>
      <c r="F135" s="1112"/>
      <c r="G135" s="1112"/>
      <c r="H135" s="1112"/>
      <c r="I135" s="1112"/>
      <c r="J135" s="322"/>
      <c r="K135" s="322"/>
      <c r="L135" s="1112"/>
      <c r="M135" s="1129"/>
      <c r="N135" s="1129"/>
      <c r="O135" s="1129"/>
      <c r="P135" s="1129"/>
      <c r="Q135" s="1129"/>
      <c r="R135" s="1129"/>
      <c r="S135" s="1129"/>
    </row>
    <row r="136" spans="3:19">
      <c r="C136" s="1104"/>
      <c r="E136" s="1128"/>
      <c r="F136" s="1112"/>
      <c r="G136" s="1112"/>
      <c r="H136" s="1112"/>
      <c r="I136" s="1112"/>
      <c r="J136" s="322"/>
      <c r="K136" s="322"/>
      <c r="L136" s="1112"/>
      <c r="M136" s="1129"/>
      <c r="N136" s="1129"/>
      <c r="O136" s="1129"/>
      <c r="P136" s="1129"/>
      <c r="Q136" s="1129"/>
      <c r="R136" s="1129"/>
      <c r="S136" s="1129"/>
    </row>
    <row r="137" spans="3:19">
      <c r="C137" s="1104"/>
      <c r="E137" s="1128"/>
      <c r="F137" s="1112"/>
      <c r="G137" s="1112"/>
      <c r="H137" s="1112"/>
      <c r="I137" s="1112"/>
      <c r="J137" s="322"/>
      <c r="K137" s="322"/>
      <c r="L137" s="1112"/>
      <c r="M137" s="1129"/>
      <c r="N137" s="1129"/>
      <c r="O137" s="1129"/>
      <c r="P137" s="1129"/>
      <c r="Q137" s="1129"/>
      <c r="R137" s="1129"/>
      <c r="S137" s="1129"/>
    </row>
    <row r="138" spans="3:19">
      <c r="C138" s="1104"/>
      <c r="E138" s="1128"/>
      <c r="F138" s="1112"/>
      <c r="G138" s="1112"/>
      <c r="H138" s="1112"/>
      <c r="I138" s="1112"/>
      <c r="J138" s="322"/>
      <c r="K138" s="322"/>
      <c r="L138" s="1112"/>
      <c r="M138" s="1129"/>
      <c r="N138" s="1129"/>
      <c r="O138" s="1129"/>
      <c r="P138" s="1129"/>
      <c r="Q138" s="1129"/>
      <c r="R138" s="1129"/>
      <c r="S138" s="1129"/>
    </row>
    <row r="139" spans="3:19">
      <c r="C139" s="1104"/>
      <c r="E139" s="1128"/>
      <c r="F139" s="1112"/>
      <c r="G139" s="1112"/>
      <c r="H139" s="1112"/>
      <c r="I139" s="1112"/>
      <c r="J139" s="322"/>
      <c r="K139" s="322"/>
      <c r="L139" s="1112"/>
      <c r="M139" s="1129"/>
      <c r="N139" s="1129"/>
      <c r="O139" s="1129"/>
      <c r="P139" s="1129"/>
      <c r="Q139" s="1129"/>
      <c r="R139" s="1129"/>
      <c r="S139" s="1129"/>
    </row>
    <row r="140" spans="3:19">
      <c r="C140" s="1104"/>
      <c r="E140" s="1128"/>
      <c r="F140" s="1112"/>
      <c r="G140" s="1112"/>
      <c r="H140" s="1112"/>
      <c r="I140" s="1112"/>
      <c r="J140" s="322"/>
      <c r="K140" s="322"/>
      <c r="L140" s="1112"/>
      <c r="M140" s="1129"/>
      <c r="N140" s="1129"/>
      <c r="O140" s="1129"/>
      <c r="P140" s="1129"/>
      <c r="Q140" s="1129"/>
      <c r="R140" s="1129"/>
      <c r="S140" s="1129"/>
    </row>
    <row r="141" spans="3:19">
      <c r="C141" s="1104"/>
      <c r="E141" s="1128"/>
      <c r="F141" s="1112"/>
      <c r="G141" s="1112"/>
      <c r="H141" s="1112"/>
      <c r="I141" s="1112"/>
      <c r="J141" s="322"/>
      <c r="K141" s="322"/>
      <c r="L141" s="1112"/>
      <c r="M141" s="1129"/>
      <c r="N141" s="1129"/>
      <c r="O141" s="1129"/>
      <c r="P141" s="1129"/>
      <c r="Q141" s="1129"/>
      <c r="R141" s="1129"/>
      <c r="S141" s="1129"/>
    </row>
    <row r="142" spans="3:19">
      <c r="C142" s="1104"/>
      <c r="E142" s="1128"/>
      <c r="F142" s="1112"/>
      <c r="G142" s="1112"/>
      <c r="H142" s="1112"/>
      <c r="I142" s="1112"/>
      <c r="J142" s="322"/>
      <c r="K142" s="322"/>
      <c r="L142" s="1112"/>
      <c r="M142" s="1129"/>
      <c r="N142" s="1129"/>
      <c r="O142" s="1129"/>
      <c r="P142" s="1129"/>
      <c r="Q142" s="1129"/>
      <c r="R142" s="1129"/>
      <c r="S142" s="1129"/>
    </row>
    <row r="143" spans="3:19">
      <c r="C143" s="1104"/>
      <c r="E143" s="1128"/>
      <c r="F143" s="1112"/>
      <c r="G143" s="1112"/>
      <c r="H143" s="1112"/>
      <c r="I143" s="1112"/>
      <c r="J143" s="322"/>
      <c r="K143" s="322"/>
      <c r="L143" s="1112"/>
      <c r="M143" s="1129"/>
      <c r="N143" s="1129"/>
      <c r="O143" s="1129"/>
      <c r="P143" s="1129"/>
      <c r="Q143" s="1129"/>
      <c r="R143" s="1129"/>
      <c r="S143" s="1129"/>
    </row>
    <row r="144" spans="3:19">
      <c r="C144" s="1104"/>
      <c r="E144" s="1128"/>
      <c r="F144" s="1112"/>
      <c r="G144" s="1112"/>
      <c r="H144" s="1112"/>
      <c r="I144" s="1112"/>
      <c r="J144" s="322"/>
      <c r="K144" s="322"/>
      <c r="L144" s="1112"/>
      <c r="M144" s="1129"/>
      <c r="N144" s="1129"/>
      <c r="O144" s="1129"/>
      <c r="P144" s="1129"/>
      <c r="Q144" s="1129"/>
      <c r="R144" s="1129"/>
      <c r="S144" s="1129"/>
    </row>
    <row r="145" spans="3:26">
      <c r="C145" s="1104"/>
      <c r="E145" s="1128"/>
      <c r="F145" s="1112"/>
      <c r="G145" s="1112"/>
      <c r="H145" s="1112"/>
      <c r="I145" s="1112"/>
      <c r="J145" s="322"/>
      <c r="K145" s="322"/>
      <c r="L145" s="1112"/>
      <c r="M145" s="1129"/>
      <c r="N145" s="1129"/>
      <c r="O145" s="1129"/>
      <c r="P145" s="1129"/>
      <c r="Q145" s="1129"/>
      <c r="R145" s="1129"/>
      <c r="S145" s="1129"/>
    </row>
    <row r="146" spans="3:26">
      <c r="C146" s="1104"/>
      <c r="E146" s="1128"/>
      <c r="F146" s="1112"/>
      <c r="G146" s="1112"/>
      <c r="H146" s="1112"/>
      <c r="I146" s="1112"/>
      <c r="J146" s="322"/>
      <c r="K146" s="322"/>
      <c r="L146" s="1112"/>
      <c r="M146" s="1129"/>
      <c r="N146" s="1129"/>
      <c r="O146" s="1129"/>
      <c r="P146" s="1129"/>
      <c r="Q146" s="1129"/>
      <c r="R146" s="1129"/>
      <c r="S146" s="1129"/>
    </row>
    <row r="147" spans="3:26">
      <c r="C147" s="1104"/>
      <c r="E147" s="1128"/>
      <c r="F147" s="1112"/>
      <c r="G147" s="1112"/>
      <c r="H147" s="1112"/>
      <c r="I147" s="1112"/>
      <c r="J147" s="322"/>
      <c r="K147" s="322"/>
      <c r="L147" s="1112"/>
      <c r="M147" s="1129"/>
      <c r="N147" s="1129"/>
      <c r="O147" s="1129"/>
      <c r="P147" s="1129"/>
      <c r="Q147" s="1129"/>
      <c r="R147" s="1129"/>
      <c r="S147" s="1129"/>
    </row>
    <row r="148" spans="3:26">
      <c r="C148" s="1104"/>
      <c r="E148" s="1128"/>
      <c r="F148" s="1112"/>
      <c r="G148" s="1112"/>
      <c r="H148" s="1112"/>
      <c r="I148" s="1112"/>
      <c r="J148" s="322"/>
      <c r="K148" s="322"/>
      <c r="L148" s="1112"/>
      <c r="M148" s="1129"/>
      <c r="N148" s="1129"/>
      <c r="O148" s="1129"/>
      <c r="P148" s="1129"/>
      <c r="Q148" s="1129"/>
      <c r="R148" s="1129"/>
      <c r="S148" s="1129"/>
    </row>
    <row r="149" spans="3:26">
      <c r="C149" s="1104"/>
      <c r="E149" s="1128"/>
      <c r="F149" s="1112"/>
      <c r="G149" s="1112"/>
      <c r="H149" s="1112"/>
      <c r="I149" s="1112"/>
      <c r="J149" s="322"/>
      <c r="K149" s="322"/>
      <c r="L149" s="1112"/>
      <c r="M149" s="1129"/>
      <c r="N149" s="1129"/>
      <c r="O149" s="1129"/>
      <c r="P149" s="1129"/>
      <c r="Q149" s="1129"/>
      <c r="R149" s="1129"/>
      <c r="S149" s="1129"/>
    </row>
    <row r="150" spans="3:26">
      <c r="C150" s="1104"/>
      <c r="E150" s="1128"/>
      <c r="F150" s="1112"/>
      <c r="G150" s="1112"/>
      <c r="H150" s="1112"/>
      <c r="I150" s="1112"/>
      <c r="J150" s="322"/>
      <c r="K150" s="322"/>
      <c r="L150" s="1112"/>
      <c r="M150" s="1129"/>
      <c r="N150" s="1129"/>
      <c r="O150" s="1129"/>
      <c r="P150" s="1129"/>
      <c r="Q150" s="1129"/>
      <c r="R150" s="1129"/>
      <c r="S150" s="1129"/>
    </row>
    <row r="151" spans="3:26">
      <c r="C151" s="1104"/>
      <c r="E151" s="1128"/>
      <c r="F151" s="1112"/>
      <c r="G151" s="1112"/>
      <c r="H151" s="1112"/>
      <c r="I151" s="1112"/>
      <c r="J151" s="322"/>
      <c r="K151" s="322"/>
      <c r="L151" s="1112"/>
      <c r="M151" s="1129"/>
      <c r="N151" s="1129"/>
      <c r="O151" s="1129"/>
      <c r="P151" s="1129"/>
      <c r="Q151" s="1129"/>
      <c r="R151" s="1129"/>
      <c r="S151" s="1129"/>
    </row>
    <row r="152" spans="3:26">
      <c r="C152" s="1104"/>
      <c r="E152" s="1128"/>
      <c r="J152" s="322"/>
      <c r="K152" s="322"/>
      <c r="L152" s="1104"/>
      <c r="W152" s="1130"/>
    </row>
    <row r="153" spans="3:26">
      <c r="C153" s="1128"/>
      <c r="E153" s="1128"/>
      <c r="J153" s="322"/>
      <c r="K153" s="322"/>
      <c r="L153" s="1104"/>
    </row>
    <row r="154" spans="3:26">
      <c r="C154" s="1104"/>
      <c r="D154" s="1128"/>
      <c r="E154" s="1128"/>
      <c r="K154" s="1131"/>
      <c r="L154" s="1104"/>
    </row>
    <row r="155" spans="3:26">
      <c r="C155" s="1128" t="e">
        <f>#REF!+#REF!+#REF!+#REF!</f>
        <v>#REF!</v>
      </c>
      <c r="D155" s="1132"/>
      <c r="E155" s="1439" t="s">
        <v>280</v>
      </c>
      <c r="F155" s="1128">
        <f>SUMIF(K16:K99,"A",J16:J99)</f>
        <v>60559.341640579973</v>
      </c>
      <c r="G155" s="1128"/>
      <c r="H155" s="1128"/>
      <c r="I155" s="1128"/>
      <c r="J155" s="322">
        <f>F155*2500</f>
        <v>151398354.10144994</v>
      </c>
      <c r="K155" s="322"/>
      <c r="L155" s="1112"/>
      <c r="O155" s="1104">
        <f>7.2+0.6+21+5+70</f>
        <v>103.8</v>
      </c>
    </row>
    <row r="156" spans="3:26">
      <c r="C156" s="1104"/>
      <c r="E156" s="1439"/>
      <c r="F156" s="1128">
        <f>SUMIF(K16:K99,"B",J16:J99)</f>
        <v>15318.829451871105</v>
      </c>
      <c r="G156" s="1128"/>
      <c r="H156" s="1128"/>
      <c r="I156" s="1128"/>
      <c r="J156" s="322">
        <f>F156*2400</f>
        <v>36765190.684490651</v>
      </c>
      <c r="K156" s="322"/>
      <c r="L156" s="1128"/>
    </row>
    <row r="157" spans="3:26">
      <c r="C157" s="1104"/>
      <c r="E157" s="1439"/>
      <c r="F157" s="1128">
        <f>SUMIF(K16:K99,"C",J16:J99)</f>
        <v>0</v>
      </c>
      <c r="G157" s="1128"/>
      <c r="H157" s="1128"/>
      <c r="I157" s="1128"/>
      <c r="J157" s="322">
        <f>F157*2300</f>
        <v>0</v>
      </c>
      <c r="K157" s="322"/>
      <c r="L157" s="1104"/>
      <c r="M157" s="1112"/>
      <c r="N157" s="1112"/>
      <c r="O157" s="1112"/>
      <c r="P157" s="1112"/>
      <c r="Q157" s="1112"/>
      <c r="R157" s="1112"/>
      <c r="S157" s="1112"/>
      <c r="T157" s="1112"/>
      <c r="U157" s="1112"/>
      <c r="V157" s="1112"/>
      <c r="W157" s="1112"/>
      <c r="Z157" s="1128"/>
    </row>
    <row r="158" spans="3:26">
      <c r="C158" s="1104"/>
      <c r="E158" s="1439"/>
      <c r="F158" s="1128">
        <f>SUMIF(K16:K99,"D",J16:J99)</f>
        <v>0</v>
      </c>
      <c r="G158" s="1128"/>
      <c r="H158" s="1128"/>
      <c r="I158" s="1128"/>
      <c r="J158" s="322">
        <f>F158*2200</f>
        <v>0</v>
      </c>
      <c r="K158" s="322"/>
      <c r="L158" s="1104"/>
      <c r="M158" s="1129"/>
      <c r="N158" s="1129"/>
      <c r="O158" s="1129"/>
      <c r="P158" s="1129"/>
      <c r="Q158" s="1129"/>
      <c r="R158" s="1129"/>
      <c r="S158" s="1129"/>
      <c r="T158" s="1129"/>
      <c r="U158" s="1129"/>
      <c r="V158" s="1129"/>
      <c r="W158" s="1129"/>
      <c r="Z158" s="1128"/>
    </row>
    <row r="159" spans="3:26">
      <c r="C159" s="1104"/>
      <c r="E159" s="1128"/>
      <c r="F159" s="1128"/>
      <c r="G159" s="1128"/>
      <c r="H159" s="1128"/>
      <c r="I159" s="1128"/>
      <c r="J159" s="322"/>
      <c r="K159" s="322"/>
      <c r="L159" s="1104"/>
      <c r="M159" s="1129"/>
      <c r="N159" s="1129"/>
      <c r="O159" s="1129"/>
      <c r="P159" s="1129"/>
      <c r="Q159" s="1129"/>
      <c r="R159" s="1129"/>
      <c r="S159" s="1129"/>
      <c r="T159" s="1129"/>
      <c r="U159" s="1129"/>
      <c r="V159" s="1129"/>
      <c r="W159" s="1129"/>
      <c r="Z159" s="1128"/>
    </row>
    <row r="160" spans="3:26">
      <c r="C160" s="1104"/>
      <c r="E160" s="1128"/>
      <c r="F160" s="1128"/>
      <c r="G160" s="1128"/>
      <c r="H160" s="1128"/>
      <c r="I160" s="1128"/>
      <c r="J160" s="322"/>
      <c r="K160" s="322"/>
      <c r="L160" s="1104"/>
      <c r="M160" s="1129"/>
      <c r="N160" s="1129"/>
      <c r="O160" s="1129"/>
      <c r="P160" s="1129"/>
      <c r="Q160" s="1129"/>
      <c r="R160" s="1129"/>
      <c r="S160" s="1129"/>
      <c r="T160" s="1129"/>
      <c r="U160" s="1129"/>
      <c r="V160" s="1129"/>
      <c r="W160" s="1129"/>
      <c r="Z160" s="1128"/>
    </row>
    <row r="161" spans="1:26">
      <c r="C161" s="1104"/>
      <c r="E161" s="1128"/>
      <c r="F161" s="1128"/>
      <c r="G161" s="1128"/>
      <c r="H161" s="1128"/>
      <c r="I161" s="1128"/>
      <c r="J161" s="322"/>
      <c r="K161" s="322"/>
      <c r="L161" s="1104"/>
      <c r="M161" s="1129"/>
      <c r="N161" s="1129"/>
      <c r="O161" s="1129"/>
      <c r="P161" s="1129"/>
      <c r="Q161" s="1129"/>
      <c r="R161" s="1129"/>
      <c r="S161" s="1129"/>
      <c r="T161" s="1129"/>
      <c r="U161" s="1129"/>
      <c r="V161" s="1129"/>
      <c r="W161" s="1129"/>
      <c r="Z161" s="1128"/>
    </row>
    <row r="162" spans="1:26">
      <c r="C162" s="1104"/>
      <c r="E162" s="1128"/>
      <c r="F162" s="1128"/>
      <c r="G162" s="1128"/>
      <c r="H162" s="1128"/>
      <c r="I162" s="1128"/>
      <c r="J162" s="322"/>
      <c r="K162" s="322"/>
      <c r="L162" s="1104"/>
      <c r="M162" s="1129"/>
      <c r="N162" s="1129"/>
      <c r="O162" s="1129"/>
      <c r="P162" s="1129"/>
      <c r="Q162" s="1129"/>
      <c r="R162" s="1129"/>
      <c r="S162" s="1129"/>
      <c r="T162" s="1129"/>
      <c r="U162" s="1129"/>
      <c r="V162" s="1129"/>
      <c r="W162" s="1129"/>
      <c r="Z162" s="1128"/>
    </row>
    <row r="163" spans="1:26">
      <c r="C163" s="1104"/>
      <c r="E163" s="1128"/>
      <c r="F163" s="1128"/>
      <c r="G163" s="1128"/>
      <c r="H163" s="1128"/>
      <c r="I163" s="1128"/>
      <c r="J163" s="322"/>
      <c r="K163" s="322"/>
      <c r="L163" s="1104"/>
      <c r="M163" s="1129"/>
      <c r="N163" s="1129"/>
      <c r="O163" s="1129"/>
      <c r="P163" s="1129"/>
      <c r="Q163" s="1129"/>
      <c r="R163" s="1129"/>
      <c r="S163" s="1129"/>
      <c r="T163" s="1129"/>
      <c r="U163" s="1129"/>
      <c r="V163" s="1129"/>
      <c r="W163" s="1129"/>
      <c r="Z163" s="1128"/>
    </row>
    <row r="164" spans="1:26">
      <c r="C164" s="1104"/>
      <c r="E164" s="1128"/>
      <c r="F164" s="1128"/>
      <c r="G164" s="1128"/>
      <c r="H164" s="1128"/>
      <c r="I164" s="1128"/>
      <c r="J164" s="322"/>
      <c r="K164" s="322"/>
      <c r="L164" s="1104"/>
      <c r="M164" s="1129"/>
      <c r="N164" s="1129"/>
      <c r="O164" s="1129"/>
      <c r="P164" s="1129"/>
      <c r="Q164" s="1129"/>
      <c r="R164" s="1129"/>
      <c r="S164" s="1129"/>
      <c r="T164" s="1129"/>
      <c r="U164" s="1129"/>
      <c r="V164" s="1129"/>
      <c r="W164" s="1129"/>
      <c r="Z164" s="1128"/>
    </row>
    <row r="165" spans="1:26">
      <c r="C165" s="1104"/>
      <c r="E165" s="1104"/>
      <c r="F165" s="1104">
        <f>SUM(F155:F163)</f>
        <v>75878.171092451084</v>
      </c>
      <c r="J165" s="322">
        <f>SUM(J155:J163)</f>
        <v>188163544.78594059</v>
      </c>
      <c r="K165" s="322"/>
      <c r="L165" s="1104"/>
      <c r="M165" s="1440" t="e">
        <f>J165+J175+F180</f>
        <v>#REF!</v>
      </c>
      <c r="N165" s="1440"/>
      <c r="O165" s="1440"/>
      <c r="P165" s="1131"/>
      <c r="Q165" s="1131"/>
      <c r="R165" s="1131"/>
      <c r="S165" s="1131"/>
      <c r="W165" s="1104" t="e">
        <f>M165-#REF!</f>
        <v>#REF!</v>
      </c>
    </row>
    <row r="166" spans="1:26">
      <c r="C166" s="1104"/>
      <c r="E166" s="1104"/>
      <c r="J166" s="892"/>
      <c r="K166" s="892"/>
      <c r="L166" s="1104"/>
    </row>
    <row r="167" spans="1:26">
      <c r="C167" s="1104"/>
      <c r="E167" s="1128"/>
      <c r="F167" s="1104">
        <v>5422</v>
      </c>
      <c r="J167" s="322">
        <f>F167*30000</f>
        <v>162660000</v>
      </c>
      <c r="K167" s="322"/>
      <c r="L167" s="1104"/>
    </row>
    <row r="168" spans="1:26">
      <c r="C168" s="1104"/>
      <c r="E168" s="1128"/>
      <c r="F168" s="1104">
        <v>20</v>
      </c>
      <c r="J168" s="322">
        <f>F168*60000</f>
        <v>1200000</v>
      </c>
      <c r="K168" s="322"/>
      <c r="L168" s="1104"/>
    </row>
    <row r="169" spans="1:26">
      <c r="C169" s="1104"/>
      <c r="E169" s="1128"/>
      <c r="F169" s="1104">
        <v>230</v>
      </c>
      <c r="J169" s="322">
        <f>F169*80000</f>
        <v>18400000</v>
      </c>
      <c r="K169" s="322"/>
      <c r="L169" s="1104"/>
    </row>
    <row r="170" spans="1:26">
      <c r="A170" s="1104"/>
      <c r="B170" s="1104"/>
      <c r="F170" s="1104">
        <v>998</v>
      </c>
      <c r="J170" s="322">
        <f>F170*50000</f>
        <v>49900000</v>
      </c>
      <c r="K170" s="322"/>
    </row>
    <row r="171" spans="1:26">
      <c r="A171" s="1104"/>
      <c r="B171" s="1104"/>
      <c r="F171" s="1104">
        <v>2</v>
      </c>
      <c r="J171" s="322">
        <f>F171*80000</f>
        <v>160000</v>
      </c>
      <c r="K171" s="322"/>
    </row>
    <row r="172" spans="1:26">
      <c r="A172" s="1104"/>
      <c r="B172" s="1104"/>
      <c r="F172" s="1104">
        <v>89</v>
      </c>
      <c r="J172" s="322">
        <f>F172*100000</f>
        <v>8900000</v>
      </c>
      <c r="K172" s="322"/>
      <c r="Z172" s="1131"/>
    </row>
    <row r="173" spans="1:26">
      <c r="A173" s="1104"/>
      <c r="B173" s="1104"/>
      <c r="F173" s="1104">
        <v>301.56000000000006</v>
      </c>
      <c r="J173" s="322">
        <f>F173*25000</f>
        <v>7539000.0000000019</v>
      </c>
      <c r="K173" s="322"/>
      <c r="Z173" s="1131"/>
    </row>
    <row r="174" spans="1:26">
      <c r="A174" s="1104"/>
      <c r="B174" s="1104"/>
      <c r="F174" s="1104">
        <v>2965</v>
      </c>
      <c r="J174" s="322">
        <f>F174*20000</f>
        <v>59300000</v>
      </c>
      <c r="K174" s="322"/>
      <c r="Z174" s="1131"/>
    </row>
    <row r="175" spans="1:26" ht="28.5" customHeight="1">
      <c r="A175" s="1104"/>
      <c r="B175" s="1104"/>
      <c r="F175" s="1104">
        <f>SUM(F167:F174)</f>
        <v>10027.560000000001</v>
      </c>
      <c r="J175" s="1441">
        <f>SUM(J167:J174)</f>
        <v>308059000</v>
      </c>
      <c r="K175" s="1441"/>
      <c r="T175" s="1440" t="e">
        <f>J175-#REF!</f>
        <v>#REF!</v>
      </c>
      <c r="U175" s="1440"/>
      <c r="V175" s="1440"/>
      <c r="W175" s="1440"/>
    </row>
    <row r="176" spans="1:26">
      <c r="A176" s="1104"/>
      <c r="B176" s="1104"/>
      <c r="F176" s="1128" t="e">
        <f>#REF!+#REF!+#REF!+E99</f>
        <v>#REF!</v>
      </c>
      <c r="G176" s="1128"/>
      <c r="H176" s="1128"/>
      <c r="I176" s="1128"/>
      <c r="J176" s="322" t="e">
        <f>F176*25000</f>
        <v>#REF!</v>
      </c>
      <c r="K176" s="322"/>
    </row>
    <row r="177" spans="1:14">
      <c r="A177" s="1104"/>
      <c r="B177" s="1104"/>
      <c r="E177" s="1104" t="s">
        <v>174</v>
      </c>
      <c r="F177" s="1104" t="e">
        <f>#REF!+#REF!</f>
        <v>#REF!</v>
      </c>
      <c r="J177" s="322" t="e">
        <f>#REF!+#REF!</f>
        <v>#REF!</v>
      </c>
      <c r="K177" s="360"/>
    </row>
    <row r="178" spans="1:14">
      <c r="A178" s="1104"/>
      <c r="B178" s="1104"/>
      <c r="F178" s="1104" t="e">
        <f>#REF!</f>
        <v>#REF!</v>
      </c>
      <c r="J178" s="322" t="e">
        <f>#REF!</f>
        <v>#REF!</v>
      </c>
      <c r="K178" s="360"/>
    </row>
    <row r="179" spans="1:14">
      <c r="A179" s="1104"/>
      <c r="B179" s="1104"/>
      <c r="F179" s="1104" t="e">
        <f>#REF!+#REF!+#REF!+#REF!</f>
        <v>#REF!</v>
      </c>
      <c r="J179" s="322" t="e">
        <f>#REF!+#REF!+#REF!+#REF!</f>
        <v>#REF!</v>
      </c>
      <c r="K179" s="360"/>
    </row>
    <row r="180" spans="1:14">
      <c r="A180" s="1104"/>
      <c r="B180" s="1104"/>
      <c r="F180" s="1441" t="e">
        <f>SUM(J176:K179)</f>
        <v>#REF!</v>
      </c>
      <c r="G180" s="1441"/>
      <c r="H180" s="1441"/>
      <c r="I180" s="1441"/>
      <c r="J180" s="1441"/>
      <c r="K180" s="360"/>
      <c r="L180" s="321" t="e">
        <f>F180-#REF!</f>
        <v>#REF!</v>
      </c>
    </row>
    <row r="182" spans="1:14">
      <c r="A182" s="1104"/>
      <c r="B182" s="1104"/>
      <c r="J182" s="1436" t="e">
        <f>+#REF!+#REF!+#REF!+#REF!+1000000</f>
        <v>#REF!</v>
      </c>
      <c r="K182" s="1436"/>
    </row>
    <row r="184" spans="1:14">
      <c r="A184" s="1104"/>
      <c r="B184" s="1104"/>
      <c r="F184" s="1128"/>
      <c r="G184" s="1128"/>
      <c r="H184" s="1128"/>
      <c r="I184" s="1128"/>
      <c r="J184" s="322"/>
    </row>
    <row r="185" spans="1:14">
      <c r="A185" s="1104"/>
      <c r="B185" s="1104"/>
      <c r="M185" s="1128"/>
      <c r="N185" s="1128"/>
    </row>
    <row r="189" spans="1:14">
      <c r="A189" s="1104"/>
      <c r="B189" s="1104"/>
      <c r="F189" s="1128">
        <v>2551.8899999999994</v>
      </c>
      <c r="G189" s="1128"/>
      <c r="H189" s="1128"/>
      <c r="I189" s="1128"/>
    </row>
    <row r="190" spans="1:14">
      <c r="A190" s="1104"/>
      <c r="B190" s="1104"/>
      <c r="C190" s="1104"/>
      <c r="E190" s="1104"/>
      <c r="F190" s="1128" t="e">
        <f>+F176-F189</f>
        <v>#REF!</v>
      </c>
      <c r="G190" s="1128"/>
      <c r="H190" s="1128"/>
      <c r="I190" s="1128"/>
    </row>
    <row r="196" spans="1:23">
      <c r="A196" s="1104"/>
      <c r="B196" s="1104"/>
      <c r="C196" s="1104"/>
      <c r="E196" s="1104"/>
      <c r="K196" s="320">
        <v>1678</v>
      </c>
      <c r="L196" s="321">
        <v>1573</v>
      </c>
      <c r="M196" s="1104">
        <v>1187</v>
      </c>
      <c r="O196" s="1104">
        <v>1183</v>
      </c>
      <c r="W196" s="1104">
        <f>SUM(K196:O196)</f>
        <v>5621</v>
      </c>
    </row>
    <row r="197" spans="1:23">
      <c r="A197" s="1104"/>
      <c r="B197" s="1104"/>
      <c r="C197" s="1104"/>
      <c r="E197" s="1104"/>
      <c r="K197" s="320">
        <v>257</v>
      </c>
      <c r="L197" s="321">
        <v>244</v>
      </c>
      <c r="M197" s="1104">
        <v>183</v>
      </c>
      <c r="O197" s="1104">
        <v>182</v>
      </c>
      <c r="W197" s="1104">
        <f>SUM(K197:O197)</f>
        <v>866</v>
      </c>
    </row>
    <row r="198" spans="1:23">
      <c r="A198" s="1104"/>
      <c r="B198" s="1104"/>
      <c r="C198" s="1104"/>
      <c r="E198" s="1104"/>
      <c r="K198" s="320">
        <v>1935</v>
      </c>
      <c r="L198" s="321">
        <v>1817</v>
      </c>
      <c r="M198" s="1104">
        <v>1370</v>
      </c>
      <c r="O198" s="1104">
        <v>1365</v>
      </c>
      <c r="W198" s="1104">
        <f>SUM(K198:O198)</f>
        <v>6487</v>
      </c>
    </row>
  </sheetData>
  <autoFilter ref="A16:AH100"/>
  <mergeCells count="32">
    <mergeCell ref="J182:K182"/>
    <mergeCell ref="A100:Z100"/>
    <mergeCell ref="M119:O119"/>
    <mergeCell ref="E155:E158"/>
    <mergeCell ref="M165:O165"/>
    <mergeCell ref="J175:K175"/>
    <mergeCell ref="T175:W175"/>
    <mergeCell ref="F180:J180"/>
    <mergeCell ref="A104:Z104"/>
    <mergeCell ref="N102:Z102"/>
    <mergeCell ref="X13:X15"/>
    <mergeCell ref="B13:B15"/>
    <mergeCell ref="D13:D15"/>
    <mergeCell ref="E14:F14"/>
    <mergeCell ref="J14:L14"/>
    <mergeCell ref="M14:W14"/>
    <mergeCell ref="Z13:Z15"/>
    <mergeCell ref="A1:Z1"/>
    <mergeCell ref="A5:J5"/>
    <mergeCell ref="A8:Z8"/>
    <mergeCell ref="A99:D99"/>
    <mergeCell ref="E13:W13"/>
    <mergeCell ref="A2:Z2"/>
    <mergeCell ref="A3:Z3"/>
    <mergeCell ref="A9:Z9"/>
    <mergeCell ref="A10:Z10"/>
    <mergeCell ref="A6:J6"/>
    <mergeCell ref="C12:D12"/>
    <mergeCell ref="X12:Y12"/>
    <mergeCell ref="Y13:Y15"/>
    <mergeCell ref="A13:A15"/>
    <mergeCell ref="C13:C15"/>
  </mergeCells>
  <printOptions horizontalCentered="1"/>
  <pageMargins left="0.35433070866141736" right="0.15748031496062992" top="0.23622047244094491" bottom="0.19685039370078741" header="0.15748031496062992" footer="0.19685039370078741"/>
  <pageSetup paperSize="9" scale="38" fitToHeight="0" orientation="landscape" r:id="rId1"/>
  <headerFooter>
    <oddFooter>&amp;R&amp;P</oddFooter>
  </headerFooter>
  <colBreaks count="1" manualBreakCount="1">
    <brk id="26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92D050"/>
  </sheetPr>
  <dimension ref="A1:AB146"/>
  <sheetViews>
    <sheetView tabSelected="1" topLeftCell="A67" zoomScale="55" zoomScaleNormal="55" zoomScaleSheetLayoutView="55" workbookViewId="0">
      <selection activeCell="F22" sqref="F22"/>
    </sheetView>
  </sheetViews>
  <sheetFormatPr defaultColWidth="9.42578125" defaultRowHeight="23.25"/>
  <cols>
    <col min="1" max="1" width="7.28515625" style="1116" customWidth="1"/>
    <col min="2" max="2" width="14.5703125" style="1131" customWidth="1"/>
    <col min="3" max="3" width="22.7109375" style="1133" customWidth="1"/>
    <col min="4" max="4" width="29.85546875" style="1104" customWidth="1"/>
    <col min="5" max="5" width="17.140625" style="359" customWidth="1"/>
    <col min="6" max="6" width="21.42578125" style="1104" customWidth="1"/>
    <col min="7" max="7" width="19" style="1104" customWidth="1"/>
    <col min="8" max="8" width="15.85546875" style="1104" hidden="1" customWidth="1"/>
    <col min="9" max="9" width="19" style="1104" hidden="1" customWidth="1"/>
    <col min="10" max="10" width="16" style="319" customWidth="1"/>
    <col min="11" max="11" width="12.5703125" style="320" customWidth="1"/>
    <col min="12" max="12" width="24.5703125" style="321" customWidth="1"/>
    <col min="13" max="13" width="17.5703125" style="1104" customWidth="1"/>
    <col min="14" max="14" width="15.28515625" style="1104" customWidth="1"/>
    <col min="15" max="18" width="16.7109375" style="1104" hidden="1" customWidth="1"/>
    <col min="19" max="19" width="16.42578125" style="1104" customWidth="1"/>
    <col min="20" max="20" width="16.42578125" style="1104" hidden="1" customWidth="1"/>
    <col min="21" max="22" width="17.28515625" style="1104" hidden="1" customWidth="1"/>
    <col min="23" max="24" width="22.5703125" style="1104" customWidth="1"/>
    <col min="25" max="25" width="16.28515625" style="1104" hidden="1" customWidth="1"/>
    <col min="26" max="26" width="21.42578125" style="1104" customWidth="1"/>
    <col min="27" max="27" width="25" style="1104" hidden="1" customWidth="1"/>
    <col min="28" max="28" width="25.28515625" style="1104" hidden="1" customWidth="1"/>
    <col min="29" max="29" width="13.85546875" style="1104" bestFit="1" customWidth="1"/>
    <col min="30" max="33" width="9.42578125" style="1104"/>
    <col min="34" max="34" width="9.5703125" style="1104" bestFit="1" customWidth="1"/>
    <col min="35" max="16384" width="9.42578125" style="1104"/>
  </cols>
  <sheetData>
    <row r="1" spans="1:28">
      <c r="A1" s="1444" t="s">
        <v>54</v>
      </c>
      <c r="B1" s="1444"/>
      <c r="C1" s="1444"/>
      <c r="D1" s="1444"/>
      <c r="E1" s="1444"/>
      <c r="F1" s="1444"/>
      <c r="G1" s="1444"/>
      <c r="H1" s="1444"/>
      <c r="I1" s="1444"/>
      <c r="J1" s="1444"/>
      <c r="K1" s="1444"/>
      <c r="L1" s="1444"/>
      <c r="M1" s="1444"/>
      <c r="N1" s="1444"/>
      <c r="O1" s="1444"/>
      <c r="P1" s="1444"/>
      <c r="Q1" s="1444"/>
      <c r="R1" s="1444"/>
      <c r="S1" s="1444"/>
      <c r="T1" s="1444"/>
      <c r="U1" s="1444"/>
      <c r="V1" s="1444"/>
      <c r="W1" s="1444"/>
      <c r="X1" s="1444"/>
      <c r="Y1" s="1444"/>
      <c r="Z1" s="1444"/>
    </row>
    <row r="2" spans="1:28">
      <c r="A2" s="1444" t="s">
        <v>40</v>
      </c>
      <c r="B2" s="1444"/>
      <c r="C2" s="1444"/>
      <c r="D2" s="1444"/>
      <c r="E2" s="1444"/>
      <c r="F2" s="1444"/>
      <c r="G2" s="1444"/>
      <c r="H2" s="1444"/>
      <c r="I2" s="1444"/>
      <c r="J2" s="1444"/>
      <c r="K2" s="1444"/>
      <c r="L2" s="1444"/>
      <c r="M2" s="1444"/>
      <c r="N2" s="1444"/>
      <c r="O2" s="1444"/>
      <c r="P2" s="1444"/>
      <c r="Q2" s="1444"/>
      <c r="R2" s="1444"/>
      <c r="S2" s="1444"/>
      <c r="T2" s="1444"/>
      <c r="U2" s="1444"/>
      <c r="V2" s="1444"/>
      <c r="W2" s="1444"/>
      <c r="X2" s="1444"/>
      <c r="Y2" s="1444"/>
      <c r="Z2" s="1444"/>
    </row>
    <row r="3" spans="1:28">
      <c r="A3" s="1448" t="s">
        <v>292</v>
      </c>
      <c r="B3" s="1444"/>
      <c r="C3" s="1444"/>
      <c r="D3" s="1444"/>
      <c r="E3" s="1444"/>
      <c r="F3" s="1444"/>
      <c r="G3" s="1444"/>
      <c r="H3" s="1444"/>
      <c r="I3" s="1444"/>
      <c r="J3" s="1444"/>
      <c r="K3" s="1444"/>
      <c r="L3" s="1444"/>
      <c r="M3" s="1444"/>
      <c r="N3" s="1444"/>
      <c r="O3" s="1444"/>
      <c r="P3" s="1444"/>
      <c r="Q3" s="1444"/>
      <c r="R3" s="1444"/>
      <c r="S3" s="1444"/>
      <c r="T3" s="1444"/>
      <c r="U3" s="1444"/>
      <c r="V3" s="1444"/>
      <c r="W3" s="1444"/>
      <c r="X3" s="1444"/>
      <c r="Y3" s="1444"/>
      <c r="Z3" s="1444"/>
    </row>
    <row r="4" spans="1:28" ht="26.25" customHeight="1">
      <c r="A4" s="944"/>
      <c r="B4" s="944"/>
      <c r="C4" s="944"/>
      <c r="D4" s="944"/>
      <c r="E4" s="944"/>
      <c r="F4" s="944"/>
      <c r="G4" s="944"/>
      <c r="H4" s="944"/>
      <c r="I4" s="944"/>
      <c r="J4" s="944"/>
      <c r="K4" s="944"/>
      <c r="L4" s="944"/>
      <c r="M4" s="944"/>
      <c r="N4" s="944"/>
      <c r="O4" s="944"/>
      <c r="P4" s="944"/>
      <c r="Q4" s="944"/>
      <c r="R4" s="944"/>
      <c r="S4" s="944"/>
      <c r="T4" s="944"/>
      <c r="U4" s="944"/>
      <c r="V4" s="944"/>
      <c r="W4" s="944"/>
      <c r="X4" s="944"/>
      <c r="Y4" s="944"/>
      <c r="Z4" s="944"/>
    </row>
    <row r="5" spans="1:28">
      <c r="A5" s="1440" t="s">
        <v>598</v>
      </c>
      <c r="B5" s="1440"/>
      <c r="C5" s="1440"/>
      <c r="D5" s="1440"/>
      <c r="E5" s="1440"/>
      <c r="F5" s="1440"/>
      <c r="G5" s="1440"/>
      <c r="H5" s="1440"/>
      <c r="I5" s="1440"/>
      <c r="J5" s="1440"/>
      <c r="K5" s="353"/>
      <c r="L5" s="353"/>
      <c r="M5" s="353"/>
      <c r="N5" s="353"/>
      <c r="O5" s="353"/>
      <c r="P5" s="353"/>
      <c r="Q5" s="353"/>
      <c r="R5" s="353"/>
      <c r="S5" s="353"/>
      <c r="T5" s="353"/>
      <c r="U5" s="353"/>
      <c r="V5" s="353"/>
      <c r="W5" s="354"/>
      <c r="X5" s="354"/>
      <c r="Y5" s="354"/>
      <c r="Z5" s="354"/>
    </row>
    <row r="6" spans="1:28" ht="24.75" customHeight="1">
      <c r="A6" s="1428" t="s">
        <v>576</v>
      </c>
      <c r="B6" s="1428"/>
      <c r="C6" s="1428"/>
      <c r="D6" s="1428"/>
      <c r="E6" s="1428"/>
      <c r="F6" s="1428"/>
      <c r="G6" s="1428"/>
      <c r="H6" s="1428"/>
      <c r="I6" s="1428"/>
      <c r="J6" s="1428"/>
      <c r="K6" s="353"/>
      <c r="L6" s="353"/>
      <c r="M6" s="353"/>
      <c r="N6" s="353"/>
      <c r="O6" s="353"/>
      <c r="P6" s="353"/>
      <c r="Q6" s="353"/>
      <c r="R6" s="353"/>
      <c r="S6" s="353"/>
      <c r="T6" s="353"/>
      <c r="U6" s="353"/>
      <c r="V6" s="353"/>
      <c r="W6" s="354"/>
      <c r="X6" s="354"/>
      <c r="Y6" s="354"/>
      <c r="Z6" s="354"/>
    </row>
    <row r="7" spans="1:28">
      <c r="A7" s="1110"/>
      <c r="B7" s="1110"/>
      <c r="C7" s="1110"/>
      <c r="D7" s="1110"/>
      <c r="E7" s="1110"/>
      <c r="F7" s="1134"/>
      <c r="G7" s="1134"/>
      <c r="H7" s="1134"/>
      <c r="I7" s="1134"/>
      <c r="J7" s="353"/>
      <c r="K7" s="353"/>
      <c r="L7" s="353"/>
      <c r="M7" s="353"/>
      <c r="N7" s="353"/>
      <c r="O7" s="353"/>
      <c r="P7" s="353"/>
      <c r="Q7" s="353"/>
      <c r="R7" s="353"/>
      <c r="S7" s="353"/>
      <c r="T7" s="353"/>
      <c r="U7" s="353"/>
      <c r="V7" s="353"/>
      <c r="W7" s="354"/>
      <c r="X7" s="354"/>
      <c r="Y7" s="354"/>
      <c r="Z7" s="354"/>
    </row>
    <row r="8" spans="1:28">
      <c r="A8" s="1110"/>
      <c r="B8" s="1110"/>
      <c r="C8" s="1110"/>
      <c r="D8" s="1110"/>
      <c r="E8" s="1110"/>
      <c r="F8" s="1134"/>
      <c r="G8" s="1134"/>
      <c r="H8" s="1134"/>
      <c r="I8" s="1134"/>
      <c r="J8" s="353"/>
      <c r="K8" s="353"/>
      <c r="L8" s="353"/>
      <c r="M8" s="353"/>
      <c r="N8" s="353"/>
      <c r="O8" s="353"/>
      <c r="P8" s="353"/>
      <c r="Q8" s="353"/>
      <c r="R8" s="353"/>
      <c r="S8" s="353"/>
      <c r="T8" s="353"/>
      <c r="U8" s="353"/>
      <c r="V8" s="353"/>
      <c r="W8" s="354"/>
      <c r="X8" s="354"/>
      <c r="Y8" s="354"/>
      <c r="Z8" s="354"/>
    </row>
    <row r="9" spans="1:28" ht="30">
      <c r="A9" s="1427" t="s">
        <v>828</v>
      </c>
      <c r="B9" s="1427"/>
      <c r="C9" s="1427"/>
      <c r="D9" s="1427"/>
      <c r="E9" s="1427"/>
      <c r="F9" s="1427"/>
      <c r="G9" s="1427"/>
      <c r="H9" s="1427"/>
      <c r="I9" s="1427"/>
      <c r="J9" s="1427"/>
      <c r="K9" s="1427"/>
      <c r="L9" s="1427"/>
      <c r="M9" s="1427"/>
      <c r="N9" s="1427"/>
      <c r="O9" s="1427"/>
      <c r="P9" s="1427"/>
      <c r="Q9" s="1427"/>
      <c r="R9" s="1427"/>
      <c r="S9" s="1427"/>
      <c r="T9" s="1427"/>
      <c r="U9" s="1427"/>
      <c r="V9" s="1427"/>
      <c r="W9" s="1427"/>
      <c r="X9" s="1427"/>
      <c r="Y9" s="1427"/>
      <c r="Z9" s="1427"/>
    </row>
    <row r="10" spans="1:28" ht="30" customHeight="1">
      <c r="A10" s="815"/>
      <c r="B10" s="815"/>
      <c r="C10" s="815"/>
      <c r="D10" s="815"/>
      <c r="E10" s="815"/>
      <c r="F10" s="815"/>
      <c r="G10" s="815"/>
      <c r="H10" s="815"/>
      <c r="I10" s="815"/>
      <c r="J10" s="815"/>
      <c r="K10" s="815"/>
      <c r="L10" s="815"/>
      <c r="M10" s="815"/>
      <c r="N10" s="815"/>
      <c r="O10" s="815"/>
      <c r="P10" s="815"/>
      <c r="Q10" s="815"/>
      <c r="R10" s="815"/>
      <c r="S10" s="815"/>
      <c r="T10" s="815"/>
      <c r="U10" s="815"/>
      <c r="V10" s="815"/>
      <c r="W10" s="815"/>
      <c r="X10" s="815"/>
      <c r="Y10" s="815"/>
      <c r="Z10" s="815"/>
      <c r="AA10" s="1107" t="s">
        <v>34</v>
      </c>
      <c r="AB10" s="1108">
        <f>'BTH mủ tạp'!$AK$98</f>
        <v>158146</v>
      </c>
    </row>
    <row r="11" spans="1:28" s="1109" customFormat="1" ht="18" customHeight="1">
      <c r="A11" s="1428"/>
      <c r="B11" s="1428"/>
      <c r="C11" s="1428"/>
      <c r="D11" s="1428"/>
      <c r="E11" s="1428"/>
      <c r="F11" s="1428"/>
      <c r="G11" s="1428"/>
      <c r="H11" s="1428"/>
      <c r="I11" s="1428"/>
      <c r="J11" s="1428"/>
      <c r="K11" s="1428"/>
      <c r="L11" s="1428"/>
      <c r="M11" s="1428"/>
      <c r="N11" s="1428"/>
      <c r="O11" s="1428"/>
      <c r="P11" s="1428"/>
      <c r="Q11" s="1428"/>
      <c r="R11" s="1428"/>
      <c r="S11" s="1428"/>
      <c r="T11" s="1428"/>
      <c r="U11" s="1428"/>
      <c r="V11" s="1428"/>
      <c r="W11" s="1428"/>
      <c r="X11" s="1428"/>
      <c r="Y11" s="1428"/>
      <c r="Z11" s="1428"/>
      <c r="AA11" s="1107" t="s">
        <v>417</v>
      </c>
      <c r="AB11" s="1108">
        <f>'BTH mủ tạp'!$AM$98</f>
        <v>73024.987000000008</v>
      </c>
    </row>
    <row r="12" spans="1:28" s="1109" customFormat="1" ht="36.75" hidden="1" customHeight="1">
      <c r="A12" s="1111"/>
      <c r="B12" s="1110"/>
      <c r="C12" s="1446"/>
      <c r="D12" s="1446"/>
      <c r="E12" s="1112">
        <v>655.8</v>
      </c>
      <c r="F12" s="1113"/>
      <c r="G12" s="1113"/>
      <c r="H12" s="1113"/>
      <c r="I12" s="1113"/>
      <c r="J12" s="1114"/>
      <c r="K12" s="1110"/>
      <c r="L12" s="1110"/>
      <c r="M12" s="1110"/>
      <c r="N12" s="1110"/>
      <c r="O12" s="1110"/>
      <c r="P12" s="1110"/>
      <c r="Q12" s="1110"/>
      <c r="R12" s="1110"/>
      <c r="S12" s="1110"/>
      <c r="T12" s="1110"/>
      <c r="U12" s="1110"/>
      <c r="V12" s="1110"/>
      <c r="W12" s="1110"/>
      <c r="X12" s="1110"/>
      <c r="Y12" s="1110"/>
      <c r="Z12" s="1110"/>
      <c r="AA12" s="1115" t="s">
        <v>418</v>
      </c>
      <c r="AB12" s="871">
        <v>0.5</v>
      </c>
    </row>
    <row r="13" spans="1:28" ht="27" hidden="1" customHeight="1">
      <c r="C13" s="1447" t="s">
        <v>296</v>
      </c>
      <c r="D13" s="1447"/>
      <c r="E13" s="1210">
        <f>'CNKT '!F11</f>
        <v>668.84</v>
      </c>
      <c r="F13" s="1119"/>
      <c r="G13" s="1119"/>
      <c r="H13" s="1119"/>
      <c r="I13" s="1119"/>
      <c r="J13" s="355"/>
      <c r="K13" s="356"/>
      <c r="L13" s="357"/>
      <c r="M13" s="358"/>
      <c r="N13" s="358"/>
      <c r="O13" s="358"/>
      <c r="P13" s="358"/>
      <c r="Q13" s="358"/>
      <c r="R13" s="358"/>
      <c r="S13" s="358"/>
      <c r="T13" s="358"/>
      <c r="U13" s="358"/>
      <c r="V13" s="358"/>
      <c r="W13" s="358"/>
      <c r="X13" s="1449" t="s">
        <v>414</v>
      </c>
      <c r="Y13" s="1449"/>
      <c r="Z13" s="531">
        <f>AB11/AB10</f>
        <v>0.46175677538477111</v>
      </c>
      <c r="AA13" s="1115" t="s">
        <v>419</v>
      </c>
      <c r="AB13" s="871">
        <v>0.2</v>
      </c>
    </row>
    <row r="14" spans="1:28" s="1110" customFormat="1" ht="26.25" customHeight="1">
      <c r="A14" s="1432" t="s">
        <v>4</v>
      </c>
      <c r="B14" s="1432" t="s">
        <v>95</v>
      </c>
      <c r="C14" s="1433" t="s">
        <v>15</v>
      </c>
      <c r="D14" s="1432" t="s">
        <v>236</v>
      </c>
      <c r="E14" s="1424" t="s">
        <v>20</v>
      </c>
      <c r="F14" s="1424"/>
      <c r="G14" s="1424"/>
      <c r="H14" s="1424"/>
      <c r="I14" s="1424"/>
      <c r="J14" s="1424"/>
      <c r="K14" s="1424"/>
      <c r="L14" s="1424"/>
      <c r="M14" s="1424"/>
      <c r="N14" s="1424"/>
      <c r="O14" s="1424"/>
      <c r="P14" s="1424"/>
      <c r="Q14" s="1424"/>
      <c r="R14" s="1424"/>
      <c r="S14" s="1424"/>
      <c r="T14" s="1424"/>
      <c r="U14" s="1424"/>
      <c r="V14" s="1424"/>
      <c r="W14" s="1424"/>
      <c r="X14" s="1455" t="s">
        <v>367</v>
      </c>
      <c r="Y14" s="1417" t="s">
        <v>166</v>
      </c>
      <c r="Z14" s="1417" t="s">
        <v>366</v>
      </c>
    </row>
    <row r="15" spans="1:28" s="1110" customFormat="1" ht="52.5" customHeight="1">
      <c r="A15" s="1432"/>
      <c r="B15" s="1432"/>
      <c r="C15" s="1433"/>
      <c r="D15" s="1432"/>
      <c r="E15" s="1434" t="s">
        <v>365</v>
      </c>
      <c r="F15" s="1435"/>
      <c r="G15" s="1450" t="s">
        <v>23</v>
      </c>
      <c r="H15" s="1451"/>
      <c r="I15" s="1451"/>
      <c r="J15" s="1451"/>
      <c r="K15" s="1451"/>
      <c r="L15" s="1452"/>
      <c r="M15" s="1417" t="s">
        <v>24</v>
      </c>
      <c r="N15" s="1417"/>
      <c r="O15" s="1417"/>
      <c r="P15" s="1417"/>
      <c r="Q15" s="1417"/>
      <c r="R15" s="1417"/>
      <c r="S15" s="1417"/>
      <c r="T15" s="1417"/>
      <c r="U15" s="1417"/>
      <c r="V15" s="1417"/>
      <c r="W15" s="1417"/>
      <c r="X15" s="1456"/>
      <c r="Y15" s="1417"/>
      <c r="Z15" s="1417"/>
    </row>
    <row r="16" spans="1:28" s="1120" customFormat="1" ht="121.5" customHeight="1">
      <c r="A16" s="1432"/>
      <c r="B16" s="1432"/>
      <c r="C16" s="1433"/>
      <c r="D16" s="1432"/>
      <c r="E16" s="1236" t="s">
        <v>72</v>
      </c>
      <c r="F16" s="1233" t="s">
        <v>25</v>
      </c>
      <c r="G16" s="1233" t="s">
        <v>363</v>
      </c>
      <c r="H16" s="1233" t="s">
        <v>411</v>
      </c>
      <c r="I16" s="1237" t="s">
        <v>420</v>
      </c>
      <c r="J16" s="1238" t="s">
        <v>412</v>
      </c>
      <c r="K16" s="1234" t="s">
        <v>26</v>
      </c>
      <c r="L16" s="1234" t="s">
        <v>27</v>
      </c>
      <c r="M16" s="1239" t="s">
        <v>442</v>
      </c>
      <c r="N16" s="1240" t="s">
        <v>470</v>
      </c>
      <c r="O16" s="1240" t="s">
        <v>471</v>
      </c>
      <c r="P16" s="1240" t="s">
        <v>472</v>
      </c>
      <c r="Q16" s="1240" t="s">
        <v>473</v>
      </c>
      <c r="R16" s="1240" t="s">
        <v>474</v>
      </c>
      <c r="S16" s="1240" t="s">
        <v>546</v>
      </c>
      <c r="T16" s="1241" t="s">
        <v>517</v>
      </c>
      <c r="U16" s="1241" t="s">
        <v>539</v>
      </c>
      <c r="V16" s="1241" t="s">
        <v>517</v>
      </c>
      <c r="W16" s="1234" t="s">
        <v>18</v>
      </c>
      <c r="X16" s="1457"/>
      <c r="Y16" s="1417"/>
      <c r="Z16" s="1417"/>
    </row>
    <row r="17" spans="1:27" s="1116" customFormat="1" ht="42.75" customHeight="1">
      <c r="A17" s="1242">
        <v>1</v>
      </c>
      <c r="B17" s="1262" t="str">
        <f>'Chấm công KT'!C95</f>
        <v>04072</v>
      </c>
      <c r="C17" s="1262" t="str">
        <f>TONGHOPCONGDOI!C96</f>
        <v xml:space="preserve">T. Lun </v>
      </c>
      <c r="D17" s="1262"/>
      <c r="E17" s="1263"/>
      <c r="F17" s="1262">
        <f>E17*25000</f>
        <v>0</v>
      </c>
      <c r="G17" s="1262">
        <f>VLOOKUP(C17,TONGHOPCONGDOI!C96:AD159,16,0)</f>
        <v>2601</v>
      </c>
      <c r="H17" s="1262">
        <f>VLOOKUP(C17,TONGHOPCONGDOI!C96:AD159,17,0)</f>
        <v>0</v>
      </c>
      <c r="I17" s="1262"/>
      <c r="J17" s="1264">
        <f>$AB$11/$AB$10*G17+H17*$AB$12+I17*$AB$13</f>
        <v>1201.0293727757896</v>
      </c>
      <c r="K17" s="1242" t="str">
        <f>VLOOKUP(C17,'BTH mủ tạp'!D99:AN160,37,0)</f>
        <v>A</v>
      </c>
      <c r="L17" s="1246">
        <f>ROUND((IF(K17="A",(G17*$Z$13*6.1),IF(K17="B",(G17*$Z$13*5.8),IF(K17="C",(G17*$Z$13*5.5),IF(K17="C.",(G17*$Z$13*5.5),IF(K17="D",(G17*$Z$13*5.2),0)))))*$E$13+(H17*$AB$12*$E$13*6.1)+I17*$E$13*$AB$13*6.1),0)</f>
        <v>4900109</v>
      </c>
      <c r="M17" s="1262">
        <f>VLOOKUP(C17,TONGHOPCONGDOI!$C$96:$AD$159,20,0)</f>
        <v>24</v>
      </c>
      <c r="N17" s="1262">
        <f>VLOOKUP(C17,TONGHOPCONGDOI!$C$96:$AD$159,21,0)</f>
        <v>5</v>
      </c>
      <c r="O17" s="1262">
        <f>VLOOKUP(C17,TONGHOPCONGDOI!$C$96:$AD$159,22,0)</f>
        <v>0</v>
      </c>
      <c r="P17" s="1262">
        <f>VLOOKUP(C17,TONGHOPCONGDOI!$C$96:$AD$159,23,0)</f>
        <v>0</v>
      </c>
      <c r="Q17" s="1262">
        <f>VLOOKUP(C17,TONGHOPCONGDOI!$C$96:$AD$159,24,0)</f>
        <v>0</v>
      </c>
      <c r="R17" s="1262">
        <f>VLOOKUP(C17,TONGHOPCONGDOI!$C$96:$AD$159,25,0)</f>
        <v>0</v>
      </c>
      <c r="S17" s="1262"/>
      <c r="T17" s="1244"/>
      <c r="U17" s="1244"/>
      <c r="V17" s="1244"/>
      <c r="W17" s="1247">
        <f>ROUND(((M17*46.1)+(N17*76.9)+(O17*92.2)+(P17*153.8)+(Q17*92.2)+(R17*153.8))*$E$13+(S17*25000)+(T17*10000)+(U17*30000),0)</f>
        <v>997174</v>
      </c>
      <c r="X17" s="1262">
        <f t="shared" ref="X17:X48" si="0">F17+L17+W17</f>
        <v>5897283</v>
      </c>
      <c r="Y17" s="1262"/>
      <c r="Z17" s="1262">
        <f>VLOOKUP(C17,'CNKT '!$D$114:$AA$177,24,0)</f>
        <v>5897283</v>
      </c>
      <c r="AA17" s="1116">
        <f>X17-Z17</f>
        <v>0</v>
      </c>
    </row>
    <row r="18" spans="1:27" s="1116" customFormat="1" ht="42.75" customHeight="1">
      <c r="A18" s="1242">
        <v>2</v>
      </c>
      <c r="B18" s="1262" t="str">
        <f>'Chấm công KT'!C96</f>
        <v>03466</v>
      </c>
      <c r="C18" s="1262" t="str">
        <f>TONGHOPCONGDOI!C97</f>
        <v>N. Keo</v>
      </c>
      <c r="D18" s="1262"/>
      <c r="E18" s="1263"/>
      <c r="F18" s="1262">
        <f t="shared" ref="F18:F80" si="1">E18*25000</f>
        <v>0</v>
      </c>
      <c r="G18" s="1262">
        <f>VLOOKUP(C18,TONGHOPCONGDOI!C97:AD160,16,0)</f>
        <v>2863</v>
      </c>
      <c r="H18" s="1262">
        <f>VLOOKUP(C18,TONGHOPCONGDOI!C97:AD160,17,0)</f>
        <v>0</v>
      </c>
      <c r="I18" s="1262"/>
      <c r="J18" s="1264">
        <f t="shared" ref="J18:J48" si="2">$AB$11/$AB$10*G18+H18*$AB$12+I18*$AB$13</f>
        <v>1322.0096479265997</v>
      </c>
      <c r="K18" s="1242" t="str">
        <f>VLOOKUP(C18,'BTH mủ tạp'!D100:AN161,37,0)</f>
        <v>B</v>
      </c>
      <c r="L18" s="1246">
        <f t="shared" ref="L18:L78" si="3">ROUND((IF(K18="A",(G18*$Z$13*6.1),IF(K18="B",(G18*$Z$13*5.8),IF(K18="C",(G18*$Z$13*5.5),IF(K18="C.",(G18*$Z$13*5.5),IF(K18="D",(G18*$Z$13*5.2),0)))))*$E$13+(H18*$AB$12*$E$13*6.1)+I18*$E$13*$AB$13*6.1),0)</f>
        <v>5128435</v>
      </c>
      <c r="M18" s="1262">
        <f>VLOOKUP(C18,TONGHOPCONGDOI!$C$96:$AD$159,20,0)</f>
        <v>23</v>
      </c>
      <c r="N18" s="1262">
        <f>VLOOKUP(C18,TONGHOPCONGDOI!$C$96:$AD$159,21,0)</f>
        <v>5</v>
      </c>
      <c r="O18" s="1262">
        <f>VLOOKUP(C18,TONGHOPCONGDOI!$C$96:$AD$159,22,0)</f>
        <v>0</v>
      </c>
      <c r="P18" s="1262">
        <f>VLOOKUP(C18,TONGHOPCONGDOI!$C$96:$AD$159,23,0)</f>
        <v>0</v>
      </c>
      <c r="Q18" s="1262">
        <f>VLOOKUP(C18,TONGHOPCONGDOI!$C$96:$AD$159,24,0)</f>
        <v>0</v>
      </c>
      <c r="R18" s="1262">
        <f>VLOOKUP(C18,TONGHOPCONGDOI!$C$96:$AD$159,25,0)</f>
        <v>0</v>
      </c>
      <c r="S18" s="1262"/>
      <c r="T18" s="1244"/>
      <c r="U18" s="1244"/>
      <c r="V18" s="1244"/>
      <c r="W18" s="1247">
        <f>ROUND(((M18*46.1)+(N18*76.9)+(O18*92.2)+(P18*153.8)+(Q18*92.2)+(R18*153.8))*$E$13+(S18*25000)+(T18*10000)+(U18*30000),0)</f>
        <v>966340</v>
      </c>
      <c r="X18" s="1262">
        <f t="shared" si="0"/>
        <v>6094775</v>
      </c>
      <c r="Y18" s="1262"/>
      <c r="Z18" s="1262">
        <f>VLOOKUP(C18,'CNKT '!$D$114:$AA$177,24,0)</f>
        <v>6094775</v>
      </c>
      <c r="AA18" s="1116">
        <f t="shared" ref="AA18:AA82" si="4">X18-Z18</f>
        <v>0</v>
      </c>
    </row>
    <row r="19" spans="1:27" s="1116" customFormat="1" ht="42.75" customHeight="1">
      <c r="A19" s="1242">
        <v>3</v>
      </c>
      <c r="B19" s="1262" t="str">
        <f>'Chấm công KT'!C97</f>
        <v>03590</v>
      </c>
      <c r="C19" s="1262" t="str">
        <f>TONGHOPCONGDOI!C98</f>
        <v>T .Nhum</v>
      </c>
      <c r="D19" s="1262"/>
      <c r="E19" s="1263"/>
      <c r="F19" s="1262">
        <f t="shared" si="1"/>
        <v>0</v>
      </c>
      <c r="G19" s="1262">
        <f>VLOOKUP(C19,TONGHOPCONGDOI!C98:AD160,16,0)</f>
        <v>2547</v>
      </c>
      <c r="H19" s="1262">
        <f>VLOOKUP(C19,TONGHOPCONGDOI!C98:AD160,17,0)</f>
        <v>0</v>
      </c>
      <c r="I19" s="1262"/>
      <c r="J19" s="1264">
        <f t="shared" si="2"/>
        <v>1176.0945069050119</v>
      </c>
      <c r="K19" s="1242" t="str">
        <f>VLOOKUP(C19,'BTH mủ tạp'!D101:AN162,37,0)</f>
        <v>A</v>
      </c>
      <c r="L19" s="1246">
        <f t="shared" si="3"/>
        <v>4798376</v>
      </c>
      <c r="M19" s="1262">
        <f>VLOOKUP(C19,TONGHOPCONGDOI!$C$96:$AD$159,20,0)</f>
        <v>24</v>
      </c>
      <c r="N19" s="1262">
        <f>VLOOKUP(C19,TONGHOPCONGDOI!$C$96:$AD$159,21,0)</f>
        <v>5</v>
      </c>
      <c r="O19" s="1262">
        <f>VLOOKUP(C19,TONGHOPCONGDOI!$C$96:$AD$159,22,0)</f>
        <v>0</v>
      </c>
      <c r="P19" s="1262">
        <f>VLOOKUP(C19,TONGHOPCONGDOI!$C$96:$AD$159,23,0)</f>
        <v>0</v>
      </c>
      <c r="Q19" s="1262">
        <f>VLOOKUP(C19,TONGHOPCONGDOI!$C$96:$AD$159,24,0)</f>
        <v>0</v>
      </c>
      <c r="R19" s="1262">
        <f>VLOOKUP(C19,TONGHOPCONGDOI!$C$96:$AD$159,25,0)</f>
        <v>0</v>
      </c>
      <c r="S19" s="1262"/>
      <c r="T19" s="1244"/>
      <c r="U19" s="1244"/>
      <c r="V19" s="1244"/>
      <c r="W19" s="1247">
        <f t="shared" ref="W19:W79" si="5">ROUND(((M19*46.1)+(N19*76.9)+(O19*92.2)+(P19*153.8)+(Q19*92.2)+(R19*153.8))*$E$13+(S19*25000)+(T19*10000)+(U19*30000),0)</f>
        <v>997174</v>
      </c>
      <c r="X19" s="1262">
        <f t="shared" si="0"/>
        <v>5795550</v>
      </c>
      <c r="Y19" s="1262"/>
      <c r="Z19" s="1262">
        <f>VLOOKUP(C19,'CNKT '!$D$114:$AA$177,24,0)</f>
        <v>5795550</v>
      </c>
      <c r="AA19" s="1116">
        <f t="shared" si="4"/>
        <v>0</v>
      </c>
    </row>
    <row r="20" spans="1:27" s="1116" customFormat="1" ht="42.75" customHeight="1">
      <c r="A20" s="1242">
        <v>4</v>
      </c>
      <c r="B20" s="1262" t="str">
        <f>'Chấm công KT'!C98</f>
        <v>03591</v>
      </c>
      <c r="C20" s="1262" t="str">
        <f>TONGHOPCONGDOI!C99</f>
        <v>N.Vông Ma Ni</v>
      </c>
      <c r="D20" s="1262"/>
      <c r="E20" s="1263"/>
      <c r="F20" s="1262">
        <f t="shared" si="1"/>
        <v>0</v>
      </c>
      <c r="G20" s="1262">
        <f>VLOOKUP(C20,TONGHOPCONGDOI!C99:AD160,16,0)</f>
        <v>2898</v>
      </c>
      <c r="H20" s="1262">
        <f>VLOOKUP(C20,TONGHOPCONGDOI!C99:AD160,17,0)</f>
        <v>0</v>
      </c>
      <c r="I20" s="1262"/>
      <c r="J20" s="1264">
        <f t="shared" si="2"/>
        <v>1338.1711350650667</v>
      </c>
      <c r="K20" s="1242" t="str">
        <f>VLOOKUP(C20,'BTH mủ tạp'!D102:AN163,37,0)</f>
        <v>A</v>
      </c>
      <c r="L20" s="1246">
        <f t="shared" si="3"/>
        <v>5459637</v>
      </c>
      <c r="M20" s="1262">
        <f>VLOOKUP(C20,TONGHOPCONGDOI!$C$96:$AD$159,20,0)</f>
        <v>24</v>
      </c>
      <c r="N20" s="1262">
        <f>VLOOKUP(C20,TONGHOPCONGDOI!$C$96:$AD$159,21,0)</f>
        <v>5</v>
      </c>
      <c r="O20" s="1262">
        <f>VLOOKUP(C20,TONGHOPCONGDOI!$C$96:$AD$159,22,0)</f>
        <v>0</v>
      </c>
      <c r="P20" s="1262">
        <f>VLOOKUP(C20,TONGHOPCONGDOI!$C$96:$AD$159,23,0)</f>
        <v>0</v>
      </c>
      <c r="Q20" s="1262">
        <f>VLOOKUP(C20,TONGHOPCONGDOI!$C$96:$AD$159,24,0)</f>
        <v>0</v>
      </c>
      <c r="R20" s="1262">
        <f>VLOOKUP(C20,TONGHOPCONGDOI!$C$96:$AD$159,25,0)</f>
        <v>0</v>
      </c>
      <c r="S20" s="1262"/>
      <c r="T20" s="1244"/>
      <c r="U20" s="1244"/>
      <c r="V20" s="1244"/>
      <c r="W20" s="1247">
        <f t="shared" si="5"/>
        <v>997174</v>
      </c>
      <c r="X20" s="1262">
        <f t="shared" si="0"/>
        <v>6456811</v>
      </c>
      <c r="Y20" s="1262"/>
      <c r="Z20" s="1262">
        <f>VLOOKUP(C20,'CNKT '!$D$114:$AA$177,24,0)</f>
        <v>6456811</v>
      </c>
      <c r="AA20" s="1116">
        <f t="shared" si="4"/>
        <v>0</v>
      </c>
    </row>
    <row r="21" spans="1:27" s="1116" customFormat="1" ht="42.75" customHeight="1">
      <c r="A21" s="1242">
        <v>5</v>
      </c>
      <c r="B21" s="1262" t="str">
        <f>'Chấm công KT'!C99</f>
        <v>03592</v>
      </c>
      <c r="C21" s="1262" t="str">
        <f>TONGHOPCONGDOI!C100</f>
        <v>Đao Hương</v>
      </c>
      <c r="D21" s="1262"/>
      <c r="E21" s="1263"/>
      <c r="F21" s="1262">
        <f t="shared" si="1"/>
        <v>0</v>
      </c>
      <c r="G21" s="1262">
        <f>VLOOKUP(C21,TONGHOPCONGDOI!C100:AD160,16,0)</f>
        <v>3014</v>
      </c>
      <c r="H21" s="1262">
        <f>VLOOKUP(C21,TONGHOPCONGDOI!C100:AD160,17,0)</f>
        <v>0</v>
      </c>
      <c r="I21" s="1262"/>
      <c r="J21" s="1264">
        <f t="shared" si="2"/>
        <v>1391.7349210097002</v>
      </c>
      <c r="K21" s="1242" t="str">
        <f>VLOOKUP(C21,'BTH mủ tạp'!D103:AN164,37,0)</f>
        <v>A</v>
      </c>
      <c r="L21" s="1246">
        <f t="shared" si="3"/>
        <v>5678173</v>
      </c>
      <c r="M21" s="1262">
        <f>VLOOKUP(C21,TONGHOPCONGDOI!$C$96:$AD$159,20,0)</f>
        <v>24</v>
      </c>
      <c r="N21" s="1262">
        <f>VLOOKUP(C21,TONGHOPCONGDOI!$C$96:$AD$159,21,0)</f>
        <v>5</v>
      </c>
      <c r="O21" s="1262">
        <f>VLOOKUP(C21,TONGHOPCONGDOI!$C$96:$AD$159,22,0)</f>
        <v>0</v>
      </c>
      <c r="P21" s="1262">
        <f>VLOOKUP(C21,TONGHOPCONGDOI!$C$96:$AD$159,23,0)</f>
        <v>0</v>
      </c>
      <c r="Q21" s="1262">
        <f>VLOOKUP(C21,TONGHOPCONGDOI!$C$96:$AD$159,24,0)</f>
        <v>0</v>
      </c>
      <c r="R21" s="1262">
        <f>VLOOKUP(C21,TONGHOPCONGDOI!$C$96:$AD$159,25,0)</f>
        <v>0</v>
      </c>
      <c r="S21" s="1262"/>
      <c r="T21" s="1244"/>
      <c r="U21" s="1244"/>
      <c r="V21" s="1244"/>
      <c r="W21" s="1247">
        <f t="shared" si="5"/>
        <v>997174</v>
      </c>
      <c r="X21" s="1262">
        <f t="shared" si="0"/>
        <v>6675347</v>
      </c>
      <c r="Y21" s="1262"/>
      <c r="Z21" s="1262">
        <f>VLOOKUP(C21,'CNKT '!$D$114:$AA$177,24,0)</f>
        <v>6675347</v>
      </c>
      <c r="AA21" s="1116">
        <f t="shared" si="4"/>
        <v>0</v>
      </c>
    </row>
    <row r="22" spans="1:27" s="1116" customFormat="1" ht="42.75" customHeight="1">
      <c r="A22" s="1242">
        <v>6</v>
      </c>
      <c r="B22" s="1262" t="str">
        <f>'Chấm công KT'!C100</f>
        <v>03593</v>
      </c>
      <c r="C22" s="1262" t="str">
        <f>TONGHOPCONGDOI!C101</f>
        <v>T. Xi Nun</v>
      </c>
      <c r="D22" s="1262"/>
      <c r="E22" s="1263"/>
      <c r="F22" s="1262">
        <f t="shared" si="1"/>
        <v>0</v>
      </c>
      <c r="G22" s="1262">
        <f>VLOOKUP(C22,TONGHOPCONGDOI!C101:AD160,16,0)</f>
        <v>2283</v>
      </c>
      <c r="H22" s="1262">
        <f>VLOOKUP(C22,TONGHOPCONGDOI!C101:AD160,17,0)</f>
        <v>0</v>
      </c>
      <c r="I22" s="1262"/>
      <c r="J22" s="1264">
        <f t="shared" si="2"/>
        <v>1054.1907182034324</v>
      </c>
      <c r="K22" s="1242" t="str">
        <f>VLOOKUP(C22,'BTH mủ tạp'!D104:AN165,37,0)</f>
        <v>B</v>
      </c>
      <c r="L22" s="1246">
        <f t="shared" si="3"/>
        <v>4089493</v>
      </c>
      <c r="M22" s="1262">
        <f>VLOOKUP(C22,TONGHOPCONGDOI!$C$96:$AD$159,20,0)</f>
        <v>17</v>
      </c>
      <c r="N22" s="1262">
        <f>VLOOKUP(C22,TONGHOPCONGDOI!$C$96:$AD$159,21,0)</f>
        <v>2</v>
      </c>
      <c r="O22" s="1262">
        <f>VLOOKUP(C22,TONGHOPCONGDOI!$C$96:$AD$159,22,0)</f>
        <v>0</v>
      </c>
      <c r="P22" s="1262">
        <f>VLOOKUP(C22,TONGHOPCONGDOI!$C$96:$AD$159,23,0)</f>
        <v>0</v>
      </c>
      <c r="Q22" s="1262">
        <f>VLOOKUP(C22,TONGHOPCONGDOI!$C$96:$AD$159,24,0)</f>
        <v>0</v>
      </c>
      <c r="R22" s="1262">
        <f>VLOOKUP(C22,TONGHOPCONGDOI!$C$96:$AD$159,25,0)</f>
        <v>0</v>
      </c>
      <c r="S22" s="1262"/>
      <c r="T22" s="1244"/>
      <c r="U22" s="1244"/>
      <c r="V22" s="1244"/>
      <c r="W22" s="1247">
        <f t="shared" si="5"/>
        <v>627038</v>
      </c>
      <c r="X22" s="1262">
        <f t="shared" si="0"/>
        <v>4716531</v>
      </c>
      <c r="Y22" s="1262"/>
      <c r="Z22" s="1262">
        <f>VLOOKUP(C22,'CNKT '!$D$114:$AA$177,24,0)</f>
        <v>4716531</v>
      </c>
      <c r="AA22" s="1116">
        <f t="shared" si="4"/>
        <v>0</v>
      </c>
    </row>
    <row r="23" spans="1:27" s="1116" customFormat="1" ht="42.75" customHeight="1">
      <c r="A23" s="1242">
        <v>7</v>
      </c>
      <c r="B23" s="1262" t="str">
        <f>'Chấm công KT'!C101</f>
        <v>03594</v>
      </c>
      <c r="C23" s="1262" t="str">
        <f>TONGHOPCONGDOI!C102</f>
        <v>T. Bun Hinh</v>
      </c>
      <c r="D23" s="1262"/>
      <c r="E23" s="1263"/>
      <c r="F23" s="1262">
        <f t="shared" si="1"/>
        <v>0</v>
      </c>
      <c r="G23" s="1262">
        <f>VLOOKUP(C23,TONGHOPCONGDOI!C102:AD160,16,0)</f>
        <v>2345</v>
      </c>
      <c r="H23" s="1262">
        <f>VLOOKUP(C23,TONGHOPCONGDOI!C102:AD160,17,0)</f>
        <v>0</v>
      </c>
      <c r="I23" s="1262"/>
      <c r="J23" s="1264">
        <f t="shared" si="2"/>
        <v>1082.8196382772883</v>
      </c>
      <c r="K23" s="1242" t="str">
        <f>VLOOKUP(C23,'BTH mủ tạp'!D105:AN166,37,0)</f>
        <v>A</v>
      </c>
      <c r="L23" s="1246">
        <f t="shared" si="3"/>
        <v>4417822</v>
      </c>
      <c r="M23" s="1262">
        <f>VLOOKUP(C23,TONGHOPCONGDOI!$C$96:$AD$159,20,0)</f>
        <v>25</v>
      </c>
      <c r="N23" s="1262">
        <f>VLOOKUP(C23,TONGHOPCONGDOI!$C$96:$AD$159,21,0)</f>
        <v>5</v>
      </c>
      <c r="O23" s="1262">
        <f>VLOOKUP(C23,TONGHOPCONGDOI!$C$96:$AD$159,22,0)</f>
        <v>0</v>
      </c>
      <c r="P23" s="1262">
        <f>VLOOKUP(C23,TONGHOPCONGDOI!$C$96:$AD$159,23,0)</f>
        <v>0</v>
      </c>
      <c r="Q23" s="1262">
        <f>VLOOKUP(C23,TONGHOPCONGDOI!$C$96:$AD$159,24,0)</f>
        <v>0</v>
      </c>
      <c r="R23" s="1262">
        <f>VLOOKUP(C23,TONGHOPCONGDOI!$C$96:$AD$159,25,0)</f>
        <v>0</v>
      </c>
      <c r="S23" s="1262"/>
      <c r="T23" s="1244"/>
      <c r="U23" s="1244"/>
      <c r="V23" s="1244"/>
      <c r="W23" s="1247">
        <f t="shared" si="5"/>
        <v>1028007</v>
      </c>
      <c r="X23" s="1262">
        <f t="shared" si="0"/>
        <v>5445829</v>
      </c>
      <c r="Y23" s="1262"/>
      <c r="Z23" s="1262">
        <f>VLOOKUP(C23,'CNKT '!$D$114:$AA$177,24,0)</f>
        <v>5445829</v>
      </c>
      <c r="AA23" s="1116">
        <f t="shared" si="4"/>
        <v>0</v>
      </c>
    </row>
    <row r="24" spans="1:27" s="1116" customFormat="1" ht="42.75" customHeight="1">
      <c r="A24" s="1242">
        <v>8</v>
      </c>
      <c r="B24" s="1262" t="str">
        <f>'Chấm công KT'!C102</f>
        <v>04073</v>
      </c>
      <c r="C24" s="1262" t="str">
        <f>TONGHOPCONGDOI!C103</f>
        <v>T. Miềng</v>
      </c>
      <c r="D24" s="1262"/>
      <c r="E24" s="1263"/>
      <c r="F24" s="1262">
        <f t="shared" si="1"/>
        <v>0</v>
      </c>
      <c r="G24" s="1262">
        <f>VLOOKUP(C24,TONGHOPCONGDOI!C103:AD160,16,0)</f>
        <v>2244</v>
      </c>
      <c r="H24" s="1262">
        <f>VLOOKUP(C24,TONGHOPCONGDOI!C103:AD160,17,0)</f>
        <v>0</v>
      </c>
      <c r="I24" s="1262"/>
      <c r="J24" s="1264">
        <f t="shared" si="2"/>
        <v>1036.1822039634264</v>
      </c>
      <c r="K24" s="1242" t="str">
        <f>VLOOKUP(C24,'BTH mủ tạp'!D106:AN167,37,0)</f>
        <v>B</v>
      </c>
      <c r="L24" s="1246">
        <f t="shared" si="3"/>
        <v>4019633</v>
      </c>
      <c r="M24" s="1262">
        <f>VLOOKUP(C24,TONGHOPCONGDOI!$C$96:$AD$159,20,0)</f>
        <v>20</v>
      </c>
      <c r="N24" s="1262">
        <f>VLOOKUP(C24,TONGHOPCONGDOI!$C$96:$AD$159,21,0)</f>
        <v>4</v>
      </c>
      <c r="O24" s="1262">
        <f>VLOOKUP(C24,TONGHOPCONGDOI!$C$96:$AD$159,22,0)</f>
        <v>0</v>
      </c>
      <c r="P24" s="1262">
        <f>VLOOKUP(C24,TONGHOPCONGDOI!$C$96:$AD$159,23,0)</f>
        <v>0</v>
      </c>
      <c r="Q24" s="1262">
        <f>VLOOKUP(C24,TONGHOPCONGDOI!$C$96:$AD$159,24,0)</f>
        <v>0</v>
      </c>
      <c r="R24" s="1262">
        <f>VLOOKUP(C24,TONGHOPCONGDOI!$C$96:$AD$159,25,0)</f>
        <v>0</v>
      </c>
      <c r="S24" s="1262"/>
      <c r="T24" s="1244"/>
      <c r="U24" s="1244"/>
      <c r="V24" s="1244"/>
      <c r="W24" s="1247">
        <f t="shared" si="5"/>
        <v>822406</v>
      </c>
      <c r="X24" s="1262">
        <f t="shared" si="0"/>
        <v>4842039</v>
      </c>
      <c r="Y24" s="1262"/>
      <c r="Z24" s="1262">
        <f>VLOOKUP(C24,'CNKT '!$D$114:$AA$177,24,0)</f>
        <v>4842039</v>
      </c>
      <c r="AA24" s="1116">
        <f t="shared" si="4"/>
        <v>0</v>
      </c>
    </row>
    <row r="25" spans="1:27" s="1116" customFormat="1" ht="42.75" customHeight="1">
      <c r="A25" s="1242">
        <v>9</v>
      </c>
      <c r="B25" s="1262" t="str">
        <f>'Chấm công KT'!C103</f>
        <v>03596</v>
      </c>
      <c r="C25" s="1262" t="str">
        <f>TONGHOPCONGDOI!C104</f>
        <v>N. Xúc</v>
      </c>
      <c r="D25" s="1262"/>
      <c r="E25" s="1263"/>
      <c r="F25" s="1262">
        <f t="shared" si="1"/>
        <v>0</v>
      </c>
      <c r="G25" s="1262">
        <f>VLOOKUP(C25,TONGHOPCONGDOI!C104:AD160,16,0)</f>
        <v>3083</v>
      </c>
      <c r="H25" s="1262">
        <f>VLOOKUP(C25,TONGHOPCONGDOI!C104:AD160,17,0)</f>
        <v>0</v>
      </c>
      <c r="I25" s="1262"/>
      <c r="J25" s="1264">
        <f t="shared" si="2"/>
        <v>1423.5961385112494</v>
      </c>
      <c r="K25" s="1242" t="str">
        <f>VLOOKUP(C25,'BTH mủ tạp'!D107:AN168,37,0)</f>
        <v>B</v>
      </c>
      <c r="L25" s="1246">
        <f t="shared" si="3"/>
        <v>5522517</v>
      </c>
      <c r="M25" s="1262">
        <f>VLOOKUP(C25,TONGHOPCONGDOI!$C$96:$AD$159,20,0)</f>
        <v>23</v>
      </c>
      <c r="N25" s="1262">
        <f>VLOOKUP(C25,TONGHOPCONGDOI!$C$96:$AD$159,21,0)</f>
        <v>5</v>
      </c>
      <c r="O25" s="1262">
        <f>VLOOKUP(C25,TONGHOPCONGDOI!$C$96:$AD$159,22,0)</f>
        <v>0</v>
      </c>
      <c r="P25" s="1262">
        <f>VLOOKUP(C25,TONGHOPCONGDOI!$C$96:$AD$159,23,0)</f>
        <v>0</v>
      </c>
      <c r="Q25" s="1262">
        <f>VLOOKUP(C25,TONGHOPCONGDOI!$C$96:$AD$159,24,0)</f>
        <v>0</v>
      </c>
      <c r="R25" s="1262">
        <f>VLOOKUP(C25,TONGHOPCONGDOI!$C$96:$AD$159,25,0)</f>
        <v>0</v>
      </c>
      <c r="S25" s="1262"/>
      <c r="T25" s="1244"/>
      <c r="U25" s="1244"/>
      <c r="V25" s="1244"/>
      <c r="W25" s="1247">
        <f t="shared" si="5"/>
        <v>966340</v>
      </c>
      <c r="X25" s="1262">
        <f t="shared" si="0"/>
        <v>6488857</v>
      </c>
      <c r="Y25" s="1262"/>
      <c r="Z25" s="1262">
        <f>VLOOKUP(C25,'CNKT '!$D$114:$AA$177,24,0)</f>
        <v>6488857</v>
      </c>
      <c r="AA25" s="1116">
        <f t="shared" si="4"/>
        <v>0</v>
      </c>
    </row>
    <row r="26" spans="1:27" s="1116" customFormat="1" ht="42.75" customHeight="1">
      <c r="A26" s="1242">
        <v>10</v>
      </c>
      <c r="B26" s="1262" t="str">
        <f>'Chấm công KT'!C104</f>
        <v>03597</v>
      </c>
      <c r="C26" s="1262" t="str">
        <f>TONGHOPCONGDOI!C105</f>
        <v>N. Lẹ</v>
      </c>
      <c r="D26" s="1262"/>
      <c r="E26" s="1263"/>
      <c r="F26" s="1262">
        <f t="shared" si="1"/>
        <v>0</v>
      </c>
      <c r="G26" s="1262">
        <f>VLOOKUP(C26,TONGHOPCONGDOI!C105:AD160,16,0)</f>
        <v>2533</v>
      </c>
      <c r="H26" s="1262">
        <f>VLOOKUP(C26,TONGHOPCONGDOI!C105:AD160,17,0)</f>
        <v>0</v>
      </c>
      <c r="I26" s="1262"/>
      <c r="J26" s="1264">
        <f t="shared" si="2"/>
        <v>1169.6299120496253</v>
      </c>
      <c r="K26" s="1242" t="str">
        <f>VLOOKUP(C26,'BTH mủ tạp'!D108:AN169,37,0)</f>
        <v>A</v>
      </c>
      <c r="L26" s="1246">
        <f t="shared" si="3"/>
        <v>4772001</v>
      </c>
      <c r="M26" s="1262">
        <f>VLOOKUP(C26,TONGHOPCONGDOI!$C$96:$AD$159,20,0)</f>
        <v>24</v>
      </c>
      <c r="N26" s="1262">
        <f>VLOOKUP(C26,TONGHOPCONGDOI!$C$96:$AD$159,21,0)</f>
        <v>5</v>
      </c>
      <c r="O26" s="1262">
        <f>VLOOKUP(C26,TONGHOPCONGDOI!$C$96:$AD$159,22,0)</f>
        <v>0</v>
      </c>
      <c r="P26" s="1262">
        <f>VLOOKUP(C26,TONGHOPCONGDOI!$C$96:$AD$159,23,0)</f>
        <v>0</v>
      </c>
      <c r="Q26" s="1262">
        <f>VLOOKUP(C26,TONGHOPCONGDOI!$C$96:$AD$159,24,0)</f>
        <v>0</v>
      </c>
      <c r="R26" s="1262">
        <f>VLOOKUP(C26,TONGHOPCONGDOI!$C$96:$AD$159,25,0)</f>
        <v>0</v>
      </c>
      <c r="S26" s="1262"/>
      <c r="T26" s="1244"/>
      <c r="U26" s="1244"/>
      <c r="V26" s="1244"/>
      <c r="W26" s="1247">
        <f t="shared" si="5"/>
        <v>997174</v>
      </c>
      <c r="X26" s="1262">
        <f t="shared" si="0"/>
        <v>5769175</v>
      </c>
      <c r="Y26" s="1262"/>
      <c r="Z26" s="1262">
        <f>VLOOKUP(C26,'CNKT '!$D$114:$AA$177,24,0)</f>
        <v>5769175</v>
      </c>
      <c r="AA26" s="1116">
        <f t="shared" si="4"/>
        <v>0</v>
      </c>
    </row>
    <row r="27" spans="1:27" s="1116" customFormat="1" ht="42.75" customHeight="1">
      <c r="A27" s="1242">
        <v>11</v>
      </c>
      <c r="B27" s="1262" t="str">
        <f>'Chấm công KT'!C105</f>
        <v>03598</v>
      </c>
      <c r="C27" s="1262" t="str">
        <f>TONGHOPCONGDOI!C106</f>
        <v>N . Thích</v>
      </c>
      <c r="D27" s="1262"/>
      <c r="E27" s="1263"/>
      <c r="F27" s="1262">
        <f t="shared" si="1"/>
        <v>0</v>
      </c>
      <c r="G27" s="1262">
        <f>VLOOKUP(C27,TONGHOPCONGDOI!C106:AD160,16,0)</f>
        <v>2834</v>
      </c>
      <c r="H27" s="1262">
        <f>VLOOKUP(C27,TONGHOPCONGDOI!C106:AD160,17,0)</f>
        <v>0</v>
      </c>
      <c r="I27" s="1262"/>
      <c r="J27" s="1264">
        <f t="shared" si="2"/>
        <v>1308.6187014404413</v>
      </c>
      <c r="K27" s="1242" t="str">
        <f>VLOOKUP(C27,'BTH mủ tạp'!D109:AN170,37,0)</f>
        <v>B</v>
      </c>
      <c r="L27" s="1246">
        <f t="shared" si="3"/>
        <v>5076488</v>
      </c>
      <c r="M27" s="1262">
        <f>VLOOKUP(C27,TONGHOPCONGDOI!$C$96:$AD$159,20,0)</f>
        <v>24</v>
      </c>
      <c r="N27" s="1262">
        <f>VLOOKUP(C27,TONGHOPCONGDOI!$C$96:$AD$159,21,0)</f>
        <v>5</v>
      </c>
      <c r="O27" s="1262">
        <f>VLOOKUP(C27,TONGHOPCONGDOI!$C$96:$AD$159,22,0)</f>
        <v>0</v>
      </c>
      <c r="P27" s="1262">
        <f>VLOOKUP(C27,TONGHOPCONGDOI!$C$96:$AD$159,23,0)</f>
        <v>0</v>
      </c>
      <c r="Q27" s="1262">
        <f>VLOOKUP(C27,TONGHOPCONGDOI!$C$96:$AD$159,24,0)</f>
        <v>0</v>
      </c>
      <c r="R27" s="1262">
        <f>VLOOKUP(C27,TONGHOPCONGDOI!$C$96:$AD$159,25,0)</f>
        <v>0</v>
      </c>
      <c r="S27" s="1262"/>
      <c r="T27" s="1244"/>
      <c r="U27" s="1244"/>
      <c r="V27" s="1244"/>
      <c r="W27" s="1247">
        <f t="shared" si="5"/>
        <v>997174</v>
      </c>
      <c r="X27" s="1262">
        <f t="shared" si="0"/>
        <v>6073662</v>
      </c>
      <c r="Y27" s="1262"/>
      <c r="Z27" s="1262">
        <f>VLOOKUP(C27,'CNKT '!$D$114:$AA$177,24,0)</f>
        <v>6073662</v>
      </c>
      <c r="AA27" s="1116">
        <f t="shared" si="4"/>
        <v>0</v>
      </c>
    </row>
    <row r="28" spans="1:27" s="1116" customFormat="1" ht="42.75" customHeight="1">
      <c r="A28" s="1242">
        <v>12</v>
      </c>
      <c r="B28" s="1262" t="str">
        <f>'Chấm công KT'!C106</f>
        <v>03599</v>
      </c>
      <c r="C28" s="1262" t="str">
        <f>TONGHOPCONGDOI!C107</f>
        <v>N. Cong Mi</v>
      </c>
      <c r="D28" s="1262"/>
      <c r="E28" s="1263"/>
      <c r="F28" s="1262">
        <f t="shared" si="1"/>
        <v>0</v>
      </c>
      <c r="G28" s="1262">
        <f>VLOOKUP(C28,TONGHOPCONGDOI!C107:AD160,16,0)</f>
        <v>2309</v>
      </c>
      <c r="H28" s="1262">
        <f>VLOOKUP(C28,TONGHOPCONGDOI!C107:AD160,17,0)</f>
        <v>0</v>
      </c>
      <c r="I28" s="1262"/>
      <c r="J28" s="1264">
        <f t="shared" si="2"/>
        <v>1066.1963943634364</v>
      </c>
      <c r="K28" s="1242" t="str">
        <f>VLOOKUP(C28,'BTH mủ tạp'!D110:AN171,37,0)</f>
        <v>A</v>
      </c>
      <c r="L28" s="1246">
        <f t="shared" si="3"/>
        <v>4350000</v>
      </c>
      <c r="M28" s="1262">
        <f>VLOOKUP(C28,TONGHOPCONGDOI!$C$96:$AD$159,20,0)</f>
        <v>24</v>
      </c>
      <c r="N28" s="1262">
        <f>VLOOKUP(C28,TONGHOPCONGDOI!$C$96:$AD$159,21,0)</f>
        <v>5</v>
      </c>
      <c r="O28" s="1262">
        <f>VLOOKUP(C28,TONGHOPCONGDOI!$C$96:$AD$159,22,0)</f>
        <v>0</v>
      </c>
      <c r="P28" s="1262">
        <f>VLOOKUP(C28,TONGHOPCONGDOI!$C$96:$AD$159,23,0)</f>
        <v>0</v>
      </c>
      <c r="Q28" s="1262">
        <f>VLOOKUP(C28,TONGHOPCONGDOI!$C$96:$AD$159,24,0)</f>
        <v>0</v>
      </c>
      <c r="R28" s="1262">
        <f>VLOOKUP(C28,TONGHOPCONGDOI!$C$96:$AD$159,25,0)</f>
        <v>0</v>
      </c>
      <c r="S28" s="1262"/>
      <c r="T28" s="1244"/>
      <c r="U28" s="1244"/>
      <c r="V28" s="1244"/>
      <c r="W28" s="1247">
        <f t="shared" si="5"/>
        <v>997174</v>
      </c>
      <c r="X28" s="1262">
        <f t="shared" si="0"/>
        <v>5347174</v>
      </c>
      <c r="Y28" s="1262"/>
      <c r="Z28" s="1262">
        <f>VLOOKUP(C28,'CNKT '!$D$114:$AA$177,24,0)</f>
        <v>5347174</v>
      </c>
      <c r="AA28" s="1116">
        <f t="shared" si="4"/>
        <v>0</v>
      </c>
    </row>
    <row r="29" spans="1:27" s="1116" customFormat="1" ht="42.75" customHeight="1">
      <c r="A29" s="1242">
        <v>13</v>
      </c>
      <c r="B29" s="1262" t="str">
        <f>'Chấm công KT'!C107</f>
        <v>04074</v>
      </c>
      <c r="C29" s="1262" t="str">
        <f>TONGHOPCONGDOI!C108</f>
        <v>T. Na</v>
      </c>
      <c r="D29" s="1262"/>
      <c r="E29" s="1263"/>
      <c r="F29" s="1262">
        <f t="shared" si="1"/>
        <v>0</v>
      </c>
      <c r="G29" s="1262">
        <f>VLOOKUP(C29,TONGHOPCONGDOI!C108:AD160,16,0)</f>
        <v>2090</v>
      </c>
      <c r="H29" s="1262">
        <f>VLOOKUP(C29,TONGHOPCONGDOI!C108:AD160,17,0)</f>
        <v>0</v>
      </c>
      <c r="I29" s="1262"/>
      <c r="J29" s="1264">
        <f t="shared" si="2"/>
        <v>965.07166055417167</v>
      </c>
      <c r="K29" s="1242" t="str">
        <f>VLOOKUP(C29,'BTH mủ tạp'!D111:AN172,37,0)</f>
        <v>B</v>
      </c>
      <c r="L29" s="1246">
        <f t="shared" si="3"/>
        <v>3743775</v>
      </c>
      <c r="M29" s="1262">
        <f>VLOOKUP(C29,TONGHOPCONGDOI!$C$96:$AD$159,20,0)</f>
        <v>21</v>
      </c>
      <c r="N29" s="1262">
        <f>VLOOKUP(C29,TONGHOPCONGDOI!$C$96:$AD$159,21,0)</f>
        <v>4</v>
      </c>
      <c r="O29" s="1262">
        <f>VLOOKUP(C29,TONGHOPCONGDOI!$C$96:$AD$159,22,0)</f>
        <v>0</v>
      </c>
      <c r="P29" s="1262">
        <f>VLOOKUP(C29,TONGHOPCONGDOI!$C$96:$AD$159,23,0)</f>
        <v>0</v>
      </c>
      <c r="Q29" s="1262">
        <f>VLOOKUP(C29,TONGHOPCONGDOI!$C$96:$AD$159,24,0)</f>
        <v>0</v>
      </c>
      <c r="R29" s="1262">
        <f>VLOOKUP(C29,TONGHOPCONGDOI!$C$96:$AD$159,25,0)</f>
        <v>0</v>
      </c>
      <c r="S29" s="1262"/>
      <c r="T29" s="1244"/>
      <c r="U29" s="1244"/>
      <c r="V29" s="1244"/>
      <c r="W29" s="1247">
        <f t="shared" si="5"/>
        <v>853239</v>
      </c>
      <c r="X29" s="1262">
        <f t="shared" si="0"/>
        <v>4597014</v>
      </c>
      <c r="Y29" s="1262"/>
      <c r="Z29" s="1262">
        <f>VLOOKUP(C29,'CNKT '!$D$114:$AA$177,24,0)</f>
        <v>4597014</v>
      </c>
      <c r="AA29" s="1116">
        <f t="shared" si="4"/>
        <v>0</v>
      </c>
    </row>
    <row r="30" spans="1:27" s="1116" customFormat="1" ht="42.75" customHeight="1">
      <c r="A30" s="1242">
        <v>14</v>
      </c>
      <c r="B30" s="1262" t="str">
        <f>'Chấm công KT'!C108</f>
        <v>03601</v>
      </c>
      <c r="C30" s="1262" t="str">
        <f>TONGHOPCONGDOI!C109</f>
        <v>T. Khăm Mặn</v>
      </c>
      <c r="D30" s="1262"/>
      <c r="E30" s="1263"/>
      <c r="F30" s="1262">
        <f t="shared" si="1"/>
        <v>0</v>
      </c>
      <c r="G30" s="1262">
        <f>VLOOKUP(C30,TONGHOPCONGDOI!C109:AD160,16,0)</f>
        <v>3739</v>
      </c>
      <c r="H30" s="1262">
        <f>VLOOKUP(C30,TONGHOPCONGDOI!C109:AD160,17,0)</f>
        <v>0</v>
      </c>
      <c r="I30" s="1262"/>
      <c r="J30" s="1264">
        <f t="shared" si="2"/>
        <v>1726.5085831636593</v>
      </c>
      <c r="K30" s="1242" t="str">
        <f>VLOOKUP(C30,'BTH mủ tạp'!D112:AN173,37,0)</f>
        <v>A</v>
      </c>
      <c r="L30" s="1246">
        <f t="shared" si="3"/>
        <v>7044024</v>
      </c>
      <c r="M30" s="1262">
        <f>VLOOKUP(C30,TONGHOPCONGDOI!$C$96:$AD$159,20,0)</f>
        <v>24</v>
      </c>
      <c r="N30" s="1262">
        <f>VLOOKUP(C30,TONGHOPCONGDOI!$C$96:$AD$159,21,0)</f>
        <v>5</v>
      </c>
      <c r="O30" s="1262">
        <f>VLOOKUP(C30,TONGHOPCONGDOI!$C$96:$AD$159,22,0)</f>
        <v>0</v>
      </c>
      <c r="P30" s="1262">
        <f>VLOOKUP(C30,TONGHOPCONGDOI!$C$96:$AD$159,23,0)</f>
        <v>0</v>
      </c>
      <c r="Q30" s="1262">
        <f>VLOOKUP(C30,TONGHOPCONGDOI!$C$96:$AD$159,24,0)</f>
        <v>0</v>
      </c>
      <c r="R30" s="1262">
        <f>VLOOKUP(C30,TONGHOPCONGDOI!$C$96:$AD$159,25,0)</f>
        <v>0</v>
      </c>
      <c r="S30" s="1262"/>
      <c r="T30" s="1244"/>
      <c r="U30" s="1244"/>
      <c r="V30" s="1244"/>
      <c r="W30" s="1247">
        <f t="shared" si="5"/>
        <v>997174</v>
      </c>
      <c r="X30" s="1262">
        <f t="shared" si="0"/>
        <v>8041198</v>
      </c>
      <c r="Y30" s="1262"/>
      <c r="Z30" s="1262">
        <f>VLOOKUP(C30,'CNKT '!$D$114:$AA$177,24,0)</f>
        <v>8041198</v>
      </c>
      <c r="AA30" s="1116">
        <f t="shared" si="4"/>
        <v>0</v>
      </c>
    </row>
    <row r="31" spans="1:27" s="1116" customFormat="1" ht="42.75" customHeight="1">
      <c r="A31" s="1242">
        <v>15</v>
      </c>
      <c r="B31" s="1262" t="str">
        <f>'Chấm công KT'!C109</f>
        <v>03602</v>
      </c>
      <c r="C31" s="1262" t="str">
        <f>TONGHOPCONGDOI!C110</f>
        <v>T . In Tong</v>
      </c>
      <c r="D31" s="1262"/>
      <c r="E31" s="1263"/>
      <c r="F31" s="1262">
        <f t="shared" si="1"/>
        <v>0</v>
      </c>
      <c r="G31" s="1262">
        <f>VLOOKUP(C31,TONGHOPCONGDOI!C110:AD160,16,0)</f>
        <v>2733</v>
      </c>
      <c r="H31" s="1262">
        <f>VLOOKUP(C31,TONGHOPCONGDOI!C110:AD160,17,0)</f>
        <v>0</v>
      </c>
      <c r="I31" s="1262"/>
      <c r="J31" s="1264">
        <f t="shared" si="2"/>
        <v>1261.9812671265795</v>
      </c>
      <c r="K31" s="1242" t="str">
        <f>VLOOKUP(C31,'BTH mủ tạp'!D113:AN174,37,0)</f>
        <v>A</v>
      </c>
      <c r="L31" s="1246">
        <f t="shared" si="3"/>
        <v>5148788</v>
      </c>
      <c r="M31" s="1262">
        <f>VLOOKUP(C31,TONGHOPCONGDOI!$C$96:$AD$159,20,0)</f>
        <v>24</v>
      </c>
      <c r="N31" s="1262">
        <f>VLOOKUP(C31,TONGHOPCONGDOI!$C$96:$AD$159,21,0)</f>
        <v>5</v>
      </c>
      <c r="O31" s="1262">
        <f>VLOOKUP(C31,TONGHOPCONGDOI!$C$96:$AD$159,22,0)</f>
        <v>0</v>
      </c>
      <c r="P31" s="1262">
        <f>VLOOKUP(C31,TONGHOPCONGDOI!$C$96:$AD$159,23,0)</f>
        <v>0</v>
      </c>
      <c r="Q31" s="1262">
        <f>VLOOKUP(C31,TONGHOPCONGDOI!$C$96:$AD$159,24,0)</f>
        <v>0</v>
      </c>
      <c r="R31" s="1262">
        <f>VLOOKUP(C31,TONGHOPCONGDOI!$C$96:$AD$159,25,0)</f>
        <v>0</v>
      </c>
      <c r="S31" s="1262"/>
      <c r="T31" s="1244"/>
      <c r="U31" s="1244"/>
      <c r="V31" s="1244"/>
      <c r="W31" s="1247">
        <f t="shared" si="5"/>
        <v>997174</v>
      </c>
      <c r="X31" s="1262">
        <f t="shared" si="0"/>
        <v>6145962</v>
      </c>
      <c r="Y31" s="1262"/>
      <c r="Z31" s="1262">
        <f>VLOOKUP(C31,'CNKT '!$D$114:$AA$177,24,0)</f>
        <v>6145962</v>
      </c>
      <c r="AA31" s="1116">
        <f t="shared" si="4"/>
        <v>0</v>
      </c>
    </row>
    <row r="32" spans="1:27" s="1116" customFormat="1" ht="42.75" customHeight="1">
      <c r="A32" s="1242">
        <v>16</v>
      </c>
      <c r="B32" s="1262" t="str">
        <f>'Chấm công KT'!C110</f>
        <v>03496</v>
      </c>
      <c r="C32" s="1262" t="str">
        <f>TONGHOPCONGDOI!C111</f>
        <v>T. Lốp</v>
      </c>
      <c r="D32" s="1262"/>
      <c r="E32" s="1263"/>
      <c r="F32" s="1262">
        <f t="shared" si="1"/>
        <v>0</v>
      </c>
      <c r="G32" s="1262">
        <f>VLOOKUP(C32,TONGHOPCONGDOI!C111:AD160,16,0)</f>
        <v>2447</v>
      </c>
      <c r="H32" s="1262">
        <f>VLOOKUP(C32,TONGHOPCONGDOI!C111:AD160,17,0)</f>
        <v>0</v>
      </c>
      <c r="I32" s="1262"/>
      <c r="J32" s="1264">
        <f t="shared" si="2"/>
        <v>1129.918829366535</v>
      </c>
      <c r="K32" s="1242" t="str">
        <f>VLOOKUP(C32,'BTH mủ tạp'!D114:AN175,37,0)</f>
        <v>B</v>
      </c>
      <c r="L32" s="1246">
        <f t="shared" si="3"/>
        <v>4383262</v>
      </c>
      <c r="M32" s="1262">
        <f>VLOOKUP(C32,TONGHOPCONGDOI!$C$96:$AD$159,20,0)</f>
        <v>22</v>
      </c>
      <c r="N32" s="1262">
        <f>VLOOKUP(C32,TONGHOPCONGDOI!$C$96:$AD$159,21,0)</f>
        <v>3</v>
      </c>
      <c r="O32" s="1262">
        <f>VLOOKUP(C32,TONGHOPCONGDOI!$C$96:$AD$159,22,0)</f>
        <v>0</v>
      </c>
      <c r="P32" s="1262">
        <f>VLOOKUP(C32,TONGHOPCONGDOI!$C$96:$AD$159,23,0)</f>
        <v>0</v>
      </c>
      <c r="Q32" s="1262">
        <f>VLOOKUP(C32,TONGHOPCONGDOI!$C$96:$AD$159,24,0)</f>
        <v>0</v>
      </c>
      <c r="R32" s="1262">
        <f>VLOOKUP(C32,TONGHOPCONGDOI!$C$96:$AD$159,25,0)</f>
        <v>0</v>
      </c>
      <c r="S32" s="1262"/>
      <c r="T32" s="1244"/>
      <c r="U32" s="1244"/>
      <c r="V32" s="1244"/>
      <c r="W32" s="1247">
        <f t="shared" si="5"/>
        <v>832639</v>
      </c>
      <c r="X32" s="1262">
        <f t="shared" si="0"/>
        <v>5215901</v>
      </c>
      <c r="Y32" s="1262"/>
      <c r="Z32" s="1262">
        <f>VLOOKUP(C32,'CNKT '!$D$114:$AA$177,24,0)</f>
        <v>5215901</v>
      </c>
      <c r="AA32" s="1116">
        <f t="shared" si="4"/>
        <v>0</v>
      </c>
    </row>
    <row r="33" spans="1:27" s="1116" customFormat="1" ht="42.75" customHeight="1">
      <c r="A33" s="1242">
        <v>17</v>
      </c>
      <c r="B33" s="1262" t="str">
        <f>'Chấm công KT'!C111</f>
        <v>03604</v>
      </c>
      <c r="C33" s="1262" t="str">
        <f>TONGHOPCONGDOI!C112</f>
        <v>T. Lăm Phêng</v>
      </c>
      <c r="D33" s="1262"/>
      <c r="E33" s="1263"/>
      <c r="F33" s="1262">
        <f t="shared" si="1"/>
        <v>0</v>
      </c>
      <c r="G33" s="1262">
        <f>VLOOKUP(C33,TONGHOPCONGDOI!C112:AD160,16,0)</f>
        <v>4123</v>
      </c>
      <c r="H33" s="1262">
        <f>VLOOKUP(C33,TONGHOPCONGDOI!C112:AD160,17,0)</f>
        <v>0</v>
      </c>
      <c r="I33" s="1262"/>
      <c r="J33" s="1264">
        <f t="shared" si="2"/>
        <v>1903.8231849114113</v>
      </c>
      <c r="K33" s="1242" t="str">
        <f>VLOOKUP(C33,'BTH mủ tạp'!D115:AN176,37,0)</f>
        <v>A</v>
      </c>
      <c r="L33" s="1246">
        <f t="shared" si="3"/>
        <v>7767454</v>
      </c>
      <c r="M33" s="1262">
        <f>VLOOKUP(C33,TONGHOPCONGDOI!$C$96:$AD$159,20,0)</f>
        <v>23</v>
      </c>
      <c r="N33" s="1262">
        <f>VLOOKUP(C33,TONGHOPCONGDOI!$C$96:$AD$159,21,0)</f>
        <v>5</v>
      </c>
      <c r="O33" s="1262">
        <f>VLOOKUP(C33,TONGHOPCONGDOI!$C$96:$AD$159,22,0)</f>
        <v>0</v>
      </c>
      <c r="P33" s="1262">
        <f>VLOOKUP(C33,TONGHOPCONGDOI!$C$96:$AD$159,23,0)</f>
        <v>0</v>
      </c>
      <c r="Q33" s="1262">
        <f>VLOOKUP(C33,TONGHOPCONGDOI!$C$96:$AD$159,24,0)</f>
        <v>0</v>
      </c>
      <c r="R33" s="1262">
        <f>VLOOKUP(C33,TONGHOPCONGDOI!$C$96:$AD$159,25,0)</f>
        <v>0</v>
      </c>
      <c r="S33" s="1262"/>
      <c r="T33" s="1244"/>
      <c r="U33" s="1244"/>
      <c r="V33" s="1244"/>
      <c r="W33" s="1247">
        <f t="shared" si="5"/>
        <v>966340</v>
      </c>
      <c r="X33" s="1262">
        <f t="shared" si="0"/>
        <v>8733794</v>
      </c>
      <c r="Y33" s="1262"/>
      <c r="Z33" s="1262">
        <f>VLOOKUP(C33,'CNKT '!$D$114:$AA$177,24,0)</f>
        <v>8733794</v>
      </c>
      <c r="AA33" s="1116">
        <f t="shared" si="4"/>
        <v>0</v>
      </c>
    </row>
    <row r="34" spans="1:27" s="1116" customFormat="1" ht="42.75" customHeight="1">
      <c r="A34" s="1242">
        <v>18</v>
      </c>
      <c r="B34" s="1262" t="str">
        <f>'Chấm công KT'!C112</f>
        <v>04075</v>
      </c>
      <c r="C34" s="1262" t="str">
        <f>TONGHOPCONGDOI!C113</f>
        <v>T Xèng</v>
      </c>
      <c r="D34" s="1262"/>
      <c r="E34" s="1263"/>
      <c r="F34" s="1262">
        <f t="shared" si="1"/>
        <v>0</v>
      </c>
      <c r="G34" s="1262">
        <f>VLOOKUP(C34,TONGHOPCONGDOI!C113:AD160,16,0)</f>
        <v>3112</v>
      </c>
      <c r="H34" s="1262">
        <f>VLOOKUP(C34,TONGHOPCONGDOI!C113:AD160,17,0)</f>
        <v>0</v>
      </c>
      <c r="I34" s="1262"/>
      <c r="J34" s="1264">
        <f t="shared" si="2"/>
        <v>1436.9870849974077</v>
      </c>
      <c r="K34" s="1242" t="str">
        <f>VLOOKUP(C34,'BTH mủ tạp'!D116:AN177,37,0)</f>
        <v>A</v>
      </c>
      <c r="L34" s="1246">
        <f t="shared" si="3"/>
        <v>5862798</v>
      </c>
      <c r="M34" s="1262">
        <f>VLOOKUP(C34,TONGHOPCONGDOI!$C$96:$AD$159,20,0)</f>
        <v>24</v>
      </c>
      <c r="N34" s="1262">
        <f>VLOOKUP(C34,TONGHOPCONGDOI!$C$96:$AD$159,21,0)</f>
        <v>5</v>
      </c>
      <c r="O34" s="1262">
        <f>VLOOKUP(C34,TONGHOPCONGDOI!$C$96:$AD$159,22,0)</f>
        <v>0</v>
      </c>
      <c r="P34" s="1262">
        <f>VLOOKUP(C34,TONGHOPCONGDOI!$C$96:$AD$159,23,0)</f>
        <v>0</v>
      </c>
      <c r="Q34" s="1262">
        <f>VLOOKUP(C34,TONGHOPCONGDOI!$C$96:$AD$159,24,0)</f>
        <v>0</v>
      </c>
      <c r="R34" s="1262">
        <f>VLOOKUP(C34,TONGHOPCONGDOI!$C$96:$AD$159,25,0)</f>
        <v>0</v>
      </c>
      <c r="S34" s="1262"/>
      <c r="T34" s="1244"/>
      <c r="U34" s="1244"/>
      <c r="V34" s="1244"/>
      <c r="W34" s="1247">
        <f t="shared" si="5"/>
        <v>997174</v>
      </c>
      <c r="X34" s="1262">
        <f t="shared" si="0"/>
        <v>6859972</v>
      </c>
      <c r="Y34" s="1262"/>
      <c r="Z34" s="1262">
        <f>VLOOKUP(C34,'CNKT '!$D$114:$AA$177,24,0)</f>
        <v>6859972</v>
      </c>
      <c r="AA34" s="1116">
        <f t="shared" si="4"/>
        <v>0</v>
      </c>
    </row>
    <row r="35" spans="1:27" s="1116" customFormat="1" ht="42.75" customHeight="1">
      <c r="A35" s="1242">
        <v>19</v>
      </c>
      <c r="B35" s="1262" t="str">
        <f>'Chấm công KT'!C113</f>
        <v>03509</v>
      </c>
      <c r="C35" s="1262" t="str">
        <f>TONGHOPCONGDOI!C114</f>
        <v>T. May</v>
      </c>
      <c r="D35" s="1262"/>
      <c r="E35" s="1263"/>
      <c r="F35" s="1262">
        <f t="shared" si="1"/>
        <v>0</v>
      </c>
      <c r="G35" s="1262">
        <f>VLOOKUP(C35,TONGHOPCONGDOI!C114:AD160,16,0)</f>
        <v>2965</v>
      </c>
      <c r="H35" s="1262">
        <f>VLOOKUP(C35,TONGHOPCONGDOI!C114:AD160,17,0)</f>
        <v>0</v>
      </c>
      <c r="I35" s="1262"/>
      <c r="J35" s="1264">
        <f t="shared" si="2"/>
        <v>1369.1088390158463</v>
      </c>
      <c r="K35" s="1242" t="str">
        <f>VLOOKUP(C35,'BTH mủ tạp'!D117:AN178,37,0)</f>
        <v>B</v>
      </c>
      <c r="L35" s="1246">
        <f t="shared" si="3"/>
        <v>5311146</v>
      </c>
      <c r="M35" s="1262">
        <f>VLOOKUP(C35,TONGHOPCONGDOI!$C$96:$AD$159,20,0)</f>
        <v>25</v>
      </c>
      <c r="N35" s="1262">
        <f>VLOOKUP(C35,TONGHOPCONGDOI!$C$96:$AD$159,21,0)</f>
        <v>5</v>
      </c>
      <c r="O35" s="1262">
        <f>VLOOKUP(C35,TONGHOPCONGDOI!$C$96:$AD$159,22,0)</f>
        <v>0</v>
      </c>
      <c r="P35" s="1262">
        <f>VLOOKUP(C35,TONGHOPCONGDOI!$C$96:$AD$159,23,0)</f>
        <v>0</v>
      </c>
      <c r="Q35" s="1262">
        <f>VLOOKUP(C35,TONGHOPCONGDOI!$C$96:$AD$159,24,0)</f>
        <v>0</v>
      </c>
      <c r="R35" s="1262">
        <f>VLOOKUP(C35,TONGHOPCONGDOI!$C$96:$AD$159,25,0)</f>
        <v>0</v>
      </c>
      <c r="S35" s="1262"/>
      <c r="T35" s="1244"/>
      <c r="U35" s="1244"/>
      <c r="V35" s="1244"/>
      <c r="W35" s="1247">
        <f t="shared" si="5"/>
        <v>1028007</v>
      </c>
      <c r="X35" s="1262">
        <f t="shared" si="0"/>
        <v>6339153</v>
      </c>
      <c r="Y35" s="1262"/>
      <c r="Z35" s="1262">
        <f>VLOOKUP(C35,'CNKT '!$D$114:$AA$177,24,0)</f>
        <v>6339153</v>
      </c>
      <c r="AA35" s="1116">
        <f t="shared" si="4"/>
        <v>0</v>
      </c>
    </row>
    <row r="36" spans="1:27" s="1116" customFormat="1" ht="42.75" customHeight="1">
      <c r="A36" s="1242">
        <v>20</v>
      </c>
      <c r="B36" s="1262" t="str">
        <f>'Chấm công KT'!C114</f>
        <v>03607</v>
      </c>
      <c r="C36" s="1262" t="str">
        <f>TONGHOPCONGDOI!C115</f>
        <v>T. Huôn</v>
      </c>
      <c r="D36" s="1262"/>
      <c r="E36" s="1263"/>
      <c r="F36" s="1262">
        <f t="shared" si="1"/>
        <v>0</v>
      </c>
      <c r="G36" s="1262">
        <f>VLOOKUP(C36,TONGHOPCONGDOI!C115:AD160,16,0)</f>
        <v>2426</v>
      </c>
      <c r="H36" s="1262">
        <f>VLOOKUP(C36,TONGHOPCONGDOI!C115:AD160,17,0)</f>
        <v>0</v>
      </c>
      <c r="I36" s="1262"/>
      <c r="J36" s="1264">
        <f t="shared" si="2"/>
        <v>1120.2219370834548</v>
      </c>
      <c r="K36" s="1242" t="str">
        <f>VLOOKUP(C36,'BTH mủ tạp'!D118:AN179,37,0)</f>
        <v>A</v>
      </c>
      <c r="L36" s="1246">
        <f t="shared" si="3"/>
        <v>4570420</v>
      </c>
      <c r="M36" s="1262">
        <f>VLOOKUP(C36,TONGHOPCONGDOI!$C$96:$AD$159,20,0)</f>
        <v>25</v>
      </c>
      <c r="N36" s="1262">
        <f>VLOOKUP(C36,TONGHOPCONGDOI!$C$96:$AD$159,21,0)</f>
        <v>5</v>
      </c>
      <c r="O36" s="1262">
        <f>VLOOKUP(C36,TONGHOPCONGDOI!$C$96:$AD$159,22,0)</f>
        <v>0</v>
      </c>
      <c r="P36" s="1262">
        <f>VLOOKUP(C36,TONGHOPCONGDOI!$C$96:$AD$159,23,0)</f>
        <v>0</v>
      </c>
      <c r="Q36" s="1262">
        <f>VLOOKUP(C36,TONGHOPCONGDOI!$C$96:$AD$159,24,0)</f>
        <v>0</v>
      </c>
      <c r="R36" s="1262">
        <f>VLOOKUP(C36,TONGHOPCONGDOI!$C$96:$AD$159,25,0)</f>
        <v>0</v>
      </c>
      <c r="S36" s="1262"/>
      <c r="T36" s="1244"/>
      <c r="U36" s="1244"/>
      <c r="V36" s="1244"/>
      <c r="W36" s="1247">
        <f t="shared" si="5"/>
        <v>1028007</v>
      </c>
      <c r="X36" s="1262">
        <f t="shared" si="0"/>
        <v>5598427</v>
      </c>
      <c r="Y36" s="1262"/>
      <c r="Z36" s="1262">
        <f>VLOOKUP(C36,'CNKT '!$D$114:$AA$177,24,0)</f>
        <v>5598427</v>
      </c>
      <c r="AA36" s="1116">
        <f t="shared" si="4"/>
        <v>0</v>
      </c>
    </row>
    <row r="37" spans="1:27" s="1116" customFormat="1" ht="42.75" customHeight="1">
      <c r="A37" s="1242">
        <v>21</v>
      </c>
      <c r="B37" s="1262" t="str">
        <f>'Chấm công KT'!C115</f>
        <v>02729</v>
      </c>
      <c r="C37" s="1262" t="str">
        <f>TONGHOPCONGDOI!C116</f>
        <v>N. Lay</v>
      </c>
      <c r="D37" s="1262"/>
      <c r="E37" s="1263"/>
      <c r="F37" s="1262">
        <f t="shared" si="1"/>
        <v>0</v>
      </c>
      <c r="G37" s="1262">
        <f>VLOOKUP(C37,TONGHOPCONGDOI!C116:AD160,16,0)</f>
        <v>2477</v>
      </c>
      <c r="H37" s="1262">
        <f>VLOOKUP(C37,TONGHOPCONGDOI!C116:AD160,17,0)</f>
        <v>0</v>
      </c>
      <c r="I37" s="1262"/>
      <c r="J37" s="1264">
        <f t="shared" si="2"/>
        <v>1143.7715326280781</v>
      </c>
      <c r="K37" s="1242" t="str">
        <f>VLOOKUP(C37,'BTH mủ tạp'!D119:AN180,37,0)</f>
        <v>A</v>
      </c>
      <c r="L37" s="1246">
        <f t="shared" si="3"/>
        <v>4666501</v>
      </c>
      <c r="M37" s="1262">
        <f>VLOOKUP(C37,TONGHOPCONGDOI!$C$96:$AD$159,20,0)</f>
        <v>25</v>
      </c>
      <c r="N37" s="1262">
        <f>VLOOKUP(C37,TONGHOPCONGDOI!$C$96:$AD$159,21,0)</f>
        <v>5</v>
      </c>
      <c r="O37" s="1262">
        <f>VLOOKUP(C37,TONGHOPCONGDOI!$C$96:$AD$159,22,0)</f>
        <v>0</v>
      </c>
      <c r="P37" s="1262">
        <f>VLOOKUP(C37,TONGHOPCONGDOI!$C$96:$AD$159,23,0)</f>
        <v>0</v>
      </c>
      <c r="Q37" s="1262">
        <f>VLOOKUP(C37,TONGHOPCONGDOI!$C$96:$AD$159,24,0)</f>
        <v>0</v>
      </c>
      <c r="R37" s="1262">
        <f>VLOOKUP(C37,TONGHOPCONGDOI!$C$96:$AD$159,25,0)</f>
        <v>0</v>
      </c>
      <c r="S37" s="1262"/>
      <c r="T37" s="1244"/>
      <c r="U37" s="1244"/>
      <c r="V37" s="1244"/>
      <c r="W37" s="1247">
        <f t="shared" si="5"/>
        <v>1028007</v>
      </c>
      <c r="X37" s="1262">
        <f t="shared" si="0"/>
        <v>5694508</v>
      </c>
      <c r="Y37" s="1262"/>
      <c r="Z37" s="1262">
        <f>VLOOKUP(C37,'CNKT '!$D$114:$AA$177,24,0)</f>
        <v>5694508</v>
      </c>
      <c r="AA37" s="1116">
        <f t="shared" si="4"/>
        <v>0</v>
      </c>
    </row>
    <row r="38" spans="1:27" s="1116" customFormat="1" ht="42.75" customHeight="1">
      <c r="A38" s="1242">
        <v>22</v>
      </c>
      <c r="B38" s="1262" t="str">
        <f>'Chấm công KT'!C116</f>
        <v>03608</v>
      </c>
      <c r="C38" s="1262" t="str">
        <f>TONGHOPCONGDOI!C117</f>
        <v>N. Pon</v>
      </c>
      <c r="D38" s="1262"/>
      <c r="E38" s="1263"/>
      <c r="F38" s="1262">
        <f t="shared" si="1"/>
        <v>0</v>
      </c>
      <c r="G38" s="1262">
        <f>VLOOKUP(C38,TONGHOPCONGDOI!C117:AD160,16,0)</f>
        <v>2578</v>
      </c>
      <c r="H38" s="1262">
        <f>VLOOKUP(C38,TONGHOPCONGDOI!C117:AD160,17,0)</f>
        <v>0</v>
      </c>
      <c r="I38" s="1262"/>
      <c r="J38" s="1264">
        <f t="shared" si="2"/>
        <v>1190.40896694194</v>
      </c>
      <c r="K38" s="1242" t="str">
        <f>VLOOKUP(C38,'BTH mủ tạp'!D120:AN181,37,0)</f>
        <v>A</v>
      </c>
      <c r="L38" s="1246">
        <f t="shared" si="3"/>
        <v>4856778</v>
      </c>
      <c r="M38" s="1262">
        <f>VLOOKUP(C38,TONGHOPCONGDOI!$C$96:$AD$159,20,0)</f>
        <v>23</v>
      </c>
      <c r="N38" s="1262">
        <f>VLOOKUP(C38,TONGHOPCONGDOI!$C$96:$AD$159,21,0)</f>
        <v>5</v>
      </c>
      <c r="O38" s="1262">
        <f>VLOOKUP(C38,TONGHOPCONGDOI!$C$96:$AD$159,22,0)</f>
        <v>0</v>
      </c>
      <c r="P38" s="1262">
        <f>VLOOKUP(C38,TONGHOPCONGDOI!$C$96:$AD$159,23,0)</f>
        <v>0</v>
      </c>
      <c r="Q38" s="1262">
        <f>VLOOKUP(C38,TONGHOPCONGDOI!$C$96:$AD$159,24,0)</f>
        <v>0</v>
      </c>
      <c r="R38" s="1262">
        <f>VLOOKUP(C38,TONGHOPCONGDOI!$C$96:$AD$159,25,0)</f>
        <v>0</v>
      </c>
      <c r="S38" s="1262"/>
      <c r="T38" s="1244"/>
      <c r="U38" s="1244"/>
      <c r="V38" s="1244"/>
      <c r="W38" s="1247">
        <f t="shared" si="5"/>
        <v>966340</v>
      </c>
      <c r="X38" s="1262">
        <f t="shared" si="0"/>
        <v>5823118</v>
      </c>
      <c r="Y38" s="1262"/>
      <c r="Z38" s="1262">
        <f>VLOOKUP(C38,'CNKT '!$D$114:$AA$177,24,0)</f>
        <v>5823118</v>
      </c>
      <c r="AA38" s="1116">
        <f t="shared" si="4"/>
        <v>0</v>
      </c>
    </row>
    <row r="39" spans="1:27" s="1116" customFormat="1" ht="42.75" customHeight="1">
      <c r="A39" s="1242">
        <v>23</v>
      </c>
      <c r="B39" s="1262" t="str">
        <f>'Chấm công KT'!C117</f>
        <v>03609</v>
      </c>
      <c r="C39" s="1262" t="str">
        <f>TONGHOPCONGDOI!C118</f>
        <v>N. Bun Đi</v>
      </c>
      <c r="D39" s="1262"/>
      <c r="E39" s="1263"/>
      <c r="F39" s="1262">
        <f t="shared" si="1"/>
        <v>0</v>
      </c>
      <c r="G39" s="1262">
        <f>VLOOKUP(C39,TONGHOPCONGDOI!C118:AD160,16,0)</f>
        <v>2248</v>
      </c>
      <c r="H39" s="1262">
        <f>VLOOKUP(C39,TONGHOPCONGDOI!C118:AD160,17,0)</f>
        <v>0</v>
      </c>
      <c r="I39" s="1262"/>
      <c r="J39" s="1264">
        <f t="shared" si="2"/>
        <v>1038.0292310649654</v>
      </c>
      <c r="K39" s="1242" t="str">
        <f>VLOOKUP(C39,'BTH mủ tạp'!D121:AN182,37,0)</f>
        <v>A</v>
      </c>
      <c r="L39" s="1246">
        <f t="shared" si="3"/>
        <v>4235080</v>
      </c>
      <c r="M39" s="1262">
        <f>VLOOKUP(C39,TONGHOPCONGDOI!$C$96:$AD$159,20,0)</f>
        <v>24</v>
      </c>
      <c r="N39" s="1262">
        <f>VLOOKUP(C39,TONGHOPCONGDOI!$C$96:$AD$159,21,0)</f>
        <v>5</v>
      </c>
      <c r="O39" s="1262">
        <f>VLOOKUP(C39,TONGHOPCONGDOI!$C$96:$AD$159,22,0)</f>
        <v>0</v>
      </c>
      <c r="P39" s="1262">
        <f>VLOOKUP(C39,TONGHOPCONGDOI!$C$96:$AD$159,23,0)</f>
        <v>0</v>
      </c>
      <c r="Q39" s="1262">
        <f>VLOOKUP(C39,TONGHOPCONGDOI!$C$96:$AD$159,24,0)</f>
        <v>0</v>
      </c>
      <c r="R39" s="1262">
        <f>VLOOKUP(C39,TONGHOPCONGDOI!$C$96:$AD$159,25,0)</f>
        <v>0</v>
      </c>
      <c r="S39" s="1262"/>
      <c r="T39" s="1244"/>
      <c r="U39" s="1244"/>
      <c r="V39" s="1244"/>
      <c r="W39" s="1247">
        <f t="shared" si="5"/>
        <v>997174</v>
      </c>
      <c r="X39" s="1262">
        <f t="shared" si="0"/>
        <v>5232254</v>
      </c>
      <c r="Y39" s="1262"/>
      <c r="Z39" s="1262">
        <f>VLOOKUP(C39,'CNKT '!$D$114:$AA$177,24,0)</f>
        <v>5232254</v>
      </c>
      <c r="AA39" s="1116">
        <f t="shared" si="4"/>
        <v>0</v>
      </c>
    </row>
    <row r="40" spans="1:27" s="1116" customFormat="1" ht="42.75" customHeight="1">
      <c r="A40" s="1242">
        <v>24</v>
      </c>
      <c r="B40" s="1262" t="str">
        <f>'Chấm công KT'!C118</f>
        <v>03610</v>
      </c>
      <c r="C40" s="1262" t="str">
        <f>TONGHOPCONGDOI!C119</f>
        <v>N. Phon</v>
      </c>
      <c r="D40" s="1262"/>
      <c r="E40" s="1263"/>
      <c r="F40" s="1262">
        <f t="shared" si="1"/>
        <v>0</v>
      </c>
      <c r="G40" s="1262">
        <f>VLOOKUP(C40,TONGHOPCONGDOI!C119:AD160,16,0)</f>
        <v>2328</v>
      </c>
      <c r="H40" s="1262">
        <f>VLOOKUP(C40,TONGHOPCONGDOI!C119:AD160,17,0)</f>
        <v>0</v>
      </c>
      <c r="I40" s="1262"/>
      <c r="J40" s="1264">
        <f t="shared" si="2"/>
        <v>1074.9697730957471</v>
      </c>
      <c r="K40" s="1242" t="str">
        <f>VLOOKUP(C40,'BTH mủ tạp'!D122:AN183,37,0)</f>
        <v>A</v>
      </c>
      <c r="L40" s="1246">
        <f t="shared" si="3"/>
        <v>4385795</v>
      </c>
      <c r="M40" s="1262">
        <f>VLOOKUP(C40,TONGHOPCONGDOI!$C$96:$AD$159,20,0)</f>
        <v>24</v>
      </c>
      <c r="N40" s="1262">
        <f>VLOOKUP(C40,TONGHOPCONGDOI!$C$96:$AD$159,21,0)</f>
        <v>5</v>
      </c>
      <c r="O40" s="1262">
        <f>VLOOKUP(C40,TONGHOPCONGDOI!$C$96:$AD$159,22,0)</f>
        <v>0</v>
      </c>
      <c r="P40" s="1262">
        <f>VLOOKUP(C40,TONGHOPCONGDOI!$C$96:$AD$159,23,0)</f>
        <v>0</v>
      </c>
      <c r="Q40" s="1262">
        <f>VLOOKUP(C40,TONGHOPCONGDOI!$C$96:$AD$159,24,0)</f>
        <v>0</v>
      </c>
      <c r="R40" s="1262">
        <f>VLOOKUP(C40,TONGHOPCONGDOI!$C$96:$AD$159,25,0)</f>
        <v>0</v>
      </c>
      <c r="S40" s="1262"/>
      <c r="T40" s="1244"/>
      <c r="U40" s="1244"/>
      <c r="V40" s="1244"/>
      <c r="W40" s="1247">
        <f t="shared" si="5"/>
        <v>997174</v>
      </c>
      <c r="X40" s="1262">
        <f t="shared" si="0"/>
        <v>5382969</v>
      </c>
      <c r="Y40" s="1262"/>
      <c r="Z40" s="1262">
        <f>VLOOKUP(C40,'CNKT '!$D$114:$AA$177,24,0)</f>
        <v>5382969</v>
      </c>
      <c r="AA40" s="1116">
        <f t="shared" si="4"/>
        <v>0</v>
      </c>
    </row>
    <row r="41" spans="1:27" s="1116" customFormat="1" ht="42.75" customHeight="1">
      <c r="A41" s="1242">
        <v>25</v>
      </c>
      <c r="B41" s="1262" t="str">
        <f>'Chấm công KT'!C119</f>
        <v>04076</v>
      </c>
      <c r="C41" s="1262" t="str">
        <f>TONGHOPCONGDOI!C120</f>
        <v xml:space="preserve">N. Bun </v>
      </c>
      <c r="D41" s="1262"/>
      <c r="E41" s="1263"/>
      <c r="F41" s="1262">
        <f t="shared" si="1"/>
        <v>0</v>
      </c>
      <c r="G41" s="1262">
        <f>VLOOKUP(C41,TONGHOPCONGDOI!C120:AD160,16,0)</f>
        <v>3222</v>
      </c>
      <c r="H41" s="1262">
        <f>VLOOKUP(C41,TONGHOPCONGDOI!C120:AD160,17,0)</f>
        <v>0</v>
      </c>
      <c r="I41" s="1262"/>
      <c r="J41" s="1264">
        <f t="shared" si="2"/>
        <v>1487.7803302897325</v>
      </c>
      <c r="K41" s="1242" t="str">
        <f>VLOOKUP(C41,'BTH mủ tạp'!D123:AN184,37,0)</f>
        <v>B</v>
      </c>
      <c r="L41" s="1246">
        <f t="shared" si="3"/>
        <v>5771505</v>
      </c>
      <c r="M41" s="1262">
        <f>VLOOKUP(C41,TONGHOPCONGDOI!$C$96:$AD$159,20,0)</f>
        <v>24</v>
      </c>
      <c r="N41" s="1262">
        <f>VLOOKUP(C41,TONGHOPCONGDOI!$C$96:$AD$159,21,0)</f>
        <v>4</v>
      </c>
      <c r="O41" s="1262">
        <f>VLOOKUP(C41,TONGHOPCONGDOI!$C$96:$AD$159,22,0)</f>
        <v>0</v>
      </c>
      <c r="P41" s="1262">
        <f>VLOOKUP(C41,TONGHOPCONGDOI!$C$96:$AD$159,23,0)</f>
        <v>0</v>
      </c>
      <c r="Q41" s="1262">
        <f>VLOOKUP(C41,TONGHOPCONGDOI!$C$96:$AD$159,24,0)</f>
        <v>0</v>
      </c>
      <c r="R41" s="1262">
        <f>VLOOKUP(C41,TONGHOPCONGDOI!$C$96:$AD$159,25,0)</f>
        <v>0</v>
      </c>
      <c r="S41" s="1262"/>
      <c r="T41" s="1244"/>
      <c r="U41" s="1244"/>
      <c r="V41" s="1244"/>
      <c r="W41" s="1247">
        <f t="shared" si="5"/>
        <v>945740</v>
      </c>
      <c r="X41" s="1262">
        <f t="shared" si="0"/>
        <v>6717245</v>
      </c>
      <c r="Y41" s="1262"/>
      <c r="Z41" s="1262">
        <f>VLOOKUP(C41,'CNKT '!$D$114:$AA$177,24,0)</f>
        <v>6717245</v>
      </c>
      <c r="AA41" s="1116">
        <f t="shared" si="4"/>
        <v>0</v>
      </c>
    </row>
    <row r="42" spans="1:27" s="1116" customFormat="1" ht="42.75" customHeight="1">
      <c r="A42" s="1242">
        <v>26</v>
      </c>
      <c r="B42" s="1262" t="str">
        <f>'Chấm công KT'!C120</f>
        <v>03612</v>
      </c>
      <c r="C42" s="1262" t="str">
        <f>TONGHOPCONGDOI!C121</f>
        <v>N. Phu Văn</v>
      </c>
      <c r="D42" s="1262"/>
      <c r="E42" s="1263"/>
      <c r="F42" s="1262">
        <f t="shared" si="1"/>
        <v>0</v>
      </c>
      <c r="G42" s="1262">
        <f>VLOOKUP(C42,TONGHOPCONGDOI!C121:AD160,16,0)</f>
        <v>2983</v>
      </c>
      <c r="H42" s="1262">
        <f>VLOOKUP(C42,TONGHOPCONGDOI!C121:AD160,17,0)</f>
        <v>0</v>
      </c>
      <c r="I42" s="1262"/>
      <c r="J42" s="1264">
        <f t="shared" si="2"/>
        <v>1377.4204609727722</v>
      </c>
      <c r="K42" s="1242" t="str">
        <f>VLOOKUP(C42,'BTH mủ tạp'!D124:AN185,37,0)</f>
        <v>A</v>
      </c>
      <c r="L42" s="1246">
        <f t="shared" si="3"/>
        <v>5619771</v>
      </c>
      <c r="M42" s="1262">
        <f>VLOOKUP(C42,TONGHOPCONGDOI!$C$96:$AD$159,20,0)</f>
        <v>24</v>
      </c>
      <c r="N42" s="1262">
        <f>VLOOKUP(C42,TONGHOPCONGDOI!$C$96:$AD$159,21,0)</f>
        <v>5</v>
      </c>
      <c r="O42" s="1262">
        <f>VLOOKUP(C42,TONGHOPCONGDOI!$C$96:$AD$159,22,0)</f>
        <v>0</v>
      </c>
      <c r="P42" s="1262">
        <f>VLOOKUP(C42,TONGHOPCONGDOI!$C$96:$AD$159,23,0)</f>
        <v>0</v>
      </c>
      <c r="Q42" s="1262">
        <f>VLOOKUP(C42,TONGHOPCONGDOI!$C$96:$AD$159,24,0)</f>
        <v>0</v>
      </c>
      <c r="R42" s="1262">
        <f>VLOOKUP(C42,TONGHOPCONGDOI!$C$96:$AD$159,25,0)</f>
        <v>0</v>
      </c>
      <c r="S42" s="1262"/>
      <c r="T42" s="1244"/>
      <c r="U42" s="1244"/>
      <c r="V42" s="1244"/>
      <c r="W42" s="1247">
        <f t="shared" si="5"/>
        <v>997174</v>
      </c>
      <c r="X42" s="1262">
        <f t="shared" si="0"/>
        <v>6616945</v>
      </c>
      <c r="Y42" s="1262"/>
      <c r="Z42" s="1262">
        <f>VLOOKUP(C42,'CNKT '!$D$114:$AA$177,24,0)</f>
        <v>6616945</v>
      </c>
      <c r="AA42" s="1116">
        <f t="shared" si="4"/>
        <v>0</v>
      </c>
    </row>
    <row r="43" spans="1:27" s="1116" customFormat="1" ht="42.75" customHeight="1">
      <c r="A43" s="1242">
        <v>27</v>
      </c>
      <c r="B43" s="1262" t="str">
        <f>'Chấm công KT'!C121</f>
        <v>03613</v>
      </c>
      <c r="C43" s="1262" t="str">
        <f>TONGHOPCONGDOI!C122</f>
        <v>N. Lỷ</v>
      </c>
      <c r="D43" s="1262"/>
      <c r="E43" s="1263"/>
      <c r="F43" s="1262">
        <f t="shared" si="1"/>
        <v>0</v>
      </c>
      <c r="G43" s="1262">
        <f>VLOOKUP(C43,TONGHOPCONGDOI!C122:AD160,16,0)</f>
        <v>2391</v>
      </c>
      <c r="H43" s="1262">
        <f>VLOOKUP(C43,TONGHOPCONGDOI!C122:AD160,17,0)</f>
        <v>0</v>
      </c>
      <c r="I43" s="1262"/>
      <c r="J43" s="1264">
        <f t="shared" si="2"/>
        <v>1104.0604499449878</v>
      </c>
      <c r="K43" s="1242" t="str">
        <f>VLOOKUP(C43,'BTH mủ tạp'!D125:AN186,37,0)</f>
        <v>A</v>
      </c>
      <c r="L43" s="1246">
        <f t="shared" si="3"/>
        <v>4504483</v>
      </c>
      <c r="M43" s="1262">
        <f>VLOOKUP(C43,TONGHOPCONGDOI!$C$96:$AD$159,20,0)</f>
        <v>24</v>
      </c>
      <c r="N43" s="1262">
        <f>VLOOKUP(C43,TONGHOPCONGDOI!$C$96:$AD$159,21,0)</f>
        <v>5</v>
      </c>
      <c r="O43" s="1262">
        <f>VLOOKUP(C43,TONGHOPCONGDOI!$C$96:$AD$159,22,0)</f>
        <v>0</v>
      </c>
      <c r="P43" s="1262">
        <f>VLOOKUP(C43,TONGHOPCONGDOI!$C$96:$AD$159,23,0)</f>
        <v>0</v>
      </c>
      <c r="Q43" s="1262">
        <f>VLOOKUP(C43,TONGHOPCONGDOI!$C$96:$AD$159,24,0)</f>
        <v>0</v>
      </c>
      <c r="R43" s="1262">
        <f>VLOOKUP(C43,TONGHOPCONGDOI!$C$96:$AD$159,25,0)</f>
        <v>0</v>
      </c>
      <c r="S43" s="1262"/>
      <c r="T43" s="1244"/>
      <c r="U43" s="1244"/>
      <c r="V43" s="1244"/>
      <c r="W43" s="1247">
        <f t="shared" si="5"/>
        <v>997174</v>
      </c>
      <c r="X43" s="1262">
        <f t="shared" si="0"/>
        <v>5501657</v>
      </c>
      <c r="Y43" s="1262"/>
      <c r="Z43" s="1262">
        <f>VLOOKUP(C43,'CNKT '!$D$114:$AA$177,24,0)</f>
        <v>5501657</v>
      </c>
      <c r="AA43" s="1116">
        <f t="shared" si="4"/>
        <v>0</v>
      </c>
    </row>
    <row r="44" spans="1:27" s="1116" customFormat="1" ht="42.75" customHeight="1">
      <c r="A44" s="1242">
        <v>28</v>
      </c>
      <c r="B44" s="1262" t="str">
        <f>'Chấm công KT'!C122</f>
        <v>04077</v>
      </c>
      <c r="C44" s="1262" t="str">
        <f>TONGHOPCONGDOI!C123</f>
        <v>N. Quen</v>
      </c>
      <c r="D44" s="1262"/>
      <c r="E44" s="1263"/>
      <c r="F44" s="1262">
        <f t="shared" si="1"/>
        <v>0</v>
      </c>
      <c r="G44" s="1262">
        <f>VLOOKUP(C44,TONGHOPCONGDOI!C123:AD160,16,0)</f>
        <v>2964</v>
      </c>
      <c r="H44" s="1262">
        <f>VLOOKUP(C44,TONGHOPCONGDOI!C123:AD160,17,0)</f>
        <v>0</v>
      </c>
      <c r="I44" s="1262"/>
      <c r="J44" s="1264">
        <f t="shared" si="2"/>
        <v>1368.6470822404615</v>
      </c>
      <c r="K44" s="1242" t="str">
        <f>VLOOKUP(C44,'BTH mủ tạp'!D126:AN187,37,0)</f>
        <v>A</v>
      </c>
      <c r="L44" s="1246">
        <f t="shared" si="3"/>
        <v>5583976</v>
      </c>
      <c r="M44" s="1262">
        <f>VLOOKUP(C44,TONGHOPCONGDOI!$C$96:$AD$159,20,0)</f>
        <v>23</v>
      </c>
      <c r="N44" s="1262">
        <f>VLOOKUP(C44,TONGHOPCONGDOI!$C$96:$AD$159,21,0)</f>
        <v>5</v>
      </c>
      <c r="O44" s="1262">
        <f>VLOOKUP(C44,TONGHOPCONGDOI!$C$96:$AD$159,22,0)</f>
        <v>0</v>
      </c>
      <c r="P44" s="1262">
        <f>VLOOKUP(C44,TONGHOPCONGDOI!$C$96:$AD$159,23,0)</f>
        <v>0</v>
      </c>
      <c r="Q44" s="1262">
        <f>VLOOKUP(C44,TONGHOPCONGDOI!$C$96:$AD$159,24,0)</f>
        <v>0</v>
      </c>
      <c r="R44" s="1262">
        <f>VLOOKUP(C44,TONGHOPCONGDOI!$C$96:$AD$159,25,0)</f>
        <v>0</v>
      </c>
      <c r="S44" s="1262"/>
      <c r="T44" s="1244"/>
      <c r="U44" s="1244"/>
      <c r="V44" s="1244"/>
      <c r="W44" s="1247">
        <f t="shared" si="5"/>
        <v>966340</v>
      </c>
      <c r="X44" s="1262">
        <f t="shared" si="0"/>
        <v>6550316</v>
      </c>
      <c r="Y44" s="1262"/>
      <c r="Z44" s="1262">
        <f>VLOOKUP(C44,'CNKT '!$D$114:$AA$177,24,0)</f>
        <v>6550316</v>
      </c>
      <c r="AA44" s="1116">
        <f t="shared" si="4"/>
        <v>0</v>
      </c>
    </row>
    <row r="45" spans="1:27" s="1116" customFormat="1" ht="42.75" customHeight="1">
      <c r="A45" s="1242">
        <v>29</v>
      </c>
      <c r="B45" s="1262" t="str">
        <f>'Chấm công KT'!C123</f>
        <v>03615</v>
      </c>
      <c r="C45" s="1262" t="str">
        <f>TONGHOPCONGDOI!C124</f>
        <v>T. Xi Nuôn</v>
      </c>
      <c r="D45" s="1262"/>
      <c r="E45" s="1263"/>
      <c r="F45" s="1262">
        <f t="shared" si="1"/>
        <v>0</v>
      </c>
      <c r="G45" s="1262">
        <f>VLOOKUP(C45,TONGHOPCONGDOI!C124:AD160,16,0)</f>
        <v>1950</v>
      </c>
      <c r="H45" s="1262">
        <f>VLOOKUP(C45,TONGHOPCONGDOI!C124:AD160,17,0)</f>
        <v>0</v>
      </c>
      <c r="I45" s="1262"/>
      <c r="J45" s="1264">
        <f t="shared" si="2"/>
        <v>900.42571200030363</v>
      </c>
      <c r="K45" s="1242" t="str">
        <f>VLOOKUP(C45,'BTH mủ tạp'!D127:AN188,37,0)</f>
        <v>B</v>
      </c>
      <c r="L45" s="1246">
        <f t="shared" si="3"/>
        <v>3492996</v>
      </c>
      <c r="M45" s="1262">
        <f>VLOOKUP(C45,TONGHOPCONGDOI!$C$96:$AD$159,20,0)</f>
        <v>20</v>
      </c>
      <c r="N45" s="1262">
        <f>VLOOKUP(C45,TONGHOPCONGDOI!$C$96:$AD$159,21,0)</f>
        <v>4</v>
      </c>
      <c r="O45" s="1262">
        <f>VLOOKUP(C45,TONGHOPCONGDOI!$C$96:$AD$159,22,0)</f>
        <v>0</v>
      </c>
      <c r="P45" s="1262">
        <f>VLOOKUP(C45,TONGHOPCONGDOI!$C$96:$AD$159,23,0)</f>
        <v>0</v>
      </c>
      <c r="Q45" s="1262">
        <f>VLOOKUP(C45,TONGHOPCONGDOI!$C$96:$AD$159,24,0)</f>
        <v>0</v>
      </c>
      <c r="R45" s="1262">
        <f>VLOOKUP(C45,TONGHOPCONGDOI!$C$96:$AD$159,25,0)</f>
        <v>0</v>
      </c>
      <c r="S45" s="1262"/>
      <c r="T45" s="1244"/>
      <c r="U45" s="1244"/>
      <c r="V45" s="1244"/>
      <c r="W45" s="1247">
        <f t="shared" si="5"/>
        <v>822406</v>
      </c>
      <c r="X45" s="1262">
        <f t="shared" si="0"/>
        <v>4315402</v>
      </c>
      <c r="Y45" s="1262"/>
      <c r="Z45" s="1262">
        <f>VLOOKUP(C45,'CNKT '!$D$114:$AA$177,24,0)</f>
        <v>4315402</v>
      </c>
      <c r="AA45" s="1116">
        <f t="shared" si="4"/>
        <v>0</v>
      </c>
    </row>
    <row r="46" spans="1:27" s="1116" customFormat="1" ht="42.75" customHeight="1">
      <c r="A46" s="1242">
        <v>30</v>
      </c>
      <c r="B46" s="1262" t="str">
        <f>'Chấm công KT'!C124</f>
        <v>03616</v>
      </c>
      <c r="C46" s="1262" t="str">
        <f>TONGHOPCONGDOI!C125</f>
        <v>N. Ốc</v>
      </c>
      <c r="D46" s="1262"/>
      <c r="E46" s="1263"/>
      <c r="F46" s="1262">
        <f t="shared" si="1"/>
        <v>0</v>
      </c>
      <c r="G46" s="1262">
        <f>VLOOKUP(C46,TONGHOPCONGDOI!C125:AD160,16,0)</f>
        <v>2389</v>
      </c>
      <c r="H46" s="1262">
        <f>VLOOKUP(C46,TONGHOPCONGDOI!C125:AD160,17,0)</f>
        <v>0</v>
      </c>
      <c r="I46" s="1262"/>
      <c r="J46" s="1264">
        <f t="shared" si="2"/>
        <v>1103.1369363942181</v>
      </c>
      <c r="K46" s="1242" t="str">
        <f>VLOOKUP(C46,'BTH mủ tạp'!D128:AN189,37,0)</f>
        <v>A</v>
      </c>
      <c r="L46" s="1246">
        <f t="shared" si="3"/>
        <v>4500715</v>
      </c>
      <c r="M46" s="1262">
        <f>VLOOKUP(C46,TONGHOPCONGDOI!$C$96:$AD$159,20,0)</f>
        <v>24</v>
      </c>
      <c r="N46" s="1262">
        <f>VLOOKUP(C46,TONGHOPCONGDOI!$C$96:$AD$159,21,0)</f>
        <v>5</v>
      </c>
      <c r="O46" s="1262">
        <f>VLOOKUP(C46,TONGHOPCONGDOI!$C$96:$AD$159,22,0)</f>
        <v>0</v>
      </c>
      <c r="P46" s="1262">
        <f>VLOOKUP(C46,TONGHOPCONGDOI!$C$96:$AD$159,23,0)</f>
        <v>0</v>
      </c>
      <c r="Q46" s="1262">
        <f>VLOOKUP(C46,TONGHOPCONGDOI!$C$96:$AD$159,24,0)</f>
        <v>0</v>
      </c>
      <c r="R46" s="1262">
        <f>VLOOKUP(C46,TONGHOPCONGDOI!$C$96:$AD$159,25,0)</f>
        <v>0</v>
      </c>
      <c r="S46" s="1262"/>
      <c r="T46" s="1244"/>
      <c r="U46" s="1244"/>
      <c r="V46" s="1244"/>
      <c r="W46" s="1247">
        <f t="shared" si="5"/>
        <v>997174</v>
      </c>
      <c r="X46" s="1262">
        <f t="shared" si="0"/>
        <v>5497889</v>
      </c>
      <c r="Y46" s="1262"/>
      <c r="Z46" s="1262">
        <f>VLOOKUP(C46,'CNKT '!$D$114:$AA$177,24,0)</f>
        <v>5497889</v>
      </c>
      <c r="AA46" s="1116">
        <f t="shared" si="4"/>
        <v>0</v>
      </c>
    </row>
    <row r="47" spans="1:27" s="1116" customFormat="1" ht="42.75" customHeight="1">
      <c r="A47" s="1242">
        <v>31</v>
      </c>
      <c r="B47" s="1262" t="str">
        <f>'Chấm công KT'!C125</f>
        <v>03617</v>
      </c>
      <c r="C47" s="1262" t="str">
        <f>TONGHOPCONGDOI!C126</f>
        <v>T. Văn Nô</v>
      </c>
      <c r="D47" s="1262"/>
      <c r="E47" s="1263"/>
      <c r="F47" s="1262">
        <f t="shared" si="1"/>
        <v>0</v>
      </c>
      <c r="G47" s="1262">
        <f>VLOOKUP(C47,TONGHOPCONGDOI!C126:AD160,16,0)</f>
        <v>3310</v>
      </c>
      <c r="H47" s="1262">
        <f>VLOOKUP(C47,TONGHOPCONGDOI!C126:AD160,17,0)</f>
        <v>0</v>
      </c>
      <c r="I47" s="1262"/>
      <c r="J47" s="1264">
        <f t="shared" si="2"/>
        <v>1528.4149265235924</v>
      </c>
      <c r="K47" s="1242" t="str">
        <f>VLOOKUP(C47,'BTH mủ tạp'!D129:AN190,37,0)</f>
        <v>A</v>
      </c>
      <c r="L47" s="1246">
        <f t="shared" si="3"/>
        <v>6235817</v>
      </c>
      <c r="M47" s="1262">
        <f>VLOOKUP(C47,TONGHOPCONGDOI!$C$96:$AD$159,20,0)</f>
        <v>24</v>
      </c>
      <c r="N47" s="1262">
        <f>VLOOKUP(C47,TONGHOPCONGDOI!$C$96:$AD$159,21,0)</f>
        <v>5</v>
      </c>
      <c r="O47" s="1262">
        <f>VLOOKUP(C47,TONGHOPCONGDOI!$C$96:$AD$159,22,0)</f>
        <v>0</v>
      </c>
      <c r="P47" s="1262">
        <f>VLOOKUP(C47,TONGHOPCONGDOI!$C$96:$AD$159,23,0)</f>
        <v>0</v>
      </c>
      <c r="Q47" s="1262">
        <f>VLOOKUP(C47,TONGHOPCONGDOI!$C$96:$AD$159,24,0)</f>
        <v>0</v>
      </c>
      <c r="R47" s="1262">
        <f>VLOOKUP(C47,TONGHOPCONGDOI!$C$96:$AD$159,25,0)</f>
        <v>0</v>
      </c>
      <c r="S47" s="1262"/>
      <c r="T47" s="1244"/>
      <c r="U47" s="1244"/>
      <c r="V47" s="1244"/>
      <c r="W47" s="1247">
        <f t="shared" si="5"/>
        <v>997174</v>
      </c>
      <c r="X47" s="1262">
        <f t="shared" si="0"/>
        <v>7232991</v>
      </c>
      <c r="Y47" s="1262"/>
      <c r="Z47" s="1262">
        <f>VLOOKUP(C47,'CNKT '!$D$114:$AA$177,24,0)</f>
        <v>7232991</v>
      </c>
      <c r="AA47" s="1116">
        <f t="shared" si="4"/>
        <v>0</v>
      </c>
    </row>
    <row r="48" spans="1:27" s="1116" customFormat="1" ht="42.75" customHeight="1">
      <c r="A48" s="1242">
        <v>32</v>
      </c>
      <c r="B48" s="1262" t="str">
        <f>'Chấm công KT'!C126</f>
        <v>03618</v>
      </c>
      <c r="C48" s="1262" t="str">
        <f>TONGHOPCONGDOI!C127</f>
        <v>N. Văn Ta</v>
      </c>
      <c r="D48" s="1262"/>
      <c r="E48" s="1263"/>
      <c r="F48" s="1262">
        <f t="shared" si="1"/>
        <v>0</v>
      </c>
      <c r="G48" s="1262">
        <f>VLOOKUP(C48,TONGHOPCONGDOI!C127:AD160,16,0)</f>
        <v>2844</v>
      </c>
      <c r="H48" s="1262">
        <f>VLOOKUP(C48,TONGHOPCONGDOI!C127:AD160,17,0)</f>
        <v>0</v>
      </c>
      <c r="I48" s="1262"/>
      <c r="J48" s="1264">
        <f t="shared" si="2"/>
        <v>1313.236269194289</v>
      </c>
      <c r="K48" s="1242" t="str">
        <f>VLOOKUP(C48,'BTH mủ tạp'!D130:AN191,37,0)</f>
        <v>A</v>
      </c>
      <c r="L48" s="1246">
        <f t="shared" si="3"/>
        <v>5357904</v>
      </c>
      <c r="M48" s="1262">
        <f>VLOOKUP(C48,TONGHOPCONGDOI!$C$96:$AD$159,20,0)</f>
        <v>24</v>
      </c>
      <c r="N48" s="1262">
        <f>VLOOKUP(C48,TONGHOPCONGDOI!$C$96:$AD$159,21,0)</f>
        <v>5</v>
      </c>
      <c r="O48" s="1262">
        <f>VLOOKUP(C48,TONGHOPCONGDOI!$C$96:$AD$159,22,0)</f>
        <v>0</v>
      </c>
      <c r="P48" s="1262">
        <f>VLOOKUP(C48,TONGHOPCONGDOI!$C$96:$AD$159,23,0)</f>
        <v>0</v>
      </c>
      <c r="Q48" s="1262">
        <f>VLOOKUP(C48,TONGHOPCONGDOI!$C$96:$AD$159,24,0)</f>
        <v>0</v>
      </c>
      <c r="R48" s="1262">
        <f>VLOOKUP(C48,TONGHOPCONGDOI!$C$96:$AD$159,25,0)</f>
        <v>0</v>
      </c>
      <c r="S48" s="1262"/>
      <c r="T48" s="1244"/>
      <c r="U48" s="1244"/>
      <c r="V48" s="1244"/>
      <c r="W48" s="1247">
        <f t="shared" si="5"/>
        <v>997174</v>
      </c>
      <c r="X48" s="1262">
        <f t="shared" si="0"/>
        <v>6355078</v>
      </c>
      <c r="Y48" s="1262"/>
      <c r="Z48" s="1262">
        <f>VLOOKUP(C48,'CNKT '!$D$114:$AA$177,24,0)</f>
        <v>6355078</v>
      </c>
      <c r="AA48" s="1116">
        <f t="shared" si="4"/>
        <v>0</v>
      </c>
    </row>
    <row r="49" spans="1:27" s="1116" customFormat="1" ht="42.75" customHeight="1">
      <c r="A49" s="1242">
        <v>33</v>
      </c>
      <c r="B49" s="1262" t="str">
        <f>'Chấm công KT'!C127</f>
        <v>03619</v>
      </c>
      <c r="C49" s="1262" t="str">
        <f>TONGHOPCONGDOI!C128</f>
        <v>T. Thon</v>
      </c>
      <c r="D49" s="1262"/>
      <c r="E49" s="1263"/>
      <c r="F49" s="1262">
        <f t="shared" si="1"/>
        <v>0</v>
      </c>
      <c r="G49" s="1262">
        <f>VLOOKUP(C49,TONGHOPCONGDOI!C128:AD160,16,0)</f>
        <v>2869</v>
      </c>
      <c r="H49" s="1262">
        <f>VLOOKUP(C49,TONGHOPCONGDOI!C128:AD160,17,0)</f>
        <v>0</v>
      </c>
      <c r="I49" s="1262"/>
      <c r="J49" s="1264">
        <f t="shared" ref="J49:J78" si="6">$AB$11/$AB$10*G49+H49*$AB$12+I49*$AB$13</f>
        <v>1324.7801885789083</v>
      </c>
      <c r="K49" s="1242" t="str">
        <f>VLOOKUP(C49,'BTH mủ tạp'!D131:AN192,37,0)</f>
        <v>A</v>
      </c>
      <c r="L49" s="1246">
        <f t="shared" si="3"/>
        <v>5405002</v>
      </c>
      <c r="M49" s="1262">
        <f>VLOOKUP(C49,TONGHOPCONGDOI!$C$96:$AD$159,20,0)</f>
        <v>24</v>
      </c>
      <c r="N49" s="1262">
        <f>VLOOKUP(C49,TONGHOPCONGDOI!$C$96:$AD$159,21,0)</f>
        <v>5</v>
      </c>
      <c r="O49" s="1262">
        <f>VLOOKUP(C49,TONGHOPCONGDOI!$C$96:$AD$159,22,0)</f>
        <v>0</v>
      </c>
      <c r="P49" s="1262">
        <f>VLOOKUP(C49,TONGHOPCONGDOI!$C$96:$AD$159,23,0)</f>
        <v>0</v>
      </c>
      <c r="Q49" s="1262">
        <f>VLOOKUP(C49,TONGHOPCONGDOI!$C$96:$AD$159,24,0)</f>
        <v>0</v>
      </c>
      <c r="R49" s="1262">
        <f>VLOOKUP(C49,TONGHOPCONGDOI!$C$96:$AD$159,25,0)</f>
        <v>0</v>
      </c>
      <c r="S49" s="1262"/>
      <c r="T49" s="1244"/>
      <c r="U49" s="1244"/>
      <c r="V49" s="1244"/>
      <c r="W49" s="1247">
        <f t="shared" si="5"/>
        <v>997174</v>
      </c>
      <c r="X49" s="1262">
        <f t="shared" ref="X49:X80" si="7">F49+L49+W49</f>
        <v>6402176</v>
      </c>
      <c r="Y49" s="1262"/>
      <c r="Z49" s="1262">
        <f>VLOOKUP(C49,'CNKT '!$D$114:$AA$177,24,0)</f>
        <v>6402176</v>
      </c>
      <c r="AA49" s="1116">
        <f t="shared" si="4"/>
        <v>0</v>
      </c>
    </row>
    <row r="50" spans="1:27" s="1116" customFormat="1" ht="42.75" customHeight="1">
      <c r="A50" s="1242">
        <v>34</v>
      </c>
      <c r="B50" s="1262" t="str">
        <f>'Chấm công KT'!C128</f>
        <v>03620</v>
      </c>
      <c r="C50" s="1262" t="str">
        <f>TONGHOPCONGDOI!C129</f>
        <v>Bun Thon</v>
      </c>
      <c r="D50" s="1262"/>
      <c r="E50" s="1263"/>
      <c r="F50" s="1262">
        <f t="shared" si="1"/>
        <v>0</v>
      </c>
      <c r="G50" s="1262">
        <f>VLOOKUP(C50,TONGHOPCONGDOI!C129:AD160,16,0)</f>
        <v>2047</v>
      </c>
      <c r="H50" s="1262">
        <f>VLOOKUP(C50,TONGHOPCONGDOI!C129:AD160,17,0)</f>
        <v>0</v>
      </c>
      <c r="I50" s="1262"/>
      <c r="J50" s="1264">
        <f t="shared" si="6"/>
        <v>945.2161192126265</v>
      </c>
      <c r="K50" s="1242" t="str">
        <f>VLOOKUP(C50,'BTH mủ tạp'!D132:AN193,37,0)</f>
        <v>A</v>
      </c>
      <c r="L50" s="1246">
        <f t="shared" si="3"/>
        <v>3856410</v>
      </c>
      <c r="M50" s="1262">
        <f>VLOOKUP(C50,TONGHOPCONGDOI!$C$96:$AD$159,20,0)</f>
        <v>20</v>
      </c>
      <c r="N50" s="1262">
        <f>VLOOKUP(C50,TONGHOPCONGDOI!$C$96:$AD$159,21,0)</f>
        <v>4</v>
      </c>
      <c r="O50" s="1262">
        <f>VLOOKUP(C50,TONGHOPCONGDOI!$C$96:$AD$159,22,0)</f>
        <v>0</v>
      </c>
      <c r="P50" s="1262">
        <f>VLOOKUP(C50,TONGHOPCONGDOI!$C$96:$AD$159,23,0)</f>
        <v>0</v>
      </c>
      <c r="Q50" s="1262">
        <f>VLOOKUP(C50,TONGHOPCONGDOI!$C$96:$AD$159,24,0)</f>
        <v>0</v>
      </c>
      <c r="R50" s="1262">
        <f>VLOOKUP(C50,TONGHOPCONGDOI!$C$96:$AD$159,25,0)</f>
        <v>0</v>
      </c>
      <c r="S50" s="1262"/>
      <c r="T50" s="1244"/>
      <c r="U50" s="1244"/>
      <c r="V50" s="1244"/>
      <c r="W50" s="1247">
        <f t="shared" si="5"/>
        <v>822406</v>
      </c>
      <c r="X50" s="1262">
        <f t="shared" si="7"/>
        <v>4678816</v>
      </c>
      <c r="Y50" s="1262"/>
      <c r="Z50" s="1262">
        <f>VLOOKUP(C50,'CNKT '!$D$114:$AA$177,24,0)</f>
        <v>4678816</v>
      </c>
      <c r="AA50" s="1116">
        <f t="shared" si="4"/>
        <v>0</v>
      </c>
    </row>
    <row r="51" spans="1:27" s="1116" customFormat="1" ht="42.75" customHeight="1">
      <c r="A51" s="1242">
        <v>35</v>
      </c>
      <c r="B51" s="1262" t="str">
        <f>'Chấm công KT'!C129</f>
        <v>04078</v>
      </c>
      <c r="C51" s="1262" t="str">
        <f>TONGHOPCONGDOI!C130</f>
        <v>Lăm Thong</v>
      </c>
      <c r="D51" s="1262"/>
      <c r="E51" s="1263"/>
      <c r="F51" s="1262">
        <f t="shared" si="1"/>
        <v>0</v>
      </c>
      <c r="G51" s="1262">
        <f>VLOOKUP(C51,TONGHOPCONGDOI!C130:AD160,16,0)</f>
        <v>2113</v>
      </c>
      <c r="H51" s="1262">
        <f>VLOOKUP(C51,TONGHOPCONGDOI!C130:AD160,17,0)</f>
        <v>0</v>
      </c>
      <c r="I51" s="1262"/>
      <c r="J51" s="1264">
        <f t="shared" si="6"/>
        <v>975.69206638802132</v>
      </c>
      <c r="K51" s="1242" t="str">
        <f>VLOOKUP(C51,'BTH mủ tạp'!D133:AN194,37,0)</f>
        <v>B</v>
      </c>
      <c r="L51" s="1246">
        <f t="shared" si="3"/>
        <v>3784975</v>
      </c>
      <c r="M51" s="1262">
        <f>VLOOKUP(C51,TONGHOPCONGDOI!$C$96:$AD$159,20,0)</f>
        <v>22</v>
      </c>
      <c r="N51" s="1262">
        <f>VLOOKUP(C51,TONGHOPCONGDOI!$C$96:$AD$159,21,0)</f>
        <v>4</v>
      </c>
      <c r="O51" s="1262">
        <f>VLOOKUP(C51,TONGHOPCONGDOI!$C$96:$AD$159,22,0)</f>
        <v>0</v>
      </c>
      <c r="P51" s="1262">
        <f>VLOOKUP(C51,TONGHOPCONGDOI!$C$96:$AD$159,23,0)</f>
        <v>0</v>
      </c>
      <c r="Q51" s="1262">
        <f>VLOOKUP(C51,TONGHOPCONGDOI!$C$96:$AD$159,24,0)</f>
        <v>0</v>
      </c>
      <c r="R51" s="1262">
        <f>VLOOKUP(C51,TONGHOPCONGDOI!$C$96:$AD$159,25,0)</f>
        <v>0</v>
      </c>
      <c r="S51" s="1262"/>
      <c r="T51" s="1244"/>
      <c r="U51" s="1244"/>
      <c r="V51" s="1244"/>
      <c r="W51" s="1247">
        <f t="shared" si="5"/>
        <v>884073</v>
      </c>
      <c r="X51" s="1262">
        <f t="shared" si="7"/>
        <v>4669048</v>
      </c>
      <c r="Y51" s="1262"/>
      <c r="Z51" s="1262">
        <f>VLOOKUP(C51,'CNKT '!$D$114:$AA$177,24,0)</f>
        <v>4669048</v>
      </c>
      <c r="AA51" s="1116">
        <f t="shared" si="4"/>
        <v>0</v>
      </c>
    </row>
    <row r="52" spans="1:27" s="1116" customFormat="1" ht="42.75" customHeight="1">
      <c r="A52" s="1242">
        <v>36</v>
      </c>
      <c r="B52" s="1262" t="str">
        <f>'Chấm công KT'!C130</f>
        <v>03622</v>
      </c>
      <c r="C52" s="1262" t="str">
        <f>TONGHOPCONGDOI!C131</f>
        <v>N. Xeo Khăm</v>
      </c>
      <c r="D52" s="1262"/>
      <c r="E52" s="1263"/>
      <c r="F52" s="1262">
        <f t="shared" si="1"/>
        <v>0</v>
      </c>
      <c r="G52" s="1262">
        <f>VLOOKUP(C52,TONGHOPCONGDOI!C131:AD160,16,0)</f>
        <v>3315</v>
      </c>
      <c r="H52" s="1262">
        <f>VLOOKUP(C52,TONGHOPCONGDOI!C131:AD160,17,0)</f>
        <v>0</v>
      </c>
      <c r="I52" s="1262"/>
      <c r="J52" s="1264">
        <f t="shared" si="6"/>
        <v>1530.7237104005162</v>
      </c>
      <c r="K52" s="1242" t="str">
        <f>VLOOKUP(C52,'BTH mủ tạp'!D134:AN195,37,0)</f>
        <v>A</v>
      </c>
      <c r="L52" s="1246">
        <f t="shared" si="3"/>
        <v>6245236</v>
      </c>
      <c r="M52" s="1262">
        <f>VLOOKUP(C52,TONGHOPCONGDOI!$C$96:$AD$159,20,0)</f>
        <v>24</v>
      </c>
      <c r="N52" s="1262">
        <f>VLOOKUP(C52,TONGHOPCONGDOI!$C$96:$AD$159,21,0)</f>
        <v>5</v>
      </c>
      <c r="O52" s="1262">
        <f>VLOOKUP(C52,TONGHOPCONGDOI!$C$96:$AD$159,22,0)</f>
        <v>0</v>
      </c>
      <c r="P52" s="1262">
        <f>VLOOKUP(C52,TONGHOPCONGDOI!$C$96:$AD$159,23,0)</f>
        <v>0</v>
      </c>
      <c r="Q52" s="1262">
        <f>VLOOKUP(C52,TONGHOPCONGDOI!$C$96:$AD$159,24,0)</f>
        <v>0</v>
      </c>
      <c r="R52" s="1262">
        <f>VLOOKUP(C52,TONGHOPCONGDOI!$C$96:$AD$159,25,0)</f>
        <v>0</v>
      </c>
      <c r="S52" s="1262"/>
      <c r="T52" s="1244"/>
      <c r="U52" s="1244"/>
      <c r="V52" s="1244"/>
      <c r="W52" s="1247">
        <f t="shared" si="5"/>
        <v>997174</v>
      </c>
      <c r="X52" s="1262">
        <f t="shared" si="7"/>
        <v>7242410</v>
      </c>
      <c r="Y52" s="1262"/>
      <c r="Z52" s="1262">
        <f>VLOOKUP(C52,'CNKT '!$D$114:$AA$177,24,0)</f>
        <v>7242410</v>
      </c>
      <c r="AA52" s="1116">
        <f t="shared" si="4"/>
        <v>0</v>
      </c>
    </row>
    <row r="53" spans="1:27" s="1116" customFormat="1" ht="42.75" customHeight="1">
      <c r="A53" s="1242">
        <v>37</v>
      </c>
      <c r="B53" s="1262" t="str">
        <f>'Chấm công KT'!C131</f>
        <v>03623</v>
      </c>
      <c r="C53" s="1262" t="str">
        <f>TONGHOPCONGDOI!C132</f>
        <v>T. Khăm...</v>
      </c>
      <c r="D53" s="1262"/>
      <c r="E53" s="1263"/>
      <c r="F53" s="1262">
        <f t="shared" si="1"/>
        <v>0</v>
      </c>
      <c r="G53" s="1262">
        <f>VLOOKUP(C53,TONGHOPCONGDOI!C132:AD160,16,0)</f>
        <v>3225</v>
      </c>
      <c r="H53" s="1262">
        <f>VLOOKUP(C53,TONGHOPCONGDOI!C132:AD160,17,0)</f>
        <v>0</v>
      </c>
      <c r="I53" s="1262"/>
      <c r="J53" s="1264">
        <f t="shared" si="6"/>
        <v>1489.1656006158869</v>
      </c>
      <c r="K53" s="1242" t="str">
        <f>VLOOKUP(C53,'BTH mủ tạp'!D135:AN196,37,0)</f>
        <v>A</v>
      </c>
      <c r="L53" s="1246">
        <f t="shared" si="3"/>
        <v>6075682</v>
      </c>
      <c r="M53" s="1262">
        <f>VLOOKUP(C53,TONGHOPCONGDOI!$C$96:$AD$159,20,0)</f>
        <v>24</v>
      </c>
      <c r="N53" s="1262">
        <f>VLOOKUP(C53,TONGHOPCONGDOI!$C$96:$AD$159,21,0)</f>
        <v>5</v>
      </c>
      <c r="O53" s="1262">
        <f>VLOOKUP(C53,TONGHOPCONGDOI!$C$96:$AD$159,22,0)</f>
        <v>0</v>
      </c>
      <c r="P53" s="1262">
        <f>VLOOKUP(C53,TONGHOPCONGDOI!$C$96:$AD$159,23,0)</f>
        <v>0</v>
      </c>
      <c r="Q53" s="1262">
        <f>VLOOKUP(C53,TONGHOPCONGDOI!$C$96:$AD$159,24,0)</f>
        <v>0</v>
      </c>
      <c r="R53" s="1262">
        <f>VLOOKUP(C53,TONGHOPCONGDOI!$C$96:$AD$159,25,0)</f>
        <v>0</v>
      </c>
      <c r="S53" s="1262"/>
      <c r="T53" s="1244"/>
      <c r="U53" s="1244"/>
      <c r="V53" s="1244"/>
      <c r="W53" s="1247">
        <f t="shared" si="5"/>
        <v>997174</v>
      </c>
      <c r="X53" s="1262">
        <f t="shared" si="7"/>
        <v>7072856</v>
      </c>
      <c r="Y53" s="1262"/>
      <c r="Z53" s="1262">
        <f>VLOOKUP(C53,'CNKT '!$D$114:$AA$177,24,0)</f>
        <v>7072856</v>
      </c>
      <c r="AA53" s="1116">
        <f t="shared" si="4"/>
        <v>0</v>
      </c>
    </row>
    <row r="54" spans="1:27" s="1116" customFormat="1" ht="42.75" customHeight="1">
      <c r="A54" s="1242">
        <v>38</v>
      </c>
      <c r="B54" s="1262" t="str">
        <f>'Chấm công KT'!C132</f>
        <v>03532</v>
      </c>
      <c r="C54" s="1262" t="str">
        <f>TONGHOPCONGDOI!C133</f>
        <v>N. Túc</v>
      </c>
      <c r="D54" s="1262"/>
      <c r="E54" s="1263"/>
      <c r="F54" s="1262">
        <f t="shared" si="1"/>
        <v>0</v>
      </c>
      <c r="G54" s="1262">
        <f>VLOOKUP(C54,TONGHOPCONGDOI!C133:AD160,16,0)</f>
        <v>3015</v>
      </c>
      <c r="H54" s="1262">
        <f>VLOOKUP(C54,TONGHOPCONGDOI!C133:AD160,17,0)</f>
        <v>0</v>
      </c>
      <c r="I54" s="1262"/>
      <c r="J54" s="1264">
        <f t="shared" si="6"/>
        <v>1392.1966777850848</v>
      </c>
      <c r="K54" s="1242" t="str">
        <f>VLOOKUP(C54,'BTH mủ tạp'!D136:AN197,37,0)</f>
        <v>A</v>
      </c>
      <c r="L54" s="1246">
        <f t="shared" si="3"/>
        <v>5680057</v>
      </c>
      <c r="M54" s="1262">
        <f>VLOOKUP(C54,TONGHOPCONGDOI!$C$96:$AD$159,20,0)</f>
        <v>24</v>
      </c>
      <c r="N54" s="1262">
        <f>VLOOKUP(C54,TONGHOPCONGDOI!$C$96:$AD$159,21,0)</f>
        <v>5</v>
      </c>
      <c r="O54" s="1262">
        <f>VLOOKUP(C54,TONGHOPCONGDOI!$C$96:$AD$159,22,0)</f>
        <v>0</v>
      </c>
      <c r="P54" s="1262">
        <f>VLOOKUP(C54,TONGHOPCONGDOI!$C$96:$AD$159,23,0)</f>
        <v>0</v>
      </c>
      <c r="Q54" s="1262">
        <f>VLOOKUP(C54,TONGHOPCONGDOI!$C$96:$AD$159,24,0)</f>
        <v>0</v>
      </c>
      <c r="R54" s="1262">
        <f>VLOOKUP(C54,TONGHOPCONGDOI!$C$96:$AD$159,25,0)</f>
        <v>0</v>
      </c>
      <c r="S54" s="1262"/>
      <c r="T54" s="1244"/>
      <c r="U54" s="1244"/>
      <c r="V54" s="1244"/>
      <c r="W54" s="1247">
        <f t="shared" si="5"/>
        <v>997174</v>
      </c>
      <c r="X54" s="1262">
        <f t="shared" si="7"/>
        <v>6677231</v>
      </c>
      <c r="Y54" s="1262"/>
      <c r="Z54" s="1262">
        <f>VLOOKUP(C54,'CNKT '!$D$114:$AA$177,24,0)</f>
        <v>6677231</v>
      </c>
      <c r="AA54" s="1116">
        <f t="shared" si="4"/>
        <v>0</v>
      </c>
    </row>
    <row r="55" spans="1:27" s="1116" customFormat="1" ht="42.75" customHeight="1">
      <c r="A55" s="1242">
        <v>39</v>
      </c>
      <c r="B55" s="1262" t="str">
        <f>'Chấm công KT'!C133</f>
        <v>03625</v>
      </c>
      <c r="C55" s="1262" t="str">
        <f>TONGHOPCONGDOI!C134</f>
        <v>N. Pheng</v>
      </c>
      <c r="D55" s="1262"/>
      <c r="E55" s="1263"/>
      <c r="F55" s="1262">
        <f t="shared" si="1"/>
        <v>0</v>
      </c>
      <c r="G55" s="1262">
        <f>VLOOKUP(C55,TONGHOPCONGDOI!C134:AD160,16,0)</f>
        <v>3549</v>
      </c>
      <c r="H55" s="1262">
        <f>VLOOKUP(C55,TONGHOPCONGDOI!C134:AD160,17,0)</f>
        <v>0</v>
      </c>
      <c r="I55" s="1262"/>
      <c r="J55" s="1264">
        <f t="shared" si="6"/>
        <v>1638.7747958405528</v>
      </c>
      <c r="K55" s="1242" t="str">
        <f>VLOOKUP(C55,'BTH mủ tạp'!D137:AN198,37,0)</f>
        <v>A</v>
      </c>
      <c r="L55" s="1246">
        <f t="shared" si="3"/>
        <v>6686077</v>
      </c>
      <c r="M55" s="1262">
        <f>VLOOKUP(C55,TONGHOPCONGDOI!$C$96:$AD$159,20,0)</f>
        <v>24</v>
      </c>
      <c r="N55" s="1262">
        <f>VLOOKUP(C55,TONGHOPCONGDOI!$C$96:$AD$159,21,0)</f>
        <v>5</v>
      </c>
      <c r="O55" s="1262">
        <f>VLOOKUP(C55,TONGHOPCONGDOI!$C$96:$AD$159,22,0)</f>
        <v>0</v>
      </c>
      <c r="P55" s="1262">
        <f>VLOOKUP(C55,TONGHOPCONGDOI!$C$96:$AD$159,23,0)</f>
        <v>0</v>
      </c>
      <c r="Q55" s="1262">
        <f>VLOOKUP(C55,TONGHOPCONGDOI!$C$96:$AD$159,24,0)</f>
        <v>0</v>
      </c>
      <c r="R55" s="1262">
        <f>VLOOKUP(C55,TONGHOPCONGDOI!$C$96:$AD$159,25,0)</f>
        <v>0</v>
      </c>
      <c r="S55" s="1262"/>
      <c r="T55" s="1244"/>
      <c r="U55" s="1244"/>
      <c r="V55" s="1244"/>
      <c r="W55" s="1247">
        <f t="shared" si="5"/>
        <v>997174</v>
      </c>
      <c r="X55" s="1262">
        <f t="shared" si="7"/>
        <v>7683251</v>
      </c>
      <c r="Y55" s="1262"/>
      <c r="Z55" s="1262">
        <f>VLOOKUP(C55,'CNKT '!$D$114:$AA$177,24,0)</f>
        <v>7683251</v>
      </c>
      <c r="AA55" s="1116">
        <f t="shared" si="4"/>
        <v>0</v>
      </c>
    </row>
    <row r="56" spans="1:27" s="1116" customFormat="1" ht="42.75" customHeight="1">
      <c r="A56" s="1242">
        <v>40</v>
      </c>
      <c r="B56" s="1262" t="str">
        <f>'Chấm công KT'!C134</f>
        <v>03587</v>
      </c>
      <c r="C56" s="1262" t="str">
        <f>TONGHOPCONGDOI!C135</f>
        <v>N. Mom</v>
      </c>
      <c r="D56" s="1262"/>
      <c r="E56" s="1263"/>
      <c r="F56" s="1262">
        <f t="shared" si="1"/>
        <v>0</v>
      </c>
      <c r="G56" s="1262">
        <f>VLOOKUP(C56,TONGHOPCONGDOI!C135:AD160,16,0)</f>
        <v>3228</v>
      </c>
      <c r="H56" s="1262">
        <f>VLOOKUP(C56,TONGHOPCONGDOI!C135:AD160,17,0)</f>
        <v>0</v>
      </c>
      <c r="I56" s="1262"/>
      <c r="J56" s="1264">
        <f t="shared" si="6"/>
        <v>1490.5508709420412</v>
      </c>
      <c r="K56" s="1242" t="str">
        <f>VLOOKUP(C56,'BTH mủ tạp'!D138:AN199,37,0)</f>
        <v>A</v>
      </c>
      <c r="L56" s="1246">
        <f t="shared" si="3"/>
        <v>6081334</v>
      </c>
      <c r="M56" s="1262">
        <f>VLOOKUP(C56,TONGHOPCONGDOI!$C$96:$AD$159,20,0)</f>
        <v>24</v>
      </c>
      <c r="N56" s="1262">
        <f>VLOOKUP(C56,TONGHOPCONGDOI!$C$96:$AD$159,21,0)</f>
        <v>5</v>
      </c>
      <c r="O56" s="1262">
        <f>VLOOKUP(C56,TONGHOPCONGDOI!$C$96:$AD$159,22,0)</f>
        <v>0</v>
      </c>
      <c r="P56" s="1262">
        <f>VLOOKUP(C56,TONGHOPCONGDOI!$C$96:$AD$159,23,0)</f>
        <v>0</v>
      </c>
      <c r="Q56" s="1262">
        <f>VLOOKUP(C56,TONGHOPCONGDOI!$C$96:$AD$159,24,0)</f>
        <v>0</v>
      </c>
      <c r="R56" s="1262">
        <f>VLOOKUP(C56,TONGHOPCONGDOI!$C$96:$AD$159,25,0)</f>
        <v>0</v>
      </c>
      <c r="S56" s="1262"/>
      <c r="T56" s="1244"/>
      <c r="U56" s="1244"/>
      <c r="V56" s="1244"/>
      <c r="W56" s="1247">
        <f t="shared" si="5"/>
        <v>997174</v>
      </c>
      <c r="X56" s="1262">
        <f t="shared" si="7"/>
        <v>7078508</v>
      </c>
      <c r="Y56" s="1262"/>
      <c r="Z56" s="1262">
        <f>VLOOKUP(C56,'CNKT '!$D$114:$AA$177,24,0)</f>
        <v>7078508</v>
      </c>
      <c r="AA56" s="1116">
        <f t="shared" si="4"/>
        <v>0</v>
      </c>
    </row>
    <row r="57" spans="1:27" s="1116" customFormat="1" ht="42.75" customHeight="1">
      <c r="A57" s="1242">
        <v>41</v>
      </c>
      <c r="B57" s="1262" t="str">
        <f>'Chấm công KT'!C135</f>
        <v>04079</v>
      </c>
      <c r="C57" s="1262" t="str">
        <f>TONGHOPCONGDOI!C136</f>
        <v>T. Môn</v>
      </c>
      <c r="D57" s="1262"/>
      <c r="E57" s="1263"/>
      <c r="F57" s="1262">
        <f t="shared" si="1"/>
        <v>0</v>
      </c>
      <c r="G57" s="1262">
        <f>VLOOKUP(C57,TONGHOPCONGDOI!C136:AD160,16,0)</f>
        <v>2070</v>
      </c>
      <c r="H57" s="1262">
        <f>VLOOKUP(C57,TONGHOPCONGDOI!C136:AD160,17,0)</f>
        <v>0</v>
      </c>
      <c r="I57" s="1262"/>
      <c r="J57" s="1264">
        <f t="shared" si="6"/>
        <v>955.83652504647625</v>
      </c>
      <c r="K57" s="1242" t="str">
        <f>VLOOKUP(C57,'BTH mủ tạp'!D139:AN200,37,0)</f>
        <v>B</v>
      </c>
      <c r="L57" s="1246">
        <f t="shared" si="3"/>
        <v>3707950</v>
      </c>
      <c r="M57" s="1262">
        <f>VLOOKUP(C57,TONGHOPCONGDOI!$C$96:$AD$159,20,0)</f>
        <v>21</v>
      </c>
      <c r="N57" s="1262">
        <f>VLOOKUP(C57,TONGHOPCONGDOI!$C$96:$AD$159,21,0)</f>
        <v>5</v>
      </c>
      <c r="O57" s="1262">
        <f>VLOOKUP(C57,TONGHOPCONGDOI!$C$96:$AD$159,22,0)</f>
        <v>0</v>
      </c>
      <c r="P57" s="1262">
        <f>VLOOKUP(C57,TONGHOPCONGDOI!$C$96:$AD$159,23,0)</f>
        <v>0</v>
      </c>
      <c r="Q57" s="1262">
        <f>VLOOKUP(C57,TONGHOPCONGDOI!$C$96:$AD$159,24,0)</f>
        <v>0</v>
      </c>
      <c r="R57" s="1262">
        <f>VLOOKUP(C57,TONGHOPCONGDOI!$C$96:$AD$159,25,0)</f>
        <v>0</v>
      </c>
      <c r="S57" s="1262"/>
      <c r="T57" s="1244"/>
      <c r="U57" s="1244"/>
      <c r="V57" s="1244"/>
      <c r="W57" s="1247">
        <f t="shared" si="5"/>
        <v>904673</v>
      </c>
      <c r="X57" s="1262">
        <f t="shared" si="7"/>
        <v>4612623</v>
      </c>
      <c r="Y57" s="1262"/>
      <c r="Z57" s="1262">
        <f>VLOOKUP(C57,'CNKT '!$D$114:$AA$177,24,0)</f>
        <v>4612623</v>
      </c>
      <c r="AA57" s="1116">
        <f t="shared" si="4"/>
        <v>0</v>
      </c>
    </row>
    <row r="58" spans="1:27" s="1116" customFormat="1" ht="42.75" customHeight="1">
      <c r="A58" s="1242">
        <v>42</v>
      </c>
      <c r="B58" s="1262" t="str">
        <f>'Chấm công KT'!C136</f>
        <v>03628</v>
      </c>
      <c r="C58" s="1262" t="str">
        <f>TONGHOPCONGDOI!C137</f>
        <v>Khăn Hạ</v>
      </c>
      <c r="D58" s="1262"/>
      <c r="E58" s="1263"/>
      <c r="F58" s="1262">
        <f t="shared" si="1"/>
        <v>0</v>
      </c>
      <c r="G58" s="1262">
        <f>VLOOKUP(C58,TONGHOPCONGDOI!C137:AD160,16,0)</f>
        <v>2062</v>
      </c>
      <c r="H58" s="1262">
        <f>VLOOKUP(C58,TONGHOPCONGDOI!C137:AD160,17,0)</f>
        <v>0</v>
      </c>
      <c r="I58" s="1262"/>
      <c r="J58" s="1264">
        <f t="shared" si="6"/>
        <v>952.14247084339809</v>
      </c>
      <c r="K58" s="1242" t="str">
        <f>VLOOKUP(C58,'BTH mủ tạp'!D140:AN201,37,0)</f>
        <v>B</v>
      </c>
      <c r="L58" s="1246">
        <f t="shared" si="3"/>
        <v>3693620</v>
      </c>
      <c r="M58" s="1262">
        <f>VLOOKUP(C58,TONGHOPCONGDOI!$C$96:$AD$159,20,0)</f>
        <v>22</v>
      </c>
      <c r="N58" s="1262">
        <f>VLOOKUP(C58,TONGHOPCONGDOI!$C$96:$AD$159,21,0)</f>
        <v>5</v>
      </c>
      <c r="O58" s="1262">
        <f>VLOOKUP(C58,TONGHOPCONGDOI!$C$96:$AD$159,22,0)</f>
        <v>0</v>
      </c>
      <c r="P58" s="1262">
        <f>VLOOKUP(C58,TONGHOPCONGDOI!$C$96:$AD$159,23,0)</f>
        <v>0</v>
      </c>
      <c r="Q58" s="1262">
        <f>VLOOKUP(C58,TONGHOPCONGDOI!$C$96:$AD$159,24,0)</f>
        <v>0</v>
      </c>
      <c r="R58" s="1262">
        <f>VLOOKUP(C58,TONGHOPCONGDOI!$C$96:$AD$159,25,0)</f>
        <v>0</v>
      </c>
      <c r="S58" s="1262"/>
      <c r="T58" s="1244"/>
      <c r="U58" s="1244"/>
      <c r="V58" s="1244"/>
      <c r="W58" s="1247">
        <f t="shared" si="5"/>
        <v>935507</v>
      </c>
      <c r="X58" s="1262">
        <f t="shared" si="7"/>
        <v>4629127</v>
      </c>
      <c r="Y58" s="1262"/>
      <c r="Z58" s="1262">
        <f>VLOOKUP(C58,'CNKT '!$D$114:$AA$177,24,0)</f>
        <v>4629127</v>
      </c>
      <c r="AA58" s="1116">
        <f t="shared" si="4"/>
        <v>0</v>
      </c>
    </row>
    <row r="59" spans="1:27" s="1116" customFormat="1" ht="42.75" customHeight="1">
      <c r="A59" s="1242">
        <v>43</v>
      </c>
      <c r="B59" s="1262" t="str">
        <f>'Chấm công KT'!C137</f>
        <v>03629</v>
      </c>
      <c r="C59" s="1262" t="str">
        <f>TONGHOPCONGDOI!C138</f>
        <v>T. Chăn La .</v>
      </c>
      <c r="D59" s="1262"/>
      <c r="E59" s="1263"/>
      <c r="F59" s="1262">
        <f t="shared" si="1"/>
        <v>0</v>
      </c>
      <c r="G59" s="1262">
        <f>VLOOKUP(C59,TONGHOPCONGDOI!C138:AD160,16,0)</f>
        <v>2236</v>
      </c>
      <c r="H59" s="1262">
        <f>VLOOKUP(C59,TONGHOPCONGDOI!C138:AD160,17,0)</f>
        <v>0</v>
      </c>
      <c r="I59" s="1262"/>
      <c r="J59" s="1264">
        <f t="shared" si="6"/>
        <v>1032.4881497603483</v>
      </c>
      <c r="K59" s="1242" t="str">
        <f>VLOOKUP(C59,'BTH mủ tạp'!D141:AN202,37,0)</f>
        <v>A</v>
      </c>
      <c r="L59" s="1246">
        <f t="shared" si="3"/>
        <v>4212473</v>
      </c>
      <c r="M59" s="1262">
        <f>VLOOKUP(C59,TONGHOPCONGDOI!$C$96:$AD$159,20,0)</f>
        <v>22</v>
      </c>
      <c r="N59" s="1262">
        <f>VLOOKUP(C59,TONGHOPCONGDOI!$C$96:$AD$159,21,0)</f>
        <v>5</v>
      </c>
      <c r="O59" s="1262">
        <f>VLOOKUP(C59,TONGHOPCONGDOI!$C$96:$AD$159,22,0)</f>
        <v>0</v>
      </c>
      <c r="P59" s="1262">
        <f>VLOOKUP(C59,TONGHOPCONGDOI!$C$96:$AD$159,23,0)</f>
        <v>0</v>
      </c>
      <c r="Q59" s="1262">
        <f>VLOOKUP(C59,TONGHOPCONGDOI!$C$96:$AD$159,24,0)</f>
        <v>0</v>
      </c>
      <c r="R59" s="1262">
        <f>VLOOKUP(C59,TONGHOPCONGDOI!$C$96:$AD$159,25,0)</f>
        <v>0</v>
      </c>
      <c r="S59" s="1262"/>
      <c r="T59" s="1244"/>
      <c r="U59" s="1244"/>
      <c r="V59" s="1244"/>
      <c r="W59" s="1247">
        <f t="shared" si="5"/>
        <v>935507</v>
      </c>
      <c r="X59" s="1262">
        <f t="shared" si="7"/>
        <v>5147980</v>
      </c>
      <c r="Y59" s="1262"/>
      <c r="Z59" s="1262">
        <f>VLOOKUP(C59,'CNKT '!$D$114:$AA$177,24,0)</f>
        <v>5147980</v>
      </c>
      <c r="AA59" s="1116">
        <f t="shared" si="4"/>
        <v>0</v>
      </c>
    </row>
    <row r="60" spans="1:27" s="1116" customFormat="1" ht="42.75" customHeight="1">
      <c r="A60" s="1242">
        <v>44</v>
      </c>
      <c r="B60" s="1262" t="str">
        <f>'Chấm công KT'!C138</f>
        <v>03630</v>
      </c>
      <c r="C60" s="1262" t="str">
        <f>TONGHOPCONGDOI!C139</f>
        <v>T. Nú</v>
      </c>
      <c r="D60" s="1262"/>
      <c r="E60" s="1263"/>
      <c r="F60" s="1262">
        <f t="shared" si="1"/>
        <v>0</v>
      </c>
      <c r="G60" s="1262">
        <f>VLOOKUP(C60,TONGHOPCONGDOI!C139:AD160,16,0)</f>
        <v>2081</v>
      </c>
      <c r="H60" s="1262">
        <f>VLOOKUP(C60,TONGHOPCONGDOI!C139:AD160,17,0)</f>
        <v>0</v>
      </c>
      <c r="I60" s="1262"/>
      <c r="J60" s="1264">
        <f t="shared" si="6"/>
        <v>960.91584957570865</v>
      </c>
      <c r="K60" s="1242" t="str">
        <f>VLOOKUP(C60,'BTH mủ tạp'!D142:AN203,37,0)</f>
        <v>B</v>
      </c>
      <c r="L60" s="1246">
        <f t="shared" si="3"/>
        <v>3727654</v>
      </c>
      <c r="M60" s="1262">
        <f>VLOOKUP(C60,TONGHOPCONGDOI!$C$96:$AD$159,20,0)</f>
        <v>22</v>
      </c>
      <c r="N60" s="1262">
        <f>VLOOKUP(C60,TONGHOPCONGDOI!$C$96:$AD$159,21,0)</f>
        <v>5</v>
      </c>
      <c r="O60" s="1262">
        <f>VLOOKUP(C60,TONGHOPCONGDOI!$C$96:$AD$159,22,0)</f>
        <v>0</v>
      </c>
      <c r="P60" s="1262">
        <f>VLOOKUP(C60,TONGHOPCONGDOI!$C$96:$AD$159,23,0)</f>
        <v>0</v>
      </c>
      <c r="Q60" s="1262">
        <f>VLOOKUP(C60,TONGHOPCONGDOI!$C$96:$AD$159,24,0)</f>
        <v>0</v>
      </c>
      <c r="R60" s="1262">
        <f>VLOOKUP(C60,TONGHOPCONGDOI!$C$96:$AD$159,25,0)</f>
        <v>0</v>
      </c>
      <c r="S60" s="1262"/>
      <c r="T60" s="1244"/>
      <c r="U60" s="1244"/>
      <c r="V60" s="1244"/>
      <c r="W60" s="1247">
        <f t="shared" si="5"/>
        <v>935507</v>
      </c>
      <c r="X60" s="1262">
        <f t="shared" si="7"/>
        <v>4663161</v>
      </c>
      <c r="Y60" s="1262"/>
      <c r="Z60" s="1262">
        <f>VLOOKUP(C60,'CNKT '!$D$114:$AA$177,24,0)</f>
        <v>4663161</v>
      </c>
      <c r="AA60" s="1116">
        <f t="shared" si="4"/>
        <v>0</v>
      </c>
    </row>
    <row r="61" spans="1:27" s="1116" customFormat="1" ht="42.75" customHeight="1">
      <c r="A61" s="1242">
        <v>45</v>
      </c>
      <c r="B61" s="1262" t="str">
        <f>'Chấm công KT'!C139</f>
        <v>03631</v>
      </c>
      <c r="C61" s="1262" t="str">
        <f>TONGHOPCONGDOI!C140</f>
        <v>T. Xan Nha</v>
      </c>
      <c r="D61" s="1262"/>
      <c r="E61" s="1263"/>
      <c r="F61" s="1262">
        <f t="shared" si="1"/>
        <v>0</v>
      </c>
      <c r="G61" s="1262">
        <f>VLOOKUP(C61,TONGHOPCONGDOI!C140:AD160,16,0)</f>
        <v>2201</v>
      </c>
      <c r="H61" s="1262">
        <f>VLOOKUP(C61,TONGHOPCONGDOI!C140:AD160,17,0)</f>
        <v>0</v>
      </c>
      <c r="I61" s="1262"/>
      <c r="J61" s="1264">
        <f t="shared" si="6"/>
        <v>1016.3266626218813</v>
      </c>
      <c r="K61" s="1242" t="str">
        <f>VLOOKUP(C61,'BTH mủ tạp'!D143:AN204,37,0)</f>
        <v>A</v>
      </c>
      <c r="L61" s="1246">
        <f t="shared" si="3"/>
        <v>4146536</v>
      </c>
      <c r="M61" s="1262">
        <f>VLOOKUP(C61,TONGHOPCONGDOI!$C$96:$AD$159,20,0)</f>
        <v>22</v>
      </c>
      <c r="N61" s="1262">
        <f>VLOOKUP(C61,TONGHOPCONGDOI!$C$96:$AD$159,21,0)</f>
        <v>5</v>
      </c>
      <c r="O61" s="1262">
        <f>VLOOKUP(C61,TONGHOPCONGDOI!$C$96:$AD$159,22,0)</f>
        <v>0</v>
      </c>
      <c r="P61" s="1262">
        <f>VLOOKUP(C61,TONGHOPCONGDOI!$C$96:$AD$159,23,0)</f>
        <v>0</v>
      </c>
      <c r="Q61" s="1262">
        <f>VLOOKUP(C61,TONGHOPCONGDOI!$C$96:$AD$159,24,0)</f>
        <v>0</v>
      </c>
      <c r="R61" s="1262">
        <f>VLOOKUP(C61,TONGHOPCONGDOI!$C$96:$AD$159,25,0)</f>
        <v>0</v>
      </c>
      <c r="S61" s="1262"/>
      <c r="T61" s="1244"/>
      <c r="U61" s="1244"/>
      <c r="V61" s="1244"/>
      <c r="W61" s="1247">
        <f t="shared" si="5"/>
        <v>935507</v>
      </c>
      <c r="X61" s="1262">
        <f t="shared" si="7"/>
        <v>5082043</v>
      </c>
      <c r="Y61" s="1262"/>
      <c r="Z61" s="1262">
        <f>VLOOKUP(C61,'CNKT '!$D$114:$AA$177,24,0)</f>
        <v>5082043</v>
      </c>
      <c r="AA61" s="1116">
        <f t="shared" si="4"/>
        <v>0</v>
      </c>
    </row>
    <row r="62" spans="1:27" s="1116" customFormat="1" ht="42.75" customHeight="1">
      <c r="A62" s="1242">
        <v>46</v>
      </c>
      <c r="B62" s="1262" t="str">
        <f>'Chấm công KT'!C140</f>
        <v>03632</v>
      </c>
      <c r="C62" s="1262" t="str">
        <f>TONGHOPCONGDOI!C141</f>
        <v>T. A lem</v>
      </c>
      <c r="D62" s="1262"/>
      <c r="E62" s="1263"/>
      <c r="F62" s="1262">
        <f t="shared" si="1"/>
        <v>0</v>
      </c>
      <c r="G62" s="1262">
        <f>VLOOKUP(C62,TONGHOPCONGDOI!C141:AD160,16,0)</f>
        <v>2052</v>
      </c>
      <c r="H62" s="1262">
        <f>VLOOKUP(C62,TONGHOPCONGDOI!C141:AD160,17,0)</f>
        <v>0</v>
      </c>
      <c r="I62" s="1262"/>
      <c r="J62" s="1264">
        <f t="shared" si="6"/>
        <v>947.52490308955032</v>
      </c>
      <c r="K62" s="1242" t="str">
        <f>VLOOKUP(C62,'BTH mủ tạp'!D144:AN205,37,0)</f>
        <v>B</v>
      </c>
      <c r="L62" s="1246">
        <f t="shared" si="3"/>
        <v>3675707</v>
      </c>
      <c r="M62" s="1262">
        <f>VLOOKUP(C62,TONGHOPCONGDOI!$C$96:$AD$159,20,0)</f>
        <v>18</v>
      </c>
      <c r="N62" s="1262">
        <f>VLOOKUP(C62,TONGHOPCONGDOI!$C$96:$AD$159,21,0)</f>
        <v>4</v>
      </c>
      <c r="O62" s="1262">
        <f>VLOOKUP(C62,TONGHOPCONGDOI!$C$96:$AD$159,22,0)</f>
        <v>0</v>
      </c>
      <c r="P62" s="1262">
        <f>VLOOKUP(C62,TONGHOPCONGDOI!$C$96:$AD$159,23,0)</f>
        <v>0</v>
      </c>
      <c r="Q62" s="1262">
        <f>VLOOKUP(C62,TONGHOPCONGDOI!$C$96:$AD$159,24,0)</f>
        <v>0</v>
      </c>
      <c r="R62" s="1262">
        <f>VLOOKUP(C62,TONGHOPCONGDOI!$C$96:$AD$159,25,0)</f>
        <v>0</v>
      </c>
      <c r="S62" s="1262"/>
      <c r="T62" s="1244"/>
      <c r="U62" s="1244"/>
      <c r="V62" s="1244"/>
      <c r="W62" s="1247">
        <f t="shared" si="5"/>
        <v>760739</v>
      </c>
      <c r="X62" s="1262">
        <f t="shared" si="7"/>
        <v>4436446</v>
      </c>
      <c r="Y62" s="1262"/>
      <c r="Z62" s="1262">
        <f>VLOOKUP(C62,'CNKT '!$D$114:$AA$177,24,0)</f>
        <v>4436446</v>
      </c>
      <c r="AA62" s="1116">
        <f t="shared" si="4"/>
        <v>0</v>
      </c>
    </row>
    <row r="63" spans="1:27" s="1116" customFormat="1" ht="42.75" customHeight="1">
      <c r="A63" s="1242">
        <v>47</v>
      </c>
      <c r="B63" s="1262" t="str">
        <f>'Chấm công KT'!C141</f>
        <v>04080</v>
      </c>
      <c r="C63" s="1262" t="str">
        <f>TONGHOPCONGDOI!C142</f>
        <v>T. Phan</v>
      </c>
      <c r="D63" s="1262"/>
      <c r="E63" s="1263"/>
      <c r="F63" s="1262">
        <f t="shared" si="1"/>
        <v>0</v>
      </c>
      <c r="G63" s="1262">
        <f>VLOOKUP(C63,TONGHOPCONGDOI!C142:AD160,16,0)</f>
        <v>2399</v>
      </c>
      <c r="H63" s="1262">
        <f>VLOOKUP(C63,TONGHOPCONGDOI!C142:AD160,17,0)</f>
        <v>0</v>
      </c>
      <c r="I63" s="1262"/>
      <c r="J63" s="1264">
        <f t="shared" si="6"/>
        <v>1107.754504148066</v>
      </c>
      <c r="K63" s="1242" t="str">
        <f>VLOOKUP(C63,'BTH mủ tạp'!D145:AN206,37,0)</f>
        <v>B</v>
      </c>
      <c r="L63" s="1246">
        <f t="shared" si="3"/>
        <v>4297281</v>
      </c>
      <c r="M63" s="1262">
        <f>VLOOKUP(C63,TONGHOPCONGDOI!$C$96:$AD$159,20,0)</f>
        <v>25</v>
      </c>
      <c r="N63" s="1262">
        <f>VLOOKUP(C63,TONGHOPCONGDOI!$C$96:$AD$159,21,0)</f>
        <v>5</v>
      </c>
      <c r="O63" s="1262">
        <f>VLOOKUP(C63,TONGHOPCONGDOI!$C$96:$AD$159,22,0)</f>
        <v>0</v>
      </c>
      <c r="P63" s="1262">
        <f>VLOOKUP(C63,TONGHOPCONGDOI!$C$96:$AD$159,23,0)</f>
        <v>0</v>
      </c>
      <c r="Q63" s="1262">
        <f>VLOOKUP(C63,TONGHOPCONGDOI!$C$96:$AD$159,24,0)</f>
        <v>0</v>
      </c>
      <c r="R63" s="1262">
        <f>VLOOKUP(C63,TONGHOPCONGDOI!$C$96:$AD$159,25,0)</f>
        <v>0</v>
      </c>
      <c r="S63" s="1262"/>
      <c r="T63" s="1244"/>
      <c r="U63" s="1244"/>
      <c r="V63" s="1244"/>
      <c r="W63" s="1247">
        <f t="shared" si="5"/>
        <v>1028007</v>
      </c>
      <c r="X63" s="1262">
        <f t="shared" si="7"/>
        <v>5325288</v>
      </c>
      <c r="Y63" s="1262"/>
      <c r="Z63" s="1262">
        <f>VLOOKUP(C63,'CNKT '!$D$114:$AA$177,24,0)</f>
        <v>5325288</v>
      </c>
      <c r="AA63" s="1116">
        <f t="shared" si="4"/>
        <v>0</v>
      </c>
    </row>
    <row r="64" spans="1:27" s="1116" customFormat="1" ht="42.75" customHeight="1">
      <c r="A64" s="1242">
        <v>48</v>
      </c>
      <c r="B64" s="1262" t="str">
        <f>'Chấm công KT'!C142</f>
        <v>03634</v>
      </c>
      <c r="C64" s="1262" t="str">
        <f>TONGHOPCONGDOI!C143</f>
        <v>T . Cổ</v>
      </c>
      <c r="D64" s="1262"/>
      <c r="E64" s="1263"/>
      <c r="F64" s="1262">
        <f t="shared" si="1"/>
        <v>0</v>
      </c>
      <c r="G64" s="1262">
        <f>VLOOKUP(C64,TONGHOPCONGDOI!C143:AD160,16,0)</f>
        <v>2509</v>
      </c>
      <c r="H64" s="1262">
        <f>VLOOKUP(C64,TONGHOPCONGDOI!C143:AD160,17,0)</f>
        <v>0</v>
      </c>
      <c r="I64" s="1262"/>
      <c r="J64" s="1264">
        <f t="shared" si="6"/>
        <v>1158.5477494403908</v>
      </c>
      <c r="K64" s="1242" t="str">
        <f>VLOOKUP(C64,'BTH mủ tạp'!D146:AN207,37,0)</f>
        <v>B</v>
      </c>
      <c r="L64" s="1246">
        <f t="shared" si="3"/>
        <v>4494322</v>
      </c>
      <c r="M64" s="1262">
        <f>VLOOKUP(C64,TONGHOPCONGDOI!$C$96:$AD$159,20,0)</f>
        <v>15</v>
      </c>
      <c r="N64" s="1262">
        <f>VLOOKUP(C64,TONGHOPCONGDOI!$C$96:$AD$159,21,0)</f>
        <v>2</v>
      </c>
      <c r="O64" s="1262">
        <f>VLOOKUP(C64,TONGHOPCONGDOI!$C$96:$AD$159,22,0)</f>
        <v>0</v>
      </c>
      <c r="P64" s="1262">
        <f>VLOOKUP(C64,TONGHOPCONGDOI!$C$96:$AD$159,23,0)</f>
        <v>0</v>
      </c>
      <c r="Q64" s="1262">
        <f>VLOOKUP(C64,TONGHOPCONGDOI!$C$96:$AD$159,24,0)</f>
        <v>0</v>
      </c>
      <c r="R64" s="1262">
        <f>VLOOKUP(C64,TONGHOPCONGDOI!$C$96:$AD$159,25,0)</f>
        <v>0</v>
      </c>
      <c r="S64" s="1262"/>
      <c r="T64" s="1244"/>
      <c r="U64" s="1244"/>
      <c r="V64" s="1244"/>
      <c r="W64" s="1247">
        <f t="shared" si="5"/>
        <v>565370</v>
      </c>
      <c r="X64" s="1262">
        <f t="shared" si="7"/>
        <v>5059692</v>
      </c>
      <c r="Y64" s="1262"/>
      <c r="Z64" s="1262">
        <f>VLOOKUP(C64,'CNKT '!$D$114:$AA$177,24,0)</f>
        <v>5059692</v>
      </c>
      <c r="AA64" s="1116">
        <f t="shared" si="4"/>
        <v>0</v>
      </c>
    </row>
    <row r="65" spans="1:27" s="1116" customFormat="1" ht="42.75" customHeight="1">
      <c r="A65" s="1242">
        <v>49</v>
      </c>
      <c r="B65" s="1262" t="str">
        <f>'Chấm công KT'!C143</f>
        <v>03635</v>
      </c>
      <c r="C65" s="1262" t="str">
        <f>TONGHOPCONGDOI!C144</f>
        <v>N. Phim Pha</v>
      </c>
      <c r="D65" s="1262"/>
      <c r="E65" s="1263"/>
      <c r="F65" s="1262">
        <f t="shared" si="1"/>
        <v>0</v>
      </c>
      <c r="G65" s="1262">
        <f>VLOOKUP(C65,TONGHOPCONGDOI!C144:AD160,16,0)</f>
        <v>2007</v>
      </c>
      <c r="H65" s="1262">
        <f>VLOOKUP(C65,TONGHOPCONGDOI!C144:AD160,17,0)</f>
        <v>0</v>
      </c>
      <c r="I65" s="1262"/>
      <c r="J65" s="1264">
        <f t="shared" si="6"/>
        <v>926.74584819723566</v>
      </c>
      <c r="K65" s="1242" t="str">
        <f>VLOOKUP(C65,'BTH mủ tạp'!D147:AN208,37,0)</f>
        <v>B</v>
      </c>
      <c r="L65" s="1246">
        <f t="shared" si="3"/>
        <v>3595099</v>
      </c>
      <c r="M65" s="1262">
        <f>VLOOKUP(C65,TONGHOPCONGDOI!$C$96:$AD$159,20,0)</f>
        <v>18</v>
      </c>
      <c r="N65" s="1262">
        <f>VLOOKUP(C65,TONGHOPCONGDOI!$C$96:$AD$159,21,0)</f>
        <v>5</v>
      </c>
      <c r="O65" s="1262">
        <f>VLOOKUP(C65,TONGHOPCONGDOI!$C$96:$AD$159,22,0)</f>
        <v>0</v>
      </c>
      <c r="P65" s="1262">
        <f>VLOOKUP(C65,TONGHOPCONGDOI!$C$96:$AD$159,23,0)</f>
        <v>0</v>
      </c>
      <c r="Q65" s="1262">
        <f>VLOOKUP(C65,TONGHOPCONGDOI!$C$96:$AD$159,24,0)</f>
        <v>0</v>
      </c>
      <c r="R65" s="1262">
        <f>VLOOKUP(C65,TONGHOPCONGDOI!$C$96:$AD$159,25,0)</f>
        <v>0</v>
      </c>
      <c r="S65" s="1262"/>
      <c r="T65" s="1244"/>
      <c r="U65" s="1244"/>
      <c r="V65" s="1244"/>
      <c r="W65" s="1247">
        <f t="shared" si="5"/>
        <v>812172</v>
      </c>
      <c r="X65" s="1262">
        <f t="shared" si="7"/>
        <v>4407271</v>
      </c>
      <c r="Y65" s="1262"/>
      <c r="Z65" s="1262">
        <f>VLOOKUP(C65,'CNKT '!$D$114:$AA$177,24,0)</f>
        <v>4407271</v>
      </c>
      <c r="AA65" s="1116">
        <f t="shared" si="4"/>
        <v>0</v>
      </c>
    </row>
    <row r="66" spans="1:27" s="1116" customFormat="1" ht="42.75" customHeight="1">
      <c r="A66" s="1242">
        <v>50</v>
      </c>
      <c r="B66" s="1262" t="str">
        <f>'Chấm công KT'!C144</f>
        <v>03636</v>
      </c>
      <c r="C66" s="1262" t="str">
        <f>TONGHOPCONGDOI!C145</f>
        <v xml:space="preserve">T. Xeng </v>
      </c>
      <c r="D66" s="1262"/>
      <c r="E66" s="1263"/>
      <c r="F66" s="1262">
        <f t="shared" si="1"/>
        <v>0</v>
      </c>
      <c r="G66" s="1262">
        <f>VLOOKUP(C66,TONGHOPCONGDOI!C145:AD160,16,0)</f>
        <v>2919</v>
      </c>
      <c r="H66" s="1262">
        <f>VLOOKUP(C66,TONGHOPCONGDOI!C145:AD160,17,0)</f>
        <v>0</v>
      </c>
      <c r="I66" s="1262"/>
      <c r="J66" s="1264">
        <f t="shared" si="6"/>
        <v>1347.8680273481468</v>
      </c>
      <c r="K66" s="1242" t="str">
        <f>VLOOKUP(C66,'BTH mủ tạp'!D148:AN209,37,0)</f>
        <v>A</v>
      </c>
      <c r="L66" s="1246">
        <f t="shared" si="3"/>
        <v>5499199</v>
      </c>
      <c r="M66" s="1262">
        <f>VLOOKUP(C66,TONGHOPCONGDOI!$C$96:$AD$159,20,0)</f>
        <v>22</v>
      </c>
      <c r="N66" s="1262">
        <f>VLOOKUP(C66,TONGHOPCONGDOI!$C$96:$AD$159,21,0)</f>
        <v>5</v>
      </c>
      <c r="O66" s="1262">
        <f>VLOOKUP(C66,TONGHOPCONGDOI!$C$96:$AD$159,22,0)</f>
        <v>0</v>
      </c>
      <c r="P66" s="1262">
        <f>VLOOKUP(C66,TONGHOPCONGDOI!$C$96:$AD$159,23,0)</f>
        <v>0</v>
      </c>
      <c r="Q66" s="1262">
        <f>VLOOKUP(C66,TONGHOPCONGDOI!$C$96:$AD$159,24,0)</f>
        <v>0</v>
      </c>
      <c r="R66" s="1262">
        <f>VLOOKUP(C66,TONGHOPCONGDOI!$C$96:$AD$159,25,0)</f>
        <v>0</v>
      </c>
      <c r="S66" s="1262"/>
      <c r="T66" s="1244"/>
      <c r="U66" s="1244"/>
      <c r="V66" s="1244"/>
      <c r="W66" s="1247">
        <f t="shared" si="5"/>
        <v>935507</v>
      </c>
      <c r="X66" s="1262">
        <f t="shared" si="7"/>
        <v>6434706</v>
      </c>
      <c r="Y66" s="1262"/>
      <c r="Z66" s="1262">
        <f>VLOOKUP(C66,'CNKT '!$D$114:$AA$177,24,0)</f>
        <v>6434706</v>
      </c>
      <c r="AA66" s="1116">
        <f t="shared" si="4"/>
        <v>0</v>
      </c>
    </row>
    <row r="67" spans="1:27" s="1116" customFormat="1" ht="42.75" customHeight="1">
      <c r="A67" s="1242">
        <v>51</v>
      </c>
      <c r="B67" s="1262" t="str">
        <f>'Chấm công KT'!C145</f>
        <v>03637</v>
      </c>
      <c r="C67" s="1262" t="str">
        <f>TONGHOPCONGDOI!C146</f>
        <v>T. Vạt</v>
      </c>
      <c r="D67" s="1262"/>
      <c r="E67" s="1263"/>
      <c r="F67" s="1262">
        <f t="shared" si="1"/>
        <v>0</v>
      </c>
      <c r="G67" s="1262">
        <f>VLOOKUP(C67,TONGHOPCONGDOI!C146:AD160,16,0)</f>
        <v>2115</v>
      </c>
      <c r="H67" s="1262">
        <f>VLOOKUP(C67,TONGHOPCONGDOI!C146:AD160,17,0)</f>
        <v>0</v>
      </c>
      <c r="I67" s="1262"/>
      <c r="J67" s="1264">
        <f t="shared" si="6"/>
        <v>976.61557993879092</v>
      </c>
      <c r="K67" s="1242" t="str">
        <f>VLOOKUP(C67,'BTH mủ tạp'!D149:AN210,37,0)</f>
        <v>B</v>
      </c>
      <c r="L67" s="1246">
        <f t="shared" si="3"/>
        <v>3788557</v>
      </c>
      <c r="M67" s="1262">
        <f>VLOOKUP(C67,TONGHOPCONGDOI!$C$96:$AD$159,20,0)</f>
        <v>19</v>
      </c>
      <c r="N67" s="1262">
        <f>VLOOKUP(C67,TONGHOPCONGDOI!$C$96:$AD$159,21,0)</f>
        <v>3</v>
      </c>
      <c r="O67" s="1262">
        <f>VLOOKUP(C67,TONGHOPCONGDOI!$C$96:$AD$159,22,0)</f>
        <v>0</v>
      </c>
      <c r="P67" s="1262">
        <f>VLOOKUP(C67,TONGHOPCONGDOI!$C$96:$AD$159,23,0)</f>
        <v>0</v>
      </c>
      <c r="Q67" s="1262">
        <f>VLOOKUP(C67,TONGHOPCONGDOI!$C$96:$AD$159,24,0)</f>
        <v>0</v>
      </c>
      <c r="R67" s="1262">
        <f>VLOOKUP(C67,TONGHOPCONGDOI!$C$96:$AD$159,25,0)</f>
        <v>0</v>
      </c>
      <c r="S67" s="1262"/>
      <c r="T67" s="1244"/>
      <c r="U67" s="1244"/>
      <c r="V67" s="1244"/>
      <c r="W67" s="1247">
        <f t="shared" si="5"/>
        <v>740138</v>
      </c>
      <c r="X67" s="1262">
        <f t="shared" si="7"/>
        <v>4528695</v>
      </c>
      <c r="Y67" s="1262"/>
      <c r="Z67" s="1262">
        <f>VLOOKUP(C67,'CNKT '!$D$114:$AA$177,24,0)</f>
        <v>4528695</v>
      </c>
      <c r="AA67" s="1116">
        <f t="shared" si="4"/>
        <v>0</v>
      </c>
    </row>
    <row r="68" spans="1:27" s="1116" customFormat="1" ht="42.75" customHeight="1">
      <c r="A68" s="1242">
        <v>52</v>
      </c>
      <c r="B68" s="1262" t="str">
        <f>'Chấm công KT'!C146</f>
        <v>03638</v>
      </c>
      <c r="C68" s="1262" t="str">
        <f>TONGHOPCONGDOI!C147</f>
        <v>T. Lay</v>
      </c>
      <c r="D68" s="1262"/>
      <c r="E68" s="1263"/>
      <c r="F68" s="1262">
        <f t="shared" si="1"/>
        <v>0</v>
      </c>
      <c r="G68" s="1262">
        <f>VLOOKUP(C68,TONGHOPCONGDOI!C147:AD160,16,0)</f>
        <v>3356</v>
      </c>
      <c r="H68" s="1262">
        <f>VLOOKUP(C68,TONGHOPCONGDOI!C147:AD160,17,0)</f>
        <v>0</v>
      </c>
      <c r="I68" s="1262"/>
      <c r="J68" s="1264">
        <f t="shared" si="6"/>
        <v>1549.6557381912919</v>
      </c>
      <c r="K68" s="1242" t="str">
        <f>VLOOKUP(C68,'BTH mủ tạp'!D150:AN211,37,0)</f>
        <v>A</v>
      </c>
      <c r="L68" s="1246">
        <f t="shared" si="3"/>
        <v>6322478</v>
      </c>
      <c r="M68" s="1262">
        <f>VLOOKUP(C68,TONGHOPCONGDOI!$C$96:$AD$159,20,0)</f>
        <v>24</v>
      </c>
      <c r="N68" s="1262">
        <f>VLOOKUP(C68,TONGHOPCONGDOI!$C$96:$AD$159,21,0)</f>
        <v>5</v>
      </c>
      <c r="O68" s="1262">
        <f>VLOOKUP(C68,TONGHOPCONGDOI!$C$96:$AD$159,22,0)</f>
        <v>0</v>
      </c>
      <c r="P68" s="1262">
        <f>VLOOKUP(C68,TONGHOPCONGDOI!$C$96:$AD$159,23,0)</f>
        <v>0</v>
      </c>
      <c r="Q68" s="1262">
        <f>VLOOKUP(C68,TONGHOPCONGDOI!$C$96:$AD$159,24,0)</f>
        <v>0</v>
      </c>
      <c r="R68" s="1262">
        <f>VLOOKUP(C68,TONGHOPCONGDOI!$C$96:$AD$159,25,0)</f>
        <v>0</v>
      </c>
      <c r="S68" s="1262"/>
      <c r="T68" s="1244"/>
      <c r="U68" s="1244"/>
      <c r="V68" s="1244"/>
      <c r="W68" s="1247">
        <f t="shared" si="5"/>
        <v>997174</v>
      </c>
      <c r="X68" s="1262">
        <f t="shared" si="7"/>
        <v>7319652</v>
      </c>
      <c r="Y68" s="1262"/>
      <c r="Z68" s="1262">
        <f>VLOOKUP(C68,'CNKT '!$D$114:$AA$177,24,0)</f>
        <v>7319652</v>
      </c>
      <c r="AA68" s="1116">
        <f t="shared" si="4"/>
        <v>0</v>
      </c>
    </row>
    <row r="69" spans="1:27" s="1116" customFormat="1" ht="42.75" customHeight="1">
      <c r="A69" s="1242">
        <v>53</v>
      </c>
      <c r="B69" s="1262" t="str">
        <f>'Chấm công KT'!C147</f>
        <v>04081</v>
      </c>
      <c r="C69" s="1262" t="str">
        <f>TONGHOPCONGDOI!C148</f>
        <v>N. Nọi</v>
      </c>
      <c r="D69" s="1262"/>
      <c r="E69" s="1263"/>
      <c r="F69" s="1262">
        <f t="shared" si="1"/>
        <v>0</v>
      </c>
      <c r="G69" s="1262">
        <f>VLOOKUP(C69,TONGHOPCONGDOI!C148:AD160,16,0)</f>
        <v>3218</v>
      </c>
      <c r="H69" s="1262">
        <f>VLOOKUP(C69,TONGHOPCONGDOI!C148:AD160,17,0)</f>
        <v>0</v>
      </c>
      <c r="I69" s="1262"/>
      <c r="J69" s="1264">
        <f t="shared" si="6"/>
        <v>1485.9333031881933</v>
      </c>
      <c r="K69" s="1242" t="str">
        <f>VLOOKUP(C69,'BTH mủ tạp'!D151:AN212,37,0)</f>
        <v>A</v>
      </c>
      <c r="L69" s="1246">
        <f t="shared" si="3"/>
        <v>6062495</v>
      </c>
      <c r="M69" s="1262">
        <f>VLOOKUP(C69,TONGHOPCONGDOI!$C$96:$AD$159,20,0)</f>
        <v>24</v>
      </c>
      <c r="N69" s="1262">
        <f>VLOOKUP(C69,TONGHOPCONGDOI!$C$96:$AD$159,21,0)</f>
        <v>5</v>
      </c>
      <c r="O69" s="1262">
        <f>VLOOKUP(C69,TONGHOPCONGDOI!$C$96:$AD$159,22,0)</f>
        <v>0</v>
      </c>
      <c r="P69" s="1262">
        <f>VLOOKUP(C69,TONGHOPCONGDOI!$C$96:$AD$159,23,0)</f>
        <v>0</v>
      </c>
      <c r="Q69" s="1262">
        <f>VLOOKUP(C69,TONGHOPCONGDOI!$C$96:$AD$159,24,0)</f>
        <v>0</v>
      </c>
      <c r="R69" s="1262">
        <f>VLOOKUP(C69,TONGHOPCONGDOI!$C$96:$AD$159,25,0)</f>
        <v>0</v>
      </c>
      <c r="S69" s="1262"/>
      <c r="T69" s="1244"/>
      <c r="U69" s="1244"/>
      <c r="V69" s="1244"/>
      <c r="W69" s="1247">
        <f t="shared" si="5"/>
        <v>997174</v>
      </c>
      <c r="X69" s="1262">
        <f t="shared" si="7"/>
        <v>7059669</v>
      </c>
      <c r="Y69" s="1262"/>
      <c r="Z69" s="1262">
        <f>VLOOKUP(C69,'CNKT '!$D$114:$AA$177,24,0)</f>
        <v>7059669</v>
      </c>
      <c r="AA69" s="1116">
        <f t="shared" si="4"/>
        <v>0</v>
      </c>
    </row>
    <row r="70" spans="1:27" s="1116" customFormat="1" ht="42.75" customHeight="1">
      <c r="A70" s="1242">
        <v>54</v>
      </c>
      <c r="B70" s="1262" t="str">
        <f>'Chấm công KT'!C148</f>
        <v>04082</v>
      </c>
      <c r="C70" s="1262" t="str">
        <f>TONGHOPCONGDOI!C149</f>
        <v>T Bun Xi</v>
      </c>
      <c r="D70" s="1262"/>
      <c r="E70" s="1263"/>
      <c r="F70" s="1262">
        <f t="shared" si="1"/>
        <v>0</v>
      </c>
      <c r="G70" s="1262">
        <f>VLOOKUP(C70,TONGHOPCONGDOI!C149:AD160,16,0)</f>
        <v>2894</v>
      </c>
      <c r="H70" s="1262">
        <f>VLOOKUP(C70,TONGHOPCONGDOI!C149:AD160,17,0)</f>
        <v>0</v>
      </c>
      <c r="I70" s="1262"/>
      <c r="J70" s="1264">
        <f t="shared" si="6"/>
        <v>1336.3241079635277</v>
      </c>
      <c r="K70" s="1242" t="str">
        <f>VLOOKUP(C70,'BTH mủ tạp'!D152:AN213,37,0)</f>
        <v>B</v>
      </c>
      <c r="L70" s="1246">
        <f t="shared" si="3"/>
        <v>5183965</v>
      </c>
      <c r="M70" s="1262">
        <f>VLOOKUP(C70,TONGHOPCONGDOI!$C$96:$AD$159,20,0)</f>
        <v>23</v>
      </c>
      <c r="N70" s="1262">
        <f>VLOOKUP(C70,TONGHOPCONGDOI!$C$96:$AD$159,21,0)</f>
        <v>5</v>
      </c>
      <c r="O70" s="1262">
        <f>VLOOKUP(C70,TONGHOPCONGDOI!$C$96:$AD$159,22,0)</f>
        <v>0</v>
      </c>
      <c r="P70" s="1262">
        <f>VLOOKUP(C70,TONGHOPCONGDOI!$C$96:$AD$159,23,0)</f>
        <v>0</v>
      </c>
      <c r="Q70" s="1262">
        <f>VLOOKUP(C70,TONGHOPCONGDOI!$C$96:$AD$159,24,0)</f>
        <v>0</v>
      </c>
      <c r="R70" s="1262">
        <f>VLOOKUP(C70,TONGHOPCONGDOI!$C$96:$AD$159,25,0)</f>
        <v>0</v>
      </c>
      <c r="S70" s="1262"/>
      <c r="T70" s="1244"/>
      <c r="U70" s="1244"/>
      <c r="V70" s="1244"/>
      <c r="W70" s="1247">
        <f t="shared" si="5"/>
        <v>966340</v>
      </c>
      <c r="X70" s="1262">
        <f t="shared" si="7"/>
        <v>6150305</v>
      </c>
      <c r="Y70" s="1262"/>
      <c r="Z70" s="1262">
        <f>VLOOKUP(C70,'CNKT '!$D$114:$AA$177,24,0)</f>
        <v>6150305</v>
      </c>
      <c r="AA70" s="1116">
        <f t="shared" si="4"/>
        <v>0</v>
      </c>
    </row>
    <row r="71" spans="1:27" s="1116" customFormat="1" ht="42.75" customHeight="1">
      <c r="A71" s="1242">
        <v>55</v>
      </c>
      <c r="B71" s="1262" t="str">
        <f>'Chấm công KT'!C149</f>
        <v>04083</v>
      </c>
      <c r="C71" s="1262" t="str">
        <f>TONGHOPCONGDOI!C150</f>
        <v>N. Bù</v>
      </c>
      <c r="D71" s="1262"/>
      <c r="E71" s="1263"/>
      <c r="F71" s="1262">
        <f t="shared" si="1"/>
        <v>0</v>
      </c>
      <c r="G71" s="1262">
        <f>VLOOKUP(C71,TONGHOPCONGDOI!C150:AD160,16,0)</f>
        <v>2171</v>
      </c>
      <c r="H71" s="1262">
        <f>VLOOKUP(C71,TONGHOPCONGDOI!C150:AD160,17,0)</f>
        <v>0</v>
      </c>
      <c r="I71" s="1262"/>
      <c r="J71" s="1264">
        <f t="shared" si="6"/>
        <v>1002.4739593603381</v>
      </c>
      <c r="K71" s="1242" t="str">
        <f>VLOOKUP(C71,'BTH mủ tạp'!D153:AN214,37,0)</f>
        <v>B</v>
      </c>
      <c r="L71" s="1246">
        <f t="shared" si="3"/>
        <v>3888869</v>
      </c>
      <c r="M71" s="1262">
        <f>VLOOKUP(C71,TONGHOPCONGDOI!$C$96:$AD$159,20,0)</f>
        <v>22</v>
      </c>
      <c r="N71" s="1262">
        <f>VLOOKUP(C71,TONGHOPCONGDOI!$C$96:$AD$159,21,0)</f>
        <v>4</v>
      </c>
      <c r="O71" s="1262">
        <f>VLOOKUP(C71,TONGHOPCONGDOI!$C$96:$AD$159,22,0)</f>
        <v>0</v>
      </c>
      <c r="P71" s="1262">
        <f>VLOOKUP(C71,TONGHOPCONGDOI!$C$96:$AD$159,23,0)</f>
        <v>0</v>
      </c>
      <c r="Q71" s="1262">
        <f>VLOOKUP(C71,TONGHOPCONGDOI!$C$96:$AD$159,24,0)</f>
        <v>0</v>
      </c>
      <c r="R71" s="1262">
        <f>VLOOKUP(C71,TONGHOPCONGDOI!$C$96:$AD$159,25,0)</f>
        <v>0</v>
      </c>
      <c r="S71" s="1262"/>
      <c r="T71" s="1244"/>
      <c r="U71" s="1244"/>
      <c r="V71" s="1244"/>
      <c r="W71" s="1247">
        <f t="shared" si="5"/>
        <v>884073</v>
      </c>
      <c r="X71" s="1262">
        <f t="shared" si="7"/>
        <v>4772942</v>
      </c>
      <c r="Y71" s="1262"/>
      <c r="Z71" s="1262">
        <f>VLOOKUP(C71,'CNKT '!$D$114:$AA$177,24,0)</f>
        <v>4772942</v>
      </c>
      <c r="AA71" s="1116">
        <f t="shared" si="4"/>
        <v>0</v>
      </c>
    </row>
    <row r="72" spans="1:27" s="1116" customFormat="1" ht="42.75" customHeight="1">
      <c r="A72" s="1242">
        <v>56</v>
      </c>
      <c r="B72" s="1262" t="str">
        <f>'Chấm công KT'!C150</f>
        <v>03642</v>
      </c>
      <c r="C72" s="1262" t="str">
        <f>TONGHOPCONGDOI!C151</f>
        <v>T. Xơn</v>
      </c>
      <c r="D72" s="1262"/>
      <c r="E72" s="1263"/>
      <c r="F72" s="1262">
        <f t="shared" si="1"/>
        <v>0</v>
      </c>
      <c r="G72" s="1262">
        <f>VLOOKUP(C72,TONGHOPCONGDOI!C151:AD160,16,0)</f>
        <v>2857</v>
      </c>
      <c r="H72" s="1262">
        <f>VLOOKUP(C72,TONGHOPCONGDOI!C151:AD160,17,0)</f>
        <v>0</v>
      </c>
      <c r="I72" s="1262"/>
      <c r="J72" s="1264">
        <f t="shared" si="6"/>
        <v>1319.239107274291</v>
      </c>
      <c r="K72" s="1242" t="str">
        <f>VLOOKUP(C72,'BTH mủ tạp'!D154:AN215,37,0)</f>
        <v>B</v>
      </c>
      <c r="L72" s="1246">
        <f t="shared" si="3"/>
        <v>5117687</v>
      </c>
      <c r="M72" s="1262">
        <f>VLOOKUP(C72,TONGHOPCONGDOI!$C$96:$AD$159,20,0)</f>
        <v>23</v>
      </c>
      <c r="N72" s="1262">
        <f>VLOOKUP(C72,TONGHOPCONGDOI!$C$96:$AD$159,21,0)</f>
        <v>5</v>
      </c>
      <c r="O72" s="1262">
        <f>VLOOKUP(C72,TONGHOPCONGDOI!$C$96:$AD$159,22,0)</f>
        <v>0</v>
      </c>
      <c r="P72" s="1262">
        <f>VLOOKUP(C72,TONGHOPCONGDOI!$C$96:$AD$159,23,0)</f>
        <v>0</v>
      </c>
      <c r="Q72" s="1262">
        <f>VLOOKUP(C72,TONGHOPCONGDOI!$C$96:$AD$159,24,0)</f>
        <v>0</v>
      </c>
      <c r="R72" s="1262">
        <f>VLOOKUP(C72,TONGHOPCONGDOI!$C$96:$AD$159,25,0)</f>
        <v>0</v>
      </c>
      <c r="S72" s="1262"/>
      <c r="T72" s="1244"/>
      <c r="U72" s="1244"/>
      <c r="V72" s="1244"/>
      <c r="W72" s="1247">
        <f t="shared" si="5"/>
        <v>966340</v>
      </c>
      <c r="X72" s="1262">
        <f t="shared" si="7"/>
        <v>6084027</v>
      </c>
      <c r="Y72" s="1262"/>
      <c r="Z72" s="1262">
        <f>VLOOKUP(C72,'CNKT '!$D$114:$AA$177,24,0)</f>
        <v>6084027</v>
      </c>
      <c r="AA72" s="1116">
        <f t="shared" si="4"/>
        <v>0</v>
      </c>
    </row>
    <row r="73" spans="1:27" s="1116" customFormat="1" ht="42.75" customHeight="1">
      <c r="A73" s="1242">
        <v>57</v>
      </c>
      <c r="B73" s="1262" t="str">
        <f>'Chấm công KT'!C151</f>
        <v>04084</v>
      </c>
      <c r="C73" s="1262" t="str">
        <f>TONGHOPCONGDOI!C152</f>
        <v>T. Thi</v>
      </c>
      <c r="D73" s="1262"/>
      <c r="E73" s="1263"/>
      <c r="F73" s="1262">
        <f t="shared" si="1"/>
        <v>0</v>
      </c>
      <c r="G73" s="1262">
        <f>VLOOKUP(C73,TONGHOPCONGDOI!C152:AD160,16,0)</f>
        <v>2561</v>
      </c>
      <c r="H73" s="1262">
        <f>VLOOKUP(C73,TONGHOPCONGDOI!C152:AD160,17,0)</f>
        <v>0</v>
      </c>
      <c r="I73" s="1262"/>
      <c r="J73" s="1264">
        <f t="shared" si="6"/>
        <v>1182.5591017603988</v>
      </c>
      <c r="K73" s="1242" t="str">
        <f>VLOOKUP(C73,'BTH mủ tạp'!D155:AN216,37,0)</f>
        <v>A</v>
      </c>
      <c r="L73" s="1246">
        <f t="shared" si="3"/>
        <v>4824751</v>
      </c>
      <c r="M73" s="1262">
        <f>VLOOKUP(C73,TONGHOPCONGDOI!$C$96:$AD$159,20,0)</f>
        <v>25</v>
      </c>
      <c r="N73" s="1262">
        <f>VLOOKUP(C73,TONGHOPCONGDOI!$C$96:$AD$159,21,0)</f>
        <v>5</v>
      </c>
      <c r="O73" s="1262">
        <f>VLOOKUP(C73,TONGHOPCONGDOI!$C$96:$AD$159,22,0)</f>
        <v>0</v>
      </c>
      <c r="P73" s="1262">
        <f>VLOOKUP(C73,TONGHOPCONGDOI!$C$96:$AD$159,23,0)</f>
        <v>0</v>
      </c>
      <c r="Q73" s="1262">
        <f>VLOOKUP(C73,TONGHOPCONGDOI!$C$96:$AD$159,24,0)</f>
        <v>0</v>
      </c>
      <c r="R73" s="1262">
        <f>VLOOKUP(C73,TONGHOPCONGDOI!$C$96:$AD$159,25,0)</f>
        <v>0</v>
      </c>
      <c r="S73" s="1262"/>
      <c r="T73" s="1244"/>
      <c r="U73" s="1244"/>
      <c r="V73" s="1244"/>
      <c r="W73" s="1247">
        <f t="shared" si="5"/>
        <v>1028007</v>
      </c>
      <c r="X73" s="1262">
        <f t="shared" si="7"/>
        <v>5852758</v>
      </c>
      <c r="Y73" s="1262"/>
      <c r="Z73" s="1262">
        <f>VLOOKUP(C73,'CNKT '!$D$114:$AA$177,24,0)</f>
        <v>5852758</v>
      </c>
      <c r="AA73" s="1116">
        <f t="shared" si="4"/>
        <v>0</v>
      </c>
    </row>
    <row r="74" spans="1:27" s="1116" customFormat="1" ht="42.75" customHeight="1">
      <c r="A74" s="1242">
        <v>58</v>
      </c>
      <c r="B74" s="1262" t="str">
        <f>'Chấm công KT'!C152</f>
        <v>04085</v>
      </c>
      <c r="C74" s="1262" t="str">
        <f>TONGHOPCONGDOI!C153</f>
        <v>On chay</v>
      </c>
      <c r="D74" s="1262"/>
      <c r="E74" s="1263"/>
      <c r="F74" s="1262">
        <f t="shared" si="1"/>
        <v>0</v>
      </c>
      <c r="G74" s="1262">
        <f>VLOOKUP(C74,TONGHOPCONGDOI!C153:AD160,16,0)</f>
        <v>2656</v>
      </c>
      <c r="H74" s="1262">
        <f>VLOOKUP(C74,TONGHOPCONGDOI!C153:AD160,17,0)</f>
        <v>0</v>
      </c>
      <c r="I74" s="1262"/>
      <c r="J74" s="1264">
        <f t="shared" si="6"/>
        <v>1226.4259954219522</v>
      </c>
      <c r="K74" s="1242" t="str">
        <f>VLOOKUP(C74,'BTH mủ tạp'!D156:AN217,37,0)</f>
        <v>A</v>
      </c>
      <c r="L74" s="1246">
        <f t="shared" si="3"/>
        <v>5003725</v>
      </c>
      <c r="M74" s="1262">
        <f>VLOOKUP(C74,TONGHOPCONGDOI!$C$96:$AD$159,20,0)</f>
        <v>25</v>
      </c>
      <c r="N74" s="1262">
        <f>VLOOKUP(C74,TONGHOPCONGDOI!$C$96:$AD$159,21,0)</f>
        <v>5</v>
      </c>
      <c r="O74" s="1262">
        <f>VLOOKUP(C74,TONGHOPCONGDOI!$C$96:$AD$159,22,0)</f>
        <v>0</v>
      </c>
      <c r="P74" s="1262">
        <f>VLOOKUP(C74,TONGHOPCONGDOI!$C$96:$AD$159,23,0)</f>
        <v>0</v>
      </c>
      <c r="Q74" s="1262">
        <f>VLOOKUP(C74,TONGHOPCONGDOI!$C$96:$AD$159,24,0)</f>
        <v>0</v>
      </c>
      <c r="R74" s="1262">
        <f>VLOOKUP(C74,TONGHOPCONGDOI!$C$96:$AD$159,25,0)</f>
        <v>0</v>
      </c>
      <c r="S74" s="1262"/>
      <c r="T74" s="1244"/>
      <c r="U74" s="1244"/>
      <c r="V74" s="1244"/>
      <c r="W74" s="1247">
        <f t="shared" si="5"/>
        <v>1028007</v>
      </c>
      <c r="X74" s="1262">
        <f t="shared" si="7"/>
        <v>6031732</v>
      </c>
      <c r="Y74" s="1262"/>
      <c r="Z74" s="1262">
        <f>VLOOKUP(C74,'CNKT '!$D$114:$AA$177,24,0)</f>
        <v>6031732</v>
      </c>
      <c r="AA74" s="1116">
        <f t="shared" si="4"/>
        <v>0</v>
      </c>
    </row>
    <row r="75" spans="1:27" s="1116" customFormat="1" ht="42.75" customHeight="1">
      <c r="A75" s="1242">
        <v>59</v>
      </c>
      <c r="B75" s="1262">
        <f>'Chấm công KT'!C153</f>
        <v>0</v>
      </c>
      <c r="C75" s="1262" t="str">
        <f>TONGHOPCONGDOI!C154</f>
        <v>T. Thong</v>
      </c>
      <c r="D75" s="1262"/>
      <c r="E75" s="1263"/>
      <c r="F75" s="1262">
        <f t="shared" si="1"/>
        <v>0</v>
      </c>
      <c r="G75" s="1262">
        <f>VLOOKUP(C75,TONGHOPCONGDOI!C154:AD160,16,0)</f>
        <v>1593</v>
      </c>
      <c r="H75" s="1262">
        <f>VLOOKUP(C75,TONGHOPCONGDOI!C154:AD160,17,0)</f>
        <v>0</v>
      </c>
      <c r="I75" s="1262"/>
      <c r="J75" s="1264">
        <f t="shared" si="6"/>
        <v>735.57854318794034</v>
      </c>
      <c r="K75" s="1242" t="str">
        <f>VLOOKUP(C75,'BTH mủ tạp'!D157:AN218,37,0)</f>
        <v>C.</v>
      </c>
      <c r="L75" s="1246">
        <f t="shared" si="3"/>
        <v>2705914</v>
      </c>
      <c r="M75" s="1262">
        <f>VLOOKUP(C75,TONGHOPCONGDOI!$C$96:$AD$159,20,0)</f>
        <v>23</v>
      </c>
      <c r="N75" s="1262">
        <f>VLOOKUP(C75,TONGHOPCONGDOI!$C$96:$AD$159,21,0)</f>
        <v>5</v>
      </c>
      <c r="O75" s="1262">
        <f>VLOOKUP(C75,TONGHOPCONGDOI!$C$96:$AD$159,22,0)</f>
        <v>0</v>
      </c>
      <c r="P75" s="1262">
        <f>VLOOKUP(C75,TONGHOPCONGDOI!$C$96:$AD$159,23,0)</f>
        <v>0</v>
      </c>
      <c r="Q75" s="1262">
        <f>VLOOKUP(C75,TONGHOPCONGDOI!$C$96:$AD$159,24,0)</f>
        <v>0</v>
      </c>
      <c r="R75" s="1262">
        <f>VLOOKUP(C75,TONGHOPCONGDOI!$C$96:$AD$159,25,0)</f>
        <v>0</v>
      </c>
      <c r="S75" s="1262"/>
      <c r="T75" s="1244"/>
      <c r="U75" s="1244"/>
      <c r="V75" s="1244"/>
      <c r="W75" s="1247">
        <f t="shared" si="5"/>
        <v>966340</v>
      </c>
      <c r="X75" s="1262">
        <f t="shared" si="7"/>
        <v>3672254</v>
      </c>
      <c r="Y75" s="1262"/>
      <c r="Z75" s="1262">
        <f>VLOOKUP(C75,'CNKT '!$D$114:$AA$177,24,0)</f>
        <v>3672254</v>
      </c>
      <c r="AA75" s="1116">
        <f t="shared" si="4"/>
        <v>0</v>
      </c>
    </row>
    <row r="76" spans="1:27" s="1116" customFormat="1" ht="42.75" customHeight="1">
      <c r="A76" s="1242">
        <v>60</v>
      </c>
      <c r="B76" s="1262">
        <f>'Chấm công KT'!C154</f>
        <v>0</v>
      </c>
      <c r="C76" s="1262" t="str">
        <f>TONGHOPCONGDOI!C155</f>
        <v>T. Khách</v>
      </c>
      <c r="D76" s="1262"/>
      <c r="E76" s="1263"/>
      <c r="F76" s="1262">
        <f t="shared" si="1"/>
        <v>0</v>
      </c>
      <c r="G76" s="1262">
        <f>VLOOKUP(C76,TONGHOPCONGDOI!C155:AD160,16,0)</f>
        <v>1318</v>
      </c>
      <c r="H76" s="1262">
        <f>VLOOKUP(C76,TONGHOPCONGDOI!C155:AD160,17,0)</f>
        <v>0</v>
      </c>
      <c r="I76" s="1262"/>
      <c r="J76" s="1264">
        <f t="shared" si="6"/>
        <v>608.59542995712832</v>
      </c>
      <c r="K76" s="1242" t="str">
        <f>VLOOKUP(C76,'BTH mủ tạp'!D158:AN219,37,0)</f>
        <v>C.</v>
      </c>
      <c r="L76" s="1246">
        <f t="shared" si="3"/>
        <v>2238791</v>
      </c>
      <c r="M76" s="1262">
        <f>VLOOKUP(C76,TONGHOPCONGDOI!$C$96:$AD$159,20,0)</f>
        <v>22</v>
      </c>
      <c r="N76" s="1262">
        <f>VLOOKUP(C76,TONGHOPCONGDOI!$C$96:$AD$159,21,0)</f>
        <v>5</v>
      </c>
      <c r="O76" s="1262">
        <f>VLOOKUP(C76,TONGHOPCONGDOI!$C$96:$AD$159,22,0)</f>
        <v>0</v>
      </c>
      <c r="P76" s="1262">
        <f>VLOOKUP(C76,TONGHOPCONGDOI!$C$96:$AD$159,23,0)</f>
        <v>0</v>
      </c>
      <c r="Q76" s="1262">
        <f>VLOOKUP(C76,TONGHOPCONGDOI!$C$96:$AD$159,24,0)</f>
        <v>0</v>
      </c>
      <c r="R76" s="1262">
        <f>VLOOKUP(C76,TONGHOPCONGDOI!$C$96:$AD$159,25,0)</f>
        <v>0</v>
      </c>
      <c r="S76" s="1262"/>
      <c r="T76" s="1244"/>
      <c r="U76" s="1244"/>
      <c r="V76" s="1244"/>
      <c r="W76" s="1247">
        <f t="shared" si="5"/>
        <v>935507</v>
      </c>
      <c r="X76" s="1262">
        <f t="shared" si="7"/>
        <v>3174298</v>
      </c>
      <c r="Y76" s="1262"/>
      <c r="Z76" s="1262">
        <f>VLOOKUP(C76,'CNKT '!$D$114:$AA$177,24,0)</f>
        <v>3174298</v>
      </c>
      <c r="AA76" s="1116">
        <f t="shared" si="4"/>
        <v>0</v>
      </c>
    </row>
    <row r="77" spans="1:27" s="1116" customFormat="1" ht="42.75" customHeight="1">
      <c r="A77" s="1242">
        <v>61</v>
      </c>
      <c r="B77" s="1262">
        <f>'Chấm công KT'!C155</f>
        <v>0</v>
      </c>
      <c r="C77" s="1262" t="str">
        <f>TONGHOPCONGDOI!C156</f>
        <v>Nang On Xi</v>
      </c>
      <c r="D77" s="1262"/>
      <c r="E77" s="1263"/>
      <c r="F77" s="1262">
        <f t="shared" si="1"/>
        <v>0</v>
      </c>
      <c r="G77" s="1262">
        <f>VLOOKUP(C77,TONGHOPCONGDOI!C156:AD160,16,0)</f>
        <v>519</v>
      </c>
      <c r="H77" s="1262">
        <f>VLOOKUP(C77,TONGHOPCONGDOI!C156:AD160,17,0)</f>
        <v>0</v>
      </c>
      <c r="I77" s="1262"/>
      <c r="J77" s="1264">
        <f t="shared" si="6"/>
        <v>239.65176642469621</v>
      </c>
      <c r="K77" s="1242" t="str">
        <f>VLOOKUP(C77,'BTH mủ tạp'!D159:AN220,37,0)</f>
        <v>C.</v>
      </c>
      <c r="L77" s="1246">
        <f t="shared" si="3"/>
        <v>881588</v>
      </c>
      <c r="M77" s="1262">
        <f>VLOOKUP(C77,TONGHOPCONGDOI!$C$96:$AD$159,20,0)</f>
        <v>11</v>
      </c>
      <c r="N77" s="1262">
        <f>VLOOKUP(C77,TONGHOPCONGDOI!$C$96:$AD$159,21,0)</f>
        <v>5</v>
      </c>
      <c r="O77" s="1262">
        <f>VLOOKUP(C77,TONGHOPCONGDOI!$C$96:$AD$159,22,0)</f>
        <v>0</v>
      </c>
      <c r="P77" s="1262">
        <f>VLOOKUP(C77,TONGHOPCONGDOI!$C$96:$AD$159,23,0)</f>
        <v>0</v>
      </c>
      <c r="Q77" s="1262">
        <f>VLOOKUP(C77,TONGHOPCONGDOI!$C$96:$AD$159,24,0)</f>
        <v>0</v>
      </c>
      <c r="R77" s="1262">
        <f>VLOOKUP(C77,TONGHOPCONGDOI!$C$96:$AD$159,25,0)</f>
        <v>0</v>
      </c>
      <c r="S77" s="1262"/>
      <c r="T77" s="1244"/>
      <c r="U77" s="1244"/>
      <c r="V77" s="1244"/>
      <c r="W77" s="1247">
        <f t="shared" si="5"/>
        <v>596338</v>
      </c>
      <c r="X77" s="1262">
        <f t="shared" si="7"/>
        <v>1477926</v>
      </c>
      <c r="Y77" s="1262"/>
      <c r="Z77" s="1262">
        <f>VLOOKUP(C77,'CNKT '!$D$114:$AA$177,24,0)</f>
        <v>1477926</v>
      </c>
      <c r="AA77" s="1116">
        <f t="shared" si="4"/>
        <v>0</v>
      </c>
    </row>
    <row r="78" spans="1:27" s="1116" customFormat="1" ht="42.75" customHeight="1">
      <c r="A78" s="1242">
        <v>62</v>
      </c>
      <c r="B78" s="1262">
        <f>'Chấm công KT'!C156</f>
        <v>0</v>
      </c>
      <c r="C78" s="1262" t="str">
        <f>TONGHOPCONGDOI!C157</f>
        <v>Thảo Túc</v>
      </c>
      <c r="D78" s="1265"/>
      <c r="E78" s="1263"/>
      <c r="F78" s="1262">
        <f t="shared" si="1"/>
        <v>0</v>
      </c>
      <c r="G78" s="1262">
        <f>VLOOKUP(C78,TONGHOPCONGDOI!C157:AD160,16,0)</f>
        <v>118</v>
      </c>
      <c r="H78" s="1262">
        <f>VLOOKUP(C78,TONGHOPCONGDOI!C157:AD160,17,0)</f>
        <v>0</v>
      </c>
      <c r="I78" s="1262"/>
      <c r="J78" s="1264">
        <f t="shared" si="6"/>
        <v>54.487299495402993</v>
      </c>
      <c r="K78" s="1242" t="str">
        <f>VLOOKUP(C78,'BTH mủ tạp'!D160:AN221,37,0)</f>
        <v>C.</v>
      </c>
      <c r="L78" s="1246">
        <f t="shared" si="3"/>
        <v>200438</v>
      </c>
      <c r="M78" s="1262">
        <f>VLOOKUP(C78,TONGHOPCONGDOI!$C$96:$AD$159,20,0)</f>
        <v>2</v>
      </c>
      <c r="N78" s="1262">
        <f>VLOOKUP(C78,TONGHOPCONGDOI!$C$96:$AD$159,21,0)</f>
        <v>2</v>
      </c>
      <c r="O78" s="1262">
        <f>VLOOKUP(C78,TONGHOPCONGDOI!$C$96:$AD$159,22,0)</f>
        <v>0</v>
      </c>
      <c r="P78" s="1262">
        <f>VLOOKUP(C78,TONGHOPCONGDOI!$C$96:$AD$159,23,0)</f>
        <v>0</v>
      </c>
      <c r="Q78" s="1262">
        <f>VLOOKUP(C78,TONGHOPCONGDOI!$C$96:$AD$159,24,0)</f>
        <v>0</v>
      </c>
      <c r="R78" s="1262">
        <f>VLOOKUP(C78,TONGHOPCONGDOI!$C$96:$AD$159,25,0)</f>
        <v>0</v>
      </c>
      <c r="S78" s="1262"/>
      <c r="T78" s="1244"/>
      <c r="U78" s="1244"/>
      <c r="V78" s="1244"/>
      <c r="W78" s="1247">
        <f t="shared" si="5"/>
        <v>164535</v>
      </c>
      <c r="X78" s="1262">
        <f t="shared" si="7"/>
        <v>364973</v>
      </c>
      <c r="Y78" s="1262"/>
      <c r="Z78" s="1262">
        <f>VLOOKUP(C78,'CNKT '!$D$114:$AA$177,24,0)</f>
        <v>364973</v>
      </c>
      <c r="AA78" s="1116">
        <f t="shared" si="4"/>
        <v>0</v>
      </c>
    </row>
    <row r="79" spans="1:27" s="1116" customFormat="1" ht="42.75" customHeight="1">
      <c r="A79" s="1242">
        <v>63</v>
      </c>
      <c r="B79" s="1262">
        <f>'Chấm công KT'!C157</f>
        <v>0</v>
      </c>
      <c r="C79" s="1262" t="str">
        <f>TONGHOPCONGDOI!C158</f>
        <v>Mủ Xi Rum</v>
      </c>
      <c r="D79" s="1265"/>
      <c r="E79" s="1263"/>
      <c r="F79" s="1262"/>
      <c r="G79" s="1262"/>
      <c r="H79" s="1262"/>
      <c r="I79" s="1262"/>
      <c r="J79" s="1264"/>
      <c r="K79" s="1242"/>
      <c r="L79" s="1246"/>
      <c r="M79" s="1262"/>
      <c r="N79" s="1262"/>
      <c r="O79" s="1262"/>
      <c r="P79" s="1262"/>
      <c r="Q79" s="1262"/>
      <c r="R79" s="1262"/>
      <c r="S79" s="1262"/>
      <c r="T79" s="1244"/>
      <c r="U79" s="1244"/>
      <c r="V79" s="1244"/>
      <c r="W79" s="1247">
        <f t="shared" si="5"/>
        <v>0</v>
      </c>
      <c r="X79" s="1262">
        <f t="shared" si="7"/>
        <v>0</v>
      </c>
      <c r="Y79" s="1262"/>
      <c r="Z79" s="1262">
        <f>VLOOKUP(C79,'CNKT '!$D$114:$AA$177,24,0)</f>
        <v>0</v>
      </c>
      <c r="AA79" s="1116">
        <f t="shared" si="4"/>
        <v>0</v>
      </c>
    </row>
    <row r="80" spans="1:27" s="1116" customFormat="1" ht="42.75" customHeight="1">
      <c r="A80" s="1242">
        <v>59</v>
      </c>
      <c r="B80" s="1266"/>
      <c r="C80" s="1262" t="str">
        <f>TONGHOPCONGDOI!C159</f>
        <v>Mon (3)</v>
      </c>
      <c r="D80" s="1265"/>
      <c r="E80" s="1263"/>
      <c r="F80" s="1262">
        <f t="shared" si="1"/>
        <v>0</v>
      </c>
      <c r="G80" s="1262"/>
      <c r="H80" s="1262"/>
      <c r="I80" s="1262"/>
      <c r="J80" s="1264"/>
      <c r="K80" s="1242"/>
      <c r="L80" s="1246"/>
      <c r="M80" s="1262"/>
      <c r="N80" s="1262"/>
      <c r="O80" s="1262">
        <f>VLOOKUP(C80,TONGHOPCONGDOI!$C$96:$AD$159,22,0)</f>
        <v>0</v>
      </c>
      <c r="P80" s="1262"/>
      <c r="Q80" s="1262"/>
      <c r="R80" s="1262"/>
      <c r="S80" s="1262"/>
      <c r="T80" s="1244"/>
      <c r="U80" s="1244"/>
      <c r="V80" s="1244"/>
      <c r="W80" s="1247">
        <f t="shared" ref="W80" si="8">ROUND(((M80*46.1)+(N80*76.9)+(O80*92.2)+(P80*153.8)+(Q80*92.2)+(R80*153.8))*$E$13+(S80*20000)+(T80*10000)+(U80*30000),0)</f>
        <v>0</v>
      </c>
      <c r="X80" s="1262">
        <f t="shared" si="7"/>
        <v>0</v>
      </c>
      <c r="Y80" s="1262"/>
      <c r="Z80" s="1262">
        <f>VLOOKUP(C80,'CNKT '!$D$114:$AA$177,24,0)</f>
        <v>0</v>
      </c>
      <c r="AA80" s="1116">
        <f t="shared" si="4"/>
        <v>0</v>
      </c>
    </row>
    <row r="81" spans="1:28" s="1116" customFormat="1" ht="42.75" customHeight="1">
      <c r="A81" s="1242">
        <v>63</v>
      </c>
      <c r="B81" s="1266"/>
      <c r="C81" s="1262" t="str">
        <f>TONGHOPCONGDOI!C160</f>
        <v>T. Huân</v>
      </c>
      <c r="D81" s="1265"/>
      <c r="E81" s="1263"/>
      <c r="F81" s="1262">
        <f t="shared" ref="F81" si="9">E81*25000</f>
        <v>0</v>
      </c>
      <c r="G81" s="1262"/>
      <c r="H81" s="1262"/>
      <c r="I81" s="1262"/>
      <c r="J81" s="1264"/>
      <c r="K81" s="1242"/>
      <c r="L81" s="1246"/>
      <c r="M81" s="1262"/>
      <c r="N81" s="1262"/>
      <c r="O81" s="1262"/>
      <c r="P81" s="1262"/>
      <c r="Q81" s="1262"/>
      <c r="R81" s="1262"/>
      <c r="S81" s="1262"/>
      <c r="T81" s="1244">
        <f t="shared" ref="T81" si="10">SUM(M81:S81)</f>
        <v>0</v>
      </c>
      <c r="U81" s="1244">
        <f t="shared" ref="U81" si="11">SUM(M81:R81)</f>
        <v>0</v>
      </c>
      <c r="V81" s="1244">
        <f t="shared" ref="V81" si="12">SUM(M81:R81)</f>
        <v>0</v>
      </c>
      <c r="W81" s="1247">
        <f t="shared" ref="W81" si="13">((M81*46.1)+(N81*76.9)+(O81*92.2)+(P81*153.8)+(Q81*92.2)+(R81*153.8))*$E$13+(S81*20000)+(T81*10000)+(U81*30000)</f>
        <v>0</v>
      </c>
      <c r="X81" s="1262">
        <f t="shared" ref="X81" si="14">F81+L81+W81</f>
        <v>0</v>
      </c>
      <c r="Y81" s="1262"/>
      <c r="Z81" s="1262">
        <f>VLOOKUP(C81,'CNKT '!$D$114:$AA$178,24,0)</f>
        <v>0</v>
      </c>
      <c r="AA81" s="1116">
        <f t="shared" si="4"/>
        <v>0</v>
      </c>
    </row>
    <row r="82" spans="1:28" s="1116" customFormat="1" ht="37.5" customHeight="1">
      <c r="A82" s="1421" t="s">
        <v>383</v>
      </c>
      <c r="B82" s="1422"/>
      <c r="C82" s="1422"/>
      <c r="D82" s="1423"/>
      <c r="E82" s="1267">
        <f>SUM(E17:E81)</f>
        <v>0</v>
      </c>
      <c r="F82" s="1268">
        <f t="shared" ref="F82:Y82" si="15">SUM(F17:F81)</f>
        <v>0</v>
      </c>
      <c r="G82" s="1269">
        <f t="shared" si="15"/>
        <v>158146</v>
      </c>
      <c r="H82" s="1268">
        <f t="shared" si="15"/>
        <v>0</v>
      </c>
      <c r="I82" s="1268">
        <f t="shared" si="15"/>
        <v>0</v>
      </c>
      <c r="J82" s="1269">
        <f t="shared" si="15"/>
        <v>73024.987000000023</v>
      </c>
      <c r="K82" s="1268">
        <f t="shared" si="15"/>
        <v>0</v>
      </c>
      <c r="L82" s="1268">
        <f t="shared" si="15"/>
        <v>292339544</v>
      </c>
      <c r="M82" s="1269">
        <f t="shared" si="15"/>
        <v>1383</v>
      </c>
      <c r="N82" s="1269">
        <f t="shared" si="15"/>
        <v>289</v>
      </c>
      <c r="O82" s="1268">
        <f t="shared" si="15"/>
        <v>0</v>
      </c>
      <c r="P82" s="1268">
        <f t="shared" si="15"/>
        <v>0</v>
      </c>
      <c r="Q82" s="1268">
        <f t="shared" si="15"/>
        <v>0</v>
      </c>
      <c r="R82" s="1268">
        <f t="shared" si="15"/>
        <v>0</v>
      </c>
      <c r="S82" s="1268">
        <f t="shared" si="15"/>
        <v>0</v>
      </c>
      <c r="T82" s="1268">
        <f t="shared" si="15"/>
        <v>0</v>
      </c>
      <c r="U82" s="1268">
        <f t="shared" si="15"/>
        <v>0</v>
      </c>
      <c r="V82" s="1268">
        <f t="shared" si="15"/>
        <v>0</v>
      </c>
      <c r="W82" s="1268">
        <f t="shared" si="15"/>
        <v>57507146</v>
      </c>
      <c r="X82" s="1268">
        <f t="shared" si="15"/>
        <v>349846690</v>
      </c>
      <c r="Y82" s="1268">
        <f t="shared" si="15"/>
        <v>0</v>
      </c>
      <c r="Z82" s="1268">
        <f>SUM(Z17:Z81)</f>
        <v>349846690</v>
      </c>
      <c r="AA82" s="1116">
        <f t="shared" si="4"/>
        <v>0</v>
      </c>
      <c r="AB82" s="1116">
        <v>598630435</v>
      </c>
    </row>
    <row r="83" spans="1:28" ht="37.5" customHeight="1">
      <c r="A83" s="1437" t="s">
        <v>862</v>
      </c>
      <c r="B83" s="1437"/>
      <c r="C83" s="1437"/>
      <c r="D83" s="1437"/>
      <c r="E83" s="1437"/>
      <c r="F83" s="1437"/>
      <c r="G83" s="1437"/>
      <c r="H83" s="1437"/>
      <c r="I83" s="1437"/>
      <c r="J83" s="1437"/>
      <c r="K83" s="1437"/>
      <c r="L83" s="1437"/>
      <c r="M83" s="1437"/>
      <c r="N83" s="1437"/>
      <c r="O83" s="1437"/>
      <c r="P83" s="1437"/>
      <c r="Q83" s="1437"/>
      <c r="R83" s="1437"/>
      <c r="S83" s="1437"/>
      <c r="T83" s="1437"/>
      <c r="U83" s="1437"/>
      <c r="V83" s="1437"/>
      <c r="W83" s="1437"/>
      <c r="X83" s="1437"/>
      <c r="Y83" s="1437"/>
      <c r="Z83" s="1437"/>
    </row>
    <row r="84" spans="1:28" ht="37.5" customHeight="1">
      <c r="A84" s="1270"/>
      <c r="B84" s="1270"/>
      <c r="C84" s="1270"/>
      <c r="D84" s="1270"/>
      <c r="E84" s="1270"/>
      <c r="F84" s="1270"/>
      <c r="G84" s="1270"/>
      <c r="H84" s="1270"/>
      <c r="I84" s="1270"/>
      <c r="J84" s="1270"/>
      <c r="K84" s="1270"/>
      <c r="L84" s="1270"/>
      <c r="M84" s="1270"/>
      <c r="N84" s="1270"/>
      <c r="O84" s="1270"/>
      <c r="P84" s="1270"/>
      <c r="Q84" s="1270"/>
      <c r="R84" s="1270"/>
      <c r="S84" s="1445" t="s">
        <v>861</v>
      </c>
      <c r="T84" s="1445"/>
      <c r="U84" s="1445"/>
      <c r="V84" s="1445"/>
      <c r="W84" s="1445"/>
      <c r="X84" s="1445"/>
      <c r="Y84" s="1445"/>
      <c r="Z84" s="1445"/>
    </row>
    <row r="85" spans="1:28" ht="24.75" customHeight="1">
      <c r="A85" s="1225"/>
      <c r="B85" s="1271"/>
      <c r="C85" s="1272"/>
      <c r="D85" s="1273"/>
      <c r="E85" s="1274"/>
      <c r="F85" s="1220"/>
      <c r="G85" s="1220">
        <f>SUBTOTAL(9,G17:G74)</f>
        <v>154598</v>
      </c>
      <c r="H85" s="1220"/>
      <c r="I85" s="1220"/>
      <c r="J85" s="1275"/>
      <c r="K85" s="1276"/>
      <c r="L85" s="1277"/>
      <c r="M85" s="1278"/>
      <c r="N85" s="1278"/>
      <c r="O85" s="1278"/>
      <c r="P85" s="1278"/>
      <c r="Q85" s="1278"/>
      <c r="R85" s="1278"/>
      <c r="S85" s="1278"/>
      <c r="T85" s="1220"/>
      <c r="U85" s="1220"/>
      <c r="V85" s="1220"/>
      <c r="W85" s="1453"/>
      <c r="X85" s="1453"/>
      <c r="Y85" s="1453"/>
      <c r="Z85" s="1453"/>
    </row>
    <row r="86" spans="1:28" s="1109" customFormat="1" ht="19.5" customHeight="1">
      <c r="A86" s="1442" t="s">
        <v>584</v>
      </c>
      <c r="B86" s="1442"/>
      <c r="C86" s="1442"/>
      <c r="D86" s="1442"/>
      <c r="E86" s="1442"/>
      <c r="F86" s="1442"/>
      <c r="G86" s="1442"/>
      <c r="H86" s="1442"/>
      <c r="I86" s="1442"/>
      <c r="J86" s="1442"/>
      <c r="K86" s="1442"/>
      <c r="L86" s="1442"/>
      <c r="M86" s="1442"/>
      <c r="N86" s="1442"/>
      <c r="O86" s="1442"/>
      <c r="P86" s="1442"/>
      <c r="Q86" s="1442"/>
      <c r="R86" s="1442"/>
      <c r="S86" s="1442"/>
      <c r="T86" s="1442"/>
      <c r="U86" s="1442"/>
      <c r="V86" s="1442"/>
      <c r="W86" s="1442"/>
      <c r="X86" s="1442"/>
      <c r="Y86" s="1442"/>
      <c r="Z86" s="1442"/>
    </row>
    <row r="87" spans="1:28" s="1109" customFormat="1" ht="19.5" customHeight="1">
      <c r="A87" s="1111"/>
      <c r="C87" s="1110"/>
      <c r="D87" s="1110"/>
      <c r="E87" s="1110"/>
      <c r="F87" s="1110"/>
      <c r="G87" s="1110"/>
      <c r="H87" s="1110"/>
      <c r="I87" s="1110"/>
      <c r="J87" s="1125"/>
      <c r="K87" s="1110"/>
      <c r="T87" s="1124"/>
      <c r="U87" s="1124"/>
      <c r="V87" s="1124"/>
      <c r="W87" s="1110"/>
      <c r="X87" s="1110"/>
      <c r="Y87" s="1110"/>
    </row>
    <row r="88" spans="1:28" s="1109" customFormat="1" ht="19.5" customHeight="1">
      <c r="A88" s="1111"/>
      <c r="C88" s="1110"/>
      <c r="D88" s="1110"/>
      <c r="E88" s="1110"/>
      <c r="F88" s="1110"/>
      <c r="G88" s="1110">
        <f>SUBTOTAL(9,G75:G78)</f>
        <v>3548</v>
      </c>
      <c r="H88" s="1110"/>
      <c r="I88" s="1110"/>
      <c r="J88" s="1125"/>
      <c r="K88" s="1110"/>
      <c r="T88" s="1124"/>
      <c r="U88" s="1124"/>
      <c r="V88" s="1124"/>
      <c r="W88" s="1110"/>
      <c r="X88" s="1110"/>
      <c r="Y88" s="1110"/>
    </row>
    <row r="89" spans="1:28" s="1109" customFormat="1" ht="19.5" customHeight="1">
      <c r="A89" s="1111"/>
      <c r="C89" s="1110"/>
      <c r="D89" s="1110"/>
      <c r="E89" s="1110"/>
      <c r="F89" s="1110"/>
      <c r="G89" s="1110"/>
      <c r="H89" s="1110"/>
      <c r="I89" s="1110"/>
      <c r="J89" s="1125"/>
      <c r="K89" s="1110"/>
      <c r="T89" s="1124"/>
      <c r="U89" s="1124"/>
      <c r="V89" s="1124"/>
      <c r="W89" s="1110"/>
      <c r="X89" s="1110"/>
      <c r="Y89" s="1110"/>
    </row>
    <row r="90" spans="1:28" s="1109" customFormat="1" ht="19.5" customHeight="1">
      <c r="A90" s="1111"/>
      <c r="C90" s="1110"/>
      <c r="D90" s="1110"/>
      <c r="E90" s="1110"/>
      <c r="F90" s="1110"/>
      <c r="G90" s="1110"/>
      <c r="H90" s="1110"/>
      <c r="I90" s="1110"/>
      <c r="J90" s="1125"/>
      <c r="K90" s="1110"/>
      <c r="T90" s="1124"/>
      <c r="U90" s="1124"/>
      <c r="V90" s="1124"/>
      <c r="W90" s="1110"/>
      <c r="X90" s="1110"/>
      <c r="Y90" s="1110"/>
    </row>
    <row r="91" spans="1:28" s="1109" customFormat="1" ht="19.5" customHeight="1">
      <c r="A91" s="1111"/>
      <c r="C91" s="1110"/>
      <c r="D91" s="1110"/>
      <c r="E91" s="1110"/>
      <c r="F91" s="1110"/>
      <c r="G91" s="1110"/>
      <c r="H91" s="1110"/>
      <c r="I91" s="1110"/>
      <c r="J91" s="1125"/>
      <c r="K91" s="1110"/>
      <c r="T91" s="1124"/>
      <c r="U91" s="1124"/>
      <c r="V91" s="1124"/>
      <c r="W91" s="1110"/>
      <c r="X91" s="1110"/>
      <c r="Y91" s="1110"/>
    </row>
    <row r="92" spans="1:28" s="1109" customFormat="1" ht="19.5" customHeight="1">
      <c r="A92" s="1111"/>
      <c r="C92" s="1110"/>
      <c r="D92" s="1110"/>
      <c r="E92" s="1110"/>
      <c r="F92" s="1110"/>
      <c r="G92" s="1110"/>
      <c r="H92" s="1110"/>
      <c r="I92" s="1110"/>
      <c r="J92" s="1125"/>
      <c r="K92" s="1110"/>
      <c r="L92" s="1124"/>
      <c r="W92" s="1110"/>
      <c r="X92" s="1110"/>
      <c r="Y92" s="1110"/>
    </row>
    <row r="93" spans="1:28" s="1109" customFormat="1" ht="19.5" customHeight="1">
      <c r="A93" s="1111"/>
      <c r="C93" s="1110"/>
      <c r="D93" s="1110"/>
      <c r="E93" s="1126"/>
      <c r="F93" s="1110"/>
      <c r="G93" s="1110"/>
      <c r="H93" s="1110"/>
      <c r="I93" s="1110"/>
      <c r="J93" s="1125"/>
      <c r="K93" s="1110"/>
      <c r="T93" s="1124"/>
      <c r="U93" s="1124"/>
      <c r="V93" s="1124"/>
      <c r="W93" s="1110"/>
      <c r="X93" s="1110"/>
      <c r="Y93" s="1110"/>
    </row>
    <row r="94" spans="1:28" s="1109" customFormat="1" ht="19.5" customHeight="1">
      <c r="A94" s="1111"/>
      <c r="C94" s="1110"/>
      <c r="D94" s="1110"/>
      <c r="E94" s="1126"/>
      <c r="F94" s="1110"/>
      <c r="G94" s="1110"/>
      <c r="H94" s="1110"/>
      <c r="I94" s="1110"/>
      <c r="J94" s="1125"/>
      <c r="K94" s="1110"/>
      <c r="T94" s="1124"/>
      <c r="U94" s="1124"/>
      <c r="V94" s="1124"/>
      <c r="W94" s="1110"/>
      <c r="X94" s="1110"/>
      <c r="Y94" s="1110"/>
    </row>
    <row r="95" spans="1:28" s="1109" customFormat="1" ht="26.25" customHeight="1">
      <c r="A95" s="1454"/>
      <c r="B95" s="1454"/>
      <c r="C95" s="1454"/>
      <c r="D95" s="1454"/>
      <c r="E95" s="1454"/>
      <c r="G95" s="1111"/>
      <c r="H95" s="1111"/>
      <c r="I95" s="1111"/>
      <c r="L95" s="1428"/>
      <c r="M95" s="1428"/>
      <c r="N95" s="1428"/>
      <c r="O95" s="1428"/>
      <c r="P95" s="1428"/>
      <c r="Q95" s="1428"/>
      <c r="R95" s="1428"/>
      <c r="S95" s="1428"/>
      <c r="T95" s="1428"/>
      <c r="U95" s="1110"/>
      <c r="V95" s="1110"/>
      <c r="X95" s="1428"/>
      <c r="Y95" s="1428"/>
      <c r="Z95" s="1428"/>
    </row>
    <row r="96" spans="1:28" s="1109" customFormat="1" ht="19.5" customHeight="1">
      <c r="A96" s="1111"/>
      <c r="C96" s="1110"/>
      <c r="D96" s="1126"/>
      <c r="E96" s="1124"/>
      <c r="F96" s="1127"/>
      <c r="G96" s="1127"/>
      <c r="H96" s="1127"/>
      <c r="I96" s="1127"/>
      <c r="J96" s="1125"/>
      <c r="K96" s="1110"/>
      <c r="L96" s="1124"/>
      <c r="T96" s="1104"/>
      <c r="U96" s="1104"/>
      <c r="V96" s="1104"/>
      <c r="W96" s="1124"/>
    </row>
    <row r="97" spans="1:26" s="1109" customFormat="1" ht="19.5" customHeight="1">
      <c r="A97" s="1111"/>
      <c r="C97" s="1110"/>
      <c r="D97" s="1126"/>
      <c r="E97" s="1124"/>
      <c r="F97" s="1127"/>
      <c r="G97" s="1127"/>
      <c r="H97" s="1127"/>
      <c r="I97" s="1127"/>
      <c r="J97" s="1125"/>
      <c r="K97" s="1110"/>
      <c r="L97" s="1124"/>
      <c r="W97" s="1104"/>
      <c r="X97" s="1124"/>
    </row>
    <row r="98" spans="1:26">
      <c r="B98" s="1104"/>
      <c r="C98" s="1104"/>
      <c r="E98" s="1128"/>
      <c r="F98" s="1128"/>
      <c r="G98" s="1128"/>
      <c r="H98" s="1128"/>
      <c r="I98" s="1128"/>
      <c r="J98" s="322"/>
      <c r="K98" s="322"/>
      <c r="L98" s="1128"/>
    </row>
    <row r="99" spans="1:26">
      <c r="B99" s="1104"/>
      <c r="C99" s="1104"/>
      <c r="E99" s="1128"/>
      <c r="F99" s="1112"/>
      <c r="G99" s="1112"/>
      <c r="H99" s="1112"/>
      <c r="I99" s="1112"/>
      <c r="J99" s="322"/>
      <c r="K99" s="322"/>
      <c r="L99" s="1112"/>
      <c r="M99" s="1438"/>
      <c r="N99" s="1438"/>
      <c r="O99" s="1438"/>
      <c r="P99" s="1129"/>
      <c r="Q99" s="1129"/>
      <c r="R99" s="1129"/>
      <c r="S99" s="1129"/>
    </row>
    <row r="100" spans="1:26">
      <c r="B100" s="1104"/>
      <c r="C100" s="1104"/>
      <c r="E100" s="1128"/>
      <c r="J100" s="322"/>
      <c r="K100" s="322"/>
      <c r="L100" s="1104"/>
      <c r="W100" s="1130"/>
    </row>
    <row r="101" spans="1:26" ht="409.6" customHeight="1">
      <c r="B101" s="1104"/>
      <c r="C101" s="1128"/>
      <c r="E101" s="1128"/>
      <c r="J101" s="322"/>
      <c r="K101" s="322"/>
      <c r="L101" s="1104"/>
    </row>
    <row r="102" spans="1:26">
      <c r="B102" s="1104"/>
      <c r="C102" s="1104"/>
      <c r="D102" s="1128"/>
      <c r="E102" s="1128"/>
      <c r="K102" s="1131"/>
      <c r="L102" s="1104"/>
    </row>
    <row r="103" spans="1:26">
      <c r="B103" s="1104"/>
      <c r="C103" s="1128"/>
      <c r="D103" s="1132"/>
      <c r="E103" s="1439"/>
      <c r="F103" s="1128"/>
      <c r="G103" s="1128"/>
      <c r="H103" s="1128"/>
      <c r="I103" s="1128"/>
      <c r="J103" s="322"/>
      <c r="K103" s="322"/>
      <c r="L103" s="1112"/>
    </row>
    <row r="104" spans="1:26">
      <c r="B104" s="1104"/>
      <c r="C104" s="1104"/>
      <c r="E104" s="1439"/>
      <c r="F104" s="1128"/>
      <c r="G104" s="1128"/>
      <c r="H104" s="1128"/>
      <c r="I104" s="1128"/>
      <c r="J104" s="322"/>
      <c r="K104" s="322"/>
      <c r="L104" s="1128"/>
    </row>
    <row r="105" spans="1:26">
      <c r="B105" s="1104"/>
      <c r="C105" s="1104"/>
      <c r="E105" s="1439"/>
      <c r="F105" s="1128"/>
      <c r="G105" s="1128"/>
      <c r="H105" s="1128"/>
      <c r="I105" s="1128"/>
      <c r="J105" s="322"/>
      <c r="K105" s="322"/>
      <c r="L105" s="1104"/>
      <c r="M105" s="1112"/>
      <c r="N105" s="1112"/>
      <c r="O105" s="1112"/>
      <c r="P105" s="1112"/>
      <c r="Q105" s="1112"/>
      <c r="R105" s="1112"/>
      <c r="S105" s="1112"/>
      <c r="T105" s="1112"/>
      <c r="U105" s="1112"/>
      <c r="V105" s="1112"/>
      <c r="W105" s="1112"/>
      <c r="Z105" s="1128"/>
    </row>
    <row r="106" spans="1:26">
      <c r="B106" s="1104"/>
      <c r="C106" s="1104"/>
      <c r="E106" s="1439"/>
      <c r="F106" s="1128"/>
      <c r="G106" s="1128"/>
      <c r="H106" s="1128"/>
      <c r="I106" s="1128"/>
      <c r="J106" s="322"/>
      <c r="K106" s="322"/>
      <c r="L106" s="1104"/>
      <c r="M106" s="1129"/>
      <c r="N106" s="1129"/>
      <c r="O106" s="1129"/>
      <c r="P106" s="1129"/>
      <c r="Q106" s="1129"/>
      <c r="R106" s="1129"/>
      <c r="S106" s="1129"/>
      <c r="T106" s="1129"/>
      <c r="U106" s="1129"/>
      <c r="V106" s="1129"/>
      <c r="W106" s="1129"/>
      <c r="Z106" s="1128"/>
    </row>
    <row r="107" spans="1:26">
      <c r="B107" s="1104"/>
      <c r="C107" s="1104"/>
      <c r="E107" s="1128"/>
      <c r="F107" s="1128"/>
      <c r="G107" s="1128"/>
      <c r="H107" s="1128"/>
      <c r="I107" s="1128"/>
      <c r="J107" s="322"/>
      <c r="K107" s="322"/>
      <c r="L107" s="1104"/>
      <c r="M107" s="1129"/>
      <c r="N107" s="1129"/>
      <c r="O107" s="1129"/>
      <c r="P107" s="1129"/>
      <c r="Q107" s="1129"/>
      <c r="R107" s="1129"/>
      <c r="S107" s="1129"/>
      <c r="T107" s="1129"/>
      <c r="U107" s="1129"/>
      <c r="V107" s="1129"/>
      <c r="W107" s="1129"/>
      <c r="Z107" s="1128"/>
    </row>
    <row r="108" spans="1:26">
      <c r="B108" s="1104"/>
      <c r="C108" s="1104"/>
      <c r="E108" s="1128"/>
      <c r="F108" s="1128"/>
      <c r="G108" s="1128"/>
      <c r="H108" s="1128"/>
      <c r="I108" s="1128"/>
      <c r="J108" s="322"/>
      <c r="K108" s="322"/>
      <c r="L108" s="1104"/>
      <c r="M108" s="1129"/>
      <c r="N108" s="1129"/>
      <c r="O108" s="1129"/>
      <c r="P108" s="1129"/>
      <c r="Q108" s="1129"/>
      <c r="R108" s="1129"/>
      <c r="S108" s="1129"/>
      <c r="T108" s="1129"/>
      <c r="U108" s="1129"/>
      <c r="V108" s="1129"/>
      <c r="W108" s="1129"/>
      <c r="Z108" s="1128"/>
    </row>
    <row r="109" spans="1:26">
      <c r="B109" s="1104"/>
      <c r="C109" s="1104"/>
      <c r="E109" s="1128"/>
      <c r="F109" s="1128"/>
      <c r="G109" s="1128"/>
      <c r="H109" s="1128"/>
      <c r="I109" s="1128"/>
      <c r="J109" s="322"/>
      <c r="K109" s="322"/>
      <c r="L109" s="1104"/>
      <c r="M109" s="1129"/>
      <c r="N109" s="1129"/>
      <c r="O109" s="1129"/>
      <c r="P109" s="1129"/>
      <c r="Q109" s="1129"/>
      <c r="R109" s="1129"/>
      <c r="S109" s="1129"/>
      <c r="T109" s="1129"/>
      <c r="U109" s="1129"/>
      <c r="V109" s="1129"/>
      <c r="W109" s="1129"/>
      <c r="Z109" s="1128"/>
    </row>
    <row r="110" spans="1:26">
      <c r="B110" s="1104"/>
      <c r="C110" s="1104"/>
      <c r="E110" s="1128"/>
      <c r="F110" s="1128"/>
      <c r="G110" s="1128"/>
      <c r="H110" s="1128"/>
      <c r="I110" s="1128"/>
      <c r="J110" s="322"/>
      <c r="K110" s="322"/>
      <c r="L110" s="1104"/>
      <c r="M110" s="1129"/>
      <c r="N110" s="1129"/>
      <c r="O110" s="1129"/>
      <c r="P110" s="1129"/>
      <c r="Q110" s="1129"/>
      <c r="R110" s="1129"/>
      <c r="S110" s="1129"/>
      <c r="T110" s="1129"/>
      <c r="U110" s="1129"/>
      <c r="V110" s="1129"/>
      <c r="W110" s="1129"/>
      <c r="Z110" s="1128"/>
    </row>
    <row r="111" spans="1:26">
      <c r="B111" s="1104"/>
      <c r="C111" s="1104"/>
      <c r="E111" s="1128"/>
      <c r="F111" s="1128"/>
      <c r="G111" s="1128"/>
      <c r="H111" s="1128"/>
      <c r="I111" s="1128"/>
      <c r="J111" s="322"/>
      <c r="K111" s="322"/>
      <c r="L111" s="1104"/>
      <c r="M111" s="1129"/>
      <c r="N111" s="1129"/>
      <c r="O111" s="1129"/>
      <c r="P111" s="1129"/>
      <c r="Q111" s="1129"/>
      <c r="R111" s="1129"/>
      <c r="S111" s="1129"/>
      <c r="T111" s="1129"/>
      <c r="U111" s="1129"/>
      <c r="V111" s="1129"/>
      <c r="W111" s="1129"/>
      <c r="Z111" s="1128"/>
    </row>
    <row r="112" spans="1:26">
      <c r="B112" s="1104"/>
      <c r="C112" s="1104"/>
      <c r="E112" s="1128"/>
      <c r="F112" s="1128"/>
      <c r="G112" s="1128"/>
      <c r="H112" s="1128"/>
      <c r="I112" s="1128"/>
      <c r="J112" s="322"/>
      <c r="K112" s="322"/>
      <c r="L112" s="1104"/>
      <c r="M112" s="1129"/>
      <c r="N112" s="1129"/>
      <c r="O112" s="1129"/>
      <c r="P112" s="1129"/>
      <c r="Q112" s="1129"/>
      <c r="R112" s="1129"/>
      <c r="S112" s="1129"/>
      <c r="T112" s="1129"/>
      <c r="U112" s="1129"/>
      <c r="V112" s="1129"/>
      <c r="W112" s="1129"/>
      <c r="Z112" s="1128"/>
    </row>
    <row r="113" spans="1:26">
      <c r="B113" s="1104"/>
      <c r="C113" s="1104"/>
      <c r="E113" s="1104"/>
      <c r="J113" s="322"/>
      <c r="K113" s="322"/>
      <c r="L113" s="1104"/>
      <c r="M113" s="1440"/>
      <c r="N113" s="1440"/>
      <c r="O113" s="1440"/>
      <c r="P113" s="1131"/>
      <c r="Q113" s="1131"/>
      <c r="R113" s="1131"/>
      <c r="S113" s="1131"/>
    </row>
    <row r="114" spans="1:26">
      <c r="B114" s="1104"/>
      <c r="C114" s="1104"/>
      <c r="E114" s="1104"/>
      <c r="J114" s="892"/>
      <c r="K114" s="892"/>
      <c r="L114" s="1104"/>
    </row>
    <row r="115" spans="1:26">
      <c r="B115" s="1104"/>
      <c r="C115" s="1104"/>
      <c r="E115" s="1128"/>
      <c r="J115" s="322"/>
      <c r="K115" s="322"/>
      <c r="L115" s="1104"/>
    </row>
    <row r="116" spans="1:26">
      <c r="B116" s="1104"/>
      <c r="C116" s="1104"/>
      <c r="E116" s="1128"/>
      <c r="J116" s="322"/>
      <c r="K116" s="322"/>
      <c r="L116" s="1104"/>
    </row>
    <row r="117" spans="1:26">
      <c r="B117" s="1104"/>
      <c r="C117" s="1104"/>
      <c r="E117" s="1128"/>
      <c r="J117" s="322"/>
      <c r="K117" s="322"/>
      <c r="L117" s="1104"/>
    </row>
    <row r="118" spans="1:26">
      <c r="A118" s="1104"/>
      <c r="J118" s="322"/>
      <c r="K118" s="322"/>
    </row>
    <row r="119" spans="1:26">
      <c r="A119" s="1104"/>
      <c r="J119" s="322"/>
      <c r="K119" s="322"/>
    </row>
    <row r="120" spans="1:26">
      <c r="A120" s="1104"/>
      <c r="J120" s="322"/>
      <c r="K120" s="322"/>
      <c r="Z120" s="1131"/>
    </row>
    <row r="121" spans="1:26">
      <c r="A121" s="1104"/>
      <c r="J121" s="322"/>
      <c r="K121" s="322"/>
      <c r="Z121" s="1131"/>
    </row>
    <row r="122" spans="1:26">
      <c r="A122" s="1104"/>
      <c r="J122" s="322"/>
      <c r="K122" s="322"/>
      <c r="Z122" s="1131"/>
    </row>
    <row r="123" spans="1:26" ht="28.5" customHeight="1">
      <c r="A123" s="1104"/>
      <c r="B123" s="1118"/>
      <c r="J123" s="1441"/>
      <c r="K123" s="1441"/>
      <c r="T123" s="1440"/>
      <c r="U123" s="1440"/>
      <c r="V123" s="1440"/>
      <c r="W123" s="1440"/>
    </row>
    <row r="124" spans="1:26">
      <c r="A124" s="1104"/>
      <c r="B124" s="1117"/>
      <c r="F124" s="1128"/>
      <c r="G124" s="1128"/>
      <c r="H124" s="1128"/>
      <c r="I124" s="1128"/>
      <c r="J124" s="322"/>
      <c r="K124" s="322"/>
    </row>
    <row r="125" spans="1:26">
      <c r="A125" s="1104"/>
      <c r="B125" s="1117"/>
      <c r="E125" s="1104"/>
      <c r="J125" s="322"/>
      <c r="K125" s="360"/>
    </row>
    <row r="126" spans="1:26">
      <c r="A126" s="1104"/>
      <c r="B126" s="1117"/>
      <c r="J126" s="322"/>
      <c r="K126" s="360"/>
    </row>
    <row r="127" spans="1:26">
      <c r="A127" s="1104"/>
      <c r="J127" s="322"/>
      <c r="K127" s="360"/>
    </row>
    <row r="128" spans="1:26">
      <c r="A128" s="1104"/>
      <c r="F128" s="1441"/>
      <c r="G128" s="1441"/>
      <c r="H128" s="1441"/>
      <c r="I128" s="1441"/>
      <c r="J128" s="1441"/>
      <c r="K128" s="360"/>
    </row>
    <row r="130" spans="1:23">
      <c r="A130" s="1104"/>
      <c r="J130" s="1436"/>
      <c r="K130" s="1436"/>
    </row>
    <row r="132" spans="1:23">
      <c r="A132" s="1104"/>
      <c r="F132" s="1128"/>
      <c r="G132" s="1128"/>
      <c r="H132" s="1128"/>
      <c r="I132" s="1128"/>
      <c r="J132" s="322"/>
    </row>
    <row r="133" spans="1:23">
      <c r="A133" s="1104"/>
      <c r="M133" s="1128"/>
      <c r="N133" s="1128"/>
    </row>
    <row r="137" spans="1:23">
      <c r="A137" s="1104"/>
      <c r="F137" s="1128"/>
      <c r="G137" s="1128"/>
      <c r="H137" s="1128"/>
      <c r="I137" s="1128"/>
    </row>
    <row r="138" spans="1:23">
      <c r="A138" s="1104"/>
      <c r="B138" s="1104"/>
      <c r="C138" s="1104"/>
      <c r="E138" s="1104"/>
      <c r="F138" s="1128"/>
      <c r="G138" s="1128"/>
      <c r="H138" s="1128"/>
      <c r="I138" s="1128"/>
    </row>
    <row r="144" spans="1:23">
      <c r="A144" s="1104"/>
      <c r="B144" s="1104"/>
      <c r="C144" s="1104"/>
      <c r="E144" s="1104"/>
      <c r="K144" s="320">
        <v>1678</v>
      </c>
      <c r="L144" s="321">
        <v>1573</v>
      </c>
      <c r="M144" s="1104">
        <v>1187</v>
      </c>
      <c r="O144" s="1104">
        <v>1183</v>
      </c>
      <c r="W144" s="1104">
        <f>SUM(K144:O144)</f>
        <v>5621</v>
      </c>
    </row>
    <row r="145" spans="1:23">
      <c r="A145" s="1104"/>
      <c r="B145" s="1104"/>
      <c r="C145" s="1104"/>
      <c r="E145" s="1104"/>
      <c r="K145" s="320">
        <v>257</v>
      </c>
      <c r="L145" s="321">
        <v>244</v>
      </c>
      <c r="M145" s="1104">
        <v>183</v>
      </c>
      <c r="O145" s="1104">
        <v>182</v>
      </c>
      <c r="W145" s="1104">
        <f>SUM(K145:O145)</f>
        <v>866</v>
      </c>
    </row>
    <row r="146" spans="1:23">
      <c r="A146" s="1104"/>
      <c r="B146" s="1104"/>
      <c r="C146" s="1104"/>
      <c r="E146" s="1104"/>
      <c r="K146" s="320">
        <v>1935</v>
      </c>
      <c r="L146" s="321">
        <v>1817</v>
      </c>
      <c r="M146" s="1104">
        <v>1370</v>
      </c>
      <c r="O146" s="1104">
        <v>1365</v>
      </c>
      <c r="W146" s="1104">
        <f>SUM(K146:O146)</f>
        <v>6487</v>
      </c>
    </row>
  </sheetData>
  <autoFilter ref="A17:AH86"/>
  <mergeCells count="36">
    <mergeCell ref="X13:Y13"/>
    <mergeCell ref="E103:E106"/>
    <mergeCell ref="A83:Z83"/>
    <mergeCell ref="M99:O99"/>
    <mergeCell ref="X95:Z95"/>
    <mergeCell ref="E14:W14"/>
    <mergeCell ref="E15:F15"/>
    <mergeCell ref="G15:L15"/>
    <mergeCell ref="W85:Z85"/>
    <mergeCell ref="L95:T95"/>
    <mergeCell ref="A95:E95"/>
    <mergeCell ref="M15:W15"/>
    <mergeCell ref="Y14:Y16"/>
    <mergeCell ref="Z14:Z16"/>
    <mergeCell ref="X14:X16"/>
    <mergeCell ref="F128:J128"/>
    <mergeCell ref="J130:K130"/>
    <mergeCell ref="M113:O113"/>
    <mergeCell ref="J123:K123"/>
    <mergeCell ref="T123:W123"/>
    <mergeCell ref="A1:Z1"/>
    <mergeCell ref="A5:J5"/>
    <mergeCell ref="A9:Z9"/>
    <mergeCell ref="A86:Z86"/>
    <mergeCell ref="S84:Z84"/>
    <mergeCell ref="A82:D82"/>
    <mergeCell ref="A11:Z11"/>
    <mergeCell ref="C12:D12"/>
    <mergeCell ref="C13:D13"/>
    <mergeCell ref="A14:A16"/>
    <mergeCell ref="B14:B16"/>
    <mergeCell ref="C14:C16"/>
    <mergeCell ref="A2:Z2"/>
    <mergeCell ref="D14:D16"/>
    <mergeCell ref="A3:Z3"/>
    <mergeCell ref="A6:J6"/>
  </mergeCells>
  <printOptions horizontalCentered="1"/>
  <pageMargins left="0.196850393700787" right="0.196850393700787" top="0.23622047244094499" bottom="0.196850393700787" header="0.15748031496063" footer="0.196850393700787"/>
  <pageSetup paperSize="9" scale="43" fitToHeight="0" orientation="landscape" r:id="rId1"/>
  <headerFooter>
    <oddFooter>&amp;R&amp;P</oddFooter>
  </headerFooter>
  <colBreaks count="1" manualBreakCount="1">
    <brk id="26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L231"/>
  <sheetViews>
    <sheetView zoomScale="55" zoomScaleNormal="55" zoomScaleSheetLayoutView="70" workbookViewId="0">
      <selection activeCell="H105" sqref="H105"/>
    </sheetView>
  </sheetViews>
  <sheetFormatPr defaultColWidth="9.42578125" defaultRowHeight="48" customHeight="1"/>
  <cols>
    <col min="1" max="1" width="6.28515625" style="654" customWidth="1"/>
    <col min="2" max="2" width="6" style="1137" customWidth="1"/>
    <col min="3" max="3" width="10.5703125" style="1138" customWidth="1"/>
    <col min="4" max="4" width="15.7109375" style="1139" customWidth="1"/>
    <col min="5" max="5" width="10.140625" style="654" customWidth="1"/>
    <col min="6" max="6" width="14.7109375" style="655" customWidth="1"/>
    <col min="7" max="7" width="15.140625" style="654" customWidth="1"/>
    <col min="8" max="8" width="14" style="654" customWidth="1"/>
    <col min="9" max="9" width="11.140625" style="654" customWidth="1"/>
    <col min="10" max="10" width="12.42578125" style="654" customWidth="1"/>
    <col min="11" max="11" width="16.42578125" style="656" customWidth="1"/>
    <col min="12" max="12" width="13.140625" style="896" customWidth="1"/>
    <col min="13" max="13" width="17.7109375" style="657" customWidth="1"/>
    <col min="14" max="15" width="13" style="654" customWidth="1"/>
    <col min="16" max="19" width="12.85546875" style="654" hidden="1" customWidth="1"/>
    <col min="20" max="20" width="16.42578125" style="654" customWidth="1"/>
    <col min="21" max="21" width="12.28515625" style="654" hidden="1" customWidth="1"/>
    <col min="22" max="23" width="11.5703125" style="654" hidden="1" customWidth="1"/>
    <col min="24" max="24" width="17.42578125" style="654" customWidth="1"/>
    <col min="25" max="25" width="18.42578125" style="654" customWidth="1"/>
    <col min="26" max="26" width="15.85546875" style="654" hidden="1" customWidth="1"/>
    <col min="27" max="27" width="19" style="654" customWidth="1"/>
    <col min="28" max="28" width="13" style="654" hidden="1" customWidth="1"/>
    <col min="29" max="29" width="14.5703125" style="654" customWidth="1"/>
    <col min="30" max="30" width="14.5703125" style="654" hidden="1" customWidth="1"/>
    <col min="31" max="31" width="27.42578125" style="538" hidden="1" customWidth="1"/>
    <col min="32" max="32" width="16.28515625" style="538" hidden="1" customWidth="1"/>
    <col min="33" max="33" width="16" style="538" hidden="1" customWidth="1"/>
    <col min="34" max="34" width="14.5703125" style="538" hidden="1" customWidth="1"/>
    <col min="35" max="35" width="11.5703125" style="538" hidden="1" customWidth="1"/>
    <col min="36" max="36" width="16.140625" style="538" hidden="1" customWidth="1"/>
    <col min="37" max="37" width="0" style="538" hidden="1" customWidth="1"/>
    <col min="38" max="38" width="16" style="538" hidden="1" customWidth="1"/>
    <col min="39" max="40" width="0" style="654" hidden="1" customWidth="1"/>
    <col min="41" max="16384" width="9.42578125" style="654"/>
  </cols>
  <sheetData>
    <row r="1" spans="1:38" ht="10.5" customHeight="1"/>
    <row r="2" spans="1:38" ht="17.25" customHeight="1">
      <c r="AE2" s="1458" t="s">
        <v>440</v>
      </c>
      <c r="AF2" s="1458"/>
    </row>
    <row r="3" spans="1:38" ht="25.5" customHeight="1">
      <c r="B3" s="1459" t="s">
        <v>54</v>
      </c>
      <c r="C3" s="1459"/>
      <c r="D3" s="1459"/>
      <c r="E3" s="1459"/>
      <c r="F3" s="1459"/>
      <c r="G3" s="1459"/>
      <c r="H3" s="1459"/>
      <c r="I3" s="1459"/>
      <c r="J3" s="1459"/>
      <c r="K3" s="1459"/>
      <c r="L3" s="1459"/>
      <c r="M3" s="1459"/>
      <c r="N3" s="1459"/>
      <c r="O3" s="1459"/>
      <c r="P3" s="1459"/>
      <c r="Q3" s="1459"/>
      <c r="R3" s="1459"/>
      <c r="S3" s="1459"/>
      <c r="T3" s="1459"/>
      <c r="U3" s="1459"/>
      <c r="V3" s="1459"/>
      <c r="W3" s="1459"/>
      <c r="X3" s="1459"/>
      <c r="Y3" s="1459"/>
      <c r="Z3" s="1459"/>
      <c r="AA3" s="1459"/>
      <c r="AB3" s="1459"/>
      <c r="AC3" s="1459"/>
      <c r="AD3" s="893"/>
      <c r="AE3" s="1140" t="s">
        <v>34</v>
      </c>
      <c r="AF3" s="658">
        <v>368.4</v>
      </c>
    </row>
    <row r="4" spans="1:38" ht="25.5" customHeight="1">
      <c r="B4" s="1459" t="s">
        <v>40</v>
      </c>
      <c r="C4" s="1459"/>
      <c r="D4" s="1459"/>
      <c r="E4" s="1459"/>
      <c r="F4" s="1459"/>
      <c r="G4" s="1459"/>
      <c r="H4" s="1459"/>
      <c r="I4" s="1459"/>
      <c r="J4" s="1459"/>
      <c r="K4" s="1459"/>
      <c r="L4" s="1459"/>
      <c r="M4" s="1459"/>
      <c r="N4" s="1459"/>
      <c r="O4" s="1459"/>
      <c r="P4" s="1459"/>
      <c r="Q4" s="1459"/>
      <c r="R4" s="1459"/>
      <c r="S4" s="1459"/>
      <c r="T4" s="1459"/>
      <c r="U4" s="1459"/>
      <c r="V4" s="1459"/>
      <c r="W4" s="1459"/>
      <c r="X4" s="1459"/>
      <c r="Y4" s="1459"/>
      <c r="Z4" s="1459"/>
      <c r="AA4" s="1459"/>
      <c r="AB4" s="1459"/>
      <c r="AC4" s="1459"/>
      <c r="AD4" s="893"/>
      <c r="AE4" s="1140" t="s">
        <v>417</v>
      </c>
      <c r="AF4" s="1141">
        <v>146.995</v>
      </c>
    </row>
    <row r="5" spans="1:38" ht="25.5" customHeight="1">
      <c r="B5" s="1460" t="s">
        <v>292</v>
      </c>
      <c r="C5" s="1460"/>
      <c r="D5" s="1460"/>
      <c r="E5" s="1460"/>
      <c r="F5" s="1460"/>
      <c r="G5" s="1460"/>
      <c r="H5" s="1460"/>
      <c r="I5" s="1460"/>
      <c r="J5" s="1460"/>
      <c r="K5" s="1460"/>
      <c r="L5" s="1460"/>
      <c r="M5" s="1460"/>
      <c r="N5" s="1460"/>
      <c r="O5" s="1460"/>
      <c r="P5" s="1460"/>
      <c r="Q5" s="1460"/>
      <c r="R5" s="1460"/>
      <c r="S5" s="1460"/>
      <c r="T5" s="1460"/>
      <c r="U5" s="1460"/>
      <c r="V5" s="1460"/>
      <c r="W5" s="1460"/>
      <c r="X5" s="1460"/>
      <c r="Y5" s="1460"/>
      <c r="Z5" s="1460"/>
      <c r="AA5" s="1460"/>
      <c r="AB5" s="1460"/>
      <c r="AC5" s="1460"/>
      <c r="AD5" s="1110"/>
      <c r="AE5" s="1143" t="s">
        <v>418</v>
      </c>
    </row>
    <row r="6" spans="1:38" ht="25.5" customHeight="1">
      <c r="B6" s="1461" t="s">
        <v>598</v>
      </c>
      <c r="C6" s="1461"/>
      <c r="D6" s="1461"/>
      <c r="E6" s="1461"/>
      <c r="F6" s="1461"/>
      <c r="G6" s="1461"/>
      <c r="H6" s="1461"/>
      <c r="I6" s="1142"/>
      <c r="J6" s="1142"/>
      <c r="K6" s="956"/>
      <c r="L6" s="956"/>
      <c r="M6" s="956"/>
      <c r="N6" s="956"/>
      <c r="O6" s="956"/>
      <c r="P6" s="956"/>
      <c r="Q6" s="956"/>
      <c r="R6" s="956"/>
      <c r="S6" s="956"/>
      <c r="T6" s="956"/>
      <c r="U6" s="956"/>
      <c r="V6" s="956"/>
      <c r="W6" s="956"/>
      <c r="X6" s="957"/>
      <c r="Y6" s="957"/>
      <c r="Z6" s="957"/>
      <c r="AA6" s="957"/>
      <c r="AB6" s="957"/>
      <c r="AC6" s="1144"/>
      <c r="AE6" s="1462" t="s">
        <v>143</v>
      </c>
      <c r="AF6" s="1462"/>
      <c r="AG6" s="1462" t="s">
        <v>120</v>
      </c>
      <c r="AH6" s="1462"/>
      <c r="AI6" s="1462" t="s">
        <v>144</v>
      </c>
      <c r="AJ6" s="1462"/>
      <c r="AK6" s="1462" t="s">
        <v>121</v>
      </c>
      <c r="AL6" s="1462"/>
    </row>
    <row r="7" spans="1:38" ht="25.5" customHeight="1">
      <c r="B7" s="1460" t="s">
        <v>576</v>
      </c>
      <c r="C7" s="1460"/>
      <c r="D7" s="1460"/>
      <c r="E7" s="1460"/>
      <c r="F7" s="1460"/>
      <c r="G7" s="1460"/>
      <c r="H7" s="1460"/>
      <c r="I7" s="1142"/>
      <c r="J7" s="1142"/>
      <c r="K7" s="956"/>
      <c r="L7" s="956"/>
      <c r="M7" s="956"/>
      <c r="N7" s="956"/>
      <c r="O7" s="956"/>
      <c r="P7" s="956"/>
      <c r="Q7" s="956"/>
      <c r="R7" s="956"/>
      <c r="S7" s="956"/>
      <c r="T7" s="956"/>
      <c r="U7" s="956"/>
      <c r="V7" s="956"/>
      <c r="W7" s="956"/>
      <c r="X7" s="957"/>
      <c r="Y7" s="957"/>
      <c r="Z7" s="957"/>
      <c r="AA7" s="957"/>
      <c r="AB7" s="957"/>
      <c r="AC7" s="1144"/>
      <c r="AE7" s="1145" t="s">
        <v>34</v>
      </c>
      <c r="AF7" s="1108">
        <f>'BTH mủ tạp'!$AK$16</f>
        <v>168911</v>
      </c>
      <c r="AG7" s="1145" t="s">
        <v>34</v>
      </c>
      <c r="AH7" s="1108" t="e">
        <f>'BTH mủ tạp'!#REF!</f>
        <v>#REF!</v>
      </c>
      <c r="AI7" s="1145" t="s">
        <v>34</v>
      </c>
      <c r="AJ7" s="1108">
        <f>'BTH mủ tạp'!AK98</f>
        <v>158146</v>
      </c>
      <c r="AK7" s="1145" t="s">
        <v>34</v>
      </c>
      <c r="AL7" s="1108" t="e">
        <f>'BTH mủ tạp'!#REF!</f>
        <v>#REF!</v>
      </c>
    </row>
    <row r="8" spans="1:38" ht="22.5" customHeight="1">
      <c r="B8" s="1142"/>
      <c r="C8" s="1142"/>
      <c r="D8" s="1142"/>
      <c r="E8" s="1142"/>
      <c r="F8" s="1142"/>
      <c r="G8" s="1146"/>
      <c r="H8" s="1146"/>
      <c r="I8" s="1146"/>
      <c r="J8" s="1146"/>
      <c r="K8" s="956"/>
      <c r="L8" s="956"/>
      <c r="M8" s="956"/>
      <c r="N8" s="956"/>
      <c r="O8" s="956"/>
      <c r="P8" s="956"/>
      <c r="Q8" s="956"/>
      <c r="R8" s="956"/>
      <c r="S8" s="956"/>
      <c r="T8" s="956"/>
      <c r="U8" s="956"/>
      <c r="V8" s="956"/>
      <c r="W8" s="956"/>
      <c r="X8" s="957"/>
      <c r="Y8" s="958">
        <f>AF4/AF3</f>
        <v>0.39900922909880571</v>
      </c>
      <c r="Z8" s="957"/>
      <c r="AA8" s="957"/>
      <c r="AB8" s="957"/>
      <c r="AC8" s="1144"/>
      <c r="AE8" s="1145" t="s">
        <v>417</v>
      </c>
      <c r="AF8" s="1108">
        <f>'BTH mủ tạp'!$AM$16</f>
        <v>78326.587</v>
      </c>
      <c r="AG8" s="1145" t="s">
        <v>417</v>
      </c>
      <c r="AH8" s="1108" t="e">
        <f>'BTH mủ tạp'!#REF!</f>
        <v>#REF!</v>
      </c>
      <c r="AI8" s="1145" t="s">
        <v>417</v>
      </c>
      <c r="AJ8" s="1108">
        <f>'BTH mủ tạp'!AM98</f>
        <v>73024.987000000008</v>
      </c>
      <c r="AK8" s="1145" t="s">
        <v>417</v>
      </c>
      <c r="AL8" s="1108" t="e">
        <f>'BTH mủ tạp'!#REF!</f>
        <v>#REF!</v>
      </c>
    </row>
    <row r="9" spans="1:38" s="659" customFormat="1" ht="32.25" customHeight="1">
      <c r="B9" s="1427" t="s">
        <v>829</v>
      </c>
      <c r="C9" s="1427"/>
      <c r="D9" s="1427"/>
      <c r="E9" s="1427"/>
      <c r="F9" s="1427"/>
      <c r="G9" s="1427"/>
      <c r="H9" s="1427"/>
      <c r="I9" s="1427"/>
      <c r="J9" s="1427"/>
      <c r="K9" s="1427"/>
      <c r="L9" s="1427"/>
      <c r="M9" s="1427"/>
      <c r="N9" s="1427"/>
      <c r="O9" s="1427"/>
      <c r="P9" s="1427"/>
      <c r="Q9" s="1427"/>
      <c r="R9" s="1427"/>
      <c r="S9" s="1427"/>
      <c r="T9" s="1427"/>
      <c r="U9" s="1427"/>
      <c r="V9" s="1427"/>
      <c r="W9" s="1427"/>
      <c r="X9" s="1427"/>
      <c r="Y9" s="1427"/>
      <c r="Z9" s="1427"/>
      <c r="AA9" s="1427"/>
      <c r="AB9" s="1427"/>
      <c r="AC9" s="1427"/>
      <c r="AD9" s="1106"/>
      <c r="AE9" s="1143" t="s">
        <v>418</v>
      </c>
      <c r="AF9" s="872">
        <v>0.5</v>
      </c>
      <c r="AG9" s="1147" t="s">
        <v>418</v>
      </c>
      <c r="AH9" s="872">
        <v>0.5</v>
      </c>
      <c r="AI9" s="1147" t="s">
        <v>418</v>
      </c>
      <c r="AJ9" s="872">
        <v>0.5</v>
      </c>
      <c r="AK9" s="1147" t="s">
        <v>418</v>
      </c>
      <c r="AL9" s="872">
        <v>0.5</v>
      </c>
    </row>
    <row r="10" spans="1:38" s="659" customFormat="1" ht="18.75" hidden="1" customHeight="1">
      <c r="B10" s="1148"/>
      <c r="C10" s="1149"/>
      <c r="F10" s="1112">
        <v>655.8</v>
      </c>
      <c r="G10" s="1150"/>
      <c r="L10" s="1149"/>
      <c r="M10" s="1149"/>
      <c r="N10" s="1149"/>
      <c r="O10" s="1149"/>
      <c r="P10" s="1149"/>
      <c r="Q10" s="1149"/>
      <c r="R10" s="1149"/>
      <c r="S10" s="1149"/>
      <c r="T10" s="1149"/>
      <c r="U10" s="1149"/>
      <c r="V10" s="1149"/>
      <c r="W10" s="1149"/>
      <c r="X10" s="1142" t="s">
        <v>586</v>
      </c>
      <c r="Y10" s="1142"/>
      <c r="Z10" s="1142"/>
      <c r="AA10" s="1142" t="s">
        <v>587</v>
      </c>
      <c r="AB10" s="1142" t="s">
        <v>441</v>
      </c>
      <c r="AC10" s="1142"/>
      <c r="AD10" s="1142"/>
      <c r="AE10" s="1143" t="s">
        <v>419</v>
      </c>
      <c r="AF10" s="872">
        <v>0.2</v>
      </c>
      <c r="AG10" s="1147" t="s">
        <v>419</v>
      </c>
      <c r="AH10" s="872">
        <v>0.2</v>
      </c>
      <c r="AI10" s="1147" t="s">
        <v>419</v>
      </c>
      <c r="AJ10" s="872">
        <v>0.2</v>
      </c>
      <c r="AK10" s="1147" t="s">
        <v>419</v>
      </c>
      <c r="AL10" s="872">
        <v>0.2</v>
      </c>
    </row>
    <row r="11" spans="1:38" ht="24" hidden="1" customHeight="1">
      <c r="B11" s="1151"/>
      <c r="C11" s="1152"/>
      <c r="D11" s="1463" t="s">
        <v>296</v>
      </c>
      <c r="E11" s="1463"/>
      <c r="F11" s="1153">
        <v>668.84</v>
      </c>
      <c r="G11" s="1154"/>
      <c r="H11" s="1154"/>
      <c r="I11" s="1154"/>
      <c r="J11" s="1154"/>
      <c r="K11" s="660"/>
      <c r="L11" s="661"/>
      <c r="M11" s="662"/>
      <c r="N11" s="663"/>
      <c r="O11" s="663"/>
      <c r="P11" s="663"/>
      <c r="Q11" s="663"/>
      <c r="R11" s="663"/>
      <c r="S11" s="663"/>
      <c r="T11" s="663"/>
      <c r="U11" s="663"/>
      <c r="V11" s="663"/>
      <c r="W11" s="663"/>
      <c r="X11" s="1196">
        <f>AF8/AF7</f>
        <v>0.4637151340054822</v>
      </c>
      <c r="Y11" s="1464"/>
      <c r="Z11" s="1464"/>
      <c r="AA11" s="1083">
        <f>AJ8/AJ7</f>
        <v>0.46175677538477111</v>
      </c>
      <c r="AB11" s="1155"/>
      <c r="AC11" s="1155"/>
      <c r="AD11" s="1155"/>
    </row>
    <row r="12" spans="1:38" s="1158" customFormat="1" ht="24.75" customHeight="1">
      <c r="A12" s="1470" t="s">
        <v>4</v>
      </c>
      <c r="B12" s="1470"/>
      <c r="C12" s="1470" t="s">
        <v>95</v>
      </c>
      <c r="D12" s="1480" t="s">
        <v>15</v>
      </c>
      <c r="E12" s="1470" t="s">
        <v>19</v>
      </c>
      <c r="F12" s="1467" t="s">
        <v>20</v>
      </c>
      <c r="G12" s="1467"/>
      <c r="H12" s="1467"/>
      <c r="I12" s="1467"/>
      <c r="J12" s="1467"/>
      <c r="K12" s="1467"/>
      <c r="L12" s="1467"/>
      <c r="M12" s="1467"/>
      <c r="N12" s="1467"/>
      <c r="O12" s="1467"/>
      <c r="P12" s="1467"/>
      <c r="Q12" s="1467"/>
      <c r="R12" s="1467"/>
      <c r="S12" s="1467"/>
      <c r="T12" s="1467"/>
      <c r="U12" s="1467"/>
      <c r="V12" s="1467"/>
      <c r="W12" s="1467"/>
      <c r="X12" s="1467"/>
      <c r="Y12" s="1468" t="s">
        <v>364</v>
      </c>
      <c r="Z12" s="1468" t="s">
        <v>166</v>
      </c>
      <c r="AA12" s="1468" t="s">
        <v>366</v>
      </c>
      <c r="AB12" s="664" t="s">
        <v>21</v>
      </c>
      <c r="AC12" s="1469" t="s">
        <v>67</v>
      </c>
      <c r="AD12" s="1100"/>
      <c r="AE12" s="1157"/>
      <c r="AF12" s="1157"/>
      <c r="AG12" s="1157"/>
      <c r="AH12" s="1157"/>
      <c r="AI12" s="1157"/>
      <c r="AJ12" s="1157"/>
      <c r="AK12" s="1157"/>
      <c r="AL12" s="1157"/>
    </row>
    <row r="13" spans="1:38" s="1158" customFormat="1" ht="39" customHeight="1">
      <c r="A13" s="1470"/>
      <c r="B13" s="1470"/>
      <c r="C13" s="1470"/>
      <c r="D13" s="1480"/>
      <c r="E13" s="1470"/>
      <c r="F13" s="1470" t="s">
        <v>365</v>
      </c>
      <c r="G13" s="1470"/>
      <c r="H13" s="1468" t="s">
        <v>23</v>
      </c>
      <c r="I13" s="1468"/>
      <c r="J13" s="1468"/>
      <c r="K13" s="1468"/>
      <c r="L13" s="1468"/>
      <c r="M13" s="1468"/>
      <c r="N13" s="1468" t="s">
        <v>24</v>
      </c>
      <c r="O13" s="1468"/>
      <c r="P13" s="1468"/>
      <c r="Q13" s="1468"/>
      <c r="R13" s="1468"/>
      <c r="S13" s="1468"/>
      <c r="T13" s="1468"/>
      <c r="U13" s="1468"/>
      <c r="V13" s="1468"/>
      <c r="W13" s="1468"/>
      <c r="X13" s="1468"/>
      <c r="Y13" s="1468"/>
      <c r="Z13" s="1468"/>
      <c r="AA13" s="1468"/>
      <c r="AB13" s="664"/>
      <c r="AC13" s="1469"/>
      <c r="AD13" s="1100"/>
      <c r="AE13" s="1157"/>
      <c r="AF13" s="1157"/>
      <c r="AG13" s="1157"/>
      <c r="AH13" s="1157"/>
      <c r="AI13" s="1157"/>
      <c r="AJ13" s="1157"/>
      <c r="AK13" s="1157"/>
      <c r="AL13" s="1157"/>
    </row>
    <row r="14" spans="1:38" s="1162" customFormat="1" ht="94.5" customHeight="1">
      <c r="A14" s="1470"/>
      <c r="B14" s="1470"/>
      <c r="C14" s="1470"/>
      <c r="D14" s="1480"/>
      <c r="E14" s="1470"/>
      <c r="F14" s="1084" t="s">
        <v>72</v>
      </c>
      <c r="G14" s="1156" t="s">
        <v>25</v>
      </c>
      <c r="H14" s="1156" t="s">
        <v>363</v>
      </c>
      <c r="I14" s="1156" t="s">
        <v>411</v>
      </c>
      <c r="J14" s="665" t="s">
        <v>420</v>
      </c>
      <c r="K14" s="1159" t="s">
        <v>412</v>
      </c>
      <c r="L14" s="1061" t="s">
        <v>26</v>
      </c>
      <c r="M14" s="1061" t="s">
        <v>27</v>
      </c>
      <c r="N14" s="1085" t="s">
        <v>442</v>
      </c>
      <c r="O14" s="1160" t="s">
        <v>470</v>
      </c>
      <c r="P14" s="1160" t="s">
        <v>471</v>
      </c>
      <c r="Q14" s="1160" t="s">
        <v>472</v>
      </c>
      <c r="R14" s="1160" t="s">
        <v>473</v>
      </c>
      <c r="S14" s="1160" t="s">
        <v>474</v>
      </c>
      <c r="T14" s="1160" t="s">
        <v>546</v>
      </c>
      <c r="U14" s="666" t="s">
        <v>517</v>
      </c>
      <c r="V14" s="666" t="s">
        <v>539</v>
      </c>
      <c r="W14" s="666"/>
      <c r="X14" s="664" t="s">
        <v>18</v>
      </c>
      <c r="Y14" s="1468"/>
      <c r="Z14" s="1468"/>
      <c r="AA14" s="1468"/>
      <c r="AB14" s="664"/>
      <c r="AC14" s="1469"/>
      <c r="AD14" s="1100"/>
      <c r="AE14" s="1161"/>
      <c r="AF14" s="1161"/>
      <c r="AG14" s="1161"/>
      <c r="AH14" s="1161"/>
      <c r="AI14" s="1161"/>
      <c r="AJ14" s="1161"/>
      <c r="AK14" s="1161"/>
      <c r="AL14" s="1161"/>
    </row>
    <row r="15" spans="1:38" s="1158" customFormat="1" ht="33.75" customHeight="1">
      <c r="A15" s="1469" t="s">
        <v>578</v>
      </c>
      <c r="B15" s="1469"/>
      <c r="C15" s="1469"/>
      <c r="D15" s="1469"/>
      <c r="E15" s="1469"/>
      <c r="F15" s="667"/>
      <c r="G15" s="667">
        <f t="shared" ref="F15:V15" si="0" xml:space="preserve"> SUM(G16:G98)</f>
        <v>0</v>
      </c>
      <c r="H15" s="667">
        <f t="shared" si="0"/>
        <v>168911</v>
      </c>
      <c r="I15" s="667">
        <f t="shared" si="0"/>
        <v>0</v>
      </c>
      <c r="J15" s="667">
        <f t="shared" si="0"/>
        <v>0</v>
      </c>
      <c r="K15" s="667">
        <f t="shared" si="0"/>
        <v>78326.587000000029</v>
      </c>
      <c r="L15" s="667">
        <f t="shared" si="0"/>
        <v>0</v>
      </c>
      <c r="M15" s="667">
        <f t="shared" si="0"/>
        <v>315510212</v>
      </c>
      <c r="N15" s="667">
        <f t="shared" si="0"/>
        <v>1623</v>
      </c>
      <c r="O15" s="667">
        <f t="shared" si="0"/>
        <v>357</v>
      </c>
      <c r="P15" s="667">
        <f t="shared" si="0"/>
        <v>0</v>
      </c>
      <c r="Q15" s="667">
        <f t="shared" si="0"/>
        <v>0</v>
      </c>
      <c r="R15" s="667">
        <f t="shared" si="0"/>
        <v>0</v>
      </c>
      <c r="S15" s="667">
        <f t="shared" si="0"/>
        <v>0</v>
      </c>
      <c r="T15" s="667">
        <f t="shared" si="0"/>
        <v>0</v>
      </c>
      <c r="U15" s="667">
        <f t="shared" si="0"/>
        <v>0</v>
      </c>
      <c r="V15" s="667">
        <f t="shared" si="0"/>
        <v>0</v>
      </c>
      <c r="W15" s="667"/>
      <c r="X15" s="667">
        <f xml:space="preserve"> SUM(X16:X98)</f>
        <v>68404676</v>
      </c>
      <c r="Y15" s="667">
        <f xml:space="preserve"> SUM(Y16:Y98)</f>
        <v>383914888</v>
      </c>
      <c r="Z15" s="667">
        <f xml:space="preserve"> SUM(Z16:Z98)</f>
        <v>0</v>
      </c>
      <c r="AA15" s="667">
        <f xml:space="preserve"> SUM(AA16:AA98)</f>
        <v>383914888</v>
      </c>
      <c r="AB15" s="667">
        <f xml:space="preserve"> SUM(AB16:AB98)</f>
        <v>0</v>
      </c>
      <c r="AC15" s="1163"/>
      <c r="AD15" s="814"/>
      <c r="AE15" s="1157"/>
      <c r="AF15" s="1157"/>
      <c r="AG15" s="1157"/>
      <c r="AH15" s="1157"/>
      <c r="AI15" s="1157"/>
      <c r="AJ15" s="1157"/>
      <c r="AK15" s="1157"/>
      <c r="AL15" s="1157"/>
    </row>
    <row r="16" spans="1:38" s="1162" customFormat="1" ht="33" customHeight="1">
      <c r="A16" s="1164">
        <v>1</v>
      </c>
      <c r="B16" s="1165">
        <v>1</v>
      </c>
      <c r="C16" s="1165" t="str">
        <f>'Chấm công KT'!C13</f>
        <v>03456</v>
      </c>
      <c r="D16" s="1166" t="str">
        <f>TONGHOPCONGDOI!C11</f>
        <v>T. Vôn</v>
      </c>
      <c r="E16" s="1165" t="s">
        <v>28</v>
      </c>
      <c r="F16" s="1167"/>
      <c r="G16" s="254">
        <f>F16*25000</f>
        <v>0</v>
      </c>
      <c r="H16" s="254">
        <f>VLOOKUP(D16,TONGHOPCONGDOI!C11:AD93,16,0)</f>
        <v>1135</v>
      </c>
      <c r="I16" s="254">
        <f>VLOOKUP(D16,TONGHOPCONGDOI!C11:AD93,18,0)</f>
        <v>0</v>
      </c>
      <c r="J16" s="254"/>
      <c r="K16" s="668">
        <f t="shared" ref="K16:K47" si="1">$AF$8/$AF$7*H16+I16*$AF$9+J16*$AF$10</f>
        <v>526.31667709622229</v>
      </c>
      <c r="L16" s="669" t="str">
        <f>VLOOKUP(D16,'BTH mủ tạp'!$D$17:$AN$95,37,0)</f>
        <v>B</v>
      </c>
      <c r="M16" s="670">
        <f>ROUND((IF(L16="A",(H16*$X$11*6.1),IF(L16="B",(H16*$X$11*5.8),IF(L16="C",(H16*$X$11*5.5),IF(L16="C.",(H16*$X$11*5.5),IF(L16="D",(H16*$X$11*5.2),0)))))*$F$11+(I16*$AF$9*$F$11*6.1)+J16*$F$11*$AF$10*6.1),0)</f>
        <v>2041726</v>
      </c>
      <c r="N16" s="671">
        <f>VLOOKUP(D16,TONGHOPCONGDOI!$C$11:$AD$93,20,0)</f>
        <v>12</v>
      </c>
      <c r="O16" s="671">
        <f>VLOOKUP(D16,TONGHOPCONGDOI!$C$11:$AD$93,21,0)</f>
        <v>2</v>
      </c>
      <c r="P16" s="671">
        <f>VLOOKUP(D16,TONGHOPCONGDOI!$C$11:$AC$93,22,0)</f>
        <v>0</v>
      </c>
      <c r="Q16" s="671">
        <f>VLOOKUP(D16,TONGHOPCONGDOI!$C$11:$AC$94,23,0)</f>
        <v>0</v>
      </c>
      <c r="R16" s="671">
        <f>VLOOKUP(D16,TONGHOPCONGDOI!$C$11:$AC$94,24,0)</f>
        <v>0</v>
      </c>
      <c r="S16" s="671">
        <f>VLOOKUP(D16,TONGHOPCONGDOI!$C$11:$AC$94,25,0)</f>
        <v>0</v>
      </c>
      <c r="T16" s="671"/>
      <c r="U16" s="1168"/>
      <c r="V16" s="1168"/>
      <c r="W16" s="1168"/>
      <c r="X16" s="671">
        <f>ROUND(((N16*46.1)+(O16*76.9)+(P16*92.2)+(Q16*153.8)+(R16*92.2)+(S16*153.8))*$F$11+(T16*25000)+(U16*10000)+(V16*30000),0)</f>
        <v>472870</v>
      </c>
      <c r="Y16" s="671">
        <f>G16+M16+X16</f>
        <v>2514596</v>
      </c>
      <c r="Z16" s="254"/>
      <c r="AA16" s="672">
        <f>Y16-Z16</f>
        <v>2514596</v>
      </c>
      <c r="AB16" s="254"/>
      <c r="AC16" s="672"/>
      <c r="AD16" s="1169"/>
      <c r="AE16" s="1161">
        <v>6103270</v>
      </c>
      <c r="AF16" s="1161"/>
      <c r="AG16" s="1161">
        <f>P16*76.9*$F$11</f>
        <v>0</v>
      </c>
      <c r="AH16" s="1161"/>
      <c r="AI16" s="1161"/>
      <c r="AJ16" s="1161"/>
      <c r="AK16" s="1161"/>
      <c r="AL16" s="1161"/>
    </row>
    <row r="17" spans="1:38" s="1162" customFormat="1" ht="33" customHeight="1">
      <c r="A17" s="1164">
        <v>2</v>
      </c>
      <c r="B17" s="1165">
        <v>2</v>
      </c>
      <c r="C17" s="1165" t="str">
        <f>'Chấm công KT'!C14</f>
        <v>04052</v>
      </c>
      <c r="D17" s="1166" t="str">
        <f>TONGHOPCONGDOI!C12</f>
        <v>T. Feng</v>
      </c>
      <c r="E17" s="1165" t="s">
        <v>28</v>
      </c>
      <c r="F17" s="1167"/>
      <c r="G17" s="254">
        <f t="shared" ref="G17:G80" si="2">F17*25000</f>
        <v>0</v>
      </c>
      <c r="H17" s="254">
        <f>VLOOKUP(D17,TONGHOPCONGDOI!C12:AD94,16,0)</f>
        <v>1955</v>
      </c>
      <c r="I17" s="254">
        <f>VLOOKUP(D17,TONGHOPCONGDOI!C12:AD94,18,0)</f>
        <v>0</v>
      </c>
      <c r="J17" s="254"/>
      <c r="K17" s="668">
        <f>$AF$8/$AF$7*H17+I17*$AF$9+J17*N18</f>
        <v>906.56308698071769</v>
      </c>
      <c r="L17" s="669" t="str">
        <f>VLOOKUP(D17,'BTH mủ tạp'!$D$17:$AN$95,37,0)</f>
        <v>A</v>
      </c>
      <c r="M17" s="670">
        <f t="shared" ref="M17:M80" si="3">ROUND((IF(L17="A",(H17*$X$11*6.1),IF(L17="B",(H17*$X$11*5.8),IF(L17="C",(H17*$X$11*5.5),IF(L17="C.",(H17*$X$11*5.5),IF(L17="D",(H17*$X$11*5.2),0)))))*$F$11+(I17*$AF$9*$F$11*6.1)+J17*$F$11*$AF$10*6.1),0)</f>
        <v>3698708</v>
      </c>
      <c r="N17" s="671">
        <f>VLOOKUP(D17,TONGHOPCONGDOI!$C$11:$AD$93,20,0)</f>
        <v>21</v>
      </c>
      <c r="O17" s="671">
        <f>VLOOKUP(D17,TONGHOPCONGDOI!$C$11:$AD$93,21,0)</f>
        <v>4</v>
      </c>
      <c r="P17" s="671">
        <f>VLOOKUP(D17,TONGHOPCONGDOI!$C$11:$AC$93,22,0)</f>
        <v>0</v>
      </c>
      <c r="Q17" s="671">
        <f>VLOOKUP(D17,TONGHOPCONGDOI!$C$11:$AC$94,23,0)</f>
        <v>0</v>
      </c>
      <c r="R17" s="671">
        <f>VLOOKUP(D17,TONGHOPCONGDOI!$C$11:$AC$94,24,0)</f>
        <v>0</v>
      </c>
      <c r="S17" s="671">
        <f>VLOOKUP(D17,TONGHOPCONGDOI!$C$11:$AC$94,25,0)</f>
        <v>0</v>
      </c>
      <c r="T17" s="671"/>
      <c r="U17" s="1168"/>
      <c r="V17" s="1168"/>
      <c r="W17" s="1168"/>
      <c r="X17" s="671">
        <f>ROUND(((N17*46.1)+(O17*76.9)+(P17*92.2)+(Q17*153.8)+(R17*92.2)+(S17*153.8))*$F$11+(T17*25000)+(U17*10000)+(V17*30000),0)</f>
        <v>853239</v>
      </c>
      <c r="Y17" s="671">
        <f t="shared" ref="Y17:Y47" si="4">G17+M17+X17</f>
        <v>4551947</v>
      </c>
      <c r="Z17" s="254"/>
      <c r="AA17" s="673">
        <f>Y17-Z17</f>
        <v>4551947</v>
      </c>
      <c r="AB17" s="254"/>
      <c r="AC17" s="672"/>
      <c r="AD17" s="1169"/>
      <c r="AE17" s="1161"/>
      <c r="AF17" s="1161"/>
      <c r="AG17" s="1161"/>
      <c r="AH17" s="1161"/>
      <c r="AI17" s="1161"/>
      <c r="AJ17" s="1161"/>
      <c r="AK17" s="1161"/>
      <c r="AL17" s="1161"/>
    </row>
    <row r="18" spans="1:38" s="1162" customFormat="1" ht="33" customHeight="1">
      <c r="A18" s="1164">
        <v>3</v>
      </c>
      <c r="B18" s="1165">
        <v>3</v>
      </c>
      <c r="C18" s="1165" t="str">
        <f>'Chấm công KT'!C15</f>
        <v>02725</v>
      </c>
      <c r="D18" s="1166" t="str">
        <f>TONGHOPCONGDOI!C13</f>
        <v>T. Sa Văn</v>
      </c>
      <c r="E18" s="1165" t="s">
        <v>28</v>
      </c>
      <c r="F18" s="1167"/>
      <c r="G18" s="254">
        <f t="shared" si="2"/>
        <v>0</v>
      </c>
      <c r="H18" s="254">
        <f>VLOOKUP(D18,TONGHOPCONGDOI!C13:AD94,16,0)</f>
        <v>1903</v>
      </c>
      <c r="I18" s="254">
        <f>VLOOKUP(D18,TONGHOPCONGDOI!C13:AD94,18,0)</f>
        <v>0</v>
      </c>
      <c r="J18" s="254"/>
      <c r="K18" s="668">
        <f t="shared" si="1"/>
        <v>882.44990001243264</v>
      </c>
      <c r="L18" s="669" t="str">
        <f>VLOOKUP(D18,'BTH mủ tạp'!$D$17:$AN$95,37,0)</f>
        <v>A</v>
      </c>
      <c r="M18" s="670">
        <f t="shared" si="3"/>
        <v>3600329</v>
      </c>
      <c r="N18" s="671">
        <f>VLOOKUP(D18,TONGHOPCONGDOI!$C$11:$AD$93,20,0)</f>
        <v>19</v>
      </c>
      <c r="O18" s="671">
        <f>VLOOKUP(D18,TONGHOPCONGDOI!$C$11:$AD$93,21,0)</f>
        <v>5</v>
      </c>
      <c r="P18" s="671">
        <f>VLOOKUP(D18,TONGHOPCONGDOI!$C$11:$AC$93,22,0)</f>
        <v>0</v>
      </c>
      <c r="Q18" s="671">
        <f>VLOOKUP(D18,TONGHOPCONGDOI!$C$11:$AC$94,23,0)</f>
        <v>0</v>
      </c>
      <c r="R18" s="671">
        <f>VLOOKUP(D18,TONGHOPCONGDOI!$C$11:$AC$94,24,0)</f>
        <v>0</v>
      </c>
      <c r="S18" s="671">
        <f>VLOOKUP(D18,TONGHOPCONGDOI!$C$11:$AC$94,25,0)</f>
        <v>0</v>
      </c>
      <c r="T18" s="671"/>
      <c r="U18" s="1168"/>
      <c r="V18" s="1168"/>
      <c r="W18" s="1168"/>
      <c r="X18" s="671">
        <f t="shared" ref="X18:X81" si="5">ROUND(((N18*46.1)+(O18*76.9)+(P18*92.2)+(Q18*153.8)+(R18*92.2)+(S18*153.8))*$F$11+(T18*25000)+(U18*10000)+(V18*30000),0)</f>
        <v>843006</v>
      </c>
      <c r="Y18" s="671">
        <f t="shared" si="4"/>
        <v>4443335</v>
      </c>
      <c r="Z18" s="254"/>
      <c r="AA18" s="673">
        <f t="shared" ref="AA18:AA81" si="6">Y18-Z18</f>
        <v>4443335</v>
      </c>
      <c r="AB18" s="254"/>
      <c r="AC18" s="672"/>
      <c r="AD18" s="1169"/>
      <c r="AE18" s="1161"/>
      <c r="AF18" s="1161"/>
      <c r="AG18" s="1161"/>
      <c r="AH18" s="1161"/>
      <c r="AI18" s="1161"/>
      <c r="AJ18" s="1161"/>
      <c r="AK18" s="1161"/>
      <c r="AL18" s="1161"/>
    </row>
    <row r="19" spans="1:38" s="1162" customFormat="1" ht="33" customHeight="1">
      <c r="A19" s="1164">
        <v>4</v>
      </c>
      <c r="B19" s="1165">
        <v>4</v>
      </c>
      <c r="C19" s="1165" t="str">
        <f>'Chấm công KT'!C16</f>
        <v>04053</v>
      </c>
      <c r="D19" s="1166" t="str">
        <f>TONGHOPCONGDOI!C14</f>
        <v>Lăm Ma Thu</v>
      </c>
      <c r="E19" s="1165" t="s">
        <v>28</v>
      </c>
      <c r="F19" s="1167"/>
      <c r="G19" s="254">
        <f t="shared" si="2"/>
        <v>0</v>
      </c>
      <c r="H19" s="254">
        <f>VLOOKUP(D19,TONGHOPCONGDOI!C14:AD94,16,0)</f>
        <v>2145</v>
      </c>
      <c r="I19" s="254">
        <f>VLOOKUP(D19,TONGHOPCONGDOI!C14:AD94,18,0)</f>
        <v>0</v>
      </c>
      <c r="J19" s="254"/>
      <c r="K19" s="668">
        <f t="shared" si="1"/>
        <v>994.66896244175928</v>
      </c>
      <c r="L19" s="669" t="str">
        <f>VLOOKUP(D19,'BTH mủ tạp'!$D$17:$AN$95,37,0)</f>
        <v>B</v>
      </c>
      <c r="M19" s="670">
        <f t="shared" si="3"/>
        <v>3858591</v>
      </c>
      <c r="N19" s="671">
        <f>VLOOKUP(D19,TONGHOPCONGDOI!$C$11:$AD$93,20,0)</f>
        <v>20</v>
      </c>
      <c r="O19" s="671">
        <f>VLOOKUP(D19,TONGHOPCONGDOI!$C$11:$AD$93,21,0)</f>
        <v>5</v>
      </c>
      <c r="P19" s="671">
        <f>VLOOKUP(D19,TONGHOPCONGDOI!$C$11:$AC$93,22,0)</f>
        <v>0</v>
      </c>
      <c r="Q19" s="671">
        <f>VLOOKUP(D19,TONGHOPCONGDOI!$C$11:$AC$94,23,0)</f>
        <v>0</v>
      </c>
      <c r="R19" s="671">
        <f>VLOOKUP(D19,TONGHOPCONGDOI!$C$11:$AC$94,24,0)</f>
        <v>0</v>
      </c>
      <c r="S19" s="671">
        <f>VLOOKUP(D19,TONGHOPCONGDOI!$C$11:$AC$94,25,0)</f>
        <v>0</v>
      </c>
      <c r="T19" s="671"/>
      <c r="U19" s="1168"/>
      <c r="V19" s="1168"/>
      <c r="W19" s="1168"/>
      <c r="X19" s="671">
        <f t="shared" si="5"/>
        <v>873839</v>
      </c>
      <c r="Y19" s="671">
        <f t="shared" si="4"/>
        <v>4732430</v>
      </c>
      <c r="Z19" s="254"/>
      <c r="AA19" s="673">
        <f t="shared" si="6"/>
        <v>4732430</v>
      </c>
      <c r="AB19" s="254"/>
      <c r="AC19" s="672"/>
      <c r="AD19" s="1169"/>
      <c r="AE19" s="1161"/>
      <c r="AF19" s="1161"/>
      <c r="AG19" s="1161"/>
      <c r="AH19" s="1161"/>
      <c r="AI19" s="1161"/>
      <c r="AJ19" s="1161"/>
      <c r="AK19" s="1161"/>
      <c r="AL19" s="1161"/>
    </row>
    <row r="20" spans="1:38" s="1162" customFormat="1" ht="33" customHeight="1">
      <c r="A20" s="1164">
        <v>5</v>
      </c>
      <c r="B20" s="1165">
        <v>5</v>
      </c>
      <c r="C20" s="1165" t="str">
        <f>'Chấm công KT'!C17</f>
        <v>03459</v>
      </c>
      <c r="D20" s="1166" t="str">
        <f>TONGHOPCONGDOI!C15</f>
        <v>N. Vạt</v>
      </c>
      <c r="E20" s="1165" t="s">
        <v>28</v>
      </c>
      <c r="F20" s="1167"/>
      <c r="G20" s="254">
        <f t="shared" si="2"/>
        <v>0</v>
      </c>
      <c r="H20" s="254">
        <f>VLOOKUP(D20,TONGHOPCONGDOI!C15:AD94,16,0)</f>
        <v>2015</v>
      </c>
      <c r="I20" s="254">
        <f>VLOOKUP(D20,TONGHOPCONGDOI!C15:AD94,18,0)</f>
        <v>0</v>
      </c>
      <c r="J20" s="254"/>
      <c r="K20" s="668">
        <f t="shared" si="1"/>
        <v>934.3859950210466</v>
      </c>
      <c r="L20" s="669" t="str">
        <f>VLOOKUP(D20,'BTH mủ tạp'!$D$17:$AN$95,37,0)</f>
        <v>A</v>
      </c>
      <c r="M20" s="670">
        <f t="shared" si="3"/>
        <v>3812224</v>
      </c>
      <c r="N20" s="671">
        <f>VLOOKUP(D20,TONGHOPCONGDOI!$C$11:$AD$93,20,0)</f>
        <v>19</v>
      </c>
      <c r="O20" s="671">
        <f>VLOOKUP(D20,TONGHOPCONGDOI!$C$11:$AD$93,21,0)</f>
        <v>4</v>
      </c>
      <c r="P20" s="671">
        <f>VLOOKUP(D20,TONGHOPCONGDOI!$C$11:$AC$93,22,0)</f>
        <v>0</v>
      </c>
      <c r="Q20" s="671">
        <f>VLOOKUP(D20,TONGHOPCONGDOI!$C$11:$AC$94,23,0)</f>
        <v>0</v>
      </c>
      <c r="R20" s="671">
        <f>VLOOKUP(D20,TONGHOPCONGDOI!$C$11:$AC$94,24,0)</f>
        <v>0</v>
      </c>
      <c r="S20" s="671">
        <f>VLOOKUP(D20,TONGHOPCONGDOI!$C$11:$AC$94,25,0)</f>
        <v>0</v>
      </c>
      <c r="T20" s="671"/>
      <c r="U20" s="1168"/>
      <c r="V20" s="1168"/>
      <c r="W20" s="1168"/>
      <c r="X20" s="671">
        <f t="shared" si="5"/>
        <v>791572</v>
      </c>
      <c r="Y20" s="671">
        <f t="shared" si="4"/>
        <v>4603796</v>
      </c>
      <c r="Z20" s="254"/>
      <c r="AA20" s="673">
        <f t="shared" si="6"/>
        <v>4603796</v>
      </c>
      <c r="AB20" s="254"/>
      <c r="AC20" s="672"/>
      <c r="AD20" s="1169"/>
      <c r="AE20" s="1161"/>
      <c r="AF20" s="1161"/>
      <c r="AG20" s="1161"/>
      <c r="AH20" s="1161"/>
      <c r="AI20" s="1161"/>
      <c r="AJ20" s="1161"/>
      <c r="AK20" s="1161"/>
      <c r="AL20" s="1161"/>
    </row>
    <row r="21" spans="1:38" s="1162" customFormat="1" ht="33" customHeight="1">
      <c r="A21" s="1164">
        <v>6</v>
      </c>
      <c r="B21" s="1165">
        <v>6</v>
      </c>
      <c r="C21" s="1165" t="str">
        <f>'Chấm công KT'!C18</f>
        <v>04054</v>
      </c>
      <c r="D21" s="1166" t="str">
        <f>TONGHOPCONGDOI!C16</f>
        <v>N. Kay Son</v>
      </c>
      <c r="E21" s="1165" t="s">
        <v>28</v>
      </c>
      <c r="F21" s="1167"/>
      <c r="G21" s="254">
        <f t="shared" si="2"/>
        <v>0</v>
      </c>
      <c r="H21" s="254">
        <f>VLOOKUP(D21,TONGHOPCONGDOI!C16:AD94,16,0)</f>
        <v>2401</v>
      </c>
      <c r="I21" s="254">
        <f>VLOOKUP(D21,TONGHOPCONGDOI!C16:AD94,18,0)</f>
        <v>0</v>
      </c>
      <c r="J21" s="254"/>
      <c r="K21" s="668">
        <f t="shared" si="1"/>
        <v>1113.3800367471626</v>
      </c>
      <c r="L21" s="669" t="str">
        <f>VLOOKUP(D21,'BTH mủ tạp'!$D$17:$AN$95,37,0)</f>
        <v>A</v>
      </c>
      <c r="M21" s="670">
        <f t="shared" si="3"/>
        <v>4542506</v>
      </c>
      <c r="N21" s="671">
        <f>VLOOKUP(D21,TONGHOPCONGDOI!$C$11:$AD$93,20,0)</f>
        <v>20</v>
      </c>
      <c r="O21" s="671">
        <f>VLOOKUP(D21,TONGHOPCONGDOI!$C$11:$AD$93,21,0)</f>
        <v>4</v>
      </c>
      <c r="P21" s="671">
        <f>VLOOKUP(D21,TONGHOPCONGDOI!$C$11:$AC$93,22,0)</f>
        <v>0</v>
      </c>
      <c r="Q21" s="671">
        <f>VLOOKUP(D21,TONGHOPCONGDOI!$C$11:$AC$94,23,0)</f>
        <v>0</v>
      </c>
      <c r="R21" s="671">
        <f>VLOOKUP(D21,TONGHOPCONGDOI!$C$11:$AC$94,24,0)</f>
        <v>0</v>
      </c>
      <c r="S21" s="671">
        <f>VLOOKUP(D21,TONGHOPCONGDOI!$C$11:$AC$94,25,0)</f>
        <v>0</v>
      </c>
      <c r="T21" s="671"/>
      <c r="U21" s="1168"/>
      <c r="V21" s="1168"/>
      <c r="W21" s="1168"/>
      <c r="X21" s="671">
        <f t="shared" si="5"/>
        <v>822406</v>
      </c>
      <c r="Y21" s="671">
        <f t="shared" si="4"/>
        <v>5364912</v>
      </c>
      <c r="Z21" s="254"/>
      <c r="AA21" s="673">
        <f t="shared" si="6"/>
        <v>5364912</v>
      </c>
      <c r="AB21" s="254"/>
      <c r="AC21" s="672"/>
      <c r="AD21" s="1169"/>
      <c r="AE21" s="1161"/>
      <c r="AF21" s="1161"/>
      <c r="AG21" s="1161"/>
      <c r="AH21" s="1161"/>
      <c r="AI21" s="1161"/>
      <c r="AJ21" s="1161"/>
      <c r="AK21" s="1161"/>
      <c r="AL21" s="1161"/>
    </row>
    <row r="22" spans="1:38" s="1162" customFormat="1" ht="33" customHeight="1">
      <c r="A22" s="1164">
        <v>7</v>
      </c>
      <c r="B22" s="1165">
        <v>7</v>
      </c>
      <c r="C22" s="1165" t="str">
        <f>'Chấm công KT'!C19</f>
        <v>04055</v>
      </c>
      <c r="D22" s="1166" t="str">
        <f>TONGHOPCONGDOI!C17</f>
        <v>T. Đèng 1</v>
      </c>
      <c r="E22" s="1165" t="s">
        <v>28</v>
      </c>
      <c r="F22" s="1167"/>
      <c r="G22" s="254">
        <f t="shared" si="2"/>
        <v>0</v>
      </c>
      <c r="H22" s="254">
        <f>VLOOKUP(D22,TONGHOPCONGDOI!C17:AD94,16,0)</f>
        <v>1993</v>
      </c>
      <c r="I22" s="254">
        <f>VLOOKUP(D22,TONGHOPCONGDOI!C17:AD94,18,0)</f>
        <v>0</v>
      </c>
      <c r="J22" s="254"/>
      <c r="K22" s="668">
        <f t="shared" si="1"/>
        <v>924.184262072926</v>
      </c>
      <c r="L22" s="669" t="str">
        <f>VLOOKUP(D22,'BTH mủ tạp'!$D$17:$AN$95,37,0)</f>
        <v>A</v>
      </c>
      <c r="M22" s="670">
        <f t="shared" si="3"/>
        <v>3770602</v>
      </c>
      <c r="N22" s="671">
        <f>VLOOKUP(D22,TONGHOPCONGDOI!$C$11:$AD$93,20,0)</f>
        <v>23</v>
      </c>
      <c r="O22" s="671">
        <f>VLOOKUP(D22,TONGHOPCONGDOI!$C$11:$AD$93,21,0)</f>
        <v>5</v>
      </c>
      <c r="P22" s="671">
        <f>VLOOKUP(D22,TONGHOPCONGDOI!$C$11:$AC$93,22,0)</f>
        <v>0</v>
      </c>
      <c r="Q22" s="671">
        <f>VLOOKUP(D22,TONGHOPCONGDOI!$C$11:$AC$94,23,0)</f>
        <v>0</v>
      </c>
      <c r="R22" s="671">
        <f>VLOOKUP(D22,TONGHOPCONGDOI!$C$11:$AC$94,24,0)</f>
        <v>0</v>
      </c>
      <c r="S22" s="671">
        <f>VLOOKUP(D22,TONGHOPCONGDOI!$C$11:$AC$94,25,0)</f>
        <v>0</v>
      </c>
      <c r="T22" s="671"/>
      <c r="U22" s="1168"/>
      <c r="V22" s="1168"/>
      <c r="W22" s="1168"/>
      <c r="X22" s="671">
        <f t="shared" si="5"/>
        <v>966340</v>
      </c>
      <c r="Y22" s="671">
        <f t="shared" si="4"/>
        <v>4736942</v>
      </c>
      <c r="Z22" s="254"/>
      <c r="AA22" s="673">
        <f t="shared" si="6"/>
        <v>4736942</v>
      </c>
      <c r="AB22" s="254"/>
      <c r="AC22" s="672"/>
      <c r="AD22" s="1169"/>
      <c r="AE22" s="1161"/>
      <c r="AF22" s="1161"/>
      <c r="AG22" s="1161"/>
      <c r="AH22" s="1161"/>
      <c r="AI22" s="1161"/>
      <c r="AJ22" s="1161"/>
      <c r="AK22" s="1161"/>
      <c r="AL22" s="1161"/>
    </row>
    <row r="23" spans="1:38" s="1162" customFormat="1" ht="33" customHeight="1">
      <c r="A23" s="1164">
        <v>8</v>
      </c>
      <c r="B23" s="1165">
        <v>8</v>
      </c>
      <c r="C23" s="1165" t="str">
        <f>'Chấm công KT'!C20</f>
        <v>03462</v>
      </c>
      <c r="D23" s="1166" t="str">
        <f>TONGHOPCONGDOI!C18</f>
        <v>T . Bua Ngân</v>
      </c>
      <c r="E23" s="1165" t="s">
        <v>28</v>
      </c>
      <c r="F23" s="1167"/>
      <c r="G23" s="254">
        <f t="shared" si="2"/>
        <v>0</v>
      </c>
      <c r="H23" s="254">
        <f>VLOOKUP(D23,TONGHOPCONGDOI!C18:AD94,16,0)</f>
        <v>2333</v>
      </c>
      <c r="I23" s="254">
        <f>VLOOKUP(D23,TONGHOPCONGDOI!C18:AD94,18,0)</f>
        <v>0</v>
      </c>
      <c r="J23" s="254"/>
      <c r="K23" s="668">
        <f t="shared" si="1"/>
        <v>1081.84740763479</v>
      </c>
      <c r="L23" s="669" t="str">
        <f>VLOOKUP(D23,'BTH mủ tạp'!$D$17:$AN$95,37,0)</f>
        <v>A</v>
      </c>
      <c r="M23" s="670">
        <f t="shared" si="3"/>
        <v>4413855</v>
      </c>
      <c r="N23" s="671">
        <f>VLOOKUP(D23,TONGHOPCONGDOI!$C$11:$AD$93,20,0)</f>
        <v>23</v>
      </c>
      <c r="O23" s="671">
        <f>VLOOKUP(D23,TONGHOPCONGDOI!$C$11:$AD$93,21,0)</f>
        <v>5</v>
      </c>
      <c r="P23" s="671">
        <f>VLOOKUP(D23,TONGHOPCONGDOI!$C$11:$AC$93,22,0)</f>
        <v>0</v>
      </c>
      <c r="Q23" s="671">
        <f>VLOOKUP(D23,TONGHOPCONGDOI!$C$11:$AC$94,23,0)</f>
        <v>0</v>
      </c>
      <c r="R23" s="671">
        <f>VLOOKUP(D23,TONGHOPCONGDOI!$C$11:$AC$94,24,0)</f>
        <v>0</v>
      </c>
      <c r="S23" s="671">
        <f>VLOOKUP(D23,TONGHOPCONGDOI!$C$11:$AC$94,25,0)</f>
        <v>0</v>
      </c>
      <c r="T23" s="671"/>
      <c r="U23" s="1168"/>
      <c r="V23" s="1168"/>
      <c r="W23" s="1168"/>
      <c r="X23" s="671">
        <f t="shared" si="5"/>
        <v>966340</v>
      </c>
      <c r="Y23" s="671">
        <f t="shared" si="4"/>
        <v>5380195</v>
      </c>
      <c r="Z23" s="254"/>
      <c r="AA23" s="673">
        <f t="shared" si="6"/>
        <v>5380195</v>
      </c>
      <c r="AB23" s="254"/>
      <c r="AC23" s="672"/>
      <c r="AD23" s="1169"/>
      <c r="AE23" s="1161"/>
      <c r="AF23" s="1161"/>
      <c r="AG23" s="1161"/>
      <c r="AH23" s="1161"/>
      <c r="AI23" s="1161"/>
      <c r="AJ23" s="1161"/>
      <c r="AK23" s="1161"/>
      <c r="AL23" s="1161"/>
    </row>
    <row r="24" spans="1:38" s="1162" customFormat="1" ht="33" customHeight="1">
      <c r="A24" s="1164">
        <v>9</v>
      </c>
      <c r="B24" s="1165">
        <v>9</v>
      </c>
      <c r="C24" s="1165" t="str">
        <f>'Chấm công KT'!C21</f>
        <v>03463</v>
      </c>
      <c r="D24" s="1166" t="str">
        <f>TONGHOPCONGDOI!C19</f>
        <v>T Căng</v>
      </c>
      <c r="E24" s="1165" t="s">
        <v>28</v>
      </c>
      <c r="F24" s="1167"/>
      <c r="G24" s="254">
        <f t="shared" si="2"/>
        <v>0</v>
      </c>
      <c r="H24" s="254">
        <f>VLOOKUP(D24,TONGHOPCONGDOI!C19:AD94,16,0)</f>
        <v>2885</v>
      </c>
      <c r="I24" s="254">
        <f>VLOOKUP(D24,TONGHOPCONGDOI!C19:AD94,18,0)</f>
        <v>0</v>
      </c>
      <c r="J24" s="254"/>
      <c r="K24" s="668">
        <f t="shared" si="1"/>
        <v>1337.8181616058162</v>
      </c>
      <c r="L24" s="669" t="str">
        <f>VLOOKUP(D24,'BTH mủ tạp'!$D$17:$AN$95,37,0)</f>
        <v>A</v>
      </c>
      <c r="M24" s="670">
        <f t="shared" si="3"/>
        <v>5458196</v>
      </c>
      <c r="N24" s="671">
        <f>VLOOKUP(D24,TONGHOPCONGDOI!$C$11:$AD$93,20,0)</f>
        <v>23</v>
      </c>
      <c r="O24" s="671">
        <f>VLOOKUP(D24,TONGHOPCONGDOI!$C$11:$AD$93,21,0)</f>
        <v>5</v>
      </c>
      <c r="P24" s="671">
        <f>VLOOKUP(D24,TONGHOPCONGDOI!$C$11:$AC$93,22,0)</f>
        <v>0</v>
      </c>
      <c r="Q24" s="671">
        <f>VLOOKUP(D24,TONGHOPCONGDOI!$C$11:$AC$94,23,0)</f>
        <v>0</v>
      </c>
      <c r="R24" s="671">
        <f>VLOOKUP(D24,TONGHOPCONGDOI!$C$11:$AC$94,24,0)</f>
        <v>0</v>
      </c>
      <c r="S24" s="671">
        <f>VLOOKUP(D24,TONGHOPCONGDOI!$C$11:$AC$94,25,0)</f>
        <v>0</v>
      </c>
      <c r="T24" s="671"/>
      <c r="U24" s="1168"/>
      <c r="V24" s="1168"/>
      <c r="W24" s="1168"/>
      <c r="X24" s="671">
        <f t="shared" si="5"/>
        <v>966340</v>
      </c>
      <c r="Y24" s="671">
        <f t="shared" si="4"/>
        <v>6424536</v>
      </c>
      <c r="Z24" s="254"/>
      <c r="AA24" s="673">
        <f t="shared" si="6"/>
        <v>6424536</v>
      </c>
      <c r="AB24" s="254"/>
      <c r="AC24" s="672"/>
      <c r="AD24" s="1169"/>
      <c r="AE24" s="1161"/>
      <c r="AF24" s="1161"/>
      <c r="AG24" s="1161"/>
      <c r="AH24" s="1161"/>
      <c r="AI24" s="1161">
        <f>6.1*653.23</f>
        <v>3984.703</v>
      </c>
      <c r="AJ24" s="1161"/>
      <c r="AK24" s="1161"/>
      <c r="AL24" s="1161"/>
    </row>
    <row r="25" spans="1:38" s="1162" customFormat="1" ht="33" customHeight="1">
      <c r="A25" s="1164">
        <v>10</v>
      </c>
      <c r="B25" s="1165">
        <v>10</v>
      </c>
      <c r="C25" s="1165" t="str">
        <f>'Chấm công KT'!C22</f>
        <v>03464</v>
      </c>
      <c r="D25" s="1166" t="str">
        <f>TONGHOPCONGDOI!C20</f>
        <v>N. Phôn 1</v>
      </c>
      <c r="E25" s="1165" t="s">
        <v>28</v>
      </c>
      <c r="F25" s="1167"/>
      <c r="G25" s="254">
        <f t="shared" si="2"/>
        <v>0</v>
      </c>
      <c r="H25" s="254">
        <f>VLOOKUP(D25,TONGHOPCONGDOI!C20:AD94,16,0)</f>
        <v>2848</v>
      </c>
      <c r="I25" s="254">
        <f>VLOOKUP(D25,TONGHOPCONGDOI!C20:AD94,18,0)</f>
        <v>0</v>
      </c>
      <c r="J25" s="254"/>
      <c r="K25" s="668">
        <f t="shared" si="1"/>
        <v>1320.6607016476132</v>
      </c>
      <c r="L25" s="669" t="str">
        <f>VLOOKUP(D25,'BTH mủ tạp'!$D$17:$AN$95,37,0)</f>
        <v>A</v>
      </c>
      <c r="M25" s="670">
        <f t="shared" si="3"/>
        <v>5388195</v>
      </c>
      <c r="N25" s="671">
        <f>VLOOKUP(D25,TONGHOPCONGDOI!$C$11:$AD$93,20,0)</f>
        <v>23</v>
      </c>
      <c r="O25" s="671">
        <f>VLOOKUP(D25,TONGHOPCONGDOI!$C$11:$AD$93,21,0)</f>
        <v>5</v>
      </c>
      <c r="P25" s="671">
        <f>VLOOKUP(D25,TONGHOPCONGDOI!$C$11:$AC$93,22,0)</f>
        <v>0</v>
      </c>
      <c r="Q25" s="671">
        <f>VLOOKUP(D25,TONGHOPCONGDOI!$C$11:$AC$94,23,0)</f>
        <v>0</v>
      </c>
      <c r="R25" s="671">
        <f>VLOOKUP(D25,TONGHOPCONGDOI!$C$11:$AC$94,24,0)</f>
        <v>0</v>
      </c>
      <c r="S25" s="671">
        <f>VLOOKUP(D25,TONGHOPCONGDOI!$C$11:$AC$94,25,0)</f>
        <v>0</v>
      </c>
      <c r="T25" s="671"/>
      <c r="U25" s="1168"/>
      <c r="V25" s="1168"/>
      <c r="W25" s="1168"/>
      <c r="X25" s="671">
        <f t="shared" si="5"/>
        <v>966340</v>
      </c>
      <c r="Y25" s="671">
        <f t="shared" si="4"/>
        <v>6354535</v>
      </c>
      <c r="Z25" s="254"/>
      <c r="AA25" s="673">
        <f t="shared" si="6"/>
        <v>6354535</v>
      </c>
      <c r="AB25" s="254"/>
      <c r="AC25" s="672"/>
      <c r="AD25" s="1169"/>
      <c r="AE25" s="1161"/>
      <c r="AF25" s="1161"/>
      <c r="AG25" s="1161"/>
      <c r="AH25" s="1161"/>
      <c r="AI25" s="1161"/>
      <c r="AJ25" s="1161"/>
      <c r="AK25" s="1161"/>
      <c r="AL25" s="1161"/>
    </row>
    <row r="26" spans="1:38" s="1162" customFormat="1" ht="33" customHeight="1">
      <c r="A26" s="1164">
        <v>11</v>
      </c>
      <c r="B26" s="1165">
        <v>11</v>
      </c>
      <c r="C26" s="1165" t="str">
        <f>'Chấm công KT'!C23</f>
        <v>03465</v>
      </c>
      <c r="D26" s="1166" t="str">
        <f>TONGHOPCONGDOI!C21</f>
        <v>T. In Păn</v>
      </c>
      <c r="E26" s="1165" t="s">
        <v>28</v>
      </c>
      <c r="F26" s="1167"/>
      <c r="G26" s="254">
        <f t="shared" si="2"/>
        <v>0</v>
      </c>
      <c r="H26" s="254">
        <f>VLOOKUP(D26,TONGHOPCONGDOI!C21:AD94,16,0)</f>
        <v>2182</v>
      </c>
      <c r="I26" s="254">
        <f>VLOOKUP(D26,TONGHOPCONGDOI!C21:AD94,18,0)</f>
        <v>0</v>
      </c>
      <c r="J26" s="254"/>
      <c r="K26" s="668">
        <f t="shared" si="1"/>
        <v>1011.8264223999622</v>
      </c>
      <c r="L26" s="669" t="str">
        <f>VLOOKUP(D26,'BTH mủ tạp'!$D$17:$AN$95,37,0)</f>
        <v>A</v>
      </c>
      <c r="M26" s="670">
        <f t="shared" si="3"/>
        <v>4128175</v>
      </c>
      <c r="N26" s="671">
        <f>VLOOKUP(D26,TONGHOPCONGDOI!$C$11:$AD$93,20,0)</f>
        <v>20</v>
      </c>
      <c r="O26" s="671">
        <f>VLOOKUP(D26,TONGHOPCONGDOI!$C$11:$AD$93,21,0)</f>
        <v>5</v>
      </c>
      <c r="P26" s="671">
        <f>VLOOKUP(D26,TONGHOPCONGDOI!$C$11:$AC$93,22,0)</f>
        <v>0</v>
      </c>
      <c r="Q26" s="671">
        <f>VLOOKUP(D26,TONGHOPCONGDOI!$C$11:$AC$94,23,0)</f>
        <v>0</v>
      </c>
      <c r="R26" s="671">
        <f>VLOOKUP(D26,TONGHOPCONGDOI!$C$11:$AC$94,24,0)</f>
        <v>0</v>
      </c>
      <c r="S26" s="671">
        <f>VLOOKUP(D26,TONGHOPCONGDOI!$C$11:$AC$94,25,0)</f>
        <v>0</v>
      </c>
      <c r="T26" s="671"/>
      <c r="U26" s="1168"/>
      <c r="V26" s="1168"/>
      <c r="W26" s="1168"/>
      <c r="X26" s="671">
        <f t="shared" si="5"/>
        <v>873839</v>
      </c>
      <c r="Y26" s="671">
        <f t="shared" si="4"/>
        <v>5002014</v>
      </c>
      <c r="Z26" s="254"/>
      <c r="AA26" s="673">
        <f t="shared" si="6"/>
        <v>5002014</v>
      </c>
      <c r="AB26" s="254"/>
      <c r="AC26" s="672"/>
      <c r="AD26" s="1169"/>
      <c r="AE26" s="1161"/>
      <c r="AF26" s="1161"/>
      <c r="AG26" s="1161"/>
      <c r="AH26" s="1161"/>
      <c r="AI26" s="1161"/>
      <c r="AJ26" s="1161"/>
      <c r="AK26" s="1161"/>
      <c r="AL26" s="1161"/>
    </row>
    <row r="27" spans="1:38" s="1162" customFormat="1" ht="33" customHeight="1">
      <c r="A27" s="1164">
        <v>12</v>
      </c>
      <c r="B27" s="1165">
        <v>12</v>
      </c>
      <c r="C27" s="1165" t="str">
        <f>'Chấm công KT'!C24</f>
        <v>03466</v>
      </c>
      <c r="D27" s="1166" t="str">
        <f>TONGHOPCONGDOI!C22</f>
        <v>N. Keo</v>
      </c>
      <c r="E27" s="1165" t="s">
        <v>28</v>
      </c>
      <c r="F27" s="1167"/>
      <c r="G27" s="254">
        <f t="shared" si="2"/>
        <v>0</v>
      </c>
      <c r="H27" s="254">
        <f>VLOOKUP(D27,TONGHOPCONGDOI!C22:AD94,16,0)</f>
        <v>3179</v>
      </c>
      <c r="I27" s="254">
        <f>VLOOKUP(D27,TONGHOPCONGDOI!C22:AD94,18,0)</f>
        <v>0</v>
      </c>
      <c r="J27" s="254"/>
      <c r="K27" s="668">
        <f t="shared" si="1"/>
        <v>1474.150411003428</v>
      </c>
      <c r="L27" s="669" t="str">
        <f>VLOOKUP(D27,'BTH mủ tạp'!$D$17:$AN$95,37,0)</f>
        <v>A</v>
      </c>
      <c r="M27" s="670">
        <f t="shared" si="3"/>
        <v>6014422</v>
      </c>
      <c r="N27" s="671">
        <f>VLOOKUP(D27,TONGHOPCONGDOI!$C$11:$AD$93,20,0)</f>
        <v>23</v>
      </c>
      <c r="O27" s="671">
        <f>VLOOKUP(D27,TONGHOPCONGDOI!$C$11:$AD$93,21,0)</f>
        <v>5</v>
      </c>
      <c r="P27" s="671">
        <f>VLOOKUP(D27,TONGHOPCONGDOI!$C$11:$AC$93,22,0)</f>
        <v>0</v>
      </c>
      <c r="Q27" s="671">
        <f>VLOOKUP(D27,TONGHOPCONGDOI!$C$11:$AC$94,23,0)</f>
        <v>0</v>
      </c>
      <c r="R27" s="671">
        <f>VLOOKUP(D27,TONGHOPCONGDOI!$C$11:$AC$94,24,0)</f>
        <v>0</v>
      </c>
      <c r="S27" s="671">
        <f>VLOOKUP(D27,TONGHOPCONGDOI!$C$11:$AC$94,25,0)</f>
        <v>0</v>
      </c>
      <c r="T27" s="671"/>
      <c r="U27" s="1168"/>
      <c r="V27" s="1168"/>
      <c r="W27" s="1168"/>
      <c r="X27" s="671">
        <f t="shared" si="5"/>
        <v>966340</v>
      </c>
      <c r="Y27" s="671">
        <f t="shared" si="4"/>
        <v>6980762</v>
      </c>
      <c r="Z27" s="254"/>
      <c r="AA27" s="673">
        <f t="shared" si="6"/>
        <v>6980762</v>
      </c>
      <c r="AB27" s="254"/>
      <c r="AC27" s="672"/>
      <c r="AD27" s="1169"/>
      <c r="AE27" s="1161"/>
      <c r="AF27" s="1161"/>
      <c r="AG27" s="1161"/>
      <c r="AH27" s="1161"/>
      <c r="AI27" s="1161"/>
      <c r="AJ27" s="1161"/>
      <c r="AK27" s="1161"/>
      <c r="AL27" s="1161"/>
    </row>
    <row r="28" spans="1:38" s="1162" customFormat="1" ht="33" customHeight="1">
      <c r="A28" s="1164">
        <v>13</v>
      </c>
      <c r="B28" s="1165">
        <v>13</v>
      </c>
      <c r="C28" s="1165" t="str">
        <f>'Chấm công KT'!C25</f>
        <v>02727</v>
      </c>
      <c r="D28" s="1166" t="str">
        <f>TONGHOPCONGDOI!C23</f>
        <v>T. Thong Đon</v>
      </c>
      <c r="E28" s="1165" t="s">
        <v>28</v>
      </c>
      <c r="F28" s="1167"/>
      <c r="G28" s="254">
        <f t="shared" si="2"/>
        <v>0</v>
      </c>
      <c r="H28" s="254">
        <f>VLOOKUP(D28,TONGHOPCONGDOI!C23:AD94,16,0)</f>
        <v>2523</v>
      </c>
      <c r="I28" s="254">
        <f>VLOOKUP(D28,TONGHOPCONGDOI!C23:AD94,18,0)</f>
        <v>0</v>
      </c>
      <c r="J28" s="254"/>
      <c r="K28" s="668">
        <f t="shared" si="1"/>
        <v>1169.9532830958317</v>
      </c>
      <c r="L28" s="669" t="str">
        <f>VLOOKUP(D28,'BTH mủ tạp'!$D$17:$AN$95,37,0)</f>
        <v>A</v>
      </c>
      <c r="M28" s="670">
        <f t="shared" si="3"/>
        <v>4773320</v>
      </c>
      <c r="N28" s="671">
        <f>VLOOKUP(D28,TONGHOPCONGDOI!$C$11:$AD$93,20,0)</f>
        <v>20</v>
      </c>
      <c r="O28" s="671">
        <f>VLOOKUP(D28,TONGHOPCONGDOI!$C$11:$AD$93,21,0)</f>
        <v>5</v>
      </c>
      <c r="P28" s="671">
        <f>VLOOKUP(D28,TONGHOPCONGDOI!$C$11:$AC$93,22,0)</f>
        <v>0</v>
      </c>
      <c r="Q28" s="671">
        <f>VLOOKUP(D28,TONGHOPCONGDOI!$C$11:$AC$94,23,0)</f>
        <v>0</v>
      </c>
      <c r="R28" s="671">
        <f>VLOOKUP(D28,TONGHOPCONGDOI!$C$11:$AC$94,24,0)</f>
        <v>0</v>
      </c>
      <c r="S28" s="671">
        <f>VLOOKUP(D28,TONGHOPCONGDOI!$C$11:$AC$94,25,0)</f>
        <v>0</v>
      </c>
      <c r="T28" s="671"/>
      <c r="U28" s="1168"/>
      <c r="V28" s="1168"/>
      <c r="W28" s="1168"/>
      <c r="X28" s="671">
        <f t="shared" si="5"/>
        <v>873839</v>
      </c>
      <c r="Y28" s="671">
        <f t="shared" si="4"/>
        <v>5647159</v>
      </c>
      <c r="Z28" s="254"/>
      <c r="AA28" s="673">
        <f t="shared" si="6"/>
        <v>5647159</v>
      </c>
      <c r="AB28" s="254"/>
      <c r="AC28" s="672"/>
      <c r="AD28" s="1169"/>
      <c r="AE28" s="1161"/>
      <c r="AF28" s="1161"/>
      <c r="AG28" s="1161"/>
      <c r="AH28" s="1161"/>
      <c r="AI28" s="1161"/>
      <c r="AJ28" s="1161"/>
      <c r="AK28" s="1161"/>
      <c r="AL28" s="1161"/>
    </row>
    <row r="29" spans="1:38" s="1162" customFormat="1" ht="33" customHeight="1">
      <c r="A29" s="1164">
        <v>14</v>
      </c>
      <c r="B29" s="1165">
        <v>14</v>
      </c>
      <c r="C29" s="1165" t="str">
        <f>'Chấm công KT'!C26</f>
        <v>03467</v>
      </c>
      <c r="D29" s="1166" t="str">
        <f>TONGHOPCONGDOI!C24</f>
        <v>T. Hin</v>
      </c>
      <c r="E29" s="1165" t="s">
        <v>28</v>
      </c>
      <c r="F29" s="1167"/>
      <c r="G29" s="254">
        <f t="shared" si="2"/>
        <v>0</v>
      </c>
      <c r="H29" s="254">
        <f>VLOOKUP(D29,TONGHOPCONGDOI!C24:AD94,16,0)</f>
        <v>2309</v>
      </c>
      <c r="I29" s="254">
        <f>VLOOKUP(D29,TONGHOPCONGDOI!C24:AD94,18,0)</f>
        <v>0</v>
      </c>
      <c r="J29" s="254"/>
      <c r="K29" s="668">
        <f t="shared" si="1"/>
        <v>1070.7182444186583</v>
      </c>
      <c r="L29" s="669" t="str">
        <f>VLOOKUP(D29,'BTH mủ tạp'!$D$17:$AN$95,37,0)</f>
        <v>A</v>
      </c>
      <c r="M29" s="670">
        <f t="shared" si="3"/>
        <v>4368449</v>
      </c>
      <c r="N29" s="671">
        <f>VLOOKUP(D29,TONGHOPCONGDOI!$C$11:$AD$93,20,0)</f>
        <v>22</v>
      </c>
      <c r="O29" s="671">
        <f>VLOOKUP(D29,TONGHOPCONGDOI!$C$11:$AD$93,21,0)</f>
        <v>5</v>
      </c>
      <c r="P29" s="671">
        <f>VLOOKUP(D29,TONGHOPCONGDOI!$C$11:$AC$93,22,0)</f>
        <v>0</v>
      </c>
      <c r="Q29" s="671">
        <f>VLOOKUP(D29,TONGHOPCONGDOI!$C$11:$AC$94,23,0)</f>
        <v>0</v>
      </c>
      <c r="R29" s="671">
        <f>VLOOKUP(D29,TONGHOPCONGDOI!$C$11:$AC$94,24,0)</f>
        <v>0</v>
      </c>
      <c r="S29" s="671">
        <f>VLOOKUP(D29,TONGHOPCONGDOI!$C$11:$AC$94,25,0)</f>
        <v>0</v>
      </c>
      <c r="T29" s="671"/>
      <c r="U29" s="1168"/>
      <c r="V29" s="1168"/>
      <c r="W29" s="1168"/>
      <c r="X29" s="671">
        <f t="shared" si="5"/>
        <v>935507</v>
      </c>
      <c r="Y29" s="671">
        <f t="shared" si="4"/>
        <v>5303956</v>
      </c>
      <c r="Z29" s="254"/>
      <c r="AA29" s="673">
        <f t="shared" si="6"/>
        <v>5303956</v>
      </c>
      <c r="AB29" s="254"/>
      <c r="AC29" s="672"/>
      <c r="AD29" s="1169"/>
      <c r="AE29" s="1161"/>
      <c r="AF29" s="1161"/>
      <c r="AG29" s="1161"/>
      <c r="AH29" s="1161"/>
      <c r="AI29" s="1161"/>
      <c r="AJ29" s="1161"/>
      <c r="AK29" s="1161"/>
      <c r="AL29" s="1161"/>
    </row>
    <row r="30" spans="1:38" s="1162" customFormat="1" ht="33" customHeight="1">
      <c r="A30" s="1164">
        <v>15</v>
      </c>
      <c r="B30" s="1165">
        <v>15</v>
      </c>
      <c r="C30" s="1165" t="str">
        <f>'Chấm công KT'!C27</f>
        <v>04056</v>
      </c>
      <c r="D30" s="1166" t="str">
        <f>TONGHOPCONGDOI!C25</f>
        <v>N. Ly Phon</v>
      </c>
      <c r="E30" s="1165" t="s">
        <v>28</v>
      </c>
      <c r="F30" s="1167"/>
      <c r="G30" s="254">
        <f t="shared" si="2"/>
        <v>0</v>
      </c>
      <c r="H30" s="254">
        <f>VLOOKUP(D30,TONGHOPCONGDOI!C25:AD94,16,0)</f>
        <v>1650</v>
      </c>
      <c r="I30" s="254">
        <f>VLOOKUP(D30,TONGHOPCONGDOI!C25:AD94,18,0)</f>
        <v>0</v>
      </c>
      <c r="J30" s="254"/>
      <c r="K30" s="668">
        <f t="shared" si="1"/>
        <v>765.12997110904564</v>
      </c>
      <c r="L30" s="669" t="str">
        <f>VLOOKUP(D30,'BTH mủ tạp'!$D$17:$AN$95,37,0)</f>
        <v>B</v>
      </c>
      <c r="M30" s="670">
        <f t="shared" si="3"/>
        <v>2968147</v>
      </c>
      <c r="N30" s="671">
        <f>VLOOKUP(D30,TONGHOPCONGDOI!$C$11:$AD$93,20,0)</f>
        <v>19</v>
      </c>
      <c r="O30" s="671">
        <f>VLOOKUP(D30,TONGHOPCONGDOI!$C$11:$AD$93,21,0)</f>
        <v>4</v>
      </c>
      <c r="P30" s="671">
        <f>VLOOKUP(D30,TONGHOPCONGDOI!$C$11:$AC$93,22,0)</f>
        <v>0</v>
      </c>
      <c r="Q30" s="671">
        <f>VLOOKUP(D30,TONGHOPCONGDOI!$C$11:$AC$94,23,0)</f>
        <v>0</v>
      </c>
      <c r="R30" s="671">
        <f>VLOOKUP(D30,TONGHOPCONGDOI!$C$11:$AC$94,24,0)</f>
        <v>0</v>
      </c>
      <c r="S30" s="671">
        <f>VLOOKUP(D30,TONGHOPCONGDOI!$C$11:$AC$94,25,0)</f>
        <v>0</v>
      </c>
      <c r="T30" s="671"/>
      <c r="U30" s="1168"/>
      <c r="V30" s="1168"/>
      <c r="W30" s="1168"/>
      <c r="X30" s="671">
        <f t="shared" si="5"/>
        <v>791572</v>
      </c>
      <c r="Y30" s="671">
        <f t="shared" si="4"/>
        <v>3759719</v>
      </c>
      <c r="Z30" s="254"/>
      <c r="AA30" s="673">
        <f t="shared" si="6"/>
        <v>3759719</v>
      </c>
      <c r="AB30" s="254"/>
      <c r="AC30" s="672"/>
      <c r="AD30" s="1169"/>
      <c r="AE30" s="1161"/>
      <c r="AF30" s="1161"/>
      <c r="AG30" s="1161"/>
      <c r="AH30" s="1161"/>
      <c r="AI30" s="1161"/>
      <c r="AJ30" s="1161"/>
      <c r="AK30" s="1161"/>
      <c r="AL30" s="1161"/>
    </row>
    <row r="31" spans="1:38" s="1162" customFormat="1" ht="33" customHeight="1">
      <c r="A31" s="1164">
        <v>16</v>
      </c>
      <c r="B31" s="1165">
        <v>16</v>
      </c>
      <c r="C31" s="1165" t="str">
        <f>'Chấm công KT'!C28</f>
        <v>03469</v>
      </c>
      <c r="D31" s="1166" t="str">
        <f>TONGHOPCONGDOI!C26</f>
        <v>T. Xôm Va Nít</v>
      </c>
      <c r="E31" s="1165" t="s">
        <v>28</v>
      </c>
      <c r="F31" s="1167"/>
      <c r="G31" s="254">
        <f t="shared" si="2"/>
        <v>0</v>
      </c>
      <c r="H31" s="254">
        <f>VLOOKUP(D31,TONGHOPCONGDOI!C26:AD94,16,0)</f>
        <v>3122</v>
      </c>
      <c r="I31" s="254">
        <f>VLOOKUP(D31,TONGHOPCONGDOI!C26:AD94,18,0)</f>
        <v>0</v>
      </c>
      <c r="J31" s="254"/>
      <c r="K31" s="668">
        <f t="shared" si="1"/>
        <v>1447.7186483651153</v>
      </c>
      <c r="L31" s="669" t="str">
        <f>VLOOKUP(D31,'BTH mủ tạp'!$D$17:$AN$95,37,0)</f>
        <v>B</v>
      </c>
      <c r="M31" s="670">
        <f t="shared" si="3"/>
        <v>5616094</v>
      </c>
      <c r="N31" s="671">
        <f>VLOOKUP(D31,TONGHOPCONGDOI!$C$11:$AD$93,20,0)</f>
        <v>23</v>
      </c>
      <c r="O31" s="671">
        <f>VLOOKUP(D31,TONGHOPCONGDOI!$C$11:$AD$93,21,0)</f>
        <v>5</v>
      </c>
      <c r="P31" s="671">
        <f>VLOOKUP(D31,TONGHOPCONGDOI!$C$11:$AC$93,22,0)</f>
        <v>0</v>
      </c>
      <c r="Q31" s="671">
        <f>VLOOKUP(D31,TONGHOPCONGDOI!$C$11:$AC$94,23,0)</f>
        <v>0</v>
      </c>
      <c r="R31" s="671">
        <f>VLOOKUP(D31,TONGHOPCONGDOI!$C$11:$AC$94,24,0)</f>
        <v>0</v>
      </c>
      <c r="S31" s="671">
        <f>VLOOKUP(D31,TONGHOPCONGDOI!$C$11:$AC$94,25,0)</f>
        <v>0</v>
      </c>
      <c r="T31" s="671"/>
      <c r="U31" s="1168"/>
      <c r="V31" s="1168"/>
      <c r="W31" s="1168"/>
      <c r="X31" s="671">
        <f t="shared" si="5"/>
        <v>966340</v>
      </c>
      <c r="Y31" s="671">
        <f t="shared" si="4"/>
        <v>6582434</v>
      </c>
      <c r="Z31" s="254"/>
      <c r="AA31" s="673">
        <f t="shared" si="6"/>
        <v>6582434</v>
      </c>
      <c r="AB31" s="254"/>
      <c r="AC31" s="672"/>
      <c r="AD31" s="1169"/>
      <c r="AE31" s="1161"/>
      <c r="AF31" s="1161"/>
      <c r="AG31" s="1161"/>
      <c r="AH31" s="1161"/>
      <c r="AI31" s="1161"/>
      <c r="AJ31" s="1161"/>
      <c r="AK31" s="1161"/>
      <c r="AL31" s="1161"/>
    </row>
    <row r="32" spans="1:38" s="1162" customFormat="1" ht="33" customHeight="1">
      <c r="A32" s="1164">
        <v>17</v>
      </c>
      <c r="B32" s="1165">
        <v>17</v>
      </c>
      <c r="C32" s="1165" t="str">
        <f>'Chấm công KT'!C29</f>
        <v>03470</v>
      </c>
      <c r="D32" s="1166" t="str">
        <f>TONGHOPCONGDOI!C27</f>
        <v>T. Lọi</v>
      </c>
      <c r="E32" s="1165" t="s">
        <v>28</v>
      </c>
      <c r="F32" s="1167"/>
      <c r="G32" s="254">
        <f t="shared" si="2"/>
        <v>0</v>
      </c>
      <c r="H32" s="254">
        <f>VLOOKUP(D32,TONGHOPCONGDOI!C27:AD94,16,0)</f>
        <v>2112</v>
      </c>
      <c r="I32" s="254">
        <f>VLOOKUP(D32,TONGHOPCONGDOI!C27:AD94,18,0)</f>
        <v>0</v>
      </c>
      <c r="J32" s="254"/>
      <c r="K32" s="668">
        <f t="shared" si="1"/>
        <v>979.36636301957844</v>
      </c>
      <c r="L32" s="669" t="str">
        <f>VLOOKUP(D32,'BTH mủ tạp'!$D$17:$AN$95,37,0)</f>
        <v>B</v>
      </c>
      <c r="M32" s="670">
        <f t="shared" si="3"/>
        <v>3799229</v>
      </c>
      <c r="N32" s="671">
        <f>VLOOKUP(D32,TONGHOPCONGDOI!$C$11:$AD$93,20,0)</f>
        <v>19</v>
      </c>
      <c r="O32" s="671">
        <f>VLOOKUP(D32,TONGHOPCONGDOI!$C$11:$AD$93,21,0)</f>
        <v>4</v>
      </c>
      <c r="P32" s="671">
        <f>VLOOKUP(D32,TONGHOPCONGDOI!$C$11:$AC$93,22,0)</f>
        <v>0</v>
      </c>
      <c r="Q32" s="671">
        <f>VLOOKUP(D32,TONGHOPCONGDOI!$C$11:$AC$94,23,0)</f>
        <v>0</v>
      </c>
      <c r="R32" s="671">
        <f>VLOOKUP(D32,TONGHOPCONGDOI!$C$11:$AC$94,24,0)</f>
        <v>0</v>
      </c>
      <c r="S32" s="671">
        <f>VLOOKUP(D32,TONGHOPCONGDOI!$C$11:$AC$94,25,0)</f>
        <v>0</v>
      </c>
      <c r="T32" s="671"/>
      <c r="U32" s="1168"/>
      <c r="V32" s="1168"/>
      <c r="W32" s="1168"/>
      <c r="X32" s="671">
        <f t="shared" si="5"/>
        <v>791572</v>
      </c>
      <c r="Y32" s="671">
        <f t="shared" si="4"/>
        <v>4590801</v>
      </c>
      <c r="Z32" s="254"/>
      <c r="AA32" s="673">
        <f t="shared" si="6"/>
        <v>4590801</v>
      </c>
      <c r="AB32" s="254"/>
      <c r="AC32" s="672"/>
      <c r="AD32" s="1169"/>
      <c r="AE32" s="1161"/>
      <c r="AF32" s="1161"/>
      <c r="AG32" s="1161"/>
      <c r="AH32" s="1161"/>
      <c r="AI32" s="1161"/>
      <c r="AJ32" s="1161"/>
      <c r="AK32" s="1161"/>
      <c r="AL32" s="1161"/>
    </row>
    <row r="33" spans="1:38" s="1162" customFormat="1" ht="33" customHeight="1">
      <c r="A33" s="1164">
        <v>18</v>
      </c>
      <c r="B33" s="1165">
        <v>18</v>
      </c>
      <c r="C33" s="1165" t="str">
        <f>'Chấm công KT'!C30</f>
        <v>03471</v>
      </c>
      <c r="D33" s="1166" t="str">
        <f>TONGHOPCONGDOI!C28</f>
        <v>T. Phô Thong</v>
      </c>
      <c r="E33" s="1165" t="s">
        <v>28</v>
      </c>
      <c r="F33" s="1167"/>
      <c r="G33" s="254">
        <f t="shared" si="2"/>
        <v>0</v>
      </c>
      <c r="H33" s="254">
        <f>VLOOKUP(D33,TONGHOPCONGDOI!C28:AD94,16,0)</f>
        <v>2729</v>
      </c>
      <c r="I33" s="254">
        <f>VLOOKUP(D33,TONGHOPCONGDOI!C28:AD94,18,0)</f>
        <v>0</v>
      </c>
      <c r="J33" s="254"/>
      <c r="K33" s="668">
        <f t="shared" si="1"/>
        <v>1265.4786007009609</v>
      </c>
      <c r="L33" s="669" t="str">
        <f>VLOOKUP(D33,'BTH mủ tạp'!$D$17:$AN$95,37,0)</f>
        <v>A</v>
      </c>
      <c r="M33" s="670">
        <f t="shared" si="3"/>
        <v>5163057</v>
      </c>
      <c r="N33" s="671">
        <f>VLOOKUP(D33,TONGHOPCONGDOI!$C$11:$AD$93,20,0)</f>
        <v>23</v>
      </c>
      <c r="O33" s="671">
        <f>VLOOKUP(D33,TONGHOPCONGDOI!$C$11:$AD$93,21,0)</f>
        <v>5</v>
      </c>
      <c r="P33" s="671">
        <f>VLOOKUP(D33,TONGHOPCONGDOI!$C$11:$AC$93,22,0)</f>
        <v>0</v>
      </c>
      <c r="Q33" s="671">
        <f>VLOOKUP(D33,TONGHOPCONGDOI!$C$11:$AC$94,23,0)</f>
        <v>0</v>
      </c>
      <c r="R33" s="671">
        <f>VLOOKUP(D33,TONGHOPCONGDOI!$C$11:$AC$94,24,0)</f>
        <v>0</v>
      </c>
      <c r="S33" s="671">
        <f>VLOOKUP(D33,TONGHOPCONGDOI!$C$11:$AC$94,25,0)</f>
        <v>0</v>
      </c>
      <c r="T33" s="671"/>
      <c r="U33" s="1168"/>
      <c r="V33" s="1168"/>
      <c r="W33" s="1168"/>
      <c r="X33" s="671">
        <f t="shared" si="5"/>
        <v>966340</v>
      </c>
      <c r="Y33" s="671">
        <f t="shared" si="4"/>
        <v>6129397</v>
      </c>
      <c r="Z33" s="254"/>
      <c r="AA33" s="673">
        <f t="shared" si="6"/>
        <v>6129397</v>
      </c>
      <c r="AB33" s="254"/>
      <c r="AC33" s="672"/>
      <c r="AD33" s="1169"/>
      <c r="AE33" s="1161"/>
      <c r="AF33" s="1161"/>
      <c r="AG33" s="1161"/>
      <c r="AH33" s="1161"/>
      <c r="AI33" s="1161"/>
      <c r="AJ33" s="1161"/>
      <c r="AK33" s="1161"/>
      <c r="AL33" s="1161"/>
    </row>
    <row r="34" spans="1:38" s="1162" customFormat="1" ht="33" customHeight="1">
      <c r="A34" s="1164">
        <v>19</v>
      </c>
      <c r="B34" s="1165">
        <v>19</v>
      </c>
      <c r="C34" s="1165" t="str">
        <f>'Chấm công KT'!C31</f>
        <v>03472</v>
      </c>
      <c r="D34" s="1166" t="str">
        <f>TONGHOPCONGDOI!C29</f>
        <v>N. Soi</v>
      </c>
      <c r="E34" s="1165" t="s">
        <v>28</v>
      </c>
      <c r="F34" s="1167"/>
      <c r="G34" s="254">
        <f t="shared" si="2"/>
        <v>0</v>
      </c>
      <c r="H34" s="254">
        <f>VLOOKUP(D34,TONGHOPCONGDOI!C29:AD94,16,0)</f>
        <v>1472</v>
      </c>
      <c r="I34" s="254">
        <f>VLOOKUP(D34,TONGHOPCONGDOI!C29:AD94,18,0)</f>
        <v>0</v>
      </c>
      <c r="J34" s="254"/>
      <c r="K34" s="668">
        <f t="shared" si="1"/>
        <v>682.58867725606979</v>
      </c>
      <c r="L34" s="669" t="str">
        <f>VLOOKUP(D34,'BTH mủ tạp'!$D$17:$AN$95,37,0)</f>
        <v>A</v>
      </c>
      <c r="M34" s="670">
        <f t="shared" si="3"/>
        <v>2784910</v>
      </c>
      <c r="N34" s="671">
        <f>VLOOKUP(D34,TONGHOPCONGDOI!$C$11:$AD$93,20,0)</f>
        <v>20</v>
      </c>
      <c r="O34" s="671">
        <f>VLOOKUP(D34,TONGHOPCONGDOI!$C$11:$AD$93,21,0)</f>
        <v>5</v>
      </c>
      <c r="P34" s="671">
        <f>VLOOKUP(D34,TONGHOPCONGDOI!$C$11:$AC$93,22,0)</f>
        <v>0</v>
      </c>
      <c r="Q34" s="671">
        <f>VLOOKUP(D34,TONGHOPCONGDOI!$C$11:$AC$94,23,0)</f>
        <v>0</v>
      </c>
      <c r="R34" s="671">
        <f>VLOOKUP(D34,TONGHOPCONGDOI!$C$11:$AC$94,24,0)</f>
        <v>0</v>
      </c>
      <c r="S34" s="671">
        <f>VLOOKUP(D34,TONGHOPCONGDOI!$C$11:$AC$94,25,0)</f>
        <v>0</v>
      </c>
      <c r="T34" s="671"/>
      <c r="U34" s="1168"/>
      <c r="V34" s="1168"/>
      <c r="W34" s="1168"/>
      <c r="X34" s="671">
        <f t="shared" si="5"/>
        <v>873839</v>
      </c>
      <c r="Y34" s="671">
        <f t="shared" si="4"/>
        <v>3658749</v>
      </c>
      <c r="Z34" s="254"/>
      <c r="AA34" s="673">
        <f t="shared" si="6"/>
        <v>3658749</v>
      </c>
      <c r="AB34" s="254"/>
      <c r="AC34" s="672"/>
      <c r="AD34" s="1169"/>
      <c r="AE34" s="1161"/>
      <c r="AF34" s="1161"/>
      <c r="AG34" s="1161"/>
      <c r="AH34" s="1161"/>
      <c r="AI34" s="1161"/>
      <c r="AJ34" s="1161"/>
      <c r="AK34" s="1161"/>
      <c r="AL34" s="1161"/>
    </row>
    <row r="35" spans="1:38" s="1162" customFormat="1" ht="33" customHeight="1">
      <c r="A35" s="1164">
        <v>20</v>
      </c>
      <c r="B35" s="1165">
        <v>20</v>
      </c>
      <c r="C35" s="1165" t="str">
        <f>'Chấm công KT'!C32</f>
        <v>03473</v>
      </c>
      <c r="D35" s="1166" t="str">
        <f>TONGHOPCONGDOI!C30</f>
        <v>N. Me Kha La</v>
      </c>
      <c r="E35" s="1165" t="s">
        <v>28</v>
      </c>
      <c r="F35" s="1167"/>
      <c r="G35" s="254">
        <f t="shared" si="2"/>
        <v>0</v>
      </c>
      <c r="H35" s="254">
        <f>VLOOKUP(D35,TONGHOPCONGDOI!C30:AD94,16,0)</f>
        <v>2260</v>
      </c>
      <c r="I35" s="254">
        <f>VLOOKUP(D35,TONGHOPCONGDOI!C30:AD94,18,0)</f>
        <v>0</v>
      </c>
      <c r="J35" s="254"/>
      <c r="K35" s="668">
        <f t="shared" si="1"/>
        <v>1047.9962028523898</v>
      </c>
      <c r="L35" s="669" t="str">
        <f>VLOOKUP(D35,'BTH mủ tạp'!$D$17:$AN$95,37,0)</f>
        <v>A</v>
      </c>
      <c r="M35" s="670">
        <f t="shared" si="3"/>
        <v>4275745</v>
      </c>
      <c r="N35" s="671">
        <f>VLOOKUP(D35,TONGHOPCONGDOI!$C$11:$AD$93,20,0)</f>
        <v>19</v>
      </c>
      <c r="O35" s="671">
        <f>VLOOKUP(D35,TONGHOPCONGDOI!$C$11:$AD$93,21,0)</f>
        <v>5</v>
      </c>
      <c r="P35" s="671">
        <f>VLOOKUP(D35,TONGHOPCONGDOI!$C$11:$AC$93,22,0)</f>
        <v>0</v>
      </c>
      <c r="Q35" s="671">
        <f>VLOOKUP(D35,TONGHOPCONGDOI!$C$11:$AC$94,23,0)</f>
        <v>0</v>
      </c>
      <c r="R35" s="671">
        <f>VLOOKUP(D35,TONGHOPCONGDOI!$C$11:$AC$94,24,0)</f>
        <v>0</v>
      </c>
      <c r="S35" s="671">
        <f>VLOOKUP(D35,TONGHOPCONGDOI!$C$11:$AC$94,25,0)</f>
        <v>0</v>
      </c>
      <c r="T35" s="671"/>
      <c r="U35" s="1168"/>
      <c r="V35" s="1168"/>
      <c r="W35" s="1168"/>
      <c r="X35" s="671">
        <f t="shared" si="5"/>
        <v>843006</v>
      </c>
      <c r="Y35" s="671">
        <f t="shared" si="4"/>
        <v>5118751</v>
      </c>
      <c r="Z35" s="254"/>
      <c r="AA35" s="673">
        <f t="shared" si="6"/>
        <v>5118751</v>
      </c>
      <c r="AB35" s="254"/>
      <c r="AC35" s="672"/>
      <c r="AD35" s="1169"/>
      <c r="AE35" s="1161"/>
      <c r="AF35" s="1161"/>
      <c r="AG35" s="1161"/>
      <c r="AH35" s="1161"/>
      <c r="AI35" s="1161"/>
      <c r="AJ35" s="1161"/>
      <c r="AK35" s="1161"/>
      <c r="AL35" s="1161"/>
    </row>
    <row r="36" spans="1:38" s="1162" customFormat="1" ht="33" customHeight="1">
      <c r="A36" s="1164">
        <v>21</v>
      </c>
      <c r="B36" s="1165">
        <v>21</v>
      </c>
      <c r="C36" s="1165" t="str">
        <f>'Chấm công KT'!C33</f>
        <v>03474</v>
      </c>
      <c r="D36" s="1166" t="str">
        <f>TONGHOPCONGDOI!C31</f>
        <v>N. Mon Khăm</v>
      </c>
      <c r="E36" s="1165" t="s">
        <v>28</v>
      </c>
      <c r="F36" s="1167"/>
      <c r="G36" s="254">
        <f t="shared" si="2"/>
        <v>0</v>
      </c>
      <c r="H36" s="254">
        <f>VLOOKUP(D36,TONGHOPCONGDOI!C31:AD94,16,0)</f>
        <v>2248</v>
      </c>
      <c r="I36" s="254">
        <f>VLOOKUP(D36,TONGHOPCONGDOI!C31:AD94,18,0)</f>
        <v>0</v>
      </c>
      <c r="J36" s="254"/>
      <c r="K36" s="668">
        <f t="shared" si="1"/>
        <v>1042.4316212443239</v>
      </c>
      <c r="L36" s="669" t="str">
        <f>VLOOKUP(D36,'BTH mủ tạp'!$D$17:$AN$95,37,0)</f>
        <v>A</v>
      </c>
      <c r="M36" s="670">
        <f t="shared" si="3"/>
        <v>4253042</v>
      </c>
      <c r="N36" s="671">
        <f>VLOOKUP(D36,TONGHOPCONGDOI!$C$11:$AD$93,20,0)</f>
        <v>22</v>
      </c>
      <c r="O36" s="671">
        <f>VLOOKUP(D36,TONGHOPCONGDOI!$C$11:$AD$93,21,0)</f>
        <v>5</v>
      </c>
      <c r="P36" s="671">
        <f>VLOOKUP(D36,TONGHOPCONGDOI!$C$11:$AC$93,22,0)</f>
        <v>0</v>
      </c>
      <c r="Q36" s="671">
        <f>VLOOKUP(D36,TONGHOPCONGDOI!$C$11:$AC$94,23,0)</f>
        <v>0</v>
      </c>
      <c r="R36" s="671">
        <f>VLOOKUP(D36,TONGHOPCONGDOI!$C$11:$AC$94,24,0)</f>
        <v>0</v>
      </c>
      <c r="S36" s="671">
        <f>VLOOKUP(D36,TONGHOPCONGDOI!$C$11:$AC$94,25,0)</f>
        <v>0</v>
      </c>
      <c r="T36" s="671"/>
      <c r="U36" s="1168"/>
      <c r="V36" s="1168"/>
      <c r="W36" s="1168"/>
      <c r="X36" s="671">
        <f t="shared" si="5"/>
        <v>935507</v>
      </c>
      <c r="Y36" s="671">
        <f t="shared" si="4"/>
        <v>5188549</v>
      </c>
      <c r="Z36" s="254"/>
      <c r="AA36" s="673">
        <f t="shared" si="6"/>
        <v>5188549</v>
      </c>
      <c r="AB36" s="254"/>
      <c r="AC36" s="672"/>
      <c r="AD36" s="1169"/>
      <c r="AE36" s="1161"/>
      <c r="AF36" s="1161"/>
      <c r="AG36" s="1161"/>
      <c r="AH36" s="1161"/>
      <c r="AI36" s="1161"/>
      <c r="AJ36" s="1161"/>
      <c r="AK36" s="1161"/>
      <c r="AL36" s="1161"/>
    </row>
    <row r="37" spans="1:38" s="1162" customFormat="1" ht="33" customHeight="1">
      <c r="A37" s="1164">
        <v>22</v>
      </c>
      <c r="B37" s="1165">
        <v>22</v>
      </c>
      <c r="C37" s="1165" t="str">
        <f>'Chấm công KT'!C34</f>
        <v>04057</v>
      </c>
      <c r="D37" s="1166" t="str">
        <f>TONGHOPCONGDOI!C32</f>
        <v>N. Bua Lay</v>
      </c>
      <c r="E37" s="1165" t="s">
        <v>28</v>
      </c>
      <c r="F37" s="1167"/>
      <c r="G37" s="254">
        <f t="shared" si="2"/>
        <v>0</v>
      </c>
      <c r="H37" s="254">
        <f>VLOOKUP(D37,TONGHOPCONGDOI!C32:AD94,16,0)</f>
        <v>1824</v>
      </c>
      <c r="I37" s="254">
        <f>VLOOKUP(D37,TONGHOPCONGDOI!C32:AD94,18,0)</f>
        <v>0</v>
      </c>
      <c r="J37" s="254"/>
      <c r="K37" s="668">
        <f t="shared" si="1"/>
        <v>845.81640442599951</v>
      </c>
      <c r="L37" s="669" t="str">
        <f>VLOOKUP(D37,'BTH mủ tạp'!$D$17:$AN$95,37,0)</f>
        <v>A</v>
      </c>
      <c r="M37" s="670">
        <f t="shared" si="3"/>
        <v>3450867</v>
      </c>
      <c r="N37" s="671">
        <f>VLOOKUP(D37,TONGHOPCONGDOI!$C$11:$AD$93,20,0)</f>
        <v>23</v>
      </c>
      <c r="O37" s="671">
        <f>VLOOKUP(D37,TONGHOPCONGDOI!$C$11:$AD$93,21,0)</f>
        <v>5</v>
      </c>
      <c r="P37" s="671">
        <f>VLOOKUP(D37,TONGHOPCONGDOI!$C$11:$AC$93,22,0)</f>
        <v>0</v>
      </c>
      <c r="Q37" s="671">
        <f>VLOOKUP(D37,TONGHOPCONGDOI!$C$11:$AC$94,23,0)</f>
        <v>0</v>
      </c>
      <c r="R37" s="671">
        <f>VLOOKUP(D37,TONGHOPCONGDOI!$C$11:$AC$94,24,0)</f>
        <v>0</v>
      </c>
      <c r="S37" s="671">
        <f>VLOOKUP(D37,TONGHOPCONGDOI!$C$11:$AC$94,25,0)</f>
        <v>0</v>
      </c>
      <c r="T37" s="671"/>
      <c r="U37" s="1168"/>
      <c r="V37" s="1168"/>
      <c r="W37" s="1168"/>
      <c r="X37" s="671">
        <f t="shared" si="5"/>
        <v>966340</v>
      </c>
      <c r="Y37" s="671">
        <f t="shared" si="4"/>
        <v>4417207</v>
      </c>
      <c r="Z37" s="254"/>
      <c r="AA37" s="673">
        <f t="shared" si="6"/>
        <v>4417207</v>
      </c>
      <c r="AB37" s="254"/>
      <c r="AC37" s="672"/>
      <c r="AD37" s="1169"/>
      <c r="AE37" s="1161"/>
      <c r="AF37" s="1161"/>
      <c r="AG37" s="1161"/>
      <c r="AH37" s="1161"/>
      <c r="AI37" s="1161"/>
      <c r="AJ37" s="1161"/>
      <c r="AK37" s="1161"/>
      <c r="AL37" s="1161"/>
    </row>
    <row r="38" spans="1:38" s="1162" customFormat="1" ht="33" customHeight="1">
      <c r="A38" s="1164">
        <v>23</v>
      </c>
      <c r="B38" s="1165">
        <v>23</v>
      </c>
      <c r="C38" s="1165" t="str">
        <f>'Chấm công KT'!C35</f>
        <v>03476</v>
      </c>
      <c r="D38" s="1166" t="str">
        <f>TONGHOPCONGDOI!C33</f>
        <v>T. Bin Ly.</v>
      </c>
      <c r="E38" s="1165" t="s">
        <v>28</v>
      </c>
      <c r="F38" s="1167"/>
      <c r="G38" s="254">
        <f t="shared" si="2"/>
        <v>0</v>
      </c>
      <c r="H38" s="254">
        <f>VLOOKUP(D38,TONGHOPCONGDOI!C33:AD94,16,0)</f>
        <v>2609</v>
      </c>
      <c r="I38" s="254">
        <f>VLOOKUP(D38,TONGHOPCONGDOI!C33:AD94,18,0)</f>
        <v>0</v>
      </c>
      <c r="J38" s="254"/>
      <c r="K38" s="668">
        <f t="shared" si="1"/>
        <v>1209.8327846203031</v>
      </c>
      <c r="L38" s="669" t="str">
        <f>VLOOKUP(D38,'BTH mủ tạp'!$D$17:$AN$95,37,0)</f>
        <v>A</v>
      </c>
      <c r="M38" s="670">
        <f t="shared" si="3"/>
        <v>4936026</v>
      </c>
      <c r="N38" s="671">
        <f>VLOOKUP(D38,TONGHOPCONGDOI!$C$11:$AD$93,20,0)</f>
        <v>21</v>
      </c>
      <c r="O38" s="671">
        <f>VLOOKUP(D38,TONGHOPCONGDOI!$C$11:$AD$93,21,0)</f>
        <v>5</v>
      </c>
      <c r="P38" s="671">
        <f>VLOOKUP(D38,TONGHOPCONGDOI!$C$11:$AC$93,22,0)</f>
        <v>0</v>
      </c>
      <c r="Q38" s="671">
        <f>VLOOKUP(D38,TONGHOPCONGDOI!$C$11:$AC$94,23,0)</f>
        <v>0</v>
      </c>
      <c r="R38" s="671">
        <f>VLOOKUP(D38,TONGHOPCONGDOI!$C$11:$AC$94,24,0)</f>
        <v>0</v>
      </c>
      <c r="S38" s="671">
        <f>VLOOKUP(D38,TONGHOPCONGDOI!$C$11:$AC$94,25,0)</f>
        <v>0</v>
      </c>
      <c r="T38" s="671"/>
      <c r="U38" s="1168"/>
      <c r="V38" s="1168"/>
      <c r="W38" s="1168"/>
      <c r="X38" s="671">
        <f t="shared" si="5"/>
        <v>904673</v>
      </c>
      <c r="Y38" s="671">
        <f t="shared" si="4"/>
        <v>5840699</v>
      </c>
      <c r="Z38" s="254"/>
      <c r="AA38" s="673">
        <f t="shared" si="6"/>
        <v>5840699</v>
      </c>
      <c r="AB38" s="254"/>
      <c r="AC38" s="672"/>
      <c r="AD38" s="1169"/>
      <c r="AE38" s="1161"/>
      <c r="AF38" s="1161"/>
      <c r="AG38" s="1161"/>
      <c r="AH38" s="1161"/>
      <c r="AI38" s="1161"/>
      <c r="AJ38" s="1161"/>
      <c r="AK38" s="1161"/>
      <c r="AL38" s="1161"/>
    </row>
    <row r="39" spans="1:38" s="1162" customFormat="1" ht="33" customHeight="1">
      <c r="A39" s="1164">
        <v>24</v>
      </c>
      <c r="B39" s="1165">
        <v>24</v>
      </c>
      <c r="C39" s="1165" t="str">
        <f>'Chấm công KT'!C36</f>
        <v>03477</v>
      </c>
      <c r="D39" s="1166" t="str">
        <f>TONGHOPCONGDOI!C34</f>
        <v>N. Phim Phon.</v>
      </c>
      <c r="E39" s="1165" t="s">
        <v>28</v>
      </c>
      <c r="F39" s="1167"/>
      <c r="G39" s="254">
        <f t="shared" si="2"/>
        <v>0</v>
      </c>
      <c r="H39" s="254">
        <f>VLOOKUP(D39,TONGHOPCONGDOI!C34:AD94,16,0)</f>
        <v>1924</v>
      </c>
      <c r="I39" s="254">
        <f>VLOOKUP(D39,TONGHOPCONGDOI!C34:AD94,18,0)</f>
        <v>0</v>
      </c>
      <c r="J39" s="254"/>
      <c r="K39" s="668">
        <f t="shared" si="1"/>
        <v>892.18791782654773</v>
      </c>
      <c r="L39" s="669" t="str">
        <f>VLOOKUP(D39,'BTH mủ tạp'!$D$17:$AN$95,37,0)</f>
        <v>B</v>
      </c>
      <c r="M39" s="670">
        <f t="shared" si="3"/>
        <v>3461040</v>
      </c>
      <c r="N39" s="671">
        <f>VLOOKUP(D39,TONGHOPCONGDOI!$C$11:$AD$93,20,0)</f>
        <v>23</v>
      </c>
      <c r="O39" s="671">
        <f>VLOOKUP(D39,TONGHOPCONGDOI!$C$11:$AD$93,21,0)</f>
        <v>5</v>
      </c>
      <c r="P39" s="671">
        <f>VLOOKUP(D39,TONGHOPCONGDOI!$C$11:$AC$93,22,0)</f>
        <v>0</v>
      </c>
      <c r="Q39" s="671">
        <f>VLOOKUP(D39,TONGHOPCONGDOI!$C$11:$AC$94,23,0)</f>
        <v>0</v>
      </c>
      <c r="R39" s="671">
        <f>VLOOKUP(D39,TONGHOPCONGDOI!$C$11:$AC$94,24,0)</f>
        <v>0</v>
      </c>
      <c r="S39" s="671">
        <f>VLOOKUP(D39,TONGHOPCONGDOI!$C$11:$AC$94,25,0)</f>
        <v>0</v>
      </c>
      <c r="T39" s="671"/>
      <c r="U39" s="1168"/>
      <c r="V39" s="1168"/>
      <c r="W39" s="1168"/>
      <c r="X39" s="671">
        <f t="shared" si="5"/>
        <v>966340</v>
      </c>
      <c r="Y39" s="671">
        <f t="shared" si="4"/>
        <v>4427380</v>
      </c>
      <c r="Z39" s="254"/>
      <c r="AA39" s="673">
        <f t="shared" si="6"/>
        <v>4427380</v>
      </c>
      <c r="AB39" s="254"/>
      <c r="AC39" s="672"/>
      <c r="AD39" s="1169"/>
      <c r="AE39" s="1161"/>
      <c r="AF39" s="1161"/>
      <c r="AG39" s="1161"/>
      <c r="AH39" s="1161"/>
      <c r="AI39" s="1161"/>
      <c r="AJ39" s="1161"/>
      <c r="AK39" s="1161"/>
      <c r="AL39" s="1161"/>
    </row>
    <row r="40" spans="1:38" s="1162" customFormat="1" ht="33" customHeight="1">
      <c r="A40" s="1164">
        <v>25</v>
      </c>
      <c r="B40" s="1165">
        <v>25</v>
      </c>
      <c r="C40" s="1165" t="str">
        <f>'Chấm công KT'!C37</f>
        <v>03478</v>
      </c>
      <c r="D40" s="1166" t="str">
        <f>TONGHOPCONGDOI!C35</f>
        <v>N. Nong</v>
      </c>
      <c r="E40" s="1165" t="s">
        <v>28</v>
      </c>
      <c r="F40" s="1167"/>
      <c r="G40" s="254">
        <f t="shared" si="2"/>
        <v>0</v>
      </c>
      <c r="H40" s="254">
        <f>VLOOKUP(D40,TONGHOPCONGDOI!C35:AD94,16,0)</f>
        <v>2449</v>
      </c>
      <c r="I40" s="254">
        <f>VLOOKUP(D40,TONGHOPCONGDOI!C35:AD94,18,0)</f>
        <v>0</v>
      </c>
      <c r="J40" s="254"/>
      <c r="K40" s="668">
        <f t="shared" si="1"/>
        <v>1135.6383631794258</v>
      </c>
      <c r="L40" s="669" t="str">
        <f>VLOOKUP(D40,'BTH mủ tạp'!$D$17:$AN$95,37,0)</f>
        <v>B</v>
      </c>
      <c r="M40" s="670">
        <f t="shared" si="3"/>
        <v>4405450</v>
      </c>
      <c r="N40" s="671">
        <f>VLOOKUP(D40,TONGHOPCONGDOI!$C$11:$AD$93,20,0)</f>
        <v>20</v>
      </c>
      <c r="O40" s="671">
        <f>VLOOKUP(D40,TONGHOPCONGDOI!$C$11:$AD$93,21,0)</f>
        <v>5</v>
      </c>
      <c r="P40" s="671">
        <f>VLOOKUP(D40,TONGHOPCONGDOI!$C$11:$AC$93,22,0)</f>
        <v>0</v>
      </c>
      <c r="Q40" s="671">
        <f>VLOOKUP(D40,TONGHOPCONGDOI!$C$11:$AC$94,23,0)</f>
        <v>0</v>
      </c>
      <c r="R40" s="671">
        <f>VLOOKUP(D40,TONGHOPCONGDOI!$C$11:$AC$94,24,0)</f>
        <v>0</v>
      </c>
      <c r="S40" s="671">
        <f>VLOOKUP(D40,TONGHOPCONGDOI!$C$11:$AC$94,25,0)</f>
        <v>0</v>
      </c>
      <c r="T40" s="671"/>
      <c r="U40" s="1168"/>
      <c r="V40" s="1168"/>
      <c r="W40" s="1168"/>
      <c r="X40" s="671">
        <f t="shared" si="5"/>
        <v>873839</v>
      </c>
      <c r="Y40" s="671">
        <f t="shared" si="4"/>
        <v>5279289</v>
      </c>
      <c r="Z40" s="254"/>
      <c r="AA40" s="673">
        <f t="shared" si="6"/>
        <v>5279289</v>
      </c>
      <c r="AB40" s="254"/>
      <c r="AC40" s="672"/>
      <c r="AD40" s="1169"/>
      <c r="AE40" s="1161"/>
      <c r="AF40" s="1161"/>
      <c r="AG40" s="1161"/>
      <c r="AH40" s="1161"/>
      <c r="AI40" s="1161"/>
      <c r="AJ40" s="1161"/>
      <c r="AK40" s="1161"/>
      <c r="AL40" s="1161"/>
    </row>
    <row r="41" spans="1:38" s="1162" customFormat="1" ht="33" customHeight="1">
      <c r="A41" s="1164">
        <v>26</v>
      </c>
      <c r="B41" s="1165">
        <v>26</v>
      </c>
      <c r="C41" s="1165" t="str">
        <f>'Chấm công KT'!C38</f>
        <v>03479</v>
      </c>
      <c r="D41" s="1166" t="str">
        <f>TONGHOPCONGDOI!C36</f>
        <v>N. Tun 1</v>
      </c>
      <c r="E41" s="1165" t="s">
        <v>28</v>
      </c>
      <c r="F41" s="1167"/>
      <c r="G41" s="254">
        <f t="shared" si="2"/>
        <v>0</v>
      </c>
      <c r="H41" s="254">
        <f>VLOOKUP(D41,TONGHOPCONGDOI!C36:AD94,16,0)</f>
        <v>2717</v>
      </c>
      <c r="I41" s="254">
        <f>VLOOKUP(D41,TONGHOPCONGDOI!C36:AD94,18,0)</f>
        <v>0</v>
      </c>
      <c r="J41" s="254"/>
      <c r="K41" s="668">
        <f t="shared" si="1"/>
        <v>1259.9140190928952</v>
      </c>
      <c r="L41" s="669" t="str">
        <f>VLOOKUP(D41,'BTH mủ tạp'!$D$17:$AN$95,37,0)</f>
        <v>A</v>
      </c>
      <c r="M41" s="670">
        <f t="shared" si="3"/>
        <v>5140353</v>
      </c>
      <c r="N41" s="671">
        <f>VLOOKUP(D41,TONGHOPCONGDOI!$C$11:$AD$93,20,0)</f>
        <v>20</v>
      </c>
      <c r="O41" s="671">
        <f>VLOOKUP(D41,TONGHOPCONGDOI!$C$11:$AD$93,21,0)</f>
        <v>5</v>
      </c>
      <c r="P41" s="671">
        <f>VLOOKUP(D41,TONGHOPCONGDOI!$C$11:$AC$93,22,0)</f>
        <v>0</v>
      </c>
      <c r="Q41" s="671">
        <f>VLOOKUP(D41,TONGHOPCONGDOI!$C$11:$AC$94,23,0)</f>
        <v>0</v>
      </c>
      <c r="R41" s="671">
        <f>VLOOKUP(D41,TONGHOPCONGDOI!$C$11:$AC$94,24,0)</f>
        <v>0</v>
      </c>
      <c r="S41" s="671">
        <f>VLOOKUP(D41,TONGHOPCONGDOI!$C$11:$AC$94,25,0)</f>
        <v>0</v>
      </c>
      <c r="T41" s="671"/>
      <c r="U41" s="1168"/>
      <c r="V41" s="1168"/>
      <c r="W41" s="1168"/>
      <c r="X41" s="671">
        <f t="shared" si="5"/>
        <v>873839</v>
      </c>
      <c r="Y41" s="671">
        <f t="shared" si="4"/>
        <v>6014192</v>
      </c>
      <c r="Z41" s="254"/>
      <c r="AA41" s="673">
        <f t="shared" si="6"/>
        <v>6014192</v>
      </c>
      <c r="AB41" s="254"/>
      <c r="AC41" s="672"/>
      <c r="AD41" s="1169"/>
      <c r="AE41" s="1161"/>
      <c r="AF41" s="1161"/>
      <c r="AG41" s="1161"/>
      <c r="AH41" s="1161"/>
      <c r="AI41" s="1161"/>
      <c r="AJ41" s="1161"/>
      <c r="AK41" s="1161"/>
      <c r="AL41" s="1161"/>
    </row>
    <row r="42" spans="1:38" s="1162" customFormat="1" ht="33" customHeight="1">
      <c r="A42" s="1164">
        <v>27</v>
      </c>
      <c r="B42" s="1165">
        <v>27</v>
      </c>
      <c r="C42" s="1165" t="str">
        <f>'Chấm công KT'!C39</f>
        <v>03480</v>
      </c>
      <c r="D42" s="1166" t="str">
        <f>TONGHOPCONGDOI!C37</f>
        <v>T . Lốc</v>
      </c>
      <c r="E42" s="1165" t="s">
        <v>28</v>
      </c>
      <c r="F42" s="1167"/>
      <c r="G42" s="254">
        <f t="shared" si="2"/>
        <v>0</v>
      </c>
      <c r="H42" s="254">
        <f>VLOOKUP(D42,TONGHOPCONGDOI!C37:AD94,16,0)</f>
        <v>2702</v>
      </c>
      <c r="I42" s="254">
        <f>VLOOKUP(D42,TONGHOPCONGDOI!C37:AD94,18,0)</f>
        <v>0</v>
      </c>
      <c r="J42" s="254"/>
      <c r="K42" s="668">
        <f t="shared" si="1"/>
        <v>1252.9582920828129</v>
      </c>
      <c r="L42" s="669" t="str">
        <f>VLOOKUP(D42,'BTH mủ tạp'!$D$17:$AN$95,37,0)</f>
        <v>A</v>
      </c>
      <c r="M42" s="670">
        <f t="shared" si="3"/>
        <v>5111975</v>
      </c>
      <c r="N42" s="671">
        <f>VLOOKUP(D42,TONGHOPCONGDOI!$C$11:$AD$93,20,0)</f>
        <v>20</v>
      </c>
      <c r="O42" s="671">
        <f>VLOOKUP(D42,TONGHOPCONGDOI!$C$11:$AD$93,21,0)</f>
        <v>5</v>
      </c>
      <c r="P42" s="671">
        <f>VLOOKUP(D42,TONGHOPCONGDOI!$C$11:$AC$93,22,0)</f>
        <v>0</v>
      </c>
      <c r="Q42" s="671">
        <f>VLOOKUP(D42,TONGHOPCONGDOI!$C$11:$AC$94,23,0)</f>
        <v>0</v>
      </c>
      <c r="R42" s="671">
        <f>VLOOKUP(D42,TONGHOPCONGDOI!$C$11:$AC$94,24,0)</f>
        <v>0</v>
      </c>
      <c r="S42" s="671">
        <f>VLOOKUP(D42,TONGHOPCONGDOI!$C$11:$AC$94,25,0)</f>
        <v>0</v>
      </c>
      <c r="T42" s="671"/>
      <c r="U42" s="1168"/>
      <c r="V42" s="1168"/>
      <c r="W42" s="1168"/>
      <c r="X42" s="671">
        <f t="shared" si="5"/>
        <v>873839</v>
      </c>
      <c r="Y42" s="671">
        <f t="shared" si="4"/>
        <v>5985814</v>
      </c>
      <c r="Z42" s="254"/>
      <c r="AA42" s="673">
        <f t="shared" si="6"/>
        <v>5985814</v>
      </c>
      <c r="AB42" s="254"/>
      <c r="AC42" s="672"/>
      <c r="AD42" s="1169"/>
      <c r="AE42" s="1161"/>
      <c r="AF42" s="1161"/>
      <c r="AG42" s="1161"/>
      <c r="AH42" s="1161"/>
      <c r="AI42" s="1161"/>
      <c r="AJ42" s="1161"/>
      <c r="AK42" s="1161"/>
      <c r="AL42" s="1161"/>
    </row>
    <row r="43" spans="1:38" s="1162" customFormat="1" ht="33" customHeight="1">
      <c r="A43" s="1164">
        <v>28</v>
      </c>
      <c r="B43" s="1165">
        <v>28</v>
      </c>
      <c r="C43" s="1165" t="str">
        <f>'Chấm công KT'!C40</f>
        <v>03481</v>
      </c>
      <c r="D43" s="1166" t="str">
        <f>TONGHOPCONGDOI!C38</f>
        <v>N . Khâm (1)</v>
      </c>
      <c r="E43" s="1165" t="s">
        <v>28</v>
      </c>
      <c r="F43" s="1167"/>
      <c r="G43" s="254">
        <f t="shared" si="2"/>
        <v>0</v>
      </c>
      <c r="H43" s="254">
        <f>VLOOKUP(D43,TONGHOPCONGDOI!C38:AD94,16,0)</f>
        <v>3031</v>
      </c>
      <c r="I43" s="254">
        <f>VLOOKUP(D43,TONGHOPCONGDOI!C38:AD94,18,0)</f>
        <v>0</v>
      </c>
      <c r="J43" s="254"/>
      <c r="K43" s="668">
        <f t="shared" si="1"/>
        <v>1405.5205711706164</v>
      </c>
      <c r="L43" s="669" t="str">
        <f>VLOOKUP(D43,'BTH mủ tạp'!$D$17:$AN$95,37,0)</f>
        <v>A</v>
      </c>
      <c r="M43" s="670">
        <f t="shared" si="3"/>
        <v>5734417</v>
      </c>
      <c r="N43" s="671">
        <f>VLOOKUP(D43,TONGHOPCONGDOI!$C$11:$AD$93,20,0)</f>
        <v>22</v>
      </c>
      <c r="O43" s="671">
        <f>VLOOKUP(D43,TONGHOPCONGDOI!$C$11:$AD$93,21,0)</f>
        <v>5</v>
      </c>
      <c r="P43" s="671">
        <f>VLOOKUP(D43,TONGHOPCONGDOI!$C$11:$AC$93,22,0)</f>
        <v>0</v>
      </c>
      <c r="Q43" s="671">
        <f>VLOOKUP(D43,TONGHOPCONGDOI!$C$11:$AC$94,23,0)</f>
        <v>0</v>
      </c>
      <c r="R43" s="671">
        <f>VLOOKUP(D43,TONGHOPCONGDOI!$C$11:$AC$94,24,0)</f>
        <v>0</v>
      </c>
      <c r="S43" s="671">
        <f>VLOOKUP(D43,TONGHOPCONGDOI!$C$11:$AC$94,25,0)</f>
        <v>0</v>
      </c>
      <c r="T43" s="671"/>
      <c r="U43" s="1168"/>
      <c r="V43" s="1168"/>
      <c r="W43" s="1168"/>
      <c r="X43" s="671">
        <f t="shared" si="5"/>
        <v>935507</v>
      </c>
      <c r="Y43" s="671">
        <f t="shared" si="4"/>
        <v>6669924</v>
      </c>
      <c r="Z43" s="254"/>
      <c r="AA43" s="673">
        <f t="shared" si="6"/>
        <v>6669924</v>
      </c>
      <c r="AB43" s="254"/>
      <c r="AC43" s="672"/>
      <c r="AD43" s="1169"/>
      <c r="AE43" s="1161"/>
      <c r="AF43" s="1161"/>
      <c r="AG43" s="1161"/>
      <c r="AH43" s="1161"/>
      <c r="AI43" s="1161"/>
      <c r="AJ43" s="1161"/>
      <c r="AK43" s="1161"/>
      <c r="AL43" s="1161"/>
    </row>
    <row r="44" spans="1:38" s="1162" customFormat="1" ht="33" customHeight="1">
      <c r="A44" s="1164">
        <v>29</v>
      </c>
      <c r="B44" s="1165">
        <v>29</v>
      </c>
      <c r="C44" s="1165" t="str">
        <f>'Chấm công KT'!C41</f>
        <v>03482</v>
      </c>
      <c r="D44" s="1166" t="str">
        <f>TONGHOPCONGDOI!C39</f>
        <v>T . Phết</v>
      </c>
      <c r="E44" s="1165" t="s">
        <v>28</v>
      </c>
      <c r="F44" s="1167"/>
      <c r="G44" s="254">
        <f t="shared" si="2"/>
        <v>0</v>
      </c>
      <c r="H44" s="254">
        <f>VLOOKUP(D44,TONGHOPCONGDOI!C39:AD94,16,0)</f>
        <v>3072</v>
      </c>
      <c r="I44" s="254">
        <f>VLOOKUP(D44,TONGHOPCONGDOI!C39:AD94,18,0)</f>
        <v>0</v>
      </c>
      <c r="J44" s="254"/>
      <c r="K44" s="668">
        <f t="shared" si="1"/>
        <v>1424.5328916648414</v>
      </c>
      <c r="L44" s="669" t="str">
        <f>VLOOKUP(D44,'BTH mủ tạp'!$D$17:$AN$95,37,0)</f>
        <v>A</v>
      </c>
      <c r="M44" s="670">
        <f t="shared" si="3"/>
        <v>5811986</v>
      </c>
      <c r="N44" s="671">
        <f>VLOOKUP(D44,TONGHOPCONGDOI!$C$11:$AD$93,20,0)</f>
        <v>22</v>
      </c>
      <c r="O44" s="671">
        <f>VLOOKUP(D44,TONGHOPCONGDOI!$C$11:$AD$93,21,0)</f>
        <v>5</v>
      </c>
      <c r="P44" s="671">
        <f>VLOOKUP(D44,TONGHOPCONGDOI!$C$11:$AC$93,22,0)</f>
        <v>0</v>
      </c>
      <c r="Q44" s="671">
        <f>VLOOKUP(D44,TONGHOPCONGDOI!$C$11:$AC$94,23,0)</f>
        <v>0</v>
      </c>
      <c r="R44" s="671">
        <f>VLOOKUP(D44,TONGHOPCONGDOI!$C$11:$AC$94,24,0)</f>
        <v>0</v>
      </c>
      <c r="S44" s="671">
        <f>VLOOKUP(D44,TONGHOPCONGDOI!$C$11:$AC$94,25,0)</f>
        <v>0</v>
      </c>
      <c r="T44" s="671"/>
      <c r="U44" s="1168"/>
      <c r="V44" s="1168"/>
      <c r="W44" s="1168"/>
      <c r="X44" s="671">
        <f t="shared" si="5"/>
        <v>935507</v>
      </c>
      <c r="Y44" s="671">
        <f t="shared" si="4"/>
        <v>6747493</v>
      </c>
      <c r="Z44" s="254"/>
      <c r="AA44" s="673">
        <f t="shared" si="6"/>
        <v>6747493</v>
      </c>
      <c r="AB44" s="254"/>
      <c r="AC44" s="672"/>
      <c r="AD44" s="1169"/>
      <c r="AE44" s="1161"/>
      <c r="AF44" s="1161"/>
      <c r="AG44" s="1161"/>
      <c r="AH44" s="1161"/>
      <c r="AI44" s="1161"/>
      <c r="AJ44" s="1161"/>
      <c r="AK44" s="1161"/>
      <c r="AL44" s="1161"/>
    </row>
    <row r="45" spans="1:38" s="1162" customFormat="1" ht="33" customHeight="1">
      <c r="A45" s="1164">
        <v>30</v>
      </c>
      <c r="B45" s="1165">
        <v>30</v>
      </c>
      <c r="C45" s="1165" t="str">
        <f>'Chấm công KT'!C42</f>
        <v>03483</v>
      </c>
      <c r="D45" s="1166" t="str">
        <f>TONGHOPCONGDOI!C40</f>
        <v>T. Viêng Sa Văn</v>
      </c>
      <c r="E45" s="1165" t="s">
        <v>28</v>
      </c>
      <c r="F45" s="1167"/>
      <c r="G45" s="254">
        <f t="shared" si="2"/>
        <v>0</v>
      </c>
      <c r="H45" s="254">
        <f>VLOOKUP(D45,TONGHOPCONGDOI!C40:AD94,16,0)</f>
        <v>3023</v>
      </c>
      <c r="I45" s="254">
        <f>VLOOKUP(D45,TONGHOPCONGDOI!C40:AD94,18,0)</f>
        <v>0</v>
      </c>
      <c r="J45" s="254"/>
      <c r="K45" s="668">
        <f t="shared" si="1"/>
        <v>1401.8108500985727</v>
      </c>
      <c r="L45" s="669" t="str">
        <f>VLOOKUP(D45,'BTH mủ tạp'!$D$17:$AN$95,37,0)</f>
        <v>A</v>
      </c>
      <c r="M45" s="670">
        <f t="shared" si="3"/>
        <v>5719282</v>
      </c>
      <c r="N45" s="671">
        <f>VLOOKUP(D45,TONGHOPCONGDOI!$C$11:$AD$93,20,0)</f>
        <v>22</v>
      </c>
      <c r="O45" s="671">
        <f>VLOOKUP(D45,TONGHOPCONGDOI!$C$11:$AD$93,21,0)</f>
        <v>5</v>
      </c>
      <c r="P45" s="671">
        <f>VLOOKUP(D45,TONGHOPCONGDOI!$C$11:$AC$93,22,0)</f>
        <v>0</v>
      </c>
      <c r="Q45" s="671">
        <f>VLOOKUP(D45,TONGHOPCONGDOI!$C$11:$AC$94,23,0)</f>
        <v>0</v>
      </c>
      <c r="R45" s="671">
        <f>VLOOKUP(D45,TONGHOPCONGDOI!$C$11:$AC$94,24,0)</f>
        <v>0</v>
      </c>
      <c r="S45" s="671">
        <f>VLOOKUP(D45,TONGHOPCONGDOI!$C$11:$AC$94,25,0)</f>
        <v>0</v>
      </c>
      <c r="T45" s="671"/>
      <c r="U45" s="1168"/>
      <c r="V45" s="1168"/>
      <c r="W45" s="1168"/>
      <c r="X45" s="671">
        <f t="shared" si="5"/>
        <v>935507</v>
      </c>
      <c r="Y45" s="671">
        <f t="shared" si="4"/>
        <v>6654789</v>
      </c>
      <c r="Z45" s="254"/>
      <c r="AA45" s="673">
        <f t="shared" si="6"/>
        <v>6654789</v>
      </c>
      <c r="AB45" s="254"/>
      <c r="AC45" s="672"/>
      <c r="AD45" s="1169"/>
      <c r="AE45" s="1161"/>
      <c r="AF45" s="1161"/>
      <c r="AG45" s="1161"/>
      <c r="AH45" s="1161"/>
      <c r="AI45" s="1161"/>
      <c r="AJ45" s="1161"/>
      <c r="AK45" s="1161"/>
      <c r="AL45" s="1161"/>
    </row>
    <row r="46" spans="1:38" s="1162" customFormat="1" ht="33" customHeight="1">
      <c r="A46" s="1164">
        <v>31</v>
      </c>
      <c r="B46" s="1165">
        <v>31</v>
      </c>
      <c r="C46" s="1165" t="str">
        <f>'Chấm công KT'!C43</f>
        <v>03484</v>
      </c>
      <c r="D46" s="1166" t="str">
        <f>TONGHOPCONGDOI!C41</f>
        <v>T. Ca Te</v>
      </c>
      <c r="E46" s="1165" t="s">
        <v>28</v>
      </c>
      <c r="F46" s="1167"/>
      <c r="G46" s="254">
        <f t="shared" si="2"/>
        <v>0</v>
      </c>
      <c r="H46" s="254">
        <f>VLOOKUP(D46,TONGHOPCONGDOI!C41:AD94,16,0)</f>
        <v>2662</v>
      </c>
      <c r="I46" s="254">
        <f>VLOOKUP(D46,TONGHOPCONGDOI!C41:AD94,18,0)</f>
        <v>0</v>
      </c>
      <c r="J46" s="254"/>
      <c r="K46" s="668">
        <f t="shared" si="1"/>
        <v>1234.4096867225935</v>
      </c>
      <c r="L46" s="669" t="str">
        <f>VLOOKUP(D46,'BTH mủ tạp'!$D$17:$AN$95,37,0)</f>
        <v>A</v>
      </c>
      <c r="M46" s="670">
        <f t="shared" si="3"/>
        <v>5036298</v>
      </c>
      <c r="N46" s="671">
        <f>VLOOKUP(D46,TONGHOPCONGDOI!$C$11:$AD$93,20,0)</f>
        <v>18</v>
      </c>
      <c r="O46" s="671">
        <f>VLOOKUP(D46,TONGHOPCONGDOI!$C$11:$AD$93,21,0)</f>
        <v>4</v>
      </c>
      <c r="P46" s="671">
        <f>VLOOKUP(D46,TONGHOPCONGDOI!$C$11:$AC$93,22,0)</f>
        <v>0</v>
      </c>
      <c r="Q46" s="671">
        <f>VLOOKUP(D46,TONGHOPCONGDOI!$C$11:$AC$94,23,0)</f>
        <v>0</v>
      </c>
      <c r="R46" s="671">
        <f>VLOOKUP(D46,TONGHOPCONGDOI!$C$11:$AC$94,24,0)</f>
        <v>0</v>
      </c>
      <c r="S46" s="671">
        <f>VLOOKUP(D46,TONGHOPCONGDOI!$C$11:$AC$94,25,0)</f>
        <v>0</v>
      </c>
      <c r="T46" s="671"/>
      <c r="U46" s="1168"/>
      <c r="V46" s="1168"/>
      <c r="W46" s="1168"/>
      <c r="X46" s="671">
        <f t="shared" si="5"/>
        <v>760739</v>
      </c>
      <c r="Y46" s="671">
        <f t="shared" si="4"/>
        <v>5797037</v>
      </c>
      <c r="Z46" s="254"/>
      <c r="AA46" s="673">
        <f t="shared" si="6"/>
        <v>5797037</v>
      </c>
      <c r="AB46" s="254"/>
      <c r="AC46" s="672"/>
      <c r="AD46" s="1169"/>
      <c r="AE46" s="1161"/>
      <c r="AF46" s="1161"/>
      <c r="AG46" s="1161"/>
      <c r="AH46" s="1161"/>
      <c r="AI46" s="1161"/>
      <c r="AJ46" s="1161"/>
      <c r="AK46" s="1161"/>
      <c r="AL46" s="1161"/>
    </row>
    <row r="47" spans="1:38" s="1162" customFormat="1" ht="33" customHeight="1">
      <c r="A47" s="1164">
        <v>32</v>
      </c>
      <c r="B47" s="1165">
        <v>32</v>
      </c>
      <c r="C47" s="1165" t="str">
        <f>'Chấm công KT'!C44</f>
        <v>03485</v>
      </c>
      <c r="D47" s="1166" t="str">
        <f>TONGHOPCONGDOI!C42</f>
        <v>T. Lâm Phon</v>
      </c>
      <c r="E47" s="1165" t="s">
        <v>28</v>
      </c>
      <c r="F47" s="1167"/>
      <c r="G47" s="254">
        <f t="shared" si="2"/>
        <v>0</v>
      </c>
      <c r="H47" s="254">
        <f>VLOOKUP(D47,TONGHOPCONGDOI!C42:AD94,16,0)</f>
        <v>2819</v>
      </c>
      <c r="I47" s="254">
        <f>VLOOKUP(D47,TONGHOPCONGDOI!C42:AD94,18,0)</f>
        <v>0</v>
      </c>
      <c r="J47" s="254"/>
      <c r="K47" s="668">
        <f t="shared" si="1"/>
        <v>1307.2129627614543</v>
      </c>
      <c r="L47" s="669" t="str">
        <f>VLOOKUP(D47,'BTH mủ tạp'!$D$17:$AN$95,37,0)</f>
        <v>B</v>
      </c>
      <c r="M47" s="670">
        <f t="shared" si="3"/>
        <v>5071035</v>
      </c>
      <c r="N47" s="671">
        <f>VLOOKUP(D47,TONGHOPCONGDOI!$C$11:$AD$93,20,0)</f>
        <v>20</v>
      </c>
      <c r="O47" s="671">
        <f>VLOOKUP(D47,TONGHOPCONGDOI!$C$11:$AD$93,21,0)</f>
        <v>5</v>
      </c>
      <c r="P47" s="671">
        <f>VLOOKUP(D47,TONGHOPCONGDOI!$C$11:$AC$93,22,0)</f>
        <v>0</v>
      </c>
      <c r="Q47" s="671">
        <f>VLOOKUP(D47,TONGHOPCONGDOI!$C$11:$AC$94,23,0)</f>
        <v>0</v>
      </c>
      <c r="R47" s="671">
        <f>VLOOKUP(D47,TONGHOPCONGDOI!$C$11:$AC$94,24,0)</f>
        <v>0</v>
      </c>
      <c r="S47" s="671">
        <f>VLOOKUP(D47,TONGHOPCONGDOI!$C$11:$AC$94,25,0)</f>
        <v>0</v>
      </c>
      <c r="T47" s="671"/>
      <c r="U47" s="1168"/>
      <c r="V47" s="1168"/>
      <c r="W47" s="1168"/>
      <c r="X47" s="671">
        <f t="shared" si="5"/>
        <v>873839</v>
      </c>
      <c r="Y47" s="671">
        <f t="shared" si="4"/>
        <v>5944874</v>
      </c>
      <c r="Z47" s="254"/>
      <c r="AA47" s="673">
        <f t="shared" si="6"/>
        <v>5944874</v>
      </c>
      <c r="AB47" s="254"/>
      <c r="AC47" s="672"/>
      <c r="AD47" s="1169"/>
      <c r="AE47" s="1161"/>
      <c r="AF47" s="1161"/>
      <c r="AG47" s="1161"/>
      <c r="AH47" s="1161"/>
      <c r="AI47" s="1161"/>
      <c r="AJ47" s="1161"/>
      <c r="AK47" s="1161"/>
      <c r="AL47" s="1161"/>
    </row>
    <row r="48" spans="1:38" s="1162" customFormat="1" ht="33" customHeight="1">
      <c r="A48" s="1164">
        <v>33</v>
      </c>
      <c r="B48" s="1165">
        <v>33</v>
      </c>
      <c r="C48" s="1165" t="str">
        <f>'Chấm công KT'!C45</f>
        <v>02712</v>
      </c>
      <c r="D48" s="1166" t="str">
        <f>TONGHOPCONGDOI!C43</f>
        <v>T. Sô Đa</v>
      </c>
      <c r="E48" s="1165" t="s">
        <v>28</v>
      </c>
      <c r="F48" s="1167"/>
      <c r="G48" s="254">
        <f t="shared" si="2"/>
        <v>0</v>
      </c>
      <c r="H48" s="254">
        <f>VLOOKUP(D48,TONGHOPCONGDOI!C43:AD94,16,0)</f>
        <v>2937</v>
      </c>
      <c r="I48" s="254">
        <f>VLOOKUP(D48,TONGHOPCONGDOI!C43:AD94,18,0)</f>
        <v>0</v>
      </c>
      <c r="J48" s="254"/>
      <c r="K48" s="668">
        <f t="shared" ref="K48:K79" si="7">$AF$8/$AF$7*H48+I48*$AF$9+J48*$AF$10</f>
        <v>1361.9313485741013</v>
      </c>
      <c r="L48" s="669" t="str">
        <f>VLOOKUP(D48,'BTH mủ tạp'!$D$17:$AN$95,37,0)</f>
        <v>A</v>
      </c>
      <c r="M48" s="670">
        <f t="shared" si="3"/>
        <v>5556576</v>
      </c>
      <c r="N48" s="671">
        <f>VLOOKUP(D48,TONGHOPCONGDOI!$C$11:$AD$93,20,0)</f>
        <v>23</v>
      </c>
      <c r="O48" s="671">
        <f>VLOOKUP(D48,TONGHOPCONGDOI!$C$11:$AD$93,21,0)</f>
        <v>5</v>
      </c>
      <c r="P48" s="671">
        <f>VLOOKUP(D48,TONGHOPCONGDOI!$C$11:$AC$93,22,0)</f>
        <v>0</v>
      </c>
      <c r="Q48" s="671">
        <f>VLOOKUP(D48,TONGHOPCONGDOI!$C$11:$AC$94,23,0)</f>
        <v>0</v>
      </c>
      <c r="R48" s="671">
        <f>VLOOKUP(D48,TONGHOPCONGDOI!$C$11:$AC$94,24,0)</f>
        <v>0</v>
      </c>
      <c r="S48" s="671">
        <f>VLOOKUP(D48,TONGHOPCONGDOI!$C$11:$AC$94,25,0)</f>
        <v>0</v>
      </c>
      <c r="T48" s="671"/>
      <c r="U48" s="1168"/>
      <c r="V48" s="1168"/>
      <c r="W48" s="1168"/>
      <c r="X48" s="671">
        <f t="shared" si="5"/>
        <v>966340</v>
      </c>
      <c r="Y48" s="671">
        <f t="shared" ref="Y48:Y79" si="8">G48+M48+X48</f>
        <v>6522916</v>
      </c>
      <c r="Z48" s="254"/>
      <c r="AA48" s="673">
        <f t="shared" si="6"/>
        <v>6522916</v>
      </c>
      <c r="AB48" s="254"/>
      <c r="AC48" s="672"/>
      <c r="AD48" s="1169"/>
      <c r="AE48" s="1161"/>
      <c r="AF48" s="1161"/>
      <c r="AG48" s="1161"/>
      <c r="AH48" s="1161"/>
      <c r="AI48" s="1161"/>
      <c r="AJ48" s="1161"/>
      <c r="AK48" s="1161"/>
      <c r="AL48" s="1161"/>
    </row>
    <row r="49" spans="1:38" s="1162" customFormat="1" ht="33" customHeight="1">
      <c r="A49" s="1164">
        <v>34</v>
      </c>
      <c r="B49" s="1165">
        <v>34</v>
      </c>
      <c r="C49" s="1165" t="str">
        <f>'Chấm công KT'!C46</f>
        <v>02722</v>
      </c>
      <c r="D49" s="1166" t="str">
        <f>TONGHOPCONGDOI!C44</f>
        <v>T. Phu Ngân</v>
      </c>
      <c r="E49" s="1165" t="s">
        <v>28</v>
      </c>
      <c r="F49" s="1167"/>
      <c r="G49" s="254">
        <f t="shared" si="2"/>
        <v>0</v>
      </c>
      <c r="H49" s="254">
        <f>VLOOKUP(D49,TONGHOPCONGDOI!C44:AD94,16,0)</f>
        <v>3221</v>
      </c>
      <c r="I49" s="254">
        <f>VLOOKUP(D49,TONGHOPCONGDOI!C44:AD94,18,0)</f>
        <v>0</v>
      </c>
      <c r="J49" s="254"/>
      <c r="K49" s="668">
        <f t="shared" si="7"/>
        <v>1493.6264466316582</v>
      </c>
      <c r="L49" s="669" t="str">
        <f>VLOOKUP(D49,'BTH mủ tạp'!$D$17:$AN$95,37,0)</f>
        <v>A</v>
      </c>
      <c r="M49" s="670">
        <f t="shared" si="3"/>
        <v>6093882</v>
      </c>
      <c r="N49" s="671">
        <f>VLOOKUP(D49,TONGHOPCONGDOI!$C$11:$AD$93,20,0)</f>
        <v>22</v>
      </c>
      <c r="O49" s="671">
        <f>VLOOKUP(D49,TONGHOPCONGDOI!$C$11:$AD$93,21,0)</f>
        <v>5</v>
      </c>
      <c r="P49" s="671">
        <f>VLOOKUP(D49,TONGHOPCONGDOI!$C$11:$AC$93,22,0)</f>
        <v>0</v>
      </c>
      <c r="Q49" s="671">
        <f>VLOOKUP(D49,TONGHOPCONGDOI!$C$11:$AC$94,23,0)</f>
        <v>0</v>
      </c>
      <c r="R49" s="671">
        <f>VLOOKUP(D49,TONGHOPCONGDOI!$C$11:$AC$94,24,0)</f>
        <v>0</v>
      </c>
      <c r="S49" s="671">
        <f>VLOOKUP(D49,TONGHOPCONGDOI!$C$11:$AC$94,25,0)</f>
        <v>0</v>
      </c>
      <c r="T49" s="671"/>
      <c r="U49" s="1168"/>
      <c r="V49" s="1168"/>
      <c r="W49" s="1168"/>
      <c r="X49" s="671">
        <f t="shared" si="5"/>
        <v>935507</v>
      </c>
      <c r="Y49" s="671">
        <f t="shared" si="8"/>
        <v>7029389</v>
      </c>
      <c r="Z49" s="254"/>
      <c r="AA49" s="673">
        <f t="shared" si="6"/>
        <v>7029389</v>
      </c>
      <c r="AB49" s="254"/>
      <c r="AC49" s="672"/>
      <c r="AD49" s="1169"/>
      <c r="AE49" s="1161"/>
      <c r="AF49" s="1161"/>
      <c r="AG49" s="1161"/>
      <c r="AH49" s="1161"/>
      <c r="AI49" s="1161"/>
      <c r="AJ49" s="1161"/>
      <c r="AK49" s="1161"/>
      <c r="AL49" s="1161"/>
    </row>
    <row r="50" spans="1:38" s="1162" customFormat="1" ht="33" customHeight="1">
      <c r="A50" s="1164">
        <v>35</v>
      </c>
      <c r="B50" s="1165">
        <v>35</v>
      </c>
      <c r="C50" s="1165" t="str">
        <f>'Chấm công KT'!C47</f>
        <v>02714</v>
      </c>
      <c r="D50" s="1166" t="str">
        <f>TONGHOPCONGDOI!C45</f>
        <v>N. Tủn</v>
      </c>
      <c r="E50" s="1165" t="s">
        <v>28</v>
      </c>
      <c r="F50" s="1167"/>
      <c r="G50" s="254">
        <f t="shared" si="2"/>
        <v>0</v>
      </c>
      <c r="H50" s="254">
        <f>VLOOKUP(D50,TONGHOPCONGDOI!C45:AD94,16,0)</f>
        <v>1945</v>
      </c>
      <c r="I50" s="254">
        <f>VLOOKUP(D50,TONGHOPCONGDOI!C45:AD94,18,0)</f>
        <v>0</v>
      </c>
      <c r="J50" s="254"/>
      <c r="K50" s="668">
        <f t="shared" si="7"/>
        <v>901.92593564066283</v>
      </c>
      <c r="L50" s="669" t="str">
        <f>VLOOKUP(D50,'BTH mủ tạp'!$D$17:$AN$95,37,0)</f>
        <v>A</v>
      </c>
      <c r="M50" s="670">
        <f t="shared" si="3"/>
        <v>3679789</v>
      </c>
      <c r="N50" s="671">
        <f>VLOOKUP(D50,TONGHOPCONGDOI!$C$11:$AD$93,20,0)</f>
        <v>21</v>
      </c>
      <c r="O50" s="671">
        <f>VLOOKUP(D50,TONGHOPCONGDOI!$C$11:$AD$93,21,0)</f>
        <v>5</v>
      </c>
      <c r="P50" s="671">
        <f>VLOOKUP(D50,TONGHOPCONGDOI!$C$11:$AC$93,22,0)</f>
        <v>0</v>
      </c>
      <c r="Q50" s="671">
        <f>VLOOKUP(D50,TONGHOPCONGDOI!$C$11:$AC$94,23,0)</f>
        <v>0</v>
      </c>
      <c r="R50" s="671">
        <f>VLOOKUP(D50,TONGHOPCONGDOI!$C$11:$AC$94,24,0)</f>
        <v>0</v>
      </c>
      <c r="S50" s="671">
        <f>VLOOKUP(D50,TONGHOPCONGDOI!$C$11:$AC$94,25,0)</f>
        <v>0</v>
      </c>
      <c r="T50" s="671"/>
      <c r="U50" s="1168"/>
      <c r="V50" s="1168"/>
      <c r="W50" s="1168"/>
      <c r="X50" s="671">
        <f t="shared" si="5"/>
        <v>904673</v>
      </c>
      <c r="Y50" s="671">
        <f t="shared" si="8"/>
        <v>4584462</v>
      </c>
      <c r="Z50" s="254"/>
      <c r="AA50" s="673">
        <f t="shared" si="6"/>
        <v>4584462</v>
      </c>
      <c r="AB50" s="254"/>
      <c r="AC50" s="672"/>
      <c r="AD50" s="1169"/>
      <c r="AE50" s="1161"/>
      <c r="AF50" s="1161"/>
      <c r="AG50" s="1161"/>
      <c r="AH50" s="1161"/>
      <c r="AI50" s="1161"/>
      <c r="AJ50" s="1161"/>
      <c r="AK50" s="1161"/>
      <c r="AL50" s="1161"/>
    </row>
    <row r="51" spans="1:38" s="1162" customFormat="1" ht="33" customHeight="1">
      <c r="A51" s="1164">
        <v>36</v>
      </c>
      <c r="B51" s="1165">
        <v>36</v>
      </c>
      <c r="C51" s="1165" t="str">
        <f>'Chấm công KT'!C48</f>
        <v>02713</v>
      </c>
      <c r="D51" s="1166" t="str">
        <f>TONGHOPCONGDOI!C46</f>
        <v>T. Lung</v>
      </c>
      <c r="E51" s="1165" t="s">
        <v>28</v>
      </c>
      <c r="F51" s="1167"/>
      <c r="G51" s="254">
        <f t="shared" si="2"/>
        <v>0</v>
      </c>
      <c r="H51" s="254">
        <f>VLOOKUP(D51,TONGHOPCONGDOI!C46:AD94,16,0)</f>
        <v>1947</v>
      </c>
      <c r="I51" s="254">
        <f>VLOOKUP(D51,TONGHOPCONGDOI!C46:AD94,18,0)</f>
        <v>0</v>
      </c>
      <c r="J51" s="254"/>
      <c r="K51" s="668">
        <f t="shared" si="7"/>
        <v>902.85336590867382</v>
      </c>
      <c r="L51" s="669" t="str">
        <f>VLOOKUP(D51,'BTH mủ tạp'!$D$17:$AN$95,37,0)</f>
        <v>A</v>
      </c>
      <c r="M51" s="670">
        <f t="shared" si="3"/>
        <v>3683573</v>
      </c>
      <c r="N51" s="671">
        <f>VLOOKUP(D51,TONGHOPCONGDOI!$C$11:$AD$93,20,0)</f>
        <v>21</v>
      </c>
      <c r="O51" s="671">
        <f>VLOOKUP(D51,TONGHOPCONGDOI!$C$11:$AD$93,21,0)</f>
        <v>5</v>
      </c>
      <c r="P51" s="671">
        <f>VLOOKUP(D51,TONGHOPCONGDOI!$C$11:$AC$93,22,0)</f>
        <v>0</v>
      </c>
      <c r="Q51" s="671">
        <f>VLOOKUP(D51,TONGHOPCONGDOI!$C$11:$AC$94,23,0)</f>
        <v>0</v>
      </c>
      <c r="R51" s="671">
        <f>VLOOKUP(D51,TONGHOPCONGDOI!$C$11:$AC$94,24,0)</f>
        <v>0</v>
      </c>
      <c r="S51" s="671">
        <f>VLOOKUP(D51,TONGHOPCONGDOI!$C$11:$AC$94,25,0)</f>
        <v>0</v>
      </c>
      <c r="T51" s="671"/>
      <c r="U51" s="1168"/>
      <c r="V51" s="1168"/>
      <c r="W51" s="1168"/>
      <c r="X51" s="671">
        <f t="shared" si="5"/>
        <v>904673</v>
      </c>
      <c r="Y51" s="671">
        <f t="shared" si="8"/>
        <v>4588246</v>
      </c>
      <c r="Z51" s="254"/>
      <c r="AA51" s="673">
        <f t="shared" si="6"/>
        <v>4588246</v>
      </c>
      <c r="AB51" s="254"/>
      <c r="AC51" s="672"/>
      <c r="AD51" s="1169"/>
      <c r="AE51" s="1161"/>
      <c r="AF51" s="1161"/>
      <c r="AG51" s="1161"/>
      <c r="AH51" s="1161"/>
      <c r="AI51" s="1161"/>
      <c r="AJ51" s="1161"/>
      <c r="AK51" s="1161"/>
      <c r="AL51" s="1161"/>
    </row>
    <row r="52" spans="1:38" s="1162" customFormat="1" ht="33" customHeight="1">
      <c r="A52" s="1164">
        <v>37</v>
      </c>
      <c r="B52" s="1165">
        <v>37</v>
      </c>
      <c r="C52" s="1165" t="str">
        <f>'Chấm công KT'!C49</f>
        <v>04058</v>
      </c>
      <c r="D52" s="1166" t="str">
        <f>TONGHOPCONGDOI!C47</f>
        <v>T. Bi Ly (2)</v>
      </c>
      <c r="E52" s="1165" t="s">
        <v>28</v>
      </c>
      <c r="F52" s="1167"/>
      <c r="G52" s="254">
        <f t="shared" si="2"/>
        <v>0</v>
      </c>
      <c r="H52" s="254">
        <f>VLOOKUP(D52,TONGHOPCONGDOI!C47:AD94,16,0)</f>
        <v>2194</v>
      </c>
      <c r="I52" s="254">
        <f>VLOOKUP(D52,TONGHOPCONGDOI!C47:AD94,18,0)</f>
        <v>0</v>
      </c>
      <c r="J52" s="254"/>
      <c r="K52" s="668">
        <f t="shared" si="7"/>
        <v>1017.3910040080279</v>
      </c>
      <c r="L52" s="669" t="str">
        <f>VLOOKUP(D52,'BTH mủ tạp'!$D$17:$AN$95,37,0)</f>
        <v>B</v>
      </c>
      <c r="M52" s="670">
        <f t="shared" si="3"/>
        <v>3946736</v>
      </c>
      <c r="N52" s="671">
        <f>VLOOKUP(D52,TONGHOPCONGDOI!$C$11:$AD$93,20,0)</f>
        <v>21</v>
      </c>
      <c r="O52" s="671">
        <f>VLOOKUP(D52,TONGHOPCONGDOI!$C$11:$AD$93,21,0)</f>
        <v>5</v>
      </c>
      <c r="P52" s="671">
        <f>VLOOKUP(D52,TONGHOPCONGDOI!$C$11:$AC$93,22,0)</f>
        <v>0</v>
      </c>
      <c r="Q52" s="671">
        <f>VLOOKUP(D52,TONGHOPCONGDOI!$C$11:$AC$94,23,0)</f>
        <v>0</v>
      </c>
      <c r="R52" s="671">
        <f>VLOOKUP(D52,TONGHOPCONGDOI!$C$11:$AC$94,24,0)</f>
        <v>0</v>
      </c>
      <c r="S52" s="671">
        <f>VLOOKUP(D52,TONGHOPCONGDOI!$C$11:$AC$94,25,0)</f>
        <v>0</v>
      </c>
      <c r="T52" s="671"/>
      <c r="U52" s="1168"/>
      <c r="V52" s="1168"/>
      <c r="W52" s="1168"/>
      <c r="X52" s="671">
        <f t="shared" si="5"/>
        <v>904673</v>
      </c>
      <c r="Y52" s="671">
        <f t="shared" si="8"/>
        <v>4851409</v>
      </c>
      <c r="Z52" s="254"/>
      <c r="AA52" s="673">
        <f t="shared" si="6"/>
        <v>4851409</v>
      </c>
      <c r="AB52" s="254"/>
      <c r="AC52" s="672"/>
      <c r="AD52" s="1169"/>
      <c r="AE52" s="1161"/>
      <c r="AF52" s="1161"/>
      <c r="AG52" s="1161"/>
      <c r="AH52" s="1161"/>
      <c r="AI52" s="1161"/>
      <c r="AJ52" s="1161"/>
      <c r="AK52" s="1161"/>
      <c r="AL52" s="1161"/>
    </row>
    <row r="53" spans="1:38" s="1162" customFormat="1" ht="33" customHeight="1">
      <c r="A53" s="1164">
        <v>38</v>
      </c>
      <c r="B53" s="1165">
        <v>38</v>
      </c>
      <c r="C53" s="1165" t="str">
        <f>'Chấm công KT'!C50</f>
        <v>03487</v>
      </c>
      <c r="D53" s="1166" t="str">
        <f>TONGHOPCONGDOI!C48</f>
        <v>N. Ba Say</v>
      </c>
      <c r="E53" s="1165" t="s">
        <v>28</v>
      </c>
      <c r="F53" s="1167"/>
      <c r="G53" s="254">
        <f t="shared" si="2"/>
        <v>0</v>
      </c>
      <c r="H53" s="254">
        <f>VLOOKUP(D53,TONGHOPCONGDOI!C48:AD94,16,0)</f>
        <v>1776</v>
      </c>
      <c r="I53" s="254">
        <f>VLOOKUP(D53,TONGHOPCONGDOI!C48:AD94,18,0)</f>
        <v>0</v>
      </c>
      <c r="J53" s="254"/>
      <c r="K53" s="668">
        <f t="shared" si="7"/>
        <v>823.55807799373633</v>
      </c>
      <c r="L53" s="669" t="str">
        <f>VLOOKUP(D53,'BTH mủ tạp'!$D$17:$AN$95,37,0)</f>
        <v>B</v>
      </c>
      <c r="M53" s="670">
        <f t="shared" si="3"/>
        <v>3194806</v>
      </c>
      <c r="N53" s="671">
        <f>VLOOKUP(D53,TONGHOPCONGDOI!$C$11:$AD$93,20,0)</f>
        <v>21</v>
      </c>
      <c r="O53" s="671">
        <f>VLOOKUP(D53,TONGHOPCONGDOI!$C$11:$AD$93,21,0)</f>
        <v>5</v>
      </c>
      <c r="P53" s="671">
        <f>VLOOKUP(D53,TONGHOPCONGDOI!$C$11:$AC$93,22,0)</f>
        <v>0</v>
      </c>
      <c r="Q53" s="671">
        <f>VLOOKUP(D53,TONGHOPCONGDOI!$C$11:$AC$94,23,0)</f>
        <v>0</v>
      </c>
      <c r="R53" s="671">
        <f>VLOOKUP(D53,TONGHOPCONGDOI!$C$11:$AC$94,24,0)</f>
        <v>0</v>
      </c>
      <c r="S53" s="671">
        <f>VLOOKUP(D53,TONGHOPCONGDOI!$C$11:$AC$94,25,0)</f>
        <v>0</v>
      </c>
      <c r="T53" s="671"/>
      <c r="U53" s="1168"/>
      <c r="V53" s="1168"/>
      <c r="W53" s="1168"/>
      <c r="X53" s="671">
        <f t="shared" si="5"/>
        <v>904673</v>
      </c>
      <c r="Y53" s="671">
        <f t="shared" si="8"/>
        <v>4099479</v>
      </c>
      <c r="Z53" s="254"/>
      <c r="AA53" s="673">
        <f t="shared" si="6"/>
        <v>4099479</v>
      </c>
      <c r="AB53" s="254"/>
      <c r="AC53" s="672"/>
      <c r="AD53" s="1169"/>
      <c r="AE53" s="1161"/>
      <c r="AF53" s="1161"/>
      <c r="AG53" s="1161"/>
      <c r="AH53" s="1161"/>
      <c r="AI53" s="1161"/>
      <c r="AJ53" s="1161"/>
      <c r="AK53" s="1161"/>
      <c r="AL53" s="1161"/>
    </row>
    <row r="54" spans="1:38" s="1162" customFormat="1" ht="33" customHeight="1">
      <c r="A54" s="1164">
        <v>39</v>
      </c>
      <c r="B54" s="1165">
        <v>39</v>
      </c>
      <c r="C54" s="1165" t="str">
        <f>'Chấm công KT'!C51</f>
        <v>03488</v>
      </c>
      <c r="D54" s="1166" t="str">
        <f>TONGHOPCONGDOI!C49</f>
        <v>N. Đeng</v>
      </c>
      <c r="E54" s="1165" t="s">
        <v>28</v>
      </c>
      <c r="F54" s="1167"/>
      <c r="G54" s="254">
        <f t="shared" si="2"/>
        <v>0</v>
      </c>
      <c r="H54" s="254">
        <f>VLOOKUP(D54,TONGHOPCONGDOI!C49:AD94,16,0)</f>
        <v>2198</v>
      </c>
      <c r="I54" s="254">
        <f>VLOOKUP(D54,TONGHOPCONGDOI!C49:AD94,18,0)</f>
        <v>0</v>
      </c>
      <c r="J54" s="254"/>
      <c r="K54" s="668">
        <f t="shared" si="7"/>
        <v>1019.2458645440498</v>
      </c>
      <c r="L54" s="669" t="str">
        <f>VLOOKUP(D54,'BTH mủ tạp'!$D$17:$AN$95,37,0)</f>
        <v>A</v>
      </c>
      <c r="M54" s="670">
        <f t="shared" si="3"/>
        <v>4158446</v>
      </c>
      <c r="N54" s="671">
        <f>VLOOKUP(D54,TONGHOPCONGDOI!$C$11:$AD$93,20,0)</f>
        <v>20</v>
      </c>
      <c r="O54" s="671">
        <f>VLOOKUP(D54,TONGHOPCONGDOI!$C$11:$AD$93,21,0)</f>
        <v>5</v>
      </c>
      <c r="P54" s="671">
        <f>VLOOKUP(D54,TONGHOPCONGDOI!$C$11:$AC$93,22,0)</f>
        <v>0</v>
      </c>
      <c r="Q54" s="671">
        <f>VLOOKUP(D54,TONGHOPCONGDOI!$C$11:$AC$94,23,0)</f>
        <v>0</v>
      </c>
      <c r="R54" s="671">
        <f>VLOOKUP(D54,TONGHOPCONGDOI!$C$11:$AC$94,24,0)</f>
        <v>0</v>
      </c>
      <c r="S54" s="671">
        <f>VLOOKUP(D54,TONGHOPCONGDOI!$C$11:$AC$94,25,0)</f>
        <v>0</v>
      </c>
      <c r="T54" s="671"/>
      <c r="U54" s="1168"/>
      <c r="V54" s="1168"/>
      <c r="W54" s="1168"/>
      <c r="X54" s="671">
        <f t="shared" si="5"/>
        <v>873839</v>
      </c>
      <c r="Y54" s="671">
        <f t="shared" si="8"/>
        <v>5032285</v>
      </c>
      <c r="Z54" s="254"/>
      <c r="AA54" s="673">
        <f t="shared" si="6"/>
        <v>5032285</v>
      </c>
      <c r="AB54" s="254"/>
      <c r="AC54" s="672"/>
      <c r="AD54" s="1169"/>
      <c r="AE54" s="1161"/>
      <c r="AF54" s="1161"/>
      <c r="AG54" s="1161"/>
      <c r="AH54" s="1161"/>
      <c r="AI54" s="1161"/>
      <c r="AJ54" s="1161"/>
      <c r="AK54" s="1161"/>
      <c r="AL54" s="1161"/>
    </row>
    <row r="55" spans="1:38" s="1162" customFormat="1" ht="33" customHeight="1">
      <c r="A55" s="1164">
        <v>40</v>
      </c>
      <c r="B55" s="1165">
        <v>40</v>
      </c>
      <c r="C55" s="1165" t="str">
        <f>'Chấm công KT'!C52</f>
        <v>03489</v>
      </c>
      <c r="D55" s="1166" t="str">
        <f>TONGHOPCONGDOI!C50</f>
        <v>T. Tinh</v>
      </c>
      <c r="E55" s="1165" t="s">
        <v>28</v>
      </c>
      <c r="F55" s="1167"/>
      <c r="G55" s="254">
        <f t="shared" si="2"/>
        <v>0</v>
      </c>
      <c r="H55" s="254">
        <f>VLOOKUP(D55,TONGHOPCONGDOI!C50:AD94,16,0)</f>
        <v>1703</v>
      </c>
      <c r="I55" s="254">
        <f>VLOOKUP(D55,TONGHOPCONGDOI!C50:AD94,18,0)</f>
        <v>0</v>
      </c>
      <c r="J55" s="254"/>
      <c r="K55" s="668">
        <f t="shared" si="7"/>
        <v>789.70687321133619</v>
      </c>
      <c r="L55" s="669" t="str">
        <f>VLOOKUP(D55,'BTH mủ tạp'!$D$17:$AN$95,37,0)</f>
        <v>A</v>
      </c>
      <c r="M55" s="670">
        <f t="shared" si="3"/>
        <v>3221944</v>
      </c>
      <c r="N55" s="671">
        <f>VLOOKUP(D55,TONGHOPCONGDOI!$C$11:$AD$93,20,0)</f>
        <v>22</v>
      </c>
      <c r="O55" s="671">
        <f>VLOOKUP(D55,TONGHOPCONGDOI!$C$11:$AD$93,21,0)</f>
        <v>5</v>
      </c>
      <c r="P55" s="671">
        <f>VLOOKUP(D55,TONGHOPCONGDOI!$C$11:$AC$93,22,0)</f>
        <v>0</v>
      </c>
      <c r="Q55" s="671">
        <f>VLOOKUP(D55,TONGHOPCONGDOI!$C$11:$AC$94,23,0)</f>
        <v>0</v>
      </c>
      <c r="R55" s="671">
        <f>VLOOKUP(D55,TONGHOPCONGDOI!$C$11:$AC$94,24,0)</f>
        <v>0</v>
      </c>
      <c r="S55" s="671">
        <f>VLOOKUP(D55,TONGHOPCONGDOI!$C$11:$AC$94,25,0)</f>
        <v>0</v>
      </c>
      <c r="T55" s="671"/>
      <c r="U55" s="1168"/>
      <c r="V55" s="1168"/>
      <c r="W55" s="1168"/>
      <c r="X55" s="671">
        <f t="shared" si="5"/>
        <v>935507</v>
      </c>
      <c r="Y55" s="671">
        <f t="shared" si="8"/>
        <v>4157451</v>
      </c>
      <c r="Z55" s="254"/>
      <c r="AA55" s="673">
        <f t="shared" si="6"/>
        <v>4157451</v>
      </c>
      <c r="AB55" s="254"/>
      <c r="AC55" s="672"/>
      <c r="AD55" s="1169"/>
      <c r="AE55" s="1161"/>
      <c r="AF55" s="1161"/>
      <c r="AG55" s="1161"/>
      <c r="AH55" s="1161"/>
      <c r="AI55" s="1161"/>
      <c r="AJ55" s="1161"/>
      <c r="AK55" s="1161"/>
      <c r="AL55" s="1161"/>
    </row>
    <row r="56" spans="1:38" s="1162" customFormat="1" ht="33" customHeight="1">
      <c r="A56" s="1164">
        <v>41</v>
      </c>
      <c r="B56" s="1165">
        <v>41</v>
      </c>
      <c r="C56" s="1165" t="str">
        <f>'Chấm công KT'!C53</f>
        <v>04059</v>
      </c>
      <c r="D56" s="1166" t="str">
        <f>TONGHOPCONGDOI!C51</f>
        <v>T. Khăm Pỏi</v>
      </c>
      <c r="E56" s="1165" t="s">
        <v>28</v>
      </c>
      <c r="F56" s="1167"/>
      <c r="G56" s="254">
        <f t="shared" si="2"/>
        <v>0</v>
      </c>
      <c r="H56" s="254">
        <f>VLOOKUP(D56,TONGHOPCONGDOI!C51:AD94,16,0)</f>
        <v>2260</v>
      </c>
      <c r="I56" s="254">
        <f>VLOOKUP(D56,TONGHOPCONGDOI!C51:AD94,18,0)</f>
        <v>0</v>
      </c>
      <c r="J56" s="254"/>
      <c r="K56" s="668">
        <f t="shared" si="7"/>
        <v>1047.9962028523898</v>
      </c>
      <c r="L56" s="669" t="str">
        <f>VLOOKUP(D56,'BTH mủ tạp'!$D$17:$AN$95,37,0)</f>
        <v>A</v>
      </c>
      <c r="M56" s="670">
        <f t="shared" si="3"/>
        <v>4275745</v>
      </c>
      <c r="N56" s="671">
        <f>VLOOKUP(D56,TONGHOPCONGDOI!$C$11:$AD$93,20,0)</f>
        <v>21</v>
      </c>
      <c r="O56" s="671">
        <f>VLOOKUP(D56,TONGHOPCONGDOI!$C$11:$AD$93,21,0)</f>
        <v>4</v>
      </c>
      <c r="P56" s="671">
        <f>VLOOKUP(D56,TONGHOPCONGDOI!$C$11:$AC$93,22,0)</f>
        <v>0</v>
      </c>
      <c r="Q56" s="671">
        <f>VLOOKUP(D56,TONGHOPCONGDOI!$C$11:$AC$94,23,0)</f>
        <v>0</v>
      </c>
      <c r="R56" s="671">
        <f>VLOOKUP(D56,TONGHOPCONGDOI!$C$11:$AC$94,24,0)</f>
        <v>0</v>
      </c>
      <c r="S56" s="671">
        <f>VLOOKUP(D56,TONGHOPCONGDOI!$C$11:$AC$94,25,0)</f>
        <v>0</v>
      </c>
      <c r="T56" s="671"/>
      <c r="U56" s="1168"/>
      <c r="V56" s="1168"/>
      <c r="W56" s="1168"/>
      <c r="X56" s="671">
        <f t="shared" si="5"/>
        <v>853239</v>
      </c>
      <c r="Y56" s="671">
        <f t="shared" si="8"/>
        <v>5128984</v>
      </c>
      <c r="Z56" s="254"/>
      <c r="AA56" s="673">
        <f t="shared" si="6"/>
        <v>5128984</v>
      </c>
      <c r="AB56" s="254"/>
      <c r="AC56" s="672"/>
      <c r="AD56" s="1169"/>
      <c r="AE56" s="1161"/>
      <c r="AF56" s="1161"/>
      <c r="AG56" s="1161"/>
      <c r="AH56" s="1161"/>
      <c r="AI56" s="1161"/>
      <c r="AJ56" s="1161"/>
      <c r="AK56" s="1161"/>
      <c r="AL56" s="1161"/>
    </row>
    <row r="57" spans="1:38" s="1162" customFormat="1" ht="33" customHeight="1">
      <c r="A57" s="1164">
        <v>42</v>
      </c>
      <c r="B57" s="1165">
        <v>42</v>
      </c>
      <c r="C57" s="1165" t="str">
        <f>'Chấm công KT'!C54</f>
        <v>03491</v>
      </c>
      <c r="D57" s="1166" t="str">
        <f>TONGHOPCONGDOI!C52</f>
        <v>Lăm Ngân</v>
      </c>
      <c r="E57" s="1165" t="s">
        <v>28</v>
      </c>
      <c r="F57" s="1167"/>
      <c r="G57" s="254">
        <f t="shared" si="2"/>
        <v>0</v>
      </c>
      <c r="H57" s="254">
        <f>VLOOKUP(D57,TONGHOPCONGDOI!C52:AD94,16,0)</f>
        <v>2352</v>
      </c>
      <c r="I57" s="254">
        <f>VLOOKUP(D57,TONGHOPCONGDOI!C52:AD94,18,0)</f>
        <v>0</v>
      </c>
      <c r="J57" s="254"/>
      <c r="K57" s="668">
        <f t="shared" si="7"/>
        <v>1090.6579951808942</v>
      </c>
      <c r="L57" s="669" t="str">
        <f>VLOOKUP(D57,'BTH mủ tạp'!$D$17:$AN$95,37,0)</f>
        <v>A</v>
      </c>
      <c r="M57" s="670">
        <f t="shared" si="3"/>
        <v>4449802</v>
      </c>
      <c r="N57" s="671">
        <f>VLOOKUP(D57,TONGHOPCONGDOI!$C$11:$AD$93,20,0)</f>
        <v>20</v>
      </c>
      <c r="O57" s="671">
        <f>VLOOKUP(D57,TONGHOPCONGDOI!$C$11:$AD$93,21,0)</f>
        <v>5</v>
      </c>
      <c r="P57" s="671">
        <f>VLOOKUP(D57,TONGHOPCONGDOI!$C$11:$AC$93,22,0)</f>
        <v>0</v>
      </c>
      <c r="Q57" s="671">
        <f>VLOOKUP(D57,TONGHOPCONGDOI!$C$11:$AC$94,23,0)</f>
        <v>0</v>
      </c>
      <c r="R57" s="671">
        <f>VLOOKUP(D57,TONGHOPCONGDOI!$C$11:$AC$94,24,0)</f>
        <v>0</v>
      </c>
      <c r="S57" s="671">
        <f>VLOOKUP(D57,TONGHOPCONGDOI!$C$11:$AC$94,25,0)</f>
        <v>0</v>
      </c>
      <c r="T57" s="671"/>
      <c r="U57" s="1168"/>
      <c r="V57" s="1168"/>
      <c r="W57" s="1168"/>
      <c r="X57" s="671">
        <f t="shared" si="5"/>
        <v>873839</v>
      </c>
      <c r="Y57" s="671">
        <f t="shared" si="8"/>
        <v>5323641</v>
      </c>
      <c r="Z57" s="254"/>
      <c r="AA57" s="673">
        <f t="shared" si="6"/>
        <v>5323641</v>
      </c>
      <c r="AB57" s="254"/>
      <c r="AC57" s="672"/>
      <c r="AD57" s="1169"/>
      <c r="AE57" s="1161"/>
      <c r="AF57" s="1161"/>
      <c r="AG57" s="1161"/>
      <c r="AH57" s="1161"/>
      <c r="AI57" s="1161"/>
      <c r="AJ57" s="1161"/>
      <c r="AK57" s="1161"/>
      <c r="AL57" s="1161"/>
    </row>
    <row r="58" spans="1:38" s="1162" customFormat="1" ht="33" customHeight="1">
      <c r="A58" s="1164">
        <v>43</v>
      </c>
      <c r="B58" s="1165">
        <v>43</v>
      </c>
      <c r="C58" s="1165" t="str">
        <f>'Chấm công KT'!C55</f>
        <v>04060</v>
      </c>
      <c r="D58" s="1166" t="str">
        <f>TONGHOPCONGDOI!C53</f>
        <v>T. Không</v>
      </c>
      <c r="E58" s="1165" t="s">
        <v>28</v>
      </c>
      <c r="F58" s="1167"/>
      <c r="G58" s="254">
        <f t="shared" si="2"/>
        <v>0</v>
      </c>
      <c r="H58" s="254">
        <f>VLOOKUP(D58,TONGHOPCONGDOI!C53:AD94,16,0)</f>
        <v>1929</v>
      </c>
      <c r="I58" s="254">
        <f>VLOOKUP(D58,TONGHOPCONGDOI!C53:AD94,18,0)</f>
        <v>0</v>
      </c>
      <c r="J58" s="254"/>
      <c r="K58" s="668">
        <f t="shared" si="7"/>
        <v>894.50649349657522</v>
      </c>
      <c r="L58" s="669" t="str">
        <f>VLOOKUP(D58,'BTH mủ tạp'!$D$17:$AN$95,37,0)</f>
        <v>A</v>
      </c>
      <c r="M58" s="670">
        <f t="shared" si="3"/>
        <v>3649519</v>
      </c>
      <c r="N58" s="671">
        <f>VLOOKUP(D58,TONGHOPCONGDOI!$C$11:$AD$93,20,0)</f>
        <v>23</v>
      </c>
      <c r="O58" s="671">
        <f>VLOOKUP(D58,TONGHOPCONGDOI!$C$11:$AD$93,21,0)</f>
        <v>5</v>
      </c>
      <c r="P58" s="671">
        <f>VLOOKUP(D58,TONGHOPCONGDOI!$C$11:$AC$93,22,0)</f>
        <v>0</v>
      </c>
      <c r="Q58" s="671">
        <f>VLOOKUP(D58,TONGHOPCONGDOI!$C$11:$AC$94,23,0)</f>
        <v>0</v>
      </c>
      <c r="R58" s="671">
        <f>VLOOKUP(D58,TONGHOPCONGDOI!$C$11:$AC$94,24,0)</f>
        <v>0</v>
      </c>
      <c r="S58" s="671">
        <f>VLOOKUP(D58,TONGHOPCONGDOI!$C$11:$AC$94,25,0)</f>
        <v>0</v>
      </c>
      <c r="T58" s="671"/>
      <c r="U58" s="1168"/>
      <c r="V58" s="1168"/>
      <c r="W58" s="1168"/>
      <c r="X58" s="671">
        <f t="shared" si="5"/>
        <v>966340</v>
      </c>
      <c r="Y58" s="671">
        <f t="shared" si="8"/>
        <v>4615859</v>
      </c>
      <c r="Z58" s="254"/>
      <c r="AA58" s="673">
        <f t="shared" si="6"/>
        <v>4615859</v>
      </c>
      <c r="AB58" s="254"/>
      <c r="AC58" s="672"/>
      <c r="AD58" s="1169"/>
      <c r="AE58" s="1161"/>
      <c r="AF58" s="1161"/>
      <c r="AG58" s="1161"/>
      <c r="AH58" s="1161"/>
      <c r="AI58" s="1161"/>
      <c r="AJ58" s="1161"/>
      <c r="AK58" s="1161"/>
      <c r="AL58" s="1161"/>
    </row>
    <row r="59" spans="1:38" s="1162" customFormat="1" ht="33" customHeight="1">
      <c r="A59" s="1164">
        <v>44</v>
      </c>
      <c r="B59" s="1165">
        <v>44</v>
      </c>
      <c r="C59" s="1165" t="str">
        <f>'Chấm công KT'!C56</f>
        <v>03492</v>
      </c>
      <c r="D59" s="1166" t="str">
        <f>TONGHOPCONGDOI!C54</f>
        <v>T. Lem</v>
      </c>
      <c r="E59" s="1165" t="s">
        <v>28</v>
      </c>
      <c r="F59" s="1167"/>
      <c r="G59" s="254">
        <f t="shared" si="2"/>
        <v>0</v>
      </c>
      <c r="H59" s="254">
        <f>VLOOKUP(D59,TONGHOPCONGDOI!C54:AD94,16,0)</f>
        <v>2372</v>
      </c>
      <c r="I59" s="254">
        <f>VLOOKUP(D59,TONGHOPCONGDOI!C54:AD94,18,0)</f>
        <v>0</v>
      </c>
      <c r="J59" s="254"/>
      <c r="K59" s="668">
        <f t="shared" si="7"/>
        <v>1099.9322978610037</v>
      </c>
      <c r="L59" s="669" t="str">
        <f>VLOOKUP(D59,'BTH mủ tạp'!$D$17:$AN$95,37,0)</f>
        <v>A</v>
      </c>
      <c r="M59" s="670">
        <f t="shared" si="3"/>
        <v>4487640</v>
      </c>
      <c r="N59" s="671">
        <f>VLOOKUP(D59,TONGHOPCONGDOI!$C$11:$AD$93,20,0)</f>
        <v>22</v>
      </c>
      <c r="O59" s="671">
        <f>VLOOKUP(D59,TONGHOPCONGDOI!$C$11:$AD$93,21,0)</f>
        <v>5</v>
      </c>
      <c r="P59" s="671">
        <f>VLOOKUP(D59,TONGHOPCONGDOI!$C$11:$AC$93,22,0)</f>
        <v>0</v>
      </c>
      <c r="Q59" s="671">
        <f>VLOOKUP(D59,TONGHOPCONGDOI!$C$11:$AC$94,23,0)</f>
        <v>0</v>
      </c>
      <c r="R59" s="671">
        <f>VLOOKUP(D59,TONGHOPCONGDOI!$C$11:$AC$94,24,0)</f>
        <v>0</v>
      </c>
      <c r="S59" s="671">
        <f>VLOOKUP(D59,TONGHOPCONGDOI!$C$11:$AC$94,25,0)</f>
        <v>0</v>
      </c>
      <c r="T59" s="671"/>
      <c r="U59" s="1168"/>
      <c r="V59" s="1168"/>
      <c r="W59" s="1168"/>
      <c r="X59" s="671">
        <f t="shared" si="5"/>
        <v>935507</v>
      </c>
      <c r="Y59" s="671">
        <f t="shared" si="8"/>
        <v>5423147</v>
      </c>
      <c r="Z59" s="254"/>
      <c r="AA59" s="673">
        <f t="shared" si="6"/>
        <v>5423147</v>
      </c>
      <c r="AB59" s="254"/>
      <c r="AC59" s="672"/>
      <c r="AD59" s="1169"/>
      <c r="AE59" s="1161"/>
      <c r="AF59" s="1161"/>
      <c r="AG59" s="1161"/>
      <c r="AH59" s="1161"/>
      <c r="AI59" s="1161"/>
      <c r="AJ59" s="1161"/>
      <c r="AK59" s="1161"/>
      <c r="AL59" s="1161"/>
    </row>
    <row r="60" spans="1:38" s="1162" customFormat="1" ht="33" customHeight="1">
      <c r="A60" s="1164">
        <v>45</v>
      </c>
      <c r="B60" s="1165">
        <v>45</v>
      </c>
      <c r="C60" s="1165" t="str">
        <f>'Chấm công KT'!C57</f>
        <v>03493</v>
      </c>
      <c r="D60" s="1166" t="str">
        <f>TONGHOPCONGDOI!C55</f>
        <v>T. Pông</v>
      </c>
      <c r="E60" s="1165" t="s">
        <v>28</v>
      </c>
      <c r="F60" s="1167"/>
      <c r="G60" s="254">
        <f t="shared" si="2"/>
        <v>0</v>
      </c>
      <c r="H60" s="254">
        <f>VLOOKUP(D60,TONGHOPCONGDOI!C55:AD94,16,0)</f>
        <v>3438</v>
      </c>
      <c r="I60" s="254">
        <f>VLOOKUP(D60,TONGHOPCONGDOI!C55:AD94,18,0)</f>
        <v>0</v>
      </c>
      <c r="J60" s="254"/>
      <c r="K60" s="668">
        <f t="shared" si="7"/>
        <v>1594.2526307108478</v>
      </c>
      <c r="L60" s="669" t="str">
        <f>VLOOKUP(D60,'BTH mủ tạp'!$D$17:$AN$95,37,0)</f>
        <v>A</v>
      </c>
      <c r="M60" s="670">
        <f t="shared" si="3"/>
        <v>6504430</v>
      </c>
      <c r="N60" s="671">
        <f>VLOOKUP(D60,TONGHOPCONGDOI!$C$11:$AD$93,20,0)</f>
        <v>22</v>
      </c>
      <c r="O60" s="671">
        <f>VLOOKUP(D60,TONGHOPCONGDOI!$C$11:$AD$93,21,0)</f>
        <v>5</v>
      </c>
      <c r="P60" s="671">
        <f>VLOOKUP(D60,TONGHOPCONGDOI!$C$11:$AC$93,22,0)</f>
        <v>0</v>
      </c>
      <c r="Q60" s="671">
        <f>VLOOKUP(D60,TONGHOPCONGDOI!$C$11:$AC$94,23,0)</f>
        <v>0</v>
      </c>
      <c r="R60" s="671">
        <f>VLOOKUP(D60,TONGHOPCONGDOI!$C$11:$AC$94,24,0)</f>
        <v>0</v>
      </c>
      <c r="S60" s="671">
        <f>VLOOKUP(D60,TONGHOPCONGDOI!$C$11:$AC$94,25,0)</f>
        <v>0</v>
      </c>
      <c r="T60" s="671"/>
      <c r="U60" s="1168"/>
      <c r="V60" s="1168"/>
      <c r="W60" s="1168"/>
      <c r="X60" s="671">
        <f t="shared" si="5"/>
        <v>935507</v>
      </c>
      <c r="Y60" s="671">
        <f t="shared" si="8"/>
        <v>7439937</v>
      </c>
      <c r="Z60" s="254"/>
      <c r="AA60" s="673">
        <f t="shared" si="6"/>
        <v>7439937</v>
      </c>
      <c r="AB60" s="254"/>
      <c r="AC60" s="672"/>
      <c r="AD60" s="1169"/>
      <c r="AE60" s="1161"/>
      <c r="AF60" s="1161"/>
      <c r="AG60" s="1161"/>
      <c r="AH60" s="1161"/>
      <c r="AI60" s="1161"/>
      <c r="AJ60" s="1161"/>
      <c r="AK60" s="1161"/>
      <c r="AL60" s="1161"/>
    </row>
    <row r="61" spans="1:38" s="1162" customFormat="1" ht="33" customHeight="1">
      <c r="A61" s="1164">
        <v>46</v>
      </c>
      <c r="B61" s="1165">
        <v>46</v>
      </c>
      <c r="C61" s="1165" t="str">
        <f>'Chấm công KT'!C58</f>
        <v>03496</v>
      </c>
      <c r="D61" s="1166" t="str">
        <f>TONGHOPCONGDOI!C56</f>
        <v>T. Lốp</v>
      </c>
      <c r="E61" s="1165" t="s">
        <v>28</v>
      </c>
      <c r="F61" s="1167"/>
      <c r="G61" s="254">
        <f t="shared" si="2"/>
        <v>0</v>
      </c>
      <c r="H61" s="254">
        <f>VLOOKUP(D61,TONGHOPCONGDOI!C56:AD94,16,0)</f>
        <v>2981</v>
      </c>
      <c r="I61" s="254">
        <f>VLOOKUP(D61,TONGHOPCONGDOI!C56:AD94,18,0)</f>
        <v>0</v>
      </c>
      <c r="J61" s="254"/>
      <c r="K61" s="668">
        <f t="shared" si="7"/>
        <v>1382.3348144703425</v>
      </c>
      <c r="L61" s="669" t="str">
        <f>VLOOKUP(D61,'BTH mủ tạp'!$D$17:$AN$95,37,0)</f>
        <v>A</v>
      </c>
      <c r="M61" s="670">
        <f t="shared" si="3"/>
        <v>5639821</v>
      </c>
      <c r="N61" s="671">
        <f>VLOOKUP(D61,TONGHOPCONGDOI!$C$11:$AD$93,20,0)</f>
        <v>23</v>
      </c>
      <c r="O61" s="671">
        <f>VLOOKUP(D61,TONGHOPCONGDOI!$C$11:$AD$93,21,0)</f>
        <v>5</v>
      </c>
      <c r="P61" s="671">
        <f>VLOOKUP(D61,TONGHOPCONGDOI!$C$11:$AC$93,22,0)</f>
        <v>0</v>
      </c>
      <c r="Q61" s="671">
        <f>VLOOKUP(D61,TONGHOPCONGDOI!$C$11:$AC$94,23,0)</f>
        <v>0</v>
      </c>
      <c r="R61" s="671">
        <f>VLOOKUP(D61,TONGHOPCONGDOI!$C$11:$AC$94,24,0)</f>
        <v>0</v>
      </c>
      <c r="S61" s="671">
        <f>VLOOKUP(D61,TONGHOPCONGDOI!$C$11:$AC$94,25,0)</f>
        <v>0</v>
      </c>
      <c r="T61" s="671"/>
      <c r="U61" s="1168"/>
      <c r="V61" s="1168"/>
      <c r="W61" s="1168"/>
      <c r="X61" s="671">
        <f t="shared" si="5"/>
        <v>966340</v>
      </c>
      <c r="Y61" s="671">
        <f t="shared" si="8"/>
        <v>6606161</v>
      </c>
      <c r="Z61" s="254"/>
      <c r="AA61" s="673">
        <f t="shared" si="6"/>
        <v>6606161</v>
      </c>
      <c r="AB61" s="254"/>
      <c r="AC61" s="672"/>
      <c r="AD61" s="1169"/>
      <c r="AE61" s="1161"/>
      <c r="AF61" s="1161"/>
      <c r="AG61" s="1161"/>
      <c r="AH61" s="1161"/>
      <c r="AI61" s="1161"/>
      <c r="AJ61" s="1161"/>
      <c r="AK61" s="1161"/>
      <c r="AL61" s="1161"/>
    </row>
    <row r="62" spans="1:38" s="1162" customFormat="1" ht="33" customHeight="1">
      <c r="A62" s="1164">
        <v>47</v>
      </c>
      <c r="B62" s="1165">
        <v>47</v>
      </c>
      <c r="C62" s="1165" t="str">
        <f>'Chấm công KT'!C59</f>
        <v>04061</v>
      </c>
      <c r="D62" s="1166" t="str">
        <f>TONGHOPCONGDOI!C57</f>
        <v>N. Nu Ni</v>
      </c>
      <c r="E62" s="1165" t="s">
        <v>28</v>
      </c>
      <c r="F62" s="1167"/>
      <c r="G62" s="254">
        <f t="shared" si="2"/>
        <v>0</v>
      </c>
      <c r="H62" s="254">
        <f>VLOOKUP(D62,TONGHOPCONGDOI!C57:AD94,16,0)</f>
        <v>3004</v>
      </c>
      <c r="I62" s="254">
        <f>VLOOKUP(D62,TONGHOPCONGDOI!C57:AD94,18,0)</f>
        <v>0</v>
      </c>
      <c r="J62" s="254"/>
      <c r="K62" s="668">
        <f t="shared" si="7"/>
        <v>1393.0002625524685</v>
      </c>
      <c r="L62" s="669" t="str">
        <f>VLOOKUP(D62,'BTH mủ tạp'!$D$17:$AN$95,37,0)</f>
        <v>B</v>
      </c>
      <c r="M62" s="670">
        <f t="shared" si="3"/>
        <v>5403827</v>
      </c>
      <c r="N62" s="671">
        <f>VLOOKUP(D62,TONGHOPCONGDOI!$C$11:$AD$93,20,0)</f>
        <v>23</v>
      </c>
      <c r="O62" s="671">
        <f>VLOOKUP(D62,TONGHOPCONGDOI!$C$11:$AD$93,21,0)</f>
        <v>5</v>
      </c>
      <c r="P62" s="671">
        <f>VLOOKUP(D62,TONGHOPCONGDOI!$C$11:$AC$93,22,0)</f>
        <v>0</v>
      </c>
      <c r="Q62" s="671">
        <f>VLOOKUP(D62,TONGHOPCONGDOI!$C$11:$AC$94,23,0)</f>
        <v>0</v>
      </c>
      <c r="R62" s="671">
        <f>VLOOKUP(D62,TONGHOPCONGDOI!$C$11:$AC$94,24,0)</f>
        <v>0</v>
      </c>
      <c r="S62" s="671">
        <f>VLOOKUP(D62,TONGHOPCONGDOI!$C$11:$AC$94,25,0)</f>
        <v>0</v>
      </c>
      <c r="T62" s="671"/>
      <c r="U62" s="1168"/>
      <c r="V62" s="1168"/>
      <c r="W62" s="1168"/>
      <c r="X62" s="671">
        <f t="shared" si="5"/>
        <v>966340</v>
      </c>
      <c r="Y62" s="671">
        <f t="shared" si="8"/>
        <v>6370167</v>
      </c>
      <c r="Z62" s="254"/>
      <c r="AA62" s="673">
        <f t="shared" si="6"/>
        <v>6370167</v>
      </c>
      <c r="AB62" s="254"/>
      <c r="AC62" s="672"/>
      <c r="AD62" s="1169"/>
      <c r="AE62" s="1161"/>
      <c r="AF62" s="1161"/>
      <c r="AG62" s="1161"/>
      <c r="AH62" s="1161"/>
      <c r="AI62" s="1161"/>
      <c r="AJ62" s="1161"/>
      <c r="AK62" s="1161"/>
      <c r="AL62" s="1161"/>
    </row>
    <row r="63" spans="1:38" s="1162" customFormat="1" ht="33" customHeight="1">
      <c r="A63" s="1164">
        <v>48</v>
      </c>
      <c r="B63" s="1165">
        <v>48</v>
      </c>
      <c r="C63" s="1165" t="str">
        <f>'Chấm công KT'!C60</f>
        <v>03494</v>
      </c>
      <c r="D63" s="1166" t="str">
        <f>TONGHOPCONGDOI!C58</f>
        <v>T. Đi</v>
      </c>
      <c r="E63" s="1165" t="s">
        <v>28</v>
      </c>
      <c r="F63" s="1167"/>
      <c r="G63" s="254">
        <f t="shared" si="2"/>
        <v>0</v>
      </c>
      <c r="H63" s="254">
        <f>VLOOKUP(D63,TONGHOPCONGDOI!C58:AD94,16,0)</f>
        <v>1429</v>
      </c>
      <c r="I63" s="254">
        <f>VLOOKUP(D63,TONGHOPCONGDOI!C58:AD94,18,0)</f>
        <v>0</v>
      </c>
      <c r="J63" s="254"/>
      <c r="K63" s="668">
        <f t="shared" si="7"/>
        <v>662.6489264938341</v>
      </c>
      <c r="L63" s="669" t="str">
        <f>VLOOKUP(D63,'BTH mủ tạp'!$D$17:$AN$95,37,0)</f>
        <v>A</v>
      </c>
      <c r="M63" s="670">
        <f t="shared" si="3"/>
        <v>2703557</v>
      </c>
      <c r="N63" s="671">
        <f>VLOOKUP(D63,TONGHOPCONGDOI!$C$11:$AD$93,20,0)</f>
        <v>16</v>
      </c>
      <c r="O63" s="671">
        <f>VLOOKUP(D63,TONGHOPCONGDOI!$C$11:$AD$93,21,0)</f>
        <v>4</v>
      </c>
      <c r="P63" s="671">
        <f>VLOOKUP(D63,TONGHOPCONGDOI!$C$11:$AC$93,22,0)</f>
        <v>0</v>
      </c>
      <c r="Q63" s="671">
        <f>VLOOKUP(D63,TONGHOPCONGDOI!$C$11:$AC$94,23,0)</f>
        <v>0</v>
      </c>
      <c r="R63" s="671">
        <f>VLOOKUP(D63,TONGHOPCONGDOI!$C$11:$AC$94,24,0)</f>
        <v>0</v>
      </c>
      <c r="S63" s="671">
        <f>VLOOKUP(D63,TONGHOPCONGDOI!$C$11:$AC$94,25,0)</f>
        <v>0</v>
      </c>
      <c r="T63" s="671"/>
      <c r="U63" s="1168"/>
      <c r="V63" s="1168"/>
      <c r="W63" s="1168"/>
      <c r="X63" s="671">
        <f t="shared" si="5"/>
        <v>699072</v>
      </c>
      <c r="Y63" s="671">
        <f t="shared" si="8"/>
        <v>3402629</v>
      </c>
      <c r="Z63" s="254"/>
      <c r="AA63" s="673">
        <f t="shared" si="6"/>
        <v>3402629</v>
      </c>
      <c r="AB63" s="254"/>
      <c r="AC63" s="672"/>
      <c r="AD63" s="1169"/>
      <c r="AE63" s="1161"/>
      <c r="AF63" s="1161"/>
      <c r="AG63" s="1161"/>
      <c r="AH63" s="1161"/>
      <c r="AI63" s="1161"/>
      <c r="AJ63" s="1161"/>
      <c r="AK63" s="1161"/>
      <c r="AL63" s="1161"/>
    </row>
    <row r="64" spans="1:38" s="1162" customFormat="1" ht="33" customHeight="1">
      <c r="A64" s="1164">
        <v>49</v>
      </c>
      <c r="B64" s="1165">
        <v>49</v>
      </c>
      <c r="C64" s="1165" t="str">
        <f>'Chấm công KT'!C61</f>
        <v>03495</v>
      </c>
      <c r="D64" s="1166" t="str">
        <f>TONGHOPCONGDOI!C59</f>
        <v>N. On Xi</v>
      </c>
      <c r="E64" s="1165" t="s">
        <v>28</v>
      </c>
      <c r="F64" s="1167"/>
      <c r="G64" s="254">
        <f t="shared" si="2"/>
        <v>0</v>
      </c>
      <c r="H64" s="254">
        <f>VLOOKUP(D64,TONGHOPCONGDOI!C59:AD94,16,0)</f>
        <v>1920</v>
      </c>
      <c r="I64" s="254">
        <f>VLOOKUP(D64,TONGHOPCONGDOI!C59:AD94,18,0)</f>
        <v>0</v>
      </c>
      <c r="J64" s="254"/>
      <c r="K64" s="668">
        <f t="shared" si="7"/>
        <v>890.33305729052586</v>
      </c>
      <c r="L64" s="669" t="str">
        <f>VLOOKUP(D64,'BTH mủ tạp'!$D$17:$AN$95,37,0)</f>
        <v>B</v>
      </c>
      <c r="M64" s="670">
        <f t="shared" si="3"/>
        <v>3453844</v>
      </c>
      <c r="N64" s="671">
        <f>VLOOKUP(D64,TONGHOPCONGDOI!$C$11:$AD$93,20,0)</f>
        <v>21</v>
      </c>
      <c r="O64" s="671">
        <f>VLOOKUP(D64,TONGHOPCONGDOI!$C$11:$AD$93,21,0)</f>
        <v>5</v>
      </c>
      <c r="P64" s="671">
        <f>VLOOKUP(D64,TONGHOPCONGDOI!$C$11:$AC$93,22,0)</f>
        <v>0</v>
      </c>
      <c r="Q64" s="671">
        <f>VLOOKUP(D64,TONGHOPCONGDOI!$C$11:$AC$94,23,0)</f>
        <v>0</v>
      </c>
      <c r="R64" s="671">
        <f>VLOOKUP(D64,TONGHOPCONGDOI!$C$11:$AC$94,24,0)</f>
        <v>0</v>
      </c>
      <c r="S64" s="671">
        <f>VLOOKUP(D64,TONGHOPCONGDOI!$C$11:$AC$94,25,0)</f>
        <v>0</v>
      </c>
      <c r="T64" s="671"/>
      <c r="U64" s="1168"/>
      <c r="V64" s="1168"/>
      <c r="W64" s="1168"/>
      <c r="X64" s="671">
        <f t="shared" si="5"/>
        <v>904673</v>
      </c>
      <c r="Y64" s="671">
        <f t="shared" si="8"/>
        <v>4358517</v>
      </c>
      <c r="Z64" s="254"/>
      <c r="AA64" s="673">
        <f t="shared" si="6"/>
        <v>4358517</v>
      </c>
      <c r="AB64" s="254"/>
      <c r="AC64" s="672"/>
      <c r="AD64" s="1169"/>
      <c r="AE64" s="1161"/>
      <c r="AF64" s="1161"/>
      <c r="AG64" s="1161"/>
      <c r="AH64" s="1161"/>
      <c r="AI64" s="1161"/>
      <c r="AJ64" s="1161"/>
      <c r="AK64" s="1161"/>
      <c r="AL64" s="1161"/>
    </row>
    <row r="65" spans="1:38" s="1162" customFormat="1" ht="33" customHeight="1">
      <c r="A65" s="1164">
        <v>50</v>
      </c>
      <c r="B65" s="1165">
        <v>50</v>
      </c>
      <c r="C65" s="1165" t="str">
        <f>'Chấm công KT'!C62</f>
        <v>04062</v>
      </c>
      <c r="D65" s="1166" t="str">
        <f>TONGHOPCONGDOI!C60</f>
        <v>N. Thông La</v>
      </c>
      <c r="E65" s="1165" t="s">
        <v>28</v>
      </c>
      <c r="F65" s="1167"/>
      <c r="G65" s="254">
        <f t="shared" si="2"/>
        <v>0</v>
      </c>
      <c r="H65" s="254">
        <f>VLOOKUP(D65,TONGHOPCONGDOI!C60:AD94,16,0)</f>
        <v>2490</v>
      </c>
      <c r="I65" s="254">
        <f>VLOOKUP(D65,TONGHOPCONGDOI!C60:AD94,18,0)</f>
        <v>0</v>
      </c>
      <c r="J65" s="254"/>
      <c r="K65" s="668">
        <f t="shared" si="7"/>
        <v>1154.6506836736507</v>
      </c>
      <c r="L65" s="669" t="str">
        <f>VLOOKUP(D65,'BTH mủ tạp'!$D$17:$AN$95,37,0)</f>
        <v>A</v>
      </c>
      <c r="M65" s="670">
        <f t="shared" si="3"/>
        <v>4710887</v>
      </c>
      <c r="N65" s="671">
        <f>VLOOKUP(D65,TONGHOPCONGDOI!$C$11:$AD$93,20,0)</f>
        <v>23</v>
      </c>
      <c r="O65" s="671">
        <f>VLOOKUP(D65,TONGHOPCONGDOI!$C$11:$AD$93,21,0)</f>
        <v>5</v>
      </c>
      <c r="P65" s="671">
        <f>VLOOKUP(D65,TONGHOPCONGDOI!$C$11:$AC$93,22,0)</f>
        <v>0</v>
      </c>
      <c r="Q65" s="671">
        <f>VLOOKUP(D65,TONGHOPCONGDOI!$C$11:$AC$94,23,0)</f>
        <v>0</v>
      </c>
      <c r="R65" s="671">
        <f>VLOOKUP(D65,TONGHOPCONGDOI!$C$11:$AC$94,24,0)</f>
        <v>0</v>
      </c>
      <c r="S65" s="671">
        <f>VLOOKUP(D65,TONGHOPCONGDOI!$C$11:$AC$94,25,0)</f>
        <v>0</v>
      </c>
      <c r="T65" s="671"/>
      <c r="U65" s="1168"/>
      <c r="V65" s="1168"/>
      <c r="W65" s="1168"/>
      <c r="X65" s="671">
        <f t="shared" si="5"/>
        <v>966340</v>
      </c>
      <c r="Y65" s="671">
        <f t="shared" si="8"/>
        <v>5677227</v>
      </c>
      <c r="Z65" s="254"/>
      <c r="AA65" s="673">
        <f t="shared" si="6"/>
        <v>5677227</v>
      </c>
      <c r="AB65" s="254"/>
      <c r="AC65" s="672"/>
      <c r="AD65" s="1169"/>
      <c r="AE65" s="1161"/>
      <c r="AF65" s="1161"/>
      <c r="AG65" s="1161"/>
      <c r="AH65" s="1161"/>
      <c r="AI65" s="1161"/>
      <c r="AJ65" s="1161"/>
      <c r="AK65" s="1161"/>
      <c r="AL65" s="1161"/>
    </row>
    <row r="66" spans="1:38" s="1162" customFormat="1" ht="33" customHeight="1">
      <c r="A66" s="1164">
        <v>51</v>
      </c>
      <c r="B66" s="1165">
        <v>51</v>
      </c>
      <c r="C66" s="1165" t="str">
        <f>'Chấm công KT'!C63</f>
        <v>03497</v>
      </c>
      <c r="D66" s="1166" t="str">
        <f>TONGHOPCONGDOI!C61</f>
        <v>T. Son Xay</v>
      </c>
      <c r="E66" s="1165" t="s">
        <v>28</v>
      </c>
      <c r="F66" s="1167"/>
      <c r="G66" s="254">
        <f t="shared" si="2"/>
        <v>0</v>
      </c>
      <c r="H66" s="254">
        <f>VLOOKUP(D66,TONGHOPCONGDOI!C61:AD94,16,0)</f>
        <v>2572</v>
      </c>
      <c r="I66" s="254">
        <f>VLOOKUP(D66,TONGHOPCONGDOI!C61:AD94,18,0)</f>
        <v>0</v>
      </c>
      <c r="J66" s="254"/>
      <c r="K66" s="668">
        <f t="shared" si="7"/>
        <v>1192.6753246621001</v>
      </c>
      <c r="L66" s="669" t="str">
        <f>VLOOKUP(D66,'BTH mủ tạp'!$D$17:$AN$95,37,0)</f>
        <v>A</v>
      </c>
      <c r="M66" s="670">
        <f t="shared" si="3"/>
        <v>4866025</v>
      </c>
      <c r="N66" s="671">
        <f>VLOOKUP(D66,TONGHOPCONGDOI!$C$11:$AD$93,20,0)</f>
        <v>20</v>
      </c>
      <c r="O66" s="671">
        <f>VLOOKUP(D66,TONGHOPCONGDOI!$C$11:$AD$93,21,0)</f>
        <v>5</v>
      </c>
      <c r="P66" s="671">
        <f>VLOOKUP(D66,TONGHOPCONGDOI!$C$11:$AC$93,22,0)</f>
        <v>0</v>
      </c>
      <c r="Q66" s="671">
        <f>VLOOKUP(D66,TONGHOPCONGDOI!$C$11:$AC$94,23,0)</f>
        <v>0</v>
      </c>
      <c r="R66" s="671">
        <f>VLOOKUP(D66,TONGHOPCONGDOI!$C$11:$AC$94,24,0)</f>
        <v>0</v>
      </c>
      <c r="S66" s="671">
        <f>VLOOKUP(D66,TONGHOPCONGDOI!$C$11:$AC$94,25,0)</f>
        <v>0</v>
      </c>
      <c r="T66" s="671"/>
      <c r="U66" s="1168"/>
      <c r="V66" s="1168"/>
      <c r="W66" s="1168"/>
      <c r="X66" s="671">
        <f t="shared" si="5"/>
        <v>873839</v>
      </c>
      <c r="Y66" s="671">
        <f t="shared" si="8"/>
        <v>5739864</v>
      </c>
      <c r="Z66" s="254"/>
      <c r="AA66" s="673">
        <f t="shared" si="6"/>
        <v>5739864</v>
      </c>
      <c r="AB66" s="254"/>
      <c r="AC66" s="672"/>
      <c r="AD66" s="1169"/>
      <c r="AE66" s="1161"/>
      <c r="AF66" s="1161"/>
      <c r="AG66" s="1161"/>
      <c r="AH66" s="1161"/>
      <c r="AI66" s="1161"/>
      <c r="AJ66" s="1161"/>
      <c r="AK66" s="1161"/>
      <c r="AL66" s="1161"/>
    </row>
    <row r="67" spans="1:38" s="1162" customFormat="1" ht="33" customHeight="1">
      <c r="A67" s="1164">
        <v>52</v>
      </c>
      <c r="B67" s="1165">
        <v>52</v>
      </c>
      <c r="C67" s="1165" t="str">
        <f>'Chấm công KT'!C64</f>
        <v>03498</v>
      </c>
      <c r="D67" s="1166" t="str">
        <f>TONGHOPCONGDOI!C62</f>
        <v>N. Lăm Phay</v>
      </c>
      <c r="E67" s="1165" t="s">
        <v>28</v>
      </c>
      <c r="F67" s="1167"/>
      <c r="G67" s="254">
        <f t="shared" si="2"/>
        <v>0</v>
      </c>
      <c r="H67" s="254">
        <f>VLOOKUP(D67,TONGHOPCONGDOI!C62:AD94,16,0)</f>
        <v>2593</v>
      </c>
      <c r="I67" s="254">
        <f>VLOOKUP(D67,TONGHOPCONGDOI!C62:AD94,18,0)</f>
        <v>0</v>
      </c>
      <c r="J67" s="254"/>
      <c r="K67" s="668">
        <f t="shared" si="7"/>
        <v>1202.4133424762153</v>
      </c>
      <c r="L67" s="669" t="str">
        <f>VLOOKUP(D67,'BTH mủ tạp'!$D$17:$AN$95,37,0)</f>
        <v>A</v>
      </c>
      <c r="M67" s="670">
        <f t="shared" si="3"/>
        <v>4905755</v>
      </c>
      <c r="N67" s="671">
        <f>VLOOKUP(D67,TONGHOPCONGDOI!$C$11:$AD$93,20,0)</f>
        <v>21</v>
      </c>
      <c r="O67" s="671">
        <f>VLOOKUP(D67,TONGHOPCONGDOI!$C$11:$AD$93,21,0)</f>
        <v>5</v>
      </c>
      <c r="P67" s="671">
        <f>VLOOKUP(D67,TONGHOPCONGDOI!$C$11:$AC$93,22,0)</f>
        <v>0</v>
      </c>
      <c r="Q67" s="671">
        <f>VLOOKUP(D67,TONGHOPCONGDOI!$C$11:$AC$94,23,0)</f>
        <v>0</v>
      </c>
      <c r="R67" s="671">
        <f>VLOOKUP(D67,TONGHOPCONGDOI!$C$11:$AC$94,24,0)</f>
        <v>0</v>
      </c>
      <c r="S67" s="671">
        <f>VLOOKUP(D67,TONGHOPCONGDOI!$C$11:$AC$94,25,0)</f>
        <v>0</v>
      </c>
      <c r="T67" s="671"/>
      <c r="U67" s="1168"/>
      <c r="V67" s="1168"/>
      <c r="W67" s="1168"/>
      <c r="X67" s="671">
        <f t="shared" si="5"/>
        <v>904673</v>
      </c>
      <c r="Y67" s="671">
        <f t="shared" si="8"/>
        <v>5810428</v>
      </c>
      <c r="Z67" s="254"/>
      <c r="AA67" s="673">
        <f t="shared" si="6"/>
        <v>5810428</v>
      </c>
      <c r="AB67" s="254"/>
      <c r="AC67" s="672"/>
      <c r="AD67" s="1169"/>
      <c r="AE67" s="1161"/>
      <c r="AF67" s="1161"/>
      <c r="AG67" s="1161"/>
      <c r="AH67" s="1161"/>
      <c r="AI67" s="1161"/>
      <c r="AJ67" s="1161"/>
      <c r="AK67" s="1161"/>
      <c r="AL67" s="1161"/>
    </row>
    <row r="68" spans="1:38" s="1162" customFormat="1" ht="33" customHeight="1">
      <c r="A68" s="1164">
        <v>53</v>
      </c>
      <c r="B68" s="1165">
        <v>53</v>
      </c>
      <c r="C68" s="1165" t="str">
        <f>'Chấm công KT'!C65</f>
        <v>02706</v>
      </c>
      <c r="D68" s="1166" t="str">
        <f>TONGHOPCONGDOI!C63</f>
        <v>T. Nhung</v>
      </c>
      <c r="E68" s="1165" t="s">
        <v>28</v>
      </c>
      <c r="F68" s="1167"/>
      <c r="G68" s="254">
        <f t="shared" si="2"/>
        <v>0</v>
      </c>
      <c r="H68" s="254">
        <f>VLOOKUP(D68,TONGHOPCONGDOI!C63:AD94,16,0)</f>
        <v>2707</v>
      </c>
      <c r="I68" s="254">
        <f>VLOOKUP(D68,TONGHOPCONGDOI!C63:AD94,18,0)</f>
        <v>0</v>
      </c>
      <c r="J68" s="254"/>
      <c r="K68" s="668">
        <f t="shared" si="7"/>
        <v>1255.2768677528404</v>
      </c>
      <c r="L68" s="669" t="str">
        <f>VLOOKUP(D68,'BTH mủ tạp'!$D$17:$AN$95,37,0)</f>
        <v>A</v>
      </c>
      <c r="M68" s="670">
        <f t="shared" si="3"/>
        <v>5121434</v>
      </c>
      <c r="N68" s="671">
        <f>VLOOKUP(D68,TONGHOPCONGDOI!$C$11:$AD$93,20,0)</f>
        <v>22</v>
      </c>
      <c r="O68" s="671">
        <f>VLOOKUP(D68,TONGHOPCONGDOI!$C$11:$AD$93,21,0)</f>
        <v>5</v>
      </c>
      <c r="P68" s="671">
        <f>VLOOKUP(D68,TONGHOPCONGDOI!$C$11:$AC$93,22,0)</f>
        <v>0</v>
      </c>
      <c r="Q68" s="671">
        <f>VLOOKUP(D68,TONGHOPCONGDOI!$C$11:$AC$94,23,0)</f>
        <v>0</v>
      </c>
      <c r="R68" s="671">
        <f>VLOOKUP(D68,TONGHOPCONGDOI!$C$11:$AC$94,24,0)</f>
        <v>0</v>
      </c>
      <c r="S68" s="671">
        <f>VLOOKUP(D68,TONGHOPCONGDOI!$C$11:$AC$94,25,0)</f>
        <v>0</v>
      </c>
      <c r="T68" s="671"/>
      <c r="U68" s="1168"/>
      <c r="V68" s="1168"/>
      <c r="W68" s="1168"/>
      <c r="X68" s="671">
        <f t="shared" si="5"/>
        <v>935507</v>
      </c>
      <c r="Y68" s="671">
        <f t="shared" si="8"/>
        <v>6056941</v>
      </c>
      <c r="Z68" s="254"/>
      <c r="AA68" s="673">
        <f t="shared" si="6"/>
        <v>6056941</v>
      </c>
      <c r="AB68" s="254"/>
      <c r="AC68" s="672"/>
      <c r="AD68" s="1169"/>
      <c r="AE68" s="1161"/>
      <c r="AF68" s="1161"/>
      <c r="AG68" s="1161"/>
      <c r="AH68" s="1161"/>
      <c r="AI68" s="1161"/>
      <c r="AJ68" s="1161"/>
      <c r="AK68" s="1161"/>
      <c r="AL68" s="1161"/>
    </row>
    <row r="69" spans="1:38" s="1162" customFormat="1" ht="33" customHeight="1">
      <c r="A69" s="1164">
        <v>54</v>
      </c>
      <c r="B69" s="1165">
        <v>54</v>
      </c>
      <c r="C69" s="1165" t="str">
        <f>'Chấm công KT'!C66</f>
        <v>04063</v>
      </c>
      <c r="D69" s="1166" t="str">
        <f>TONGHOPCONGDOI!C64</f>
        <v>T. Khay Khăm</v>
      </c>
      <c r="E69" s="1165" t="s">
        <v>28</v>
      </c>
      <c r="F69" s="1167"/>
      <c r="G69" s="254">
        <f t="shared" si="2"/>
        <v>0</v>
      </c>
      <c r="H69" s="254">
        <f>VLOOKUP(D69,TONGHOPCONGDOI!C64:AD94,16,0)</f>
        <v>1093</v>
      </c>
      <c r="I69" s="254">
        <f>VLOOKUP(D69,TONGHOPCONGDOI!C64:AD94,18,0)</f>
        <v>0</v>
      </c>
      <c r="J69" s="254"/>
      <c r="K69" s="668">
        <f t="shared" si="7"/>
        <v>506.84064146799204</v>
      </c>
      <c r="L69" s="669" t="str">
        <f>VLOOKUP(D69,'BTH mủ tạp'!$D$17:$AN$95,37,0)</f>
        <v>B</v>
      </c>
      <c r="M69" s="670">
        <f t="shared" si="3"/>
        <v>1966173</v>
      </c>
      <c r="N69" s="671">
        <f>VLOOKUP(D69,TONGHOPCONGDOI!$C$11:$AD$93,20,0)</f>
        <v>18</v>
      </c>
      <c r="O69" s="671">
        <f>VLOOKUP(D69,TONGHOPCONGDOI!$C$11:$AD$93,21,0)</f>
        <v>3</v>
      </c>
      <c r="P69" s="671">
        <f>VLOOKUP(D69,TONGHOPCONGDOI!$C$11:$AC$93,22,0)</f>
        <v>0</v>
      </c>
      <c r="Q69" s="671">
        <f>VLOOKUP(D69,TONGHOPCONGDOI!$C$11:$AC$94,23,0)</f>
        <v>0</v>
      </c>
      <c r="R69" s="671">
        <f>VLOOKUP(D69,TONGHOPCONGDOI!$C$11:$AC$94,24,0)</f>
        <v>0</v>
      </c>
      <c r="S69" s="671">
        <f>VLOOKUP(D69,TONGHOPCONGDOI!$C$11:$AC$94,25,0)</f>
        <v>0</v>
      </c>
      <c r="T69" s="671"/>
      <c r="U69" s="1168"/>
      <c r="V69" s="1168"/>
      <c r="W69" s="1168"/>
      <c r="X69" s="671">
        <f t="shared" si="5"/>
        <v>709305</v>
      </c>
      <c r="Y69" s="671">
        <f t="shared" si="8"/>
        <v>2675478</v>
      </c>
      <c r="Z69" s="254"/>
      <c r="AA69" s="673">
        <f t="shared" si="6"/>
        <v>2675478</v>
      </c>
      <c r="AB69" s="254"/>
      <c r="AC69" s="672"/>
      <c r="AD69" s="1169"/>
      <c r="AE69" s="1161"/>
      <c r="AF69" s="1161"/>
      <c r="AG69" s="1161"/>
      <c r="AH69" s="1161"/>
      <c r="AI69" s="1161"/>
      <c r="AJ69" s="1161"/>
      <c r="AK69" s="1161"/>
      <c r="AL69" s="1161"/>
    </row>
    <row r="70" spans="1:38" s="1162" customFormat="1" ht="33" customHeight="1">
      <c r="A70" s="1164">
        <v>55</v>
      </c>
      <c r="B70" s="1165">
        <v>55</v>
      </c>
      <c r="C70" s="1165" t="str">
        <f>'Chấm công KT'!C67</f>
        <v>04064</v>
      </c>
      <c r="D70" s="1166" t="str">
        <f>TONGHOPCONGDOI!C65</f>
        <v>N. Khay Chăn</v>
      </c>
      <c r="E70" s="1165" t="s">
        <v>28</v>
      </c>
      <c r="F70" s="1167"/>
      <c r="G70" s="254">
        <f t="shared" si="2"/>
        <v>0</v>
      </c>
      <c r="H70" s="254">
        <f>VLOOKUP(D70,TONGHOPCONGDOI!C65:AD94,16,0)</f>
        <v>2699</v>
      </c>
      <c r="I70" s="254">
        <f>VLOOKUP(D70,TONGHOPCONGDOI!C65:AD94,18,0)</f>
        <v>0</v>
      </c>
      <c r="J70" s="254"/>
      <c r="K70" s="668">
        <f t="shared" si="7"/>
        <v>1251.5671466807964</v>
      </c>
      <c r="L70" s="669" t="str">
        <f>VLOOKUP(D70,'BTH mủ tạp'!$D$17:$AN$95,37,0)</f>
        <v>A</v>
      </c>
      <c r="M70" s="670">
        <f t="shared" si="3"/>
        <v>5106299</v>
      </c>
      <c r="N70" s="671">
        <f>VLOOKUP(D70,TONGHOPCONGDOI!$C$11:$AD$93,20,0)</f>
        <v>23</v>
      </c>
      <c r="O70" s="671">
        <f>VLOOKUP(D70,TONGHOPCONGDOI!$C$11:$AD$93,21,0)</f>
        <v>5</v>
      </c>
      <c r="P70" s="671">
        <f>VLOOKUP(D70,TONGHOPCONGDOI!$C$11:$AC$93,22,0)</f>
        <v>0</v>
      </c>
      <c r="Q70" s="671">
        <f>VLOOKUP(D70,TONGHOPCONGDOI!$C$11:$AC$94,23,0)</f>
        <v>0</v>
      </c>
      <c r="R70" s="671">
        <f>VLOOKUP(D70,TONGHOPCONGDOI!$C$11:$AC$94,24,0)</f>
        <v>0</v>
      </c>
      <c r="S70" s="671">
        <f>VLOOKUP(D70,TONGHOPCONGDOI!$C$11:$AC$94,25,0)</f>
        <v>0</v>
      </c>
      <c r="T70" s="671"/>
      <c r="U70" s="1168"/>
      <c r="V70" s="1168"/>
      <c r="W70" s="1168"/>
      <c r="X70" s="671">
        <f t="shared" si="5"/>
        <v>966340</v>
      </c>
      <c r="Y70" s="671">
        <f t="shared" si="8"/>
        <v>6072639</v>
      </c>
      <c r="Z70" s="254"/>
      <c r="AA70" s="673">
        <f t="shared" si="6"/>
        <v>6072639</v>
      </c>
      <c r="AB70" s="254"/>
      <c r="AC70" s="672"/>
      <c r="AD70" s="1169"/>
      <c r="AE70" s="1161"/>
      <c r="AF70" s="1161"/>
      <c r="AG70" s="1161"/>
      <c r="AH70" s="1161"/>
      <c r="AI70" s="1161"/>
      <c r="AJ70" s="1161"/>
      <c r="AK70" s="1161"/>
      <c r="AL70" s="1161"/>
    </row>
    <row r="71" spans="1:38" s="1162" customFormat="1" ht="33" customHeight="1">
      <c r="A71" s="1164">
        <v>56</v>
      </c>
      <c r="B71" s="1165">
        <v>56</v>
      </c>
      <c r="C71" s="1165" t="str">
        <f>'Chấm công KT'!C68</f>
        <v>03501</v>
      </c>
      <c r="D71" s="1166" t="str">
        <f>TONGHOPCONGDOI!C66</f>
        <v>T Dăn</v>
      </c>
      <c r="E71" s="1165" t="s">
        <v>28</v>
      </c>
      <c r="F71" s="1167"/>
      <c r="G71" s="254">
        <f t="shared" si="2"/>
        <v>0</v>
      </c>
      <c r="H71" s="254">
        <f>VLOOKUP(D71,TONGHOPCONGDOI!C66:AD94,16,0)</f>
        <v>2165</v>
      </c>
      <c r="I71" s="254">
        <f>VLOOKUP(D71,TONGHOPCONGDOI!C66:AD94,18,0)</f>
        <v>0</v>
      </c>
      <c r="J71" s="254"/>
      <c r="K71" s="668">
        <f t="shared" si="7"/>
        <v>1003.943265121869</v>
      </c>
      <c r="L71" s="669" t="str">
        <f>VLOOKUP(D71,'BTH mủ tạp'!$D$17:$AN$95,37,0)</f>
        <v>A</v>
      </c>
      <c r="M71" s="670">
        <f t="shared" si="3"/>
        <v>4096012</v>
      </c>
      <c r="N71" s="671">
        <f>VLOOKUP(D71,TONGHOPCONGDOI!$C$11:$AD$93,20,0)</f>
        <v>22</v>
      </c>
      <c r="O71" s="671">
        <f>VLOOKUP(D71,TONGHOPCONGDOI!$C$11:$AD$93,21,0)</f>
        <v>5</v>
      </c>
      <c r="P71" s="671">
        <f>VLOOKUP(D71,TONGHOPCONGDOI!$C$11:$AC$93,22,0)</f>
        <v>0</v>
      </c>
      <c r="Q71" s="671">
        <f>VLOOKUP(D71,TONGHOPCONGDOI!$C$11:$AC$94,23,0)</f>
        <v>0</v>
      </c>
      <c r="R71" s="671">
        <f>VLOOKUP(D71,TONGHOPCONGDOI!$C$11:$AC$94,24,0)</f>
        <v>0</v>
      </c>
      <c r="S71" s="671">
        <f>VLOOKUP(D71,TONGHOPCONGDOI!$C$11:$AC$94,25,0)</f>
        <v>0</v>
      </c>
      <c r="T71" s="671"/>
      <c r="U71" s="1168"/>
      <c r="V71" s="1168"/>
      <c r="W71" s="1168"/>
      <c r="X71" s="671">
        <f t="shared" si="5"/>
        <v>935507</v>
      </c>
      <c r="Y71" s="671">
        <f t="shared" si="8"/>
        <v>5031519</v>
      </c>
      <c r="Z71" s="254"/>
      <c r="AA71" s="673">
        <f t="shared" si="6"/>
        <v>5031519</v>
      </c>
      <c r="AB71" s="254"/>
      <c r="AC71" s="672"/>
      <c r="AD71" s="1169"/>
      <c r="AE71" s="1161"/>
      <c r="AF71" s="1161"/>
      <c r="AG71" s="1161"/>
      <c r="AH71" s="1161"/>
      <c r="AI71" s="1161"/>
      <c r="AJ71" s="1161"/>
      <c r="AK71" s="1161"/>
      <c r="AL71" s="1161"/>
    </row>
    <row r="72" spans="1:38" s="1162" customFormat="1" ht="33" customHeight="1">
      <c r="A72" s="1164">
        <v>57</v>
      </c>
      <c r="B72" s="1165">
        <v>57</v>
      </c>
      <c r="C72" s="1165" t="str">
        <f>'Chấm công KT'!C69</f>
        <v>03502</v>
      </c>
      <c r="D72" s="1166" t="str">
        <f>TONGHOPCONGDOI!C67</f>
        <v>T. Xợt</v>
      </c>
      <c r="E72" s="1165" t="s">
        <v>28</v>
      </c>
      <c r="F72" s="1167"/>
      <c r="G72" s="254">
        <f t="shared" si="2"/>
        <v>0</v>
      </c>
      <c r="H72" s="254">
        <f>VLOOKUP(D72,TONGHOPCONGDOI!C67:AD94,16,0)</f>
        <v>2360</v>
      </c>
      <c r="I72" s="254">
        <f>VLOOKUP(D72,TONGHOPCONGDOI!C67:AD94,18,0)</f>
        <v>0</v>
      </c>
      <c r="J72" s="254"/>
      <c r="K72" s="668">
        <f t="shared" si="7"/>
        <v>1094.367716252938</v>
      </c>
      <c r="L72" s="669" t="str">
        <f>VLOOKUP(D72,'BTH mủ tạp'!$D$17:$AN$95,37,0)</f>
        <v>A</v>
      </c>
      <c r="M72" s="670">
        <f t="shared" si="3"/>
        <v>4464937</v>
      </c>
      <c r="N72" s="671">
        <f>VLOOKUP(D72,TONGHOPCONGDOI!$C$11:$AD$93,20,0)</f>
        <v>23</v>
      </c>
      <c r="O72" s="671">
        <f>VLOOKUP(D72,TONGHOPCONGDOI!$C$11:$AD$93,21,0)</f>
        <v>5</v>
      </c>
      <c r="P72" s="671">
        <f>VLOOKUP(D72,TONGHOPCONGDOI!$C$11:$AC$93,22,0)</f>
        <v>0</v>
      </c>
      <c r="Q72" s="671">
        <f>VLOOKUP(D72,TONGHOPCONGDOI!$C$11:$AC$94,23,0)</f>
        <v>0</v>
      </c>
      <c r="R72" s="671">
        <f>VLOOKUP(D72,TONGHOPCONGDOI!$C$11:$AC$94,24,0)</f>
        <v>0</v>
      </c>
      <c r="S72" s="671">
        <f>VLOOKUP(D72,TONGHOPCONGDOI!$C$11:$AC$94,25,0)</f>
        <v>0</v>
      </c>
      <c r="T72" s="671"/>
      <c r="U72" s="1168"/>
      <c r="V72" s="1168"/>
      <c r="W72" s="1168"/>
      <c r="X72" s="671">
        <f t="shared" si="5"/>
        <v>966340</v>
      </c>
      <c r="Y72" s="671">
        <f t="shared" si="8"/>
        <v>5431277</v>
      </c>
      <c r="Z72" s="254"/>
      <c r="AA72" s="673">
        <f t="shared" si="6"/>
        <v>5431277</v>
      </c>
      <c r="AB72" s="254"/>
      <c r="AC72" s="672"/>
      <c r="AD72" s="1169"/>
      <c r="AE72" s="1161"/>
      <c r="AF72" s="1161"/>
      <c r="AG72" s="1161"/>
      <c r="AH72" s="1161"/>
      <c r="AI72" s="1161"/>
      <c r="AJ72" s="1161"/>
      <c r="AK72" s="1161"/>
      <c r="AL72" s="1161"/>
    </row>
    <row r="73" spans="1:38" s="1162" customFormat="1" ht="33" customHeight="1">
      <c r="A73" s="1164">
        <v>58</v>
      </c>
      <c r="B73" s="1165">
        <v>58</v>
      </c>
      <c r="C73" s="1165" t="str">
        <f>'Chấm công KT'!C70</f>
        <v>04065</v>
      </c>
      <c r="D73" s="1166" t="str">
        <f>TONGHOPCONGDOI!C68</f>
        <v>N. Phết 2</v>
      </c>
      <c r="E73" s="1165" t="s">
        <v>28</v>
      </c>
      <c r="F73" s="1167"/>
      <c r="G73" s="254">
        <f t="shared" si="2"/>
        <v>0</v>
      </c>
      <c r="H73" s="254">
        <f>VLOOKUP(D73,TONGHOPCONGDOI!C68:AD94,16,0)</f>
        <v>2565</v>
      </c>
      <c r="I73" s="254">
        <f>VLOOKUP(D73,TONGHOPCONGDOI!C68:AD94,18,0)</f>
        <v>0</v>
      </c>
      <c r="J73" s="254"/>
      <c r="K73" s="668">
        <f t="shared" si="7"/>
        <v>1189.4293187240619</v>
      </c>
      <c r="L73" s="669" t="str">
        <f>VLOOKUP(D73,'BTH mủ tạp'!$D$17:$AN$95,37,0)</f>
        <v>A</v>
      </c>
      <c r="M73" s="670">
        <f t="shared" si="3"/>
        <v>4852781</v>
      </c>
      <c r="N73" s="671">
        <f>VLOOKUP(D73,TONGHOPCONGDOI!$C$11:$AD$93,20,0)</f>
        <v>21</v>
      </c>
      <c r="O73" s="671">
        <f>VLOOKUP(D73,TONGHOPCONGDOI!$C$11:$AD$93,21,0)</f>
        <v>4</v>
      </c>
      <c r="P73" s="671">
        <f>VLOOKUP(D73,TONGHOPCONGDOI!$C$11:$AC$93,22,0)</f>
        <v>0</v>
      </c>
      <c r="Q73" s="671">
        <f>VLOOKUP(D73,TONGHOPCONGDOI!$C$11:$AC$94,23,0)</f>
        <v>0</v>
      </c>
      <c r="R73" s="671">
        <f>VLOOKUP(D73,TONGHOPCONGDOI!$C$11:$AC$94,24,0)</f>
        <v>0</v>
      </c>
      <c r="S73" s="671">
        <f>VLOOKUP(D73,TONGHOPCONGDOI!$C$11:$AC$94,25,0)</f>
        <v>0</v>
      </c>
      <c r="T73" s="671"/>
      <c r="U73" s="1168"/>
      <c r="V73" s="1168"/>
      <c r="W73" s="1168"/>
      <c r="X73" s="671">
        <f t="shared" si="5"/>
        <v>853239</v>
      </c>
      <c r="Y73" s="671">
        <f t="shared" si="8"/>
        <v>5706020</v>
      </c>
      <c r="Z73" s="254"/>
      <c r="AA73" s="673">
        <f t="shared" si="6"/>
        <v>5706020</v>
      </c>
      <c r="AB73" s="254"/>
      <c r="AC73" s="672"/>
      <c r="AD73" s="1169"/>
      <c r="AE73" s="1161"/>
      <c r="AF73" s="1161"/>
      <c r="AG73" s="1161"/>
      <c r="AH73" s="1161"/>
      <c r="AI73" s="1161"/>
      <c r="AJ73" s="1161"/>
      <c r="AK73" s="1161"/>
      <c r="AL73" s="1161"/>
    </row>
    <row r="74" spans="1:38" s="1162" customFormat="1" ht="33" customHeight="1">
      <c r="A74" s="1164">
        <v>59</v>
      </c>
      <c r="B74" s="1165">
        <v>59</v>
      </c>
      <c r="C74" s="1165" t="str">
        <f>'Chấm công KT'!C71</f>
        <v>03504</v>
      </c>
      <c r="D74" s="1166" t="str">
        <f>TONGHOPCONGDOI!C69</f>
        <v>T. Cạp</v>
      </c>
      <c r="E74" s="1165" t="s">
        <v>28</v>
      </c>
      <c r="F74" s="1167"/>
      <c r="G74" s="254">
        <f t="shared" si="2"/>
        <v>0</v>
      </c>
      <c r="H74" s="254">
        <f>VLOOKUP(D74,TONGHOPCONGDOI!C69:AD94,16,0)</f>
        <v>1424</v>
      </c>
      <c r="I74" s="254">
        <f>VLOOKUP(D74,TONGHOPCONGDOI!C69:AD94,18,0)</f>
        <v>0</v>
      </c>
      <c r="J74" s="254"/>
      <c r="K74" s="668">
        <f t="shared" si="7"/>
        <v>660.33035082380661</v>
      </c>
      <c r="L74" s="669" t="str">
        <f>VLOOKUP(D74,'BTH mủ tạp'!$D$17:$AN$95,37,0)</f>
        <v>A</v>
      </c>
      <c r="M74" s="670">
        <f t="shared" si="3"/>
        <v>2694098</v>
      </c>
      <c r="N74" s="671">
        <f>VLOOKUP(D74,TONGHOPCONGDOI!$C$11:$AD$93,20,0)</f>
        <v>18</v>
      </c>
      <c r="O74" s="671">
        <f>VLOOKUP(D74,TONGHOPCONGDOI!$C$11:$AD$93,21,0)</f>
        <v>4</v>
      </c>
      <c r="P74" s="671">
        <f>VLOOKUP(D74,TONGHOPCONGDOI!$C$11:$AC$93,22,0)</f>
        <v>0</v>
      </c>
      <c r="Q74" s="671">
        <f>VLOOKUP(D74,TONGHOPCONGDOI!$C$11:$AC$94,23,0)</f>
        <v>0</v>
      </c>
      <c r="R74" s="671">
        <f>VLOOKUP(D74,TONGHOPCONGDOI!$C$11:$AC$94,24,0)</f>
        <v>0</v>
      </c>
      <c r="S74" s="671">
        <f>VLOOKUP(D74,TONGHOPCONGDOI!$C$11:$AC$94,25,0)</f>
        <v>0</v>
      </c>
      <c r="T74" s="671"/>
      <c r="U74" s="1168"/>
      <c r="V74" s="1168"/>
      <c r="W74" s="1168"/>
      <c r="X74" s="671">
        <f t="shared" si="5"/>
        <v>760739</v>
      </c>
      <c r="Y74" s="671">
        <f t="shared" si="8"/>
        <v>3454837</v>
      </c>
      <c r="Z74" s="254"/>
      <c r="AA74" s="673">
        <f t="shared" si="6"/>
        <v>3454837</v>
      </c>
      <c r="AB74" s="254"/>
      <c r="AC74" s="672"/>
      <c r="AD74" s="1169"/>
      <c r="AE74" s="1161"/>
      <c r="AF74" s="1161"/>
      <c r="AG74" s="1161"/>
      <c r="AH74" s="1161"/>
      <c r="AI74" s="1161"/>
      <c r="AJ74" s="1161"/>
      <c r="AK74" s="1161"/>
      <c r="AL74" s="1161"/>
    </row>
    <row r="75" spans="1:38" s="1162" customFormat="1" ht="33" customHeight="1">
      <c r="A75" s="1164">
        <v>60</v>
      </c>
      <c r="B75" s="1165">
        <v>60</v>
      </c>
      <c r="C75" s="1165" t="str">
        <f>'Chấm công KT'!C72</f>
        <v>04066</v>
      </c>
      <c r="D75" s="1166" t="str">
        <f>TONGHOPCONGDOI!C70</f>
        <v>T. Toi</v>
      </c>
      <c r="E75" s="1165" t="s">
        <v>28</v>
      </c>
      <c r="F75" s="1167"/>
      <c r="G75" s="254">
        <f t="shared" si="2"/>
        <v>0</v>
      </c>
      <c r="H75" s="254">
        <f>VLOOKUP(D75,TONGHOPCONGDOI!C70:AD94,16,0)</f>
        <v>2224</v>
      </c>
      <c r="I75" s="254">
        <f>VLOOKUP(D75,TONGHOPCONGDOI!C70:AD94,18,0)</f>
        <v>0</v>
      </c>
      <c r="J75" s="254"/>
      <c r="K75" s="668">
        <f t="shared" si="7"/>
        <v>1031.3024580281924</v>
      </c>
      <c r="L75" s="669" t="str">
        <f>VLOOKUP(D75,'BTH mủ tạp'!$D$17:$AN$95,37,0)</f>
        <v>A</v>
      </c>
      <c r="M75" s="670">
        <f t="shared" si="3"/>
        <v>4207636</v>
      </c>
      <c r="N75" s="671">
        <f>VLOOKUP(D75,TONGHOPCONGDOI!$C$11:$AD$93,20,0)</f>
        <v>20</v>
      </c>
      <c r="O75" s="671">
        <f>VLOOKUP(D75,TONGHOPCONGDOI!$C$11:$AD$93,21,0)</f>
        <v>4</v>
      </c>
      <c r="P75" s="671">
        <f>VLOOKUP(D75,TONGHOPCONGDOI!$C$11:$AC$93,22,0)</f>
        <v>0</v>
      </c>
      <c r="Q75" s="671">
        <f>VLOOKUP(D75,TONGHOPCONGDOI!$C$11:$AC$94,23,0)</f>
        <v>0</v>
      </c>
      <c r="R75" s="671">
        <f>VLOOKUP(D75,TONGHOPCONGDOI!$C$11:$AC$94,24,0)</f>
        <v>0</v>
      </c>
      <c r="S75" s="671">
        <f>VLOOKUP(D75,TONGHOPCONGDOI!$C$11:$AC$94,25,0)</f>
        <v>0</v>
      </c>
      <c r="T75" s="671"/>
      <c r="U75" s="1168"/>
      <c r="V75" s="1168"/>
      <c r="W75" s="1168"/>
      <c r="X75" s="671">
        <f t="shared" si="5"/>
        <v>822406</v>
      </c>
      <c r="Y75" s="671">
        <f t="shared" si="8"/>
        <v>5030042</v>
      </c>
      <c r="Z75" s="254"/>
      <c r="AA75" s="673">
        <f t="shared" si="6"/>
        <v>5030042</v>
      </c>
      <c r="AB75" s="254"/>
      <c r="AC75" s="672"/>
      <c r="AD75" s="1169"/>
      <c r="AE75" s="1161"/>
      <c r="AF75" s="1161"/>
      <c r="AG75" s="1161"/>
      <c r="AH75" s="1161"/>
      <c r="AI75" s="1161"/>
      <c r="AJ75" s="1161"/>
      <c r="AK75" s="1161"/>
      <c r="AL75" s="1161"/>
    </row>
    <row r="76" spans="1:38" s="1162" customFormat="1" ht="33" customHeight="1">
      <c r="A76" s="1164">
        <v>61</v>
      </c>
      <c r="B76" s="1165">
        <v>61</v>
      </c>
      <c r="C76" s="1165" t="str">
        <f>'Chấm công KT'!C73</f>
        <v>03506</v>
      </c>
      <c r="D76" s="1166" t="str">
        <f>TONGHOPCONGDOI!C71</f>
        <v>N. Bua Hom</v>
      </c>
      <c r="E76" s="1165" t="s">
        <v>28</v>
      </c>
      <c r="F76" s="1167"/>
      <c r="G76" s="254">
        <f t="shared" si="2"/>
        <v>0</v>
      </c>
      <c r="H76" s="254">
        <f>VLOOKUP(D76,TONGHOPCONGDOI!C71:AD94,16,0)</f>
        <v>2727</v>
      </c>
      <c r="I76" s="254">
        <f>VLOOKUP(D76,TONGHOPCONGDOI!C71:AD94,18,0)</f>
        <v>0</v>
      </c>
      <c r="J76" s="254"/>
      <c r="K76" s="668">
        <f t="shared" si="7"/>
        <v>1264.5511704329499</v>
      </c>
      <c r="L76" s="669" t="str">
        <f>VLOOKUP(D76,'BTH mủ tạp'!$D$17:$AN$95,37,0)</f>
        <v>A</v>
      </c>
      <c r="M76" s="670">
        <f t="shared" si="3"/>
        <v>5159273</v>
      </c>
      <c r="N76" s="671">
        <f>VLOOKUP(D76,TONGHOPCONGDOI!$C$11:$AD$93,20,0)</f>
        <v>22</v>
      </c>
      <c r="O76" s="671">
        <f>VLOOKUP(D76,TONGHOPCONGDOI!$C$11:$AD$93,21,0)</f>
        <v>4</v>
      </c>
      <c r="P76" s="671">
        <f>VLOOKUP(D76,TONGHOPCONGDOI!$C$11:$AC$93,22,0)</f>
        <v>0</v>
      </c>
      <c r="Q76" s="671">
        <f>VLOOKUP(D76,TONGHOPCONGDOI!$C$11:$AC$94,23,0)</f>
        <v>0</v>
      </c>
      <c r="R76" s="671">
        <f>VLOOKUP(D76,TONGHOPCONGDOI!$C$11:$AC$94,24,0)</f>
        <v>0</v>
      </c>
      <c r="S76" s="671">
        <f>VLOOKUP(D76,TONGHOPCONGDOI!$C$11:$AC$94,25,0)</f>
        <v>0</v>
      </c>
      <c r="T76" s="671"/>
      <c r="U76" s="1168"/>
      <c r="V76" s="1168"/>
      <c r="W76" s="1168"/>
      <c r="X76" s="671">
        <f t="shared" si="5"/>
        <v>884073</v>
      </c>
      <c r="Y76" s="671">
        <f t="shared" si="8"/>
        <v>6043346</v>
      </c>
      <c r="Z76" s="254"/>
      <c r="AA76" s="673">
        <f t="shared" si="6"/>
        <v>6043346</v>
      </c>
      <c r="AB76" s="254"/>
      <c r="AC76" s="672"/>
      <c r="AD76" s="1169"/>
      <c r="AE76" s="1161"/>
      <c r="AF76" s="1161"/>
      <c r="AG76" s="1161"/>
      <c r="AH76" s="1161"/>
      <c r="AI76" s="1161"/>
      <c r="AJ76" s="1161"/>
      <c r="AK76" s="1161"/>
      <c r="AL76" s="1161"/>
    </row>
    <row r="77" spans="1:38" s="1162" customFormat="1" ht="33" customHeight="1">
      <c r="A77" s="1164">
        <v>62</v>
      </c>
      <c r="B77" s="1165">
        <v>62</v>
      </c>
      <c r="C77" s="1165" t="str">
        <f>'Chấm công KT'!C74</f>
        <v>04067</v>
      </c>
      <c r="D77" s="1166" t="str">
        <f>TONGHOPCONGDOI!C72</f>
        <v>N. Lăm Phay (2)</v>
      </c>
      <c r="E77" s="1165" t="s">
        <v>28</v>
      </c>
      <c r="F77" s="1167"/>
      <c r="G77" s="254">
        <f t="shared" si="2"/>
        <v>0</v>
      </c>
      <c r="H77" s="254">
        <f>VLOOKUP(D77,TONGHOPCONGDOI!C72:AD94,16,0)</f>
        <v>2232</v>
      </c>
      <c r="I77" s="254">
        <f>VLOOKUP(D77,TONGHOPCONGDOI!C72:AD94,18,0)</f>
        <v>0</v>
      </c>
      <c r="J77" s="254"/>
      <c r="K77" s="668">
        <f t="shared" si="7"/>
        <v>1035.0121791002364</v>
      </c>
      <c r="L77" s="669" t="str">
        <f>VLOOKUP(D77,'BTH mủ tạp'!$D$17:$AN$95,37,0)</f>
        <v>A</v>
      </c>
      <c r="M77" s="670">
        <f t="shared" si="3"/>
        <v>4222771</v>
      </c>
      <c r="N77" s="671">
        <f>VLOOKUP(D77,TONGHOPCONGDOI!$C$11:$AD$93,20,0)</f>
        <v>20</v>
      </c>
      <c r="O77" s="671">
        <f>VLOOKUP(D77,TONGHOPCONGDOI!$C$11:$AD$93,21,0)</f>
        <v>5</v>
      </c>
      <c r="P77" s="671">
        <f>VLOOKUP(D77,TONGHOPCONGDOI!$C$11:$AC$93,22,0)</f>
        <v>0</v>
      </c>
      <c r="Q77" s="671">
        <f>VLOOKUP(D77,TONGHOPCONGDOI!$C$11:$AC$94,23,0)</f>
        <v>0</v>
      </c>
      <c r="R77" s="671">
        <f>VLOOKUP(D77,TONGHOPCONGDOI!$C$11:$AC$94,24,0)</f>
        <v>0</v>
      </c>
      <c r="S77" s="671">
        <f>VLOOKUP(D77,TONGHOPCONGDOI!$C$11:$AC$94,25,0)</f>
        <v>0</v>
      </c>
      <c r="T77" s="671"/>
      <c r="U77" s="1168"/>
      <c r="V77" s="1168"/>
      <c r="W77" s="1168"/>
      <c r="X77" s="671">
        <f t="shared" si="5"/>
        <v>873839</v>
      </c>
      <c r="Y77" s="671">
        <f t="shared" si="8"/>
        <v>5096610</v>
      </c>
      <c r="Z77" s="254"/>
      <c r="AA77" s="673">
        <f t="shared" si="6"/>
        <v>5096610</v>
      </c>
      <c r="AB77" s="254"/>
      <c r="AC77" s="672"/>
      <c r="AD77" s="1169"/>
      <c r="AE77" s="1161"/>
      <c r="AF77" s="1161"/>
      <c r="AG77" s="1161"/>
      <c r="AH77" s="1161"/>
      <c r="AI77" s="1161"/>
      <c r="AJ77" s="1161"/>
      <c r="AK77" s="1161"/>
      <c r="AL77" s="1161"/>
    </row>
    <row r="78" spans="1:38" s="1162" customFormat="1" ht="33" customHeight="1">
      <c r="A78" s="1164">
        <v>63</v>
      </c>
      <c r="B78" s="1165">
        <v>63</v>
      </c>
      <c r="C78" s="1165" t="str">
        <f>'Chấm công KT'!C75</f>
        <v>03508</v>
      </c>
      <c r="D78" s="1166" t="str">
        <f>TONGHOPCONGDOI!C73</f>
        <v>T. Đèng</v>
      </c>
      <c r="E78" s="1165" t="s">
        <v>28</v>
      </c>
      <c r="F78" s="1167"/>
      <c r="G78" s="254">
        <f t="shared" si="2"/>
        <v>0</v>
      </c>
      <c r="H78" s="254">
        <f>VLOOKUP(D78,TONGHOPCONGDOI!C73:AD94,16,0)</f>
        <v>1321</v>
      </c>
      <c r="I78" s="254">
        <f>VLOOKUP(D78,TONGHOPCONGDOI!C73:AD94,18,0)</f>
        <v>0</v>
      </c>
      <c r="J78" s="254"/>
      <c r="K78" s="668">
        <f t="shared" si="7"/>
        <v>612.56769202124201</v>
      </c>
      <c r="L78" s="669" t="str">
        <f>VLOOKUP(D78,'BTH mủ tạp'!$D$17:$AN$95,37,0)</f>
        <v>B</v>
      </c>
      <c r="M78" s="670">
        <f t="shared" si="3"/>
        <v>2376317</v>
      </c>
      <c r="N78" s="671">
        <f>VLOOKUP(D78,TONGHOPCONGDOI!$C$11:$AD$93,20,0)</f>
        <v>24</v>
      </c>
      <c r="O78" s="671">
        <f>VLOOKUP(D78,TONGHOPCONGDOI!$C$11:$AD$93,21,0)</f>
        <v>5</v>
      </c>
      <c r="P78" s="671">
        <f>VLOOKUP(D78,TONGHOPCONGDOI!$C$11:$AC$93,22,0)</f>
        <v>0</v>
      </c>
      <c r="Q78" s="671">
        <f>VLOOKUP(D78,TONGHOPCONGDOI!$C$11:$AC$94,23,0)</f>
        <v>0</v>
      </c>
      <c r="R78" s="671">
        <f>VLOOKUP(D78,TONGHOPCONGDOI!$C$11:$AC$94,24,0)</f>
        <v>0</v>
      </c>
      <c r="S78" s="671">
        <f>VLOOKUP(D78,TONGHOPCONGDOI!$C$11:$AC$94,25,0)</f>
        <v>0</v>
      </c>
      <c r="T78" s="671"/>
      <c r="U78" s="1168"/>
      <c r="V78" s="1168"/>
      <c r="W78" s="1168"/>
      <c r="X78" s="671">
        <f t="shared" si="5"/>
        <v>997174</v>
      </c>
      <c r="Y78" s="671">
        <f t="shared" si="8"/>
        <v>3373491</v>
      </c>
      <c r="Z78" s="254"/>
      <c r="AA78" s="673">
        <f t="shared" si="6"/>
        <v>3373491</v>
      </c>
      <c r="AB78" s="254"/>
      <c r="AC78" s="672"/>
      <c r="AD78" s="1169"/>
      <c r="AE78" s="1161"/>
      <c r="AF78" s="1161"/>
      <c r="AG78" s="1161"/>
      <c r="AH78" s="1161"/>
      <c r="AI78" s="1161"/>
      <c r="AJ78" s="1161"/>
      <c r="AK78" s="1161"/>
      <c r="AL78" s="1161"/>
    </row>
    <row r="79" spans="1:38" s="1162" customFormat="1" ht="33" customHeight="1">
      <c r="A79" s="1164">
        <v>64</v>
      </c>
      <c r="B79" s="1165">
        <v>64</v>
      </c>
      <c r="C79" s="1165" t="str">
        <f>'Chấm công KT'!C76</f>
        <v>03512</v>
      </c>
      <c r="D79" s="1166" t="str">
        <f>TONGHOPCONGDOI!C74</f>
        <v>N. Đon</v>
      </c>
      <c r="E79" s="1165" t="s">
        <v>28</v>
      </c>
      <c r="F79" s="1167"/>
      <c r="G79" s="254">
        <f t="shared" si="2"/>
        <v>0</v>
      </c>
      <c r="H79" s="254">
        <f>VLOOKUP(D79,TONGHOPCONGDOI!C74:AD94,16,0)</f>
        <v>1835</v>
      </c>
      <c r="I79" s="254">
        <f>VLOOKUP(D79,TONGHOPCONGDOI!C74:AD94,18,0)</f>
        <v>0</v>
      </c>
      <c r="J79" s="254"/>
      <c r="K79" s="668">
        <f t="shared" si="7"/>
        <v>850.91727090005986</v>
      </c>
      <c r="L79" s="669" t="str">
        <f>VLOOKUP(D79,'BTH mủ tạp'!$D$17:$AN$95,37,0)</f>
        <v>A</v>
      </c>
      <c r="M79" s="670">
        <f t="shared" si="3"/>
        <v>3471678</v>
      </c>
      <c r="N79" s="671">
        <f>VLOOKUP(D79,TONGHOPCONGDOI!$C$11:$AD$93,20,0)</f>
        <v>22</v>
      </c>
      <c r="O79" s="671">
        <f>VLOOKUP(D79,TONGHOPCONGDOI!$C$11:$AD$93,21,0)</f>
        <v>4</v>
      </c>
      <c r="P79" s="671">
        <f>VLOOKUP(D79,TONGHOPCONGDOI!$C$11:$AC$93,22,0)</f>
        <v>0</v>
      </c>
      <c r="Q79" s="671">
        <f>VLOOKUP(D79,TONGHOPCONGDOI!$C$11:$AC$94,23,0)</f>
        <v>0</v>
      </c>
      <c r="R79" s="671">
        <f>VLOOKUP(D79,TONGHOPCONGDOI!$C$11:$AC$94,24,0)</f>
        <v>0</v>
      </c>
      <c r="S79" s="671">
        <f>VLOOKUP(D79,TONGHOPCONGDOI!$C$11:$AC$94,25,0)</f>
        <v>0</v>
      </c>
      <c r="T79" s="671"/>
      <c r="U79" s="1168"/>
      <c r="V79" s="1168"/>
      <c r="W79" s="1168"/>
      <c r="X79" s="671">
        <f t="shared" si="5"/>
        <v>884073</v>
      </c>
      <c r="Y79" s="671">
        <f t="shared" si="8"/>
        <v>4355751</v>
      </c>
      <c r="Z79" s="254"/>
      <c r="AA79" s="673">
        <f t="shared" si="6"/>
        <v>4355751</v>
      </c>
      <c r="AB79" s="254"/>
      <c r="AC79" s="672"/>
      <c r="AD79" s="1169"/>
      <c r="AE79" s="1161"/>
      <c r="AF79" s="1161"/>
      <c r="AG79" s="1161"/>
      <c r="AH79" s="1161"/>
      <c r="AI79" s="1161"/>
      <c r="AJ79" s="1161"/>
      <c r="AK79" s="1161"/>
      <c r="AL79" s="1161"/>
    </row>
    <row r="80" spans="1:38" s="1162" customFormat="1" ht="33" customHeight="1">
      <c r="A80" s="1164">
        <v>65</v>
      </c>
      <c r="B80" s="1165">
        <v>65</v>
      </c>
      <c r="C80" s="1165" t="str">
        <f>'Chấm công KT'!C77</f>
        <v>04068</v>
      </c>
      <c r="D80" s="1166" t="str">
        <f>TONGHOPCONGDOI!C75</f>
        <v xml:space="preserve">T. La </v>
      </c>
      <c r="E80" s="1165" t="s">
        <v>28</v>
      </c>
      <c r="F80" s="1167"/>
      <c r="G80" s="254">
        <f t="shared" si="2"/>
        <v>0</v>
      </c>
      <c r="H80" s="254">
        <f>VLOOKUP(D80,TONGHOPCONGDOI!C75:AD94,16,0)</f>
        <v>1285</v>
      </c>
      <c r="I80" s="254">
        <f>VLOOKUP(D80,TONGHOPCONGDOI!C75:AD94,18,0)</f>
        <v>0</v>
      </c>
      <c r="J80" s="254"/>
      <c r="K80" s="668">
        <f t="shared" ref="K80:K96" si="9">$AF$8/$AF$7*H80+I80*$AF$9+J80*$AF$10</f>
        <v>595.87394719704457</v>
      </c>
      <c r="L80" s="669" t="str">
        <f>VLOOKUP(D80,'BTH mủ tạp'!$D$17:$AN$95,37,0)</f>
        <v>B</v>
      </c>
      <c r="M80" s="670">
        <f t="shared" si="3"/>
        <v>2311557</v>
      </c>
      <c r="N80" s="671">
        <f>VLOOKUP(D80,TONGHOPCONGDOI!$C$11:$AD$93,20,0)</f>
        <v>20</v>
      </c>
      <c r="O80" s="671">
        <f>VLOOKUP(D80,TONGHOPCONGDOI!$C$11:$AD$93,21,0)</f>
        <v>4</v>
      </c>
      <c r="P80" s="671">
        <f>VLOOKUP(D80,TONGHOPCONGDOI!$C$11:$AC$93,22,0)</f>
        <v>0</v>
      </c>
      <c r="Q80" s="671">
        <f>VLOOKUP(D80,TONGHOPCONGDOI!$C$11:$AC$94,23,0)</f>
        <v>0</v>
      </c>
      <c r="R80" s="671">
        <f>VLOOKUP(D80,TONGHOPCONGDOI!$C$11:$AC$94,24,0)</f>
        <v>0</v>
      </c>
      <c r="S80" s="671">
        <f>VLOOKUP(D80,TONGHOPCONGDOI!$C$11:$AC$94,25,0)</f>
        <v>0</v>
      </c>
      <c r="T80" s="671"/>
      <c r="U80" s="1168"/>
      <c r="V80" s="1168"/>
      <c r="W80" s="1168"/>
      <c r="X80" s="671">
        <f t="shared" si="5"/>
        <v>822406</v>
      </c>
      <c r="Y80" s="671">
        <f t="shared" ref="Y80:Y98" si="10">G80+M80+X80</f>
        <v>3133963</v>
      </c>
      <c r="Z80" s="254"/>
      <c r="AA80" s="673">
        <f t="shared" si="6"/>
        <v>3133963</v>
      </c>
      <c r="AB80" s="254"/>
      <c r="AC80" s="672"/>
      <c r="AD80" s="1169"/>
      <c r="AE80" s="1161"/>
      <c r="AF80" s="1161"/>
      <c r="AG80" s="1161"/>
      <c r="AH80" s="1161"/>
      <c r="AI80" s="1161"/>
      <c r="AJ80" s="1161"/>
      <c r="AK80" s="1161"/>
      <c r="AL80" s="1161"/>
    </row>
    <row r="81" spans="1:38" s="1162" customFormat="1" ht="33" customHeight="1">
      <c r="A81" s="1164">
        <v>66</v>
      </c>
      <c r="B81" s="1165">
        <v>66</v>
      </c>
      <c r="C81" s="1165" t="str">
        <f>'Chấm công KT'!C78</f>
        <v>04069</v>
      </c>
      <c r="D81" s="1166" t="str">
        <f>TONGHOPCONGDOI!C76</f>
        <v>T. Bờm</v>
      </c>
      <c r="E81" s="1165" t="s">
        <v>28</v>
      </c>
      <c r="F81" s="1167"/>
      <c r="G81" s="254">
        <f t="shared" ref="G81:G88" si="11">F81*25000</f>
        <v>0</v>
      </c>
      <c r="H81" s="254">
        <f>VLOOKUP(D81,TONGHOPCONGDOI!C76:AD94,16,0)</f>
        <v>1785</v>
      </c>
      <c r="I81" s="254">
        <f>VLOOKUP(D81,TONGHOPCONGDOI!C76:AD94,18,0)</f>
        <v>0</v>
      </c>
      <c r="J81" s="254"/>
      <c r="K81" s="668">
        <f t="shared" si="9"/>
        <v>827.73151419978569</v>
      </c>
      <c r="L81" s="669" t="str">
        <f>VLOOKUP(D81,'BTH mủ tạp'!$D$17:$AN$95,37,0)</f>
        <v>B</v>
      </c>
      <c r="M81" s="670">
        <f t="shared" ref="M81:M88" si="12">ROUND((IF(L81="A",(H81*$X$11*6.1),IF(L81="B",(H81*$X$11*5.8),IF(L81="C",(H81*$X$11*5.5),IF(L81="C.",(H81*$X$11*5.5),IF(L81="D",(H81*$X$11*5.2),0)))))*$F$11+(I81*$AF$9*$F$11*6.1)+J81*$F$11*$AF$10*6.1),0)</f>
        <v>3210996</v>
      </c>
      <c r="N81" s="671">
        <f>VLOOKUP(D81,TONGHOPCONGDOI!$C$11:$AD$93,20,0)</f>
        <v>22</v>
      </c>
      <c r="O81" s="671">
        <f>VLOOKUP(D81,TONGHOPCONGDOI!$C$11:$AD$93,21,0)</f>
        <v>4</v>
      </c>
      <c r="P81" s="671">
        <f>VLOOKUP(D81,TONGHOPCONGDOI!$C$11:$AC$93,22,0)</f>
        <v>0</v>
      </c>
      <c r="Q81" s="671">
        <f>VLOOKUP(D81,TONGHOPCONGDOI!$C$11:$AC$94,23,0)</f>
        <v>0</v>
      </c>
      <c r="R81" s="671">
        <f>VLOOKUP(D81,TONGHOPCONGDOI!$C$11:$AC$94,24,0)</f>
        <v>0</v>
      </c>
      <c r="S81" s="671">
        <f>VLOOKUP(D81,TONGHOPCONGDOI!$C$11:$AC$94,25,0)</f>
        <v>0</v>
      </c>
      <c r="T81" s="671"/>
      <c r="U81" s="1168"/>
      <c r="V81" s="1168"/>
      <c r="W81" s="1168"/>
      <c r="X81" s="671">
        <f t="shared" si="5"/>
        <v>884073</v>
      </c>
      <c r="Y81" s="671">
        <f t="shared" si="10"/>
        <v>4095069</v>
      </c>
      <c r="Z81" s="254"/>
      <c r="AA81" s="673">
        <f t="shared" si="6"/>
        <v>4095069</v>
      </c>
      <c r="AB81" s="254"/>
      <c r="AC81" s="672"/>
      <c r="AD81" s="1169"/>
      <c r="AE81" s="1161"/>
      <c r="AF81" s="1161"/>
      <c r="AG81" s="1161"/>
      <c r="AH81" s="1161"/>
      <c r="AI81" s="1161"/>
      <c r="AJ81" s="1161"/>
      <c r="AK81" s="1161"/>
      <c r="AL81" s="1161"/>
    </row>
    <row r="82" spans="1:38" s="1162" customFormat="1" ht="33" customHeight="1">
      <c r="A82" s="1164">
        <v>67</v>
      </c>
      <c r="B82" s="1165">
        <v>67</v>
      </c>
      <c r="C82" s="1165" t="str">
        <f>'Chấm công KT'!C79</f>
        <v>03546</v>
      </c>
      <c r="D82" s="1166" t="str">
        <f>TONGHOPCONGDOI!C77</f>
        <v>T. Nọi</v>
      </c>
      <c r="E82" s="1165" t="s">
        <v>28</v>
      </c>
      <c r="F82" s="1167"/>
      <c r="G82" s="254">
        <f t="shared" si="11"/>
        <v>0</v>
      </c>
      <c r="H82" s="254">
        <f>VLOOKUP(D82,TONGHOPCONGDOI!C77:AD94,16,0)</f>
        <v>1792</v>
      </c>
      <c r="I82" s="254">
        <f>VLOOKUP(D82,TONGHOPCONGDOI!C77:AD94,18,0)</f>
        <v>0</v>
      </c>
      <c r="J82" s="254"/>
      <c r="K82" s="668">
        <f t="shared" si="9"/>
        <v>830.97752013782406</v>
      </c>
      <c r="L82" s="669" t="str">
        <f>VLOOKUP(D82,'BTH mủ tạp'!$D$17:$AN$95,37,0)</f>
        <v>A</v>
      </c>
      <c r="M82" s="670">
        <f t="shared" si="12"/>
        <v>3390325</v>
      </c>
      <c r="N82" s="671">
        <f>VLOOKUP(D82,TONGHOPCONGDOI!$C$11:$AD$93,20,0)</f>
        <v>23</v>
      </c>
      <c r="O82" s="671">
        <f>VLOOKUP(D82,TONGHOPCONGDOI!$C$11:$AD$93,21,0)</f>
        <v>5</v>
      </c>
      <c r="P82" s="671">
        <f>VLOOKUP(D82,TONGHOPCONGDOI!$C$11:$AC$93,22,0)</f>
        <v>0</v>
      </c>
      <c r="Q82" s="671">
        <f>VLOOKUP(D82,TONGHOPCONGDOI!$C$11:$AC$94,23,0)</f>
        <v>0</v>
      </c>
      <c r="R82" s="671">
        <f>VLOOKUP(D82,TONGHOPCONGDOI!$C$11:$AC$94,24,0)</f>
        <v>0</v>
      </c>
      <c r="S82" s="671">
        <f>VLOOKUP(D82,TONGHOPCONGDOI!$C$11:$AC$94,25,0)</f>
        <v>0</v>
      </c>
      <c r="T82" s="671"/>
      <c r="U82" s="1168"/>
      <c r="V82" s="1168"/>
      <c r="W82" s="1168"/>
      <c r="X82" s="671">
        <f t="shared" ref="X82:X97" si="13">ROUND(((N82*46.1)+(O82*76.9)+(P82*92.2)+(Q82*153.8)+(R82*92.2)+(S82*153.8))*$F$11+(T82*25000)+(U82*10000)+(V82*30000),0)</f>
        <v>966340</v>
      </c>
      <c r="Y82" s="671">
        <f t="shared" si="10"/>
        <v>4356665</v>
      </c>
      <c r="Z82" s="254"/>
      <c r="AA82" s="673">
        <f t="shared" ref="AA82:AA88" si="14">Y82-Z82</f>
        <v>4356665</v>
      </c>
      <c r="AB82" s="254"/>
      <c r="AC82" s="672"/>
      <c r="AD82" s="1169"/>
      <c r="AE82" s="1161"/>
      <c r="AF82" s="1161"/>
      <c r="AG82" s="1161"/>
      <c r="AH82" s="1161"/>
      <c r="AI82" s="1161"/>
      <c r="AJ82" s="1161"/>
      <c r="AK82" s="1161"/>
      <c r="AL82" s="1161"/>
    </row>
    <row r="83" spans="1:38" s="1162" customFormat="1" ht="33" customHeight="1">
      <c r="A83" s="1164">
        <v>68</v>
      </c>
      <c r="B83" s="1165">
        <v>68</v>
      </c>
      <c r="C83" s="1165" t="str">
        <f>'Chấm công KT'!C80</f>
        <v>03571</v>
      </c>
      <c r="D83" s="1166" t="str">
        <f>TONGHOPCONGDOI!C78</f>
        <v>T. Ê</v>
      </c>
      <c r="E83" s="1165" t="s">
        <v>28</v>
      </c>
      <c r="F83" s="1167"/>
      <c r="G83" s="254">
        <f t="shared" si="11"/>
        <v>0</v>
      </c>
      <c r="H83" s="254">
        <f>VLOOKUP(D83,TONGHOPCONGDOI!C78:AD94,16,0)</f>
        <v>1301</v>
      </c>
      <c r="I83" s="254">
        <f>VLOOKUP(D83,TONGHOPCONGDOI!C78:AD94,18,0)</f>
        <v>0</v>
      </c>
      <c r="J83" s="254"/>
      <c r="K83" s="668">
        <f t="shared" si="9"/>
        <v>603.2933893411323</v>
      </c>
      <c r="L83" s="669" t="str">
        <f>VLOOKUP(D83,'BTH mủ tạp'!$D$17:$AN$95,37,0)</f>
        <v>B</v>
      </c>
      <c r="M83" s="670">
        <f t="shared" si="12"/>
        <v>2340339</v>
      </c>
      <c r="N83" s="671">
        <f>VLOOKUP(D83,TONGHOPCONGDOI!$C$11:$AD$93,20,0)</f>
        <v>22</v>
      </c>
      <c r="O83" s="671">
        <f>VLOOKUP(D83,TONGHOPCONGDOI!$C$11:$AD$93,21,0)</f>
        <v>5</v>
      </c>
      <c r="P83" s="671">
        <f>VLOOKUP(D83,TONGHOPCONGDOI!$C$11:$AC$93,22,0)</f>
        <v>0</v>
      </c>
      <c r="Q83" s="671">
        <f>VLOOKUP(D83,TONGHOPCONGDOI!$C$11:$AC$94,23,0)</f>
        <v>0</v>
      </c>
      <c r="R83" s="671">
        <f>VLOOKUP(D83,TONGHOPCONGDOI!$C$11:$AC$94,24,0)</f>
        <v>0</v>
      </c>
      <c r="S83" s="671">
        <f>VLOOKUP(D83,TONGHOPCONGDOI!$C$11:$AC$94,25,0)</f>
        <v>0</v>
      </c>
      <c r="T83" s="671"/>
      <c r="U83" s="1168"/>
      <c r="V83" s="1168"/>
      <c r="W83" s="1168"/>
      <c r="X83" s="671">
        <f t="shared" si="13"/>
        <v>935507</v>
      </c>
      <c r="Y83" s="671">
        <f t="shared" si="10"/>
        <v>3275846</v>
      </c>
      <c r="Z83" s="254"/>
      <c r="AA83" s="673">
        <f t="shared" si="14"/>
        <v>3275846</v>
      </c>
      <c r="AB83" s="254"/>
      <c r="AC83" s="672"/>
      <c r="AD83" s="1169"/>
      <c r="AE83" s="1161"/>
      <c r="AF83" s="1161"/>
      <c r="AG83" s="1161"/>
      <c r="AH83" s="1161"/>
      <c r="AI83" s="1161"/>
      <c r="AJ83" s="1161"/>
      <c r="AK83" s="1161"/>
      <c r="AL83" s="1161"/>
    </row>
    <row r="84" spans="1:38" s="1162" customFormat="1" ht="33" customHeight="1">
      <c r="A84" s="1164">
        <v>69</v>
      </c>
      <c r="B84" s="1165">
        <v>69</v>
      </c>
      <c r="C84" s="1165" t="str">
        <f>'Chấm công KT'!C81</f>
        <v>04070</v>
      </c>
      <c r="D84" s="1166" t="str">
        <f>TONGHOPCONGDOI!C79</f>
        <v>T Bun</v>
      </c>
      <c r="E84" s="1165" t="s">
        <v>28</v>
      </c>
      <c r="F84" s="1167"/>
      <c r="G84" s="254">
        <f t="shared" si="11"/>
        <v>0</v>
      </c>
      <c r="H84" s="254">
        <f>VLOOKUP(D84,TONGHOPCONGDOI!C79:AD94,16,0)</f>
        <v>1568</v>
      </c>
      <c r="I84" s="254">
        <f>VLOOKUP(D84,TONGHOPCONGDOI!C79:AD94,18,0)</f>
        <v>0</v>
      </c>
      <c r="J84" s="254"/>
      <c r="K84" s="668">
        <f t="shared" si="9"/>
        <v>727.10533012059614</v>
      </c>
      <c r="L84" s="669" t="str">
        <f>VLOOKUP(D84,'BTH mủ tạp'!$D$17:$AN$95,37,0)</f>
        <v>A</v>
      </c>
      <c r="M84" s="670">
        <f t="shared" si="12"/>
        <v>2966534</v>
      </c>
      <c r="N84" s="671">
        <f>VLOOKUP(D84,TONGHOPCONGDOI!$C$11:$AD$93,20,0)</f>
        <v>18</v>
      </c>
      <c r="O84" s="671">
        <f>VLOOKUP(D84,TONGHOPCONGDOI!$C$11:$AD$93,21,0)</f>
        <v>5</v>
      </c>
      <c r="P84" s="671">
        <f>VLOOKUP(D84,TONGHOPCONGDOI!$C$11:$AC$93,22,0)</f>
        <v>0</v>
      </c>
      <c r="Q84" s="671">
        <f>VLOOKUP(D84,TONGHOPCONGDOI!$C$11:$AC$94,23,0)</f>
        <v>0</v>
      </c>
      <c r="R84" s="671">
        <f>VLOOKUP(D84,TONGHOPCONGDOI!$C$11:$AC$94,24,0)</f>
        <v>0</v>
      </c>
      <c r="S84" s="671">
        <f>VLOOKUP(D84,TONGHOPCONGDOI!$C$11:$AC$94,25,0)</f>
        <v>0</v>
      </c>
      <c r="T84" s="671"/>
      <c r="U84" s="1168"/>
      <c r="V84" s="1168"/>
      <c r="W84" s="1168"/>
      <c r="X84" s="671">
        <f t="shared" si="13"/>
        <v>812172</v>
      </c>
      <c r="Y84" s="671">
        <f t="shared" si="10"/>
        <v>3778706</v>
      </c>
      <c r="Z84" s="254"/>
      <c r="AA84" s="673">
        <f t="shared" si="14"/>
        <v>3778706</v>
      </c>
      <c r="AB84" s="254"/>
      <c r="AC84" s="672"/>
      <c r="AD84" s="1169"/>
      <c r="AE84" s="1161"/>
      <c r="AF84" s="1161"/>
      <c r="AG84" s="1161"/>
      <c r="AH84" s="1161"/>
      <c r="AI84" s="1161"/>
      <c r="AJ84" s="1161"/>
      <c r="AK84" s="1161"/>
      <c r="AL84" s="1161"/>
    </row>
    <row r="85" spans="1:38" s="1162" customFormat="1" ht="33" customHeight="1">
      <c r="A85" s="1164">
        <v>70</v>
      </c>
      <c r="B85" s="1165">
        <v>70</v>
      </c>
      <c r="C85" s="1165" t="str">
        <f>'Chấm công KT'!C82</f>
        <v>03515</v>
      </c>
      <c r="D85" s="1166" t="str">
        <f>TONGHOPCONGDOI!C80</f>
        <v>N. Xi</v>
      </c>
      <c r="E85" s="1165" t="s">
        <v>28</v>
      </c>
      <c r="F85" s="1167"/>
      <c r="G85" s="254">
        <f t="shared" si="11"/>
        <v>0</v>
      </c>
      <c r="H85" s="254">
        <f>VLOOKUP(D85,TONGHOPCONGDOI!C80:AD94,16,0)</f>
        <v>2427</v>
      </c>
      <c r="I85" s="254">
        <f>VLOOKUP(D85,TONGHOPCONGDOI!C80:AD94,18,0)</f>
        <v>0</v>
      </c>
      <c r="J85" s="254"/>
      <c r="K85" s="668">
        <f t="shared" si="9"/>
        <v>1125.4366302313053</v>
      </c>
      <c r="L85" s="669" t="str">
        <f>VLOOKUP(D85,'BTH mủ tạp'!$D$17:$AN$95,37,0)</f>
        <v>A</v>
      </c>
      <c r="M85" s="670">
        <f t="shared" si="12"/>
        <v>4591696</v>
      </c>
      <c r="N85" s="671">
        <f>VLOOKUP(D85,TONGHOPCONGDOI!$C$11:$AD$93,20,0)</f>
        <v>23</v>
      </c>
      <c r="O85" s="671">
        <f>VLOOKUP(D85,TONGHOPCONGDOI!$C$11:$AD$93,21,0)</f>
        <v>5</v>
      </c>
      <c r="P85" s="671">
        <f>VLOOKUP(D85,TONGHOPCONGDOI!$C$11:$AC$93,22,0)</f>
        <v>0</v>
      </c>
      <c r="Q85" s="671">
        <f>VLOOKUP(D85,TONGHOPCONGDOI!$C$11:$AC$94,23,0)</f>
        <v>0</v>
      </c>
      <c r="R85" s="671">
        <f>VLOOKUP(D85,TONGHOPCONGDOI!$C$11:$AC$94,24,0)</f>
        <v>0</v>
      </c>
      <c r="S85" s="671">
        <f>VLOOKUP(D85,TONGHOPCONGDOI!$C$11:$AC$94,25,0)</f>
        <v>0</v>
      </c>
      <c r="T85" s="671"/>
      <c r="U85" s="1168"/>
      <c r="V85" s="1168"/>
      <c r="W85" s="1168"/>
      <c r="X85" s="671">
        <f t="shared" si="13"/>
        <v>966340</v>
      </c>
      <c r="Y85" s="671">
        <f t="shared" si="10"/>
        <v>5558036</v>
      </c>
      <c r="Z85" s="254"/>
      <c r="AA85" s="673">
        <f t="shared" si="14"/>
        <v>5558036</v>
      </c>
      <c r="AB85" s="254"/>
      <c r="AC85" s="672"/>
      <c r="AD85" s="1169"/>
      <c r="AE85" s="1161"/>
      <c r="AF85" s="1161"/>
      <c r="AG85" s="1161"/>
      <c r="AH85" s="1161"/>
      <c r="AI85" s="1161"/>
      <c r="AJ85" s="1161"/>
      <c r="AK85" s="1161"/>
      <c r="AL85" s="1161"/>
    </row>
    <row r="86" spans="1:38" s="1162" customFormat="1" ht="33" customHeight="1">
      <c r="A86" s="1164">
        <v>71</v>
      </c>
      <c r="B86" s="1165">
        <v>71</v>
      </c>
      <c r="C86" s="1165" t="str">
        <f>'Chấm công KT'!C83</f>
        <v>03516</v>
      </c>
      <c r="D86" s="1166" t="str">
        <f>TONGHOPCONGDOI!C81</f>
        <v>N. Chay</v>
      </c>
      <c r="E86" s="1165" t="s">
        <v>28</v>
      </c>
      <c r="F86" s="1167"/>
      <c r="G86" s="254">
        <f t="shared" si="11"/>
        <v>0</v>
      </c>
      <c r="H86" s="254">
        <f>VLOOKUP(D86,TONGHOPCONGDOI!C81:AD94,16,0)</f>
        <v>1459</v>
      </c>
      <c r="I86" s="254">
        <f>VLOOKUP(D86,TONGHOPCONGDOI!C81:AD94,18,0)</f>
        <v>0</v>
      </c>
      <c r="J86" s="254"/>
      <c r="K86" s="668">
        <f t="shared" si="9"/>
        <v>676.56038051399855</v>
      </c>
      <c r="L86" s="669" t="str">
        <f>VLOOKUP(D86,'BTH mủ tạp'!$D$17:$AN$95,37,0)</f>
        <v>A</v>
      </c>
      <c r="M86" s="670">
        <f t="shared" si="12"/>
        <v>2760315</v>
      </c>
      <c r="N86" s="671">
        <f>VLOOKUP(D86,TONGHOPCONGDOI!$C$11:$AD$93,20,0)</f>
        <v>17</v>
      </c>
      <c r="O86" s="671">
        <f>VLOOKUP(D86,TONGHOPCONGDOI!$C$11:$AD$93,21,0)</f>
        <v>4</v>
      </c>
      <c r="P86" s="671">
        <f>VLOOKUP(D86,TONGHOPCONGDOI!$C$11:$AC$93,22,0)</f>
        <v>0</v>
      </c>
      <c r="Q86" s="671">
        <f>VLOOKUP(D86,TONGHOPCONGDOI!$C$11:$AC$94,23,0)</f>
        <v>0</v>
      </c>
      <c r="R86" s="671">
        <f>VLOOKUP(D86,TONGHOPCONGDOI!$C$11:$AC$94,24,0)</f>
        <v>0</v>
      </c>
      <c r="S86" s="671">
        <f>VLOOKUP(D86,TONGHOPCONGDOI!$C$11:$AC$94,25,0)</f>
        <v>0</v>
      </c>
      <c r="T86" s="671"/>
      <c r="U86" s="1168"/>
      <c r="V86" s="1168"/>
      <c r="W86" s="1168"/>
      <c r="X86" s="671">
        <f t="shared" si="13"/>
        <v>729905</v>
      </c>
      <c r="Y86" s="671">
        <f t="shared" si="10"/>
        <v>3490220</v>
      </c>
      <c r="Z86" s="254"/>
      <c r="AA86" s="673">
        <f t="shared" si="14"/>
        <v>3490220</v>
      </c>
      <c r="AB86" s="254"/>
      <c r="AC86" s="672"/>
      <c r="AD86" s="1169"/>
      <c r="AE86" s="1161"/>
      <c r="AF86" s="1161"/>
      <c r="AG86" s="1161"/>
      <c r="AH86" s="1161"/>
      <c r="AI86" s="1161"/>
      <c r="AJ86" s="1161"/>
      <c r="AK86" s="1161"/>
      <c r="AL86" s="1161"/>
    </row>
    <row r="87" spans="1:38" s="1162" customFormat="1" ht="33" customHeight="1">
      <c r="A87" s="1164">
        <v>72</v>
      </c>
      <c r="B87" s="1165">
        <v>72</v>
      </c>
      <c r="C87" s="1165" t="str">
        <f>'Chấm công KT'!C84</f>
        <v>03544</v>
      </c>
      <c r="D87" s="1166" t="str">
        <f>TONGHOPCONGDOI!C82</f>
        <v>T. Ta</v>
      </c>
      <c r="E87" s="1165" t="s">
        <v>28</v>
      </c>
      <c r="F87" s="1167"/>
      <c r="G87" s="254">
        <f t="shared" si="11"/>
        <v>0</v>
      </c>
      <c r="H87" s="254">
        <f>VLOOKUP(D87,TONGHOPCONGDOI!C82:AD94,16,0)</f>
        <v>1582</v>
      </c>
      <c r="I87" s="254">
        <f>VLOOKUP(D87,TONGHOPCONGDOI!C82:AD94,18,0)</f>
        <v>0</v>
      </c>
      <c r="J87" s="254"/>
      <c r="K87" s="668">
        <f t="shared" si="9"/>
        <v>733.59734199667287</v>
      </c>
      <c r="L87" s="669" t="str">
        <f>VLOOKUP(D87,'BTH mủ tạp'!$D$17:$AN$95,37,0)</f>
        <v>A</v>
      </c>
      <c r="M87" s="670">
        <f t="shared" si="12"/>
        <v>2993021</v>
      </c>
      <c r="N87" s="671">
        <f>VLOOKUP(D87,TONGHOPCONGDOI!$C$11:$AD$93,20,0)</f>
        <v>23</v>
      </c>
      <c r="O87" s="671">
        <f>VLOOKUP(D87,TONGHOPCONGDOI!$C$11:$AD$93,21,0)</f>
        <v>5</v>
      </c>
      <c r="P87" s="671">
        <f>VLOOKUP(D87,TONGHOPCONGDOI!$C$11:$AC$93,22,0)</f>
        <v>0</v>
      </c>
      <c r="Q87" s="671">
        <f>VLOOKUP(D87,TONGHOPCONGDOI!$C$11:$AC$94,23,0)</f>
        <v>0</v>
      </c>
      <c r="R87" s="671">
        <f>VLOOKUP(D87,TONGHOPCONGDOI!$C$11:$AC$94,24,0)</f>
        <v>0</v>
      </c>
      <c r="S87" s="671">
        <f>VLOOKUP(D87,TONGHOPCONGDOI!$C$11:$AC$94,25,0)</f>
        <v>0</v>
      </c>
      <c r="T87" s="671"/>
      <c r="U87" s="1168"/>
      <c r="V87" s="1168"/>
      <c r="W87" s="1168"/>
      <c r="X87" s="671">
        <f t="shared" si="13"/>
        <v>966340</v>
      </c>
      <c r="Y87" s="671">
        <f t="shared" si="10"/>
        <v>3959361</v>
      </c>
      <c r="Z87" s="254"/>
      <c r="AA87" s="673">
        <f t="shared" si="14"/>
        <v>3959361</v>
      </c>
      <c r="AB87" s="254"/>
      <c r="AC87" s="672"/>
      <c r="AD87" s="1169"/>
      <c r="AE87" s="1161"/>
      <c r="AF87" s="1161"/>
      <c r="AG87" s="1161"/>
      <c r="AH87" s="1161"/>
      <c r="AI87" s="1161"/>
      <c r="AJ87" s="1161"/>
      <c r="AK87" s="1161"/>
      <c r="AL87" s="1161"/>
    </row>
    <row r="88" spans="1:38" s="1162" customFormat="1" ht="33" customHeight="1">
      <c r="A88" s="1164">
        <v>73</v>
      </c>
      <c r="B88" s="1165">
        <v>73</v>
      </c>
      <c r="C88" s="1165" t="str">
        <f>'Chấm công KT'!C85</f>
        <v>04071</v>
      </c>
      <c r="D88" s="1166" t="str">
        <f>TONGHOPCONGDOI!C83</f>
        <v>T. Ne</v>
      </c>
      <c r="E88" s="1165" t="s">
        <v>28</v>
      </c>
      <c r="F88" s="1167"/>
      <c r="G88" s="254">
        <f t="shared" si="11"/>
        <v>0</v>
      </c>
      <c r="H88" s="254">
        <f>VLOOKUP(D88,TONGHOPCONGDOI!C83:AD94,16,0)</f>
        <v>1588</v>
      </c>
      <c r="I88" s="254">
        <f>VLOOKUP(D88,TONGHOPCONGDOI!C83:AD94,18,0)</f>
        <v>0</v>
      </c>
      <c r="J88" s="254"/>
      <c r="K88" s="668">
        <f t="shared" si="9"/>
        <v>736.37963280070574</v>
      </c>
      <c r="L88" s="669" t="str">
        <f>VLOOKUP(D88,'BTH mủ tạp'!$D$17:$AN$95,37,0)</f>
        <v>A</v>
      </c>
      <c r="M88" s="670">
        <f t="shared" si="12"/>
        <v>3004373</v>
      </c>
      <c r="N88" s="671">
        <f>VLOOKUP(D88,TONGHOPCONGDOI!$C$11:$AD$93,20,0)</f>
        <v>23</v>
      </c>
      <c r="O88" s="671">
        <f>VLOOKUP(D88,TONGHOPCONGDOI!$C$11:$AD$93,21,0)</f>
        <v>5</v>
      </c>
      <c r="P88" s="671">
        <f>VLOOKUP(D88,TONGHOPCONGDOI!$C$11:$AC$93,22,0)</f>
        <v>0</v>
      </c>
      <c r="Q88" s="671">
        <f>VLOOKUP(D88,TONGHOPCONGDOI!$C$11:$AC$94,23,0)</f>
        <v>0</v>
      </c>
      <c r="R88" s="671">
        <f>VLOOKUP(D88,TONGHOPCONGDOI!$C$11:$AC$94,24,0)</f>
        <v>0</v>
      </c>
      <c r="S88" s="671">
        <f>VLOOKUP(D88,TONGHOPCONGDOI!$C$11:$AC$94,25,0)</f>
        <v>0</v>
      </c>
      <c r="T88" s="671"/>
      <c r="U88" s="1168"/>
      <c r="V88" s="1168"/>
      <c r="W88" s="1168"/>
      <c r="X88" s="671">
        <f t="shared" si="13"/>
        <v>966340</v>
      </c>
      <c r="Y88" s="671">
        <f t="shared" si="10"/>
        <v>3970713</v>
      </c>
      <c r="Z88" s="254"/>
      <c r="AA88" s="673">
        <f t="shared" si="14"/>
        <v>3970713</v>
      </c>
      <c r="AB88" s="254"/>
      <c r="AC88" s="672"/>
      <c r="AD88" s="1169"/>
      <c r="AE88" s="1161"/>
      <c r="AF88" s="1161"/>
      <c r="AG88" s="1161"/>
      <c r="AH88" s="1161"/>
      <c r="AI88" s="1161"/>
      <c r="AJ88" s="1161"/>
      <c r="AK88" s="1161"/>
      <c r="AL88" s="1161"/>
    </row>
    <row r="89" spans="1:38" s="1162" customFormat="1" ht="33" customHeight="1">
      <c r="A89" s="1164">
        <v>74</v>
      </c>
      <c r="B89" s="1165">
        <v>74</v>
      </c>
      <c r="C89" s="1165"/>
      <c r="D89" s="1166" t="str">
        <f>TONGHOPCONGDOI!C84</f>
        <v>T. Tý</v>
      </c>
      <c r="E89" s="1165" t="s">
        <v>28</v>
      </c>
      <c r="F89" s="1167"/>
      <c r="G89" s="254">
        <f t="shared" ref="G89:G97" si="15">F89*25000</f>
        <v>0</v>
      </c>
      <c r="H89" s="254">
        <f>VLOOKUP(D89,TONGHOPCONGDOI!C84:AD94,16,0)</f>
        <v>109</v>
      </c>
      <c r="I89" s="254">
        <f>VLOOKUP(D89,TONGHOPCONGDOI!C84:AD94,18,0)</f>
        <v>0</v>
      </c>
      <c r="J89" s="254"/>
      <c r="K89" s="668">
        <f t="shared" si="9"/>
        <v>50.544949606597562</v>
      </c>
      <c r="L89" s="669" t="str">
        <f>VLOOKUP(D89,'BTH mủ tạp'!$D$17:$AN$95,37,0)</f>
        <v>C.</v>
      </c>
      <c r="M89" s="670">
        <f>ROUND((IF(L89="A",(H89*$X$11*6.1),IF(L89="B",(H89*$X$11*5.8),IF(L89="C",(H89*$X$11*5.5),IF(L89="C.",(H89*$X$11*5.5),IF(L89="D",(H89*$X$11*5.2),0)))))*$F$11+(I89*$AF$9*$F$11*6.1)+J89*$F$11*$AF$10*6.1),0)</f>
        <v>185936</v>
      </c>
      <c r="N89" s="671">
        <f>VLOOKUP(D89,TONGHOPCONGDOI!$C$11:$AD$93,20,0)</f>
        <v>7</v>
      </c>
      <c r="O89" s="671">
        <f>VLOOKUP(D89,TONGHOPCONGDOI!$C$11:$AD$93,21,0)</f>
        <v>1</v>
      </c>
      <c r="P89" s="671">
        <f>VLOOKUP(D89,TONGHOPCONGDOI!$C$11:$AC$93,22,0)</f>
        <v>0</v>
      </c>
      <c r="Q89" s="671">
        <f>VLOOKUP(D89,TONGHOPCONGDOI!$C$11:$AC$94,23,0)</f>
        <v>0</v>
      </c>
      <c r="R89" s="671">
        <f>VLOOKUP(D89,TONGHOPCONGDOI!$C$11:$AC$94,24,0)</f>
        <v>0</v>
      </c>
      <c r="S89" s="671">
        <f>VLOOKUP(D89,TONGHOPCONGDOI!$C$11:$AC$94,25,0)</f>
        <v>0</v>
      </c>
      <c r="T89" s="671"/>
      <c r="U89" s="1168"/>
      <c r="V89" s="1168"/>
      <c r="W89" s="1168"/>
      <c r="X89" s="671">
        <f t="shared" si="13"/>
        <v>267268</v>
      </c>
      <c r="Y89" s="671">
        <f t="shared" si="10"/>
        <v>453204</v>
      </c>
      <c r="Z89" s="254"/>
      <c r="AA89" s="673">
        <f t="shared" ref="AA89:AA98" si="16">Y89-Z89</f>
        <v>453204</v>
      </c>
      <c r="AB89" s="254"/>
      <c r="AC89" s="672"/>
      <c r="AD89" s="1169"/>
      <c r="AE89" s="1161"/>
      <c r="AF89" s="1161"/>
      <c r="AG89" s="1161"/>
      <c r="AH89" s="1161"/>
      <c r="AI89" s="1161"/>
      <c r="AJ89" s="1161"/>
      <c r="AK89" s="1161"/>
      <c r="AL89" s="1161"/>
    </row>
    <row r="90" spans="1:38" s="1162" customFormat="1" ht="33" customHeight="1">
      <c r="A90" s="1164">
        <v>75</v>
      </c>
      <c r="B90" s="1165">
        <v>75</v>
      </c>
      <c r="C90" s="1165"/>
      <c r="D90" s="1166" t="str">
        <f>TONGHOPCONGDOI!C85</f>
        <v>T. Lã</v>
      </c>
      <c r="E90" s="1165" t="s">
        <v>28</v>
      </c>
      <c r="F90" s="1167"/>
      <c r="G90" s="254">
        <f t="shared" si="15"/>
        <v>0</v>
      </c>
      <c r="H90" s="254">
        <f>VLOOKUP(D90,TONGHOPCONGDOI!C85:AD94,16,0)</f>
        <v>1137</v>
      </c>
      <c r="I90" s="254">
        <f>VLOOKUP(D90,TONGHOPCONGDOI!C85:AD94,18,0)</f>
        <v>0</v>
      </c>
      <c r="J90" s="254"/>
      <c r="K90" s="668">
        <f t="shared" si="9"/>
        <v>527.24410736423329</v>
      </c>
      <c r="L90" s="669" t="str">
        <f>VLOOKUP(D90,'BTH mủ tạp'!$D$17:$AN$95,37,0)</f>
        <v>C.</v>
      </c>
      <c r="M90" s="670">
        <f t="shared" ref="M90:M96" si="17">ROUND((IF(L90="A",(H90*$X$11*6.1),IF(L90="B",(H90*$X$11*5.8),IF(L90="C",(H90*$X$11*5.5),IF(L90="C.",(H90*$X$11*5.5),IF(L90="D",(H90*$X$11*5.2),0)))))*$F$11+(I90*$AF$9*$F$11*6.1)+J90*$F$11*$AF$10*6.1),0)</f>
        <v>1939531</v>
      </c>
      <c r="N90" s="671">
        <f>VLOOKUP(D90,TONGHOPCONGDOI!$C$11:$AD$93,20,0)</f>
        <v>22</v>
      </c>
      <c r="O90" s="671">
        <f>VLOOKUP(D90,TONGHOPCONGDOI!$C$11:$AD$93,21,0)</f>
        <v>3</v>
      </c>
      <c r="P90" s="671">
        <f>VLOOKUP(D90,TONGHOPCONGDOI!$C$11:$AC$93,22,0)</f>
        <v>0</v>
      </c>
      <c r="Q90" s="671">
        <f>VLOOKUP(D90,TONGHOPCONGDOI!$C$11:$AC$94,23,0)</f>
        <v>0</v>
      </c>
      <c r="R90" s="671">
        <f>VLOOKUP(D90,TONGHOPCONGDOI!$C$11:$AC$94,24,0)</f>
        <v>0</v>
      </c>
      <c r="S90" s="671">
        <f>VLOOKUP(D90,TONGHOPCONGDOI!$C$11:$AC$94,25,0)</f>
        <v>0</v>
      </c>
      <c r="T90" s="671"/>
      <c r="U90" s="1168"/>
      <c r="V90" s="1168"/>
      <c r="W90" s="1168"/>
      <c r="X90" s="671">
        <f t="shared" si="13"/>
        <v>832639</v>
      </c>
      <c r="Y90" s="671">
        <f t="shared" si="10"/>
        <v>2772170</v>
      </c>
      <c r="Z90" s="254"/>
      <c r="AA90" s="673">
        <f t="shared" si="16"/>
        <v>2772170</v>
      </c>
      <c r="AB90" s="254"/>
      <c r="AC90" s="672"/>
      <c r="AD90" s="1169"/>
      <c r="AE90" s="1161"/>
      <c r="AF90" s="1161"/>
      <c r="AG90" s="1161"/>
      <c r="AH90" s="1161"/>
      <c r="AI90" s="1161"/>
      <c r="AJ90" s="1161"/>
      <c r="AK90" s="1161"/>
      <c r="AL90" s="1161"/>
    </row>
    <row r="91" spans="1:38" s="1162" customFormat="1" ht="33" customHeight="1">
      <c r="A91" s="1164">
        <v>76</v>
      </c>
      <c r="B91" s="1165">
        <v>76</v>
      </c>
      <c r="C91" s="1165"/>
      <c r="D91" s="1166" t="str">
        <f>TONGHOPCONGDOI!C86</f>
        <v>N. Veo</v>
      </c>
      <c r="E91" s="1165" t="s">
        <v>28</v>
      </c>
      <c r="F91" s="1167"/>
      <c r="G91" s="254">
        <f t="shared" si="15"/>
        <v>0</v>
      </c>
      <c r="H91" s="254">
        <f>VLOOKUP(D91,TONGHOPCONGDOI!C86:AD94,16,0)</f>
        <v>1347</v>
      </c>
      <c r="I91" s="254">
        <f>VLOOKUP(D91,TONGHOPCONGDOI!C86:AD94,18,0)</f>
        <v>0</v>
      </c>
      <c r="J91" s="254"/>
      <c r="K91" s="668">
        <f t="shared" si="9"/>
        <v>624.62428550538448</v>
      </c>
      <c r="L91" s="669" t="str">
        <f>VLOOKUP(D91,'BTH mủ tạp'!$D$17:$AN$95,37,0)</f>
        <v>C.</v>
      </c>
      <c r="M91" s="670">
        <f t="shared" si="17"/>
        <v>2297755</v>
      </c>
      <c r="N91" s="671">
        <f>VLOOKUP(D91,TONGHOPCONGDOI!$C$11:$AD$93,20,0)</f>
        <v>20</v>
      </c>
      <c r="O91" s="671">
        <f>VLOOKUP(D91,TONGHOPCONGDOI!$C$11:$AD$93,21,0)</f>
        <v>3</v>
      </c>
      <c r="P91" s="671">
        <f>VLOOKUP(D91,TONGHOPCONGDOI!$C$11:$AC$93,22,0)</f>
        <v>0</v>
      </c>
      <c r="Q91" s="671">
        <f>VLOOKUP(D91,TONGHOPCONGDOI!$C$11:$AC$94,23,0)</f>
        <v>0</v>
      </c>
      <c r="R91" s="671">
        <f>VLOOKUP(D91,TONGHOPCONGDOI!$C$11:$AC$94,24,0)</f>
        <v>0</v>
      </c>
      <c r="S91" s="671">
        <f>VLOOKUP(D91,TONGHOPCONGDOI!$C$11:$AC$94,25,0)</f>
        <v>0</v>
      </c>
      <c r="T91" s="671"/>
      <c r="U91" s="1168"/>
      <c r="V91" s="1168"/>
      <c r="W91" s="1168"/>
      <c r="X91" s="671">
        <f t="shared" si="13"/>
        <v>770972</v>
      </c>
      <c r="Y91" s="671">
        <f t="shared" si="10"/>
        <v>3068727</v>
      </c>
      <c r="Z91" s="254"/>
      <c r="AA91" s="673">
        <f t="shared" si="16"/>
        <v>3068727</v>
      </c>
      <c r="AB91" s="254"/>
      <c r="AC91" s="672"/>
      <c r="AD91" s="1169"/>
      <c r="AE91" s="1161"/>
      <c r="AF91" s="1161"/>
      <c r="AG91" s="1161"/>
      <c r="AH91" s="1161"/>
      <c r="AI91" s="1161"/>
      <c r="AJ91" s="1161"/>
      <c r="AK91" s="1161"/>
      <c r="AL91" s="1161"/>
    </row>
    <row r="92" spans="1:38" s="1162" customFormat="1" ht="33" customHeight="1">
      <c r="A92" s="1164">
        <v>77</v>
      </c>
      <c r="B92" s="1165">
        <v>77</v>
      </c>
      <c r="C92" s="1165"/>
      <c r="D92" s="1166" t="str">
        <f>TONGHOPCONGDOI!C87</f>
        <v>T. Pu</v>
      </c>
      <c r="E92" s="1165" t="s">
        <v>28</v>
      </c>
      <c r="F92" s="1167"/>
      <c r="G92" s="254">
        <f t="shared" si="15"/>
        <v>0</v>
      </c>
      <c r="H92" s="254">
        <f>VLOOKUP(D92,TONGHOPCONGDOI!C87:AD94,16,0)</f>
        <v>870</v>
      </c>
      <c r="I92" s="254">
        <f>VLOOKUP(D92,TONGHOPCONGDOI!C87:AD94,18,0)</f>
        <v>0</v>
      </c>
      <c r="J92" s="254"/>
      <c r="K92" s="668">
        <f t="shared" si="9"/>
        <v>403.4321665847695</v>
      </c>
      <c r="L92" s="669" t="str">
        <f>VLOOKUP(D92,'BTH mủ tạp'!$D$17:$AN$95,37,0)</f>
        <v>C.</v>
      </c>
      <c r="M92" s="670">
        <f t="shared" si="17"/>
        <v>1484074</v>
      </c>
      <c r="N92" s="671">
        <f>VLOOKUP(D92,TONGHOPCONGDOI!$C$11:$AD$93,20,0)</f>
        <v>15</v>
      </c>
      <c r="O92" s="671">
        <f>VLOOKUP(D92,TONGHOPCONGDOI!$C$11:$AD$93,21,0)</f>
        <v>2</v>
      </c>
      <c r="P92" s="671">
        <f>VLOOKUP(D92,TONGHOPCONGDOI!$C$11:$AC$93,22,0)</f>
        <v>0</v>
      </c>
      <c r="Q92" s="671">
        <f>VLOOKUP(D92,TONGHOPCONGDOI!$C$11:$AC$94,23,0)</f>
        <v>0</v>
      </c>
      <c r="R92" s="671">
        <f>VLOOKUP(D92,TONGHOPCONGDOI!$C$11:$AC$94,24,0)</f>
        <v>0</v>
      </c>
      <c r="S92" s="671">
        <f>VLOOKUP(D92,TONGHOPCONGDOI!$C$11:$AC$94,25,0)</f>
        <v>0</v>
      </c>
      <c r="T92" s="671"/>
      <c r="U92" s="1168"/>
      <c r="V92" s="1168"/>
      <c r="W92" s="1168"/>
      <c r="X92" s="671">
        <f t="shared" si="13"/>
        <v>565370</v>
      </c>
      <c r="Y92" s="671">
        <f t="shared" si="10"/>
        <v>2049444</v>
      </c>
      <c r="Z92" s="254"/>
      <c r="AA92" s="673">
        <f t="shared" si="16"/>
        <v>2049444</v>
      </c>
      <c r="AB92" s="254"/>
      <c r="AC92" s="672"/>
      <c r="AD92" s="1169"/>
      <c r="AE92" s="1161"/>
      <c r="AF92" s="1161"/>
      <c r="AG92" s="1161"/>
      <c r="AH92" s="1161"/>
      <c r="AI92" s="1161"/>
      <c r="AJ92" s="1161"/>
      <c r="AK92" s="1161"/>
      <c r="AL92" s="1161"/>
    </row>
    <row r="93" spans="1:38" s="1162" customFormat="1" ht="33" customHeight="1">
      <c r="A93" s="1164">
        <v>78</v>
      </c>
      <c r="B93" s="1165">
        <v>78</v>
      </c>
      <c r="C93" s="1165"/>
      <c r="D93" s="1166" t="str">
        <f>TONGHOPCONGDOI!C88</f>
        <v>T. Ta.</v>
      </c>
      <c r="E93" s="1165" t="s">
        <v>28</v>
      </c>
      <c r="F93" s="1167"/>
      <c r="G93" s="254">
        <f t="shared" si="15"/>
        <v>0</v>
      </c>
      <c r="H93" s="254">
        <f>VLOOKUP(D93,TONGHOPCONGDOI!C88:AD94,16,0)</f>
        <v>717</v>
      </c>
      <c r="I93" s="254">
        <f>VLOOKUP(D93,TONGHOPCONGDOI!C88:AD94,18,0)</f>
        <v>0</v>
      </c>
      <c r="J93" s="254"/>
      <c r="K93" s="668">
        <f t="shared" si="9"/>
        <v>332.48375108193073</v>
      </c>
      <c r="L93" s="669" t="str">
        <f>VLOOKUP(D93,'BTH mủ tạp'!$D$17:$AN$95,37,0)</f>
        <v>C.</v>
      </c>
      <c r="M93" s="670">
        <f t="shared" si="17"/>
        <v>1223081</v>
      </c>
      <c r="N93" s="671">
        <f>VLOOKUP(D93,TONGHOPCONGDOI!$C$11:$AD$93,20,0)</f>
        <v>12</v>
      </c>
      <c r="O93" s="671">
        <f>VLOOKUP(D93,TONGHOPCONGDOI!$C$11:$AD$93,21,0)</f>
        <v>2</v>
      </c>
      <c r="P93" s="671">
        <f>VLOOKUP(D93,TONGHOPCONGDOI!$C$11:$AC$93,22,0)</f>
        <v>0</v>
      </c>
      <c r="Q93" s="671">
        <f>VLOOKUP(D93,TONGHOPCONGDOI!$C$11:$AC$94,23,0)</f>
        <v>0</v>
      </c>
      <c r="R93" s="671">
        <f>VLOOKUP(D93,TONGHOPCONGDOI!$C$11:$AC$94,24,0)</f>
        <v>0</v>
      </c>
      <c r="S93" s="671">
        <f>VLOOKUP(D93,TONGHOPCONGDOI!$C$11:$AC$94,25,0)</f>
        <v>0</v>
      </c>
      <c r="T93" s="671"/>
      <c r="U93" s="1168"/>
      <c r="V93" s="1168"/>
      <c r="W93" s="1168"/>
      <c r="X93" s="671">
        <f t="shared" si="13"/>
        <v>472870</v>
      </c>
      <c r="Y93" s="671">
        <f t="shared" si="10"/>
        <v>1695951</v>
      </c>
      <c r="Z93" s="254"/>
      <c r="AA93" s="673">
        <f t="shared" si="16"/>
        <v>1695951</v>
      </c>
      <c r="AB93" s="254"/>
      <c r="AC93" s="672"/>
      <c r="AD93" s="1169"/>
      <c r="AE93" s="1161"/>
      <c r="AF93" s="1161"/>
      <c r="AG93" s="1161"/>
      <c r="AH93" s="1161"/>
      <c r="AI93" s="1161"/>
      <c r="AJ93" s="1161"/>
      <c r="AK93" s="1161"/>
      <c r="AL93" s="1161"/>
    </row>
    <row r="94" spans="1:38" s="1162" customFormat="1" ht="33" customHeight="1">
      <c r="A94" s="1164">
        <v>79</v>
      </c>
      <c r="B94" s="1165">
        <v>79</v>
      </c>
      <c r="C94" s="1165"/>
      <c r="D94" s="1166" t="str">
        <f>TONGHOPCONGDOI!C89</f>
        <v>N. Nang</v>
      </c>
      <c r="E94" s="1165" t="s">
        <v>28</v>
      </c>
      <c r="F94" s="1167"/>
      <c r="G94" s="254">
        <f t="shared" si="15"/>
        <v>0</v>
      </c>
      <c r="H94" s="254">
        <f>VLOOKUP(D94,TONGHOPCONGDOI!C89:AD94,16,0)</f>
        <v>477</v>
      </c>
      <c r="I94" s="254">
        <f>VLOOKUP(D94,TONGHOPCONGDOI!C89:AD94,18,0)</f>
        <v>0</v>
      </c>
      <c r="J94" s="254"/>
      <c r="K94" s="668">
        <f t="shared" si="9"/>
        <v>221.192118920615</v>
      </c>
      <c r="L94" s="669" t="str">
        <f>VLOOKUP(D94,'BTH mủ tạp'!$D$17:$AN$97,37,0)</f>
        <v>C.</v>
      </c>
      <c r="M94" s="670">
        <f t="shared" si="17"/>
        <v>813682</v>
      </c>
      <c r="N94" s="671">
        <f>VLOOKUP(D94,TONGHOPCONGDOI!$C$11:$AD$93,20,0)</f>
        <v>6</v>
      </c>
      <c r="O94" s="671">
        <f>VLOOKUP(D94,TONGHOPCONGDOI!$C$11:$AD$93,21,0)</f>
        <v>1</v>
      </c>
      <c r="P94" s="671">
        <f>VLOOKUP(D94,TONGHOPCONGDOI!$C$11:$AC$93,22,0)</f>
        <v>0</v>
      </c>
      <c r="Q94" s="671">
        <f>VLOOKUP(D94,TONGHOPCONGDOI!$C$11:$AC$94,23,0)</f>
        <v>0</v>
      </c>
      <c r="R94" s="671">
        <f>VLOOKUP(D94,TONGHOPCONGDOI!$C$11:$AC$94,24,0)</f>
        <v>0</v>
      </c>
      <c r="S94" s="671">
        <f>VLOOKUP(D94,TONGHOPCONGDOI!$C$11:$AC$94,25,0)</f>
        <v>0</v>
      </c>
      <c r="T94" s="671"/>
      <c r="U94" s="1168"/>
      <c r="V94" s="1168"/>
      <c r="W94" s="1168"/>
      <c r="X94" s="671">
        <f t="shared" si="13"/>
        <v>236435</v>
      </c>
      <c r="Y94" s="671">
        <f t="shared" si="10"/>
        <v>1050117</v>
      </c>
      <c r="Z94" s="254"/>
      <c r="AA94" s="673">
        <f t="shared" si="16"/>
        <v>1050117</v>
      </c>
      <c r="AB94" s="254"/>
      <c r="AC94" s="672"/>
      <c r="AD94" s="1169"/>
      <c r="AE94" s="1161"/>
      <c r="AF94" s="1161"/>
      <c r="AG94" s="1161"/>
      <c r="AH94" s="1161"/>
      <c r="AI94" s="1161"/>
      <c r="AJ94" s="1161"/>
      <c r="AK94" s="1161"/>
      <c r="AL94" s="1161"/>
    </row>
    <row r="95" spans="1:38" s="1162" customFormat="1" ht="33" customHeight="1">
      <c r="A95" s="1164">
        <v>80</v>
      </c>
      <c r="B95" s="1165">
        <v>80</v>
      </c>
      <c r="C95" s="1165"/>
      <c r="D95" s="1166" t="str">
        <f>TONGHOPCONGDOI!C90</f>
        <v>T. Tan</v>
      </c>
      <c r="E95" s="1165" t="s">
        <v>28</v>
      </c>
      <c r="F95" s="1167"/>
      <c r="G95" s="254">
        <f t="shared" si="15"/>
        <v>0</v>
      </c>
      <c r="H95" s="254">
        <f>VLOOKUP(D95,TONGHOPCONGDOI!C90:AD94,16,0)</f>
        <v>351</v>
      </c>
      <c r="I95" s="254">
        <f>VLOOKUP(D95,TONGHOPCONGDOI!C90:AD94,18,0)</f>
        <v>0</v>
      </c>
      <c r="J95" s="254"/>
      <c r="K95" s="668">
        <f t="shared" si="9"/>
        <v>162.76401203592425</v>
      </c>
      <c r="L95" s="669" t="str">
        <f>VLOOKUP(D95,'BTH mủ tạp'!$D$17:$AN$97,37,0)</f>
        <v>C.</v>
      </c>
      <c r="M95" s="670">
        <f t="shared" si="17"/>
        <v>598747</v>
      </c>
      <c r="N95" s="671">
        <f>VLOOKUP(D95,TONGHOPCONGDOI!$C$11:$AD$93,20,0)</f>
        <v>3</v>
      </c>
      <c r="O95" s="671">
        <f>VLOOKUP(D95,TONGHOPCONGDOI!$C$11:$AD$93,21,0)</f>
        <v>1</v>
      </c>
      <c r="P95" s="671">
        <f>VLOOKUP(D95,TONGHOPCONGDOI!$C$11:$AC$93,22,0)</f>
        <v>0</v>
      </c>
      <c r="Q95" s="671">
        <f>VLOOKUP(D95,TONGHOPCONGDOI!$C$11:$AC$94,23,0)</f>
        <v>0</v>
      </c>
      <c r="R95" s="671">
        <f>VLOOKUP(D95,TONGHOPCONGDOI!$C$11:$AC$94,24,0)</f>
        <v>0</v>
      </c>
      <c r="S95" s="671">
        <f>VLOOKUP(D95,TONGHOPCONGDOI!$C$11:$AC$94,25,0)</f>
        <v>0</v>
      </c>
      <c r="T95" s="671"/>
      <c r="U95" s="1168"/>
      <c r="V95" s="1168"/>
      <c r="W95" s="1168"/>
      <c r="X95" s="671">
        <f t="shared" si="13"/>
        <v>143934</v>
      </c>
      <c r="Y95" s="671">
        <f t="shared" si="10"/>
        <v>742681</v>
      </c>
      <c r="Z95" s="254"/>
      <c r="AA95" s="673">
        <f t="shared" si="16"/>
        <v>742681</v>
      </c>
      <c r="AB95" s="254"/>
      <c r="AC95" s="672"/>
      <c r="AD95" s="1169"/>
      <c r="AE95" s="1161"/>
      <c r="AF95" s="1161"/>
      <c r="AG95" s="1161"/>
      <c r="AH95" s="1161"/>
      <c r="AI95" s="1161"/>
      <c r="AJ95" s="1161"/>
      <c r="AK95" s="1161"/>
      <c r="AL95" s="1161"/>
    </row>
    <row r="96" spans="1:38" s="1162" customFormat="1" ht="33" customHeight="1">
      <c r="A96" s="1164">
        <v>81</v>
      </c>
      <c r="B96" s="1165">
        <v>81</v>
      </c>
      <c r="C96" s="1165"/>
      <c r="D96" s="1166" t="str">
        <f>TONGHOPCONGDOI!C91</f>
        <v>T. Tu</v>
      </c>
      <c r="E96" s="1165" t="s">
        <v>28</v>
      </c>
      <c r="F96" s="1167"/>
      <c r="G96" s="254">
        <f t="shared" si="15"/>
        <v>0</v>
      </c>
      <c r="H96" s="254">
        <f>VLOOKUP(D96,TONGHOPCONGDOI!C91:AD94,16,0)</f>
        <v>272</v>
      </c>
      <c r="I96" s="254">
        <f>VLOOKUP(D96,TONGHOPCONGDOI!C91:AD94,18,0)</f>
        <v>0</v>
      </c>
      <c r="J96" s="254">
        <f>'Trạm 1'!I96</f>
        <v>0</v>
      </c>
      <c r="K96" s="668">
        <f t="shared" si="9"/>
        <v>126.13051644949115</v>
      </c>
      <c r="L96" s="669" t="str">
        <f>VLOOKUP(D96,'BTH mủ tạp'!$D$17:$AN$97,37,0)</f>
        <v>C.</v>
      </c>
      <c r="M96" s="670">
        <f t="shared" si="17"/>
        <v>463986</v>
      </c>
      <c r="N96" s="671">
        <f>VLOOKUP(D96,TONGHOPCONGDOI!$C$11:$AD$93,20,0)</f>
        <v>2</v>
      </c>
      <c r="O96" s="671">
        <f>VLOOKUP(D96,TONGHOPCONGDOI!$C$11:$AD$93,21,0)</f>
        <v>0</v>
      </c>
      <c r="P96" s="671">
        <f>VLOOKUP(D96,TONGHOPCONGDOI!$C$11:$AC$93,22,0)</f>
        <v>0</v>
      </c>
      <c r="Q96" s="671">
        <f>VLOOKUP(D96,TONGHOPCONGDOI!$C$11:$AC$94,23,0)</f>
        <v>0</v>
      </c>
      <c r="R96" s="671">
        <f>VLOOKUP(D96,TONGHOPCONGDOI!$C$11:$AC$94,24,0)</f>
        <v>0</v>
      </c>
      <c r="S96" s="671">
        <f>VLOOKUP(D96,TONGHOPCONGDOI!$C$11:$AC$94,25,0)</f>
        <v>0</v>
      </c>
      <c r="T96" s="671"/>
      <c r="U96" s="1168"/>
      <c r="V96" s="1168"/>
      <c r="W96" s="1168"/>
      <c r="X96" s="671">
        <f t="shared" si="13"/>
        <v>61667</v>
      </c>
      <c r="Y96" s="671">
        <f t="shared" si="10"/>
        <v>525653</v>
      </c>
      <c r="Z96" s="254"/>
      <c r="AA96" s="673">
        <f t="shared" si="16"/>
        <v>525653</v>
      </c>
      <c r="AB96" s="254"/>
      <c r="AC96" s="672"/>
      <c r="AD96" s="1169"/>
      <c r="AE96" s="1161"/>
      <c r="AF96" s="1161"/>
      <c r="AG96" s="1161"/>
      <c r="AH96" s="1161"/>
      <c r="AI96" s="1161"/>
      <c r="AJ96" s="1161"/>
      <c r="AK96" s="1161"/>
      <c r="AL96" s="1161"/>
    </row>
    <row r="97" spans="1:38" s="1162" customFormat="1" ht="33" customHeight="1">
      <c r="A97" s="1164">
        <v>82</v>
      </c>
      <c r="B97" s="1165">
        <v>82</v>
      </c>
      <c r="C97" s="1165"/>
      <c r="D97" s="1166">
        <f>TONGHOPCONGDOI!C92</f>
        <v>0</v>
      </c>
      <c r="E97" s="1165" t="s">
        <v>28</v>
      </c>
      <c r="F97" s="1167"/>
      <c r="G97" s="254">
        <f t="shared" si="15"/>
        <v>0</v>
      </c>
      <c r="H97" s="254">
        <f>VLOOKUP(D97,TONGHOPCONGDOI!C92:AD94,16,0)</f>
        <v>0</v>
      </c>
      <c r="I97" s="254">
        <f>VLOOKUP(D97,TONGHOPCONGDOI!C92:AD94,18,0)</f>
        <v>0</v>
      </c>
      <c r="J97" s="254"/>
      <c r="K97" s="668">
        <f>$AF$8/$AF$7*H97+I97*$AF$9+J97*$AF$10</f>
        <v>0</v>
      </c>
      <c r="L97" s="669"/>
      <c r="M97" s="670"/>
      <c r="N97" s="671">
        <f>VLOOKUP(D97,TONGHOPCONGDOI!$C$11:$AD$93,20,0)</f>
        <v>0</v>
      </c>
      <c r="O97" s="671">
        <f>VLOOKUP(D97,TONGHOPCONGDOI!$C$11:$AD$93,21,0)</f>
        <v>0</v>
      </c>
      <c r="P97" s="671">
        <f>VLOOKUP(D97,TONGHOPCONGDOI!$C$11:$AC$93,22,0)</f>
        <v>0</v>
      </c>
      <c r="Q97" s="671">
        <f>VLOOKUP(D97,TONGHOPCONGDOI!$C$11:$AC$94,23,0)</f>
        <v>0</v>
      </c>
      <c r="R97" s="671">
        <f>VLOOKUP(D97,TONGHOPCONGDOI!$C$11:$AC$94,24,0)</f>
        <v>0</v>
      </c>
      <c r="S97" s="671">
        <f>VLOOKUP(D97,TONGHOPCONGDOI!$C$11:$AC$94,25,0)</f>
        <v>0</v>
      </c>
      <c r="T97" s="671"/>
      <c r="U97" s="1168"/>
      <c r="V97" s="1168"/>
      <c r="W97" s="1168"/>
      <c r="X97" s="671">
        <f t="shared" si="13"/>
        <v>0</v>
      </c>
      <c r="Y97" s="671">
        <f t="shared" si="10"/>
        <v>0</v>
      </c>
      <c r="Z97" s="254"/>
      <c r="AA97" s="673">
        <f t="shared" si="16"/>
        <v>0</v>
      </c>
      <c r="AB97" s="254"/>
      <c r="AC97" s="672"/>
      <c r="AD97" s="1169"/>
      <c r="AE97" s="1161"/>
      <c r="AF97" s="1161"/>
      <c r="AG97" s="1161"/>
      <c r="AH97" s="1161"/>
      <c r="AI97" s="1161"/>
      <c r="AJ97" s="1161"/>
      <c r="AK97" s="1161"/>
      <c r="AL97" s="1161"/>
    </row>
    <row r="98" spans="1:38" s="1162" customFormat="1" ht="33" customHeight="1">
      <c r="A98" s="1164">
        <v>82</v>
      </c>
      <c r="B98" s="1165">
        <v>83</v>
      </c>
      <c r="C98" s="1165"/>
      <c r="D98" s="1166" t="str">
        <f>TONGHOPCONGDOI!C94</f>
        <v>T. Tạch</v>
      </c>
      <c r="E98" s="1165" t="s">
        <v>371</v>
      </c>
      <c r="F98" s="1167"/>
      <c r="G98" s="254">
        <f>F98*25000</f>
        <v>0</v>
      </c>
      <c r="H98" s="254"/>
      <c r="I98" s="254"/>
      <c r="J98" s="254"/>
      <c r="K98" s="668"/>
      <c r="L98" s="669"/>
      <c r="M98" s="670"/>
      <c r="N98" s="671"/>
      <c r="O98" s="671"/>
      <c r="P98" s="671"/>
      <c r="Q98" s="671"/>
      <c r="R98" s="671"/>
      <c r="S98" s="671"/>
      <c r="T98" s="671"/>
      <c r="U98" s="1168"/>
      <c r="V98" s="1168"/>
      <c r="W98" s="1168"/>
      <c r="X98" s="671">
        <f t="shared" ref="X98" si="18">ROUND(((N98*46.1)+(O98*76.9)+(P98*92.2)+(Q98*153.8)+(R98*92.2)+(S98*153.8))*$F$10+(T98*25000)+(U98*10000)+(V98*30000),0)</f>
        <v>0</v>
      </c>
      <c r="Y98" s="671">
        <f t="shared" si="10"/>
        <v>0</v>
      </c>
      <c r="Z98" s="254"/>
      <c r="AA98" s="673">
        <f t="shared" si="16"/>
        <v>0</v>
      </c>
      <c r="AB98" s="254"/>
      <c r="AC98" s="672"/>
      <c r="AD98" s="1169"/>
      <c r="AE98" s="1161"/>
      <c r="AF98" s="1161"/>
      <c r="AG98" s="1161"/>
      <c r="AH98" s="1161"/>
      <c r="AI98" s="1161"/>
      <c r="AJ98" s="1161"/>
      <c r="AK98" s="1161"/>
      <c r="AL98" s="1161"/>
    </row>
    <row r="99" spans="1:38" s="1171" customFormat="1" ht="33" customHeight="1">
      <c r="A99" s="1164">
        <v>84</v>
      </c>
      <c r="B99" s="1165">
        <v>84</v>
      </c>
      <c r="C99" s="1165"/>
      <c r="D99" s="1170" t="e">
        <f>TONGHOPCONGDOI!#REF!</f>
        <v>#REF!</v>
      </c>
      <c r="E99" s="1165" t="s">
        <v>28</v>
      </c>
      <c r="F99" s="1167"/>
      <c r="G99" s="254">
        <f t="shared" ref="G99:G112" si="19">F99*25000</f>
        <v>0</v>
      </c>
      <c r="H99" s="254" t="e">
        <f>VLOOKUP(D99,TONGHOPCONGDOI!C95:AD160,16,0)</f>
        <v>#REF!</v>
      </c>
      <c r="I99" s="254" t="e">
        <f>VLOOKUP(D99,TONGHOPCONGDOI!C95:AD160,18,0)</f>
        <v>#REF!</v>
      </c>
      <c r="J99" s="254"/>
      <c r="K99" s="668" t="e">
        <f t="shared" ref="K99:K108" si="20">$AH$8/$AH$7*H99+I99*$AH$9+J99*$AH$10</f>
        <v>#REF!</v>
      </c>
      <c r="L99" s="669" t="e">
        <f>VLOOKUP(D99,'BTH mủ tạp'!$D$17:$AN$95,37,0)</f>
        <v>#REF!</v>
      </c>
      <c r="M99" s="670" t="e">
        <f t="shared" ref="M99:M108" si="21">ROUND((IF(L99="A",(H99*$Y$11*6.1),IF(L99="B",(H99*$Y$11*5.8),IF(L99="C",(H99*$Y$11*5.5),IF(L99="D",(H99*$Y$11*5.2),0))))*$F$11+(I99*$AH$9*$F$11*6.1)+J99*$F$11*$AH$10*6.1),0)</f>
        <v>#REF!</v>
      </c>
      <c r="N99" s="671" t="e">
        <f>VLOOKUP(D99,TONGHOPCONGDOI!$C$95:$AD$95,20,0)</f>
        <v>#REF!</v>
      </c>
      <c r="O99" s="671" t="e">
        <f>VLOOKUP(D99,TONGHOPCONGDOI!$C$95:$AD$95,21,0)</f>
        <v>#REF!</v>
      </c>
      <c r="P99" s="671" t="e">
        <f>VLOOKUP(D99,TONGHOPCONGDOI!$C$95:$AD$95,22,0)</f>
        <v>#REF!</v>
      </c>
      <c r="Q99" s="671" t="e">
        <f>VLOOKUP(D99,TONGHOPCONGDOI!$C$95:$AD$95,23,0)</f>
        <v>#REF!</v>
      </c>
      <c r="R99" s="671" t="e">
        <f>VLOOKUP(D99,TONGHOPCONGDOI!$C$95:$AD$95,24,0)</f>
        <v>#REF!</v>
      </c>
      <c r="S99" s="671" t="e">
        <f>VLOOKUP(D99,TONGHOPCONGDOI!$C$95:$AD$95,25,0)</f>
        <v>#REF!</v>
      </c>
      <c r="T99" s="671"/>
      <c r="U99" s="1168"/>
      <c r="V99" s="1168"/>
      <c r="W99" s="1168"/>
      <c r="X99" s="671" t="e">
        <f t="shared" ref="X99:X112" si="22">ROUND(((N99*46.1)+(O99*76.9)+(P99*92.2)+(Q99*153.8)+(R99*92.2)+(S99*153.8))*$F$11+(T99*25000)+(U99*10000)+(V99*30000),0)</f>
        <v>#REF!</v>
      </c>
      <c r="Y99" s="671" t="e">
        <f t="shared" ref="Y99:Y112" si="23">G99+M99+X99</f>
        <v>#REF!</v>
      </c>
      <c r="Z99" s="254"/>
      <c r="AA99" s="673" t="e">
        <f t="shared" ref="AA99:AA103" si="24">Y99</f>
        <v>#REF!</v>
      </c>
      <c r="AB99" s="254"/>
      <c r="AC99" s="672"/>
      <c r="AD99" s="1169">
        <f t="shared" ref="AD99:AD107" si="25">B99</f>
        <v>84</v>
      </c>
      <c r="AE99" s="674"/>
      <c r="AF99" s="674"/>
      <c r="AG99" s="674"/>
      <c r="AH99" s="674"/>
      <c r="AI99" s="674"/>
      <c r="AJ99" s="674"/>
      <c r="AK99" s="674"/>
      <c r="AL99" s="674"/>
    </row>
    <row r="100" spans="1:38" s="1171" customFormat="1" ht="33" customHeight="1">
      <c r="A100" s="1164">
        <v>85</v>
      </c>
      <c r="B100" s="1165">
        <v>85</v>
      </c>
      <c r="C100" s="1165"/>
      <c r="D100" s="1170" t="e">
        <f>TONGHOPCONGDOI!#REF!</f>
        <v>#REF!</v>
      </c>
      <c r="E100" s="1165" t="s">
        <v>28</v>
      </c>
      <c r="F100" s="1167"/>
      <c r="G100" s="254">
        <f t="shared" si="19"/>
        <v>0</v>
      </c>
      <c r="H100" s="254" t="e">
        <f>VLOOKUP(D100,TONGHOPCONGDOI!C95:AD160,16,0)</f>
        <v>#REF!</v>
      </c>
      <c r="I100" s="254" t="e">
        <f>VLOOKUP(D100,TONGHOPCONGDOI!C95:AD160,18,0)</f>
        <v>#REF!</v>
      </c>
      <c r="J100" s="254"/>
      <c r="K100" s="668" t="e">
        <f t="shared" si="20"/>
        <v>#REF!</v>
      </c>
      <c r="L100" s="669" t="e">
        <f>VLOOKUP(D100,'BTH mủ tạp'!$D$17:$AN$95,37,0)</f>
        <v>#REF!</v>
      </c>
      <c r="M100" s="670" t="e">
        <f t="shared" si="21"/>
        <v>#REF!</v>
      </c>
      <c r="N100" s="671" t="e">
        <f>VLOOKUP(D100,TONGHOPCONGDOI!$C$95:$AD$95,20,0)</f>
        <v>#REF!</v>
      </c>
      <c r="O100" s="671" t="e">
        <f>VLOOKUP(D100,TONGHOPCONGDOI!$C$95:$AD$95,21,0)</f>
        <v>#REF!</v>
      </c>
      <c r="P100" s="671" t="e">
        <f>VLOOKUP(D100,TONGHOPCONGDOI!$C$95:$AD$95,22,0)</f>
        <v>#REF!</v>
      </c>
      <c r="Q100" s="671" t="e">
        <f>VLOOKUP(D100,TONGHOPCONGDOI!$C$95:$AD$95,23,0)</f>
        <v>#REF!</v>
      </c>
      <c r="R100" s="671" t="e">
        <f>VLOOKUP(D100,TONGHOPCONGDOI!$C$95:$AD$95,24,0)</f>
        <v>#REF!</v>
      </c>
      <c r="S100" s="671" t="e">
        <f>VLOOKUP(D100,TONGHOPCONGDOI!$C$95:$AD$95,25,0)</f>
        <v>#REF!</v>
      </c>
      <c r="T100" s="671"/>
      <c r="U100" s="1168"/>
      <c r="V100" s="1168"/>
      <c r="W100" s="1168"/>
      <c r="X100" s="671" t="e">
        <f t="shared" si="22"/>
        <v>#REF!</v>
      </c>
      <c r="Y100" s="671" t="e">
        <f t="shared" si="23"/>
        <v>#REF!</v>
      </c>
      <c r="Z100" s="254"/>
      <c r="AA100" s="673" t="e">
        <f t="shared" si="24"/>
        <v>#REF!</v>
      </c>
      <c r="AB100" s="254"/>
      <c r="AC100" s="672"/>
      <c r="AD100" s="1169">
        <f t="shared" si="25"/>
        <v>85</v>
      </c>
      <c r="AE100" s="674"/>
      <c r="AF100" s="674"/>
      <c r="AG100" s="674"/>
      <c r="AH100" s="674"/>
      <c r="AI100" s="674"/>
      <c r="AJ100" s="674"/>
      <c r="AK100" s="674"/>
      <c r="AL100" s="674"/>
    </row>
    <row r="101" spans="1:38" s="1171" customFormat="1" ht="33" customHeight="1">
      <c r="A101" s="1164">
        <v>86</v>
      </c>
      <c r="B101" s="1165">
        <v>86</v>
      </c>
      <c r="C101" s="1165"/>
      <c r="D101" s="1170" t="e">
        <f>TONGHOPCONGDOI!#REF!</f>
        <v>#REF!</v>
      </c>
      <c r="E101" s="1165" t="s">
        <v>28</v>
      </c>
      <c r="F101" s="1167"/>
      <c r="G101" s="254">
        <f t="shared" si="19"/>
        <v>0</v>
      </c>
      <c r="H101" s="254" t="e">
        <f>VLOOKUP(D101,TONGHOPCONGDOI!C95:AD160,16,0)</f>
        <v>#REF!</v>
      </c>
      <c r="I101" s="254" t="e">
        <f>VLOOKUP(D101,TONGHOPCONGDOI!C95:AD160,18,0)</f>
        <v>#REF!</v>
      </c>
      <c r="J101" s="254"/>
      <c r="K101" s="668" t="e">
        <f t="shared" si="20"/>
        <v>#REF!</v>
      </c>
      <c r="L101" s="669" t="e">
        <f>VLOOKUP(D101,'BTH mủ tạp'!$D$17:$AN$95,37,0)</f>
        <v>#REF!</v>
      </c>
      <c r="M101" s="670" t="e">
        <f t="shared" si="21"/>
        <v>#REF!</v>
      </c>
      <c r="N101" s="671" t="e">
        <f>VLOOKUP(D101,TONGHOPCONGDOI!$C$95:$AD$95,20,0)</f>
        <v>#REF!</v>
      </c>
      <c r="O101" s="671" t="e">
        <f>VLOOKUP(D101,TONGHOPCONGDOI!$C$95:$AD$95,21,0)</f>
        <v>#REF!</v>
      </c>
      <c r="P101" s="671" t="e">
        <f>VLOOKUP(D101,TONGHOPCONGDOI!$C$95:$AD$95,22,0)</f>
        <v>#REF!</v>
      </c>
      <c r="Q101" s="671" t="e">
        <f>VLOOKUP(D101,TONGHOPCONGDOI!$C$95:$AD$95,23,0)</f>
        <v>#REF!</v>
      </c>
      <c r="R101" s="671" t="e">
        <f>VLOOKUP(D101,TONGHOPCONGDOI!$C$95:$AD$95,24,0)</f>
        <v>#REF!</v>
      </c>
      <c r="S101" s="671" t="e">
        <f>VLOOKUP(D101,TONGHOPCONGDOI!$C$95:$AD$95,25,0)</f>
        <v>#REF!</v>
      </c>
      <c r="T101" s="671"/>
      <c r="U101" s="1168"/>
      <c r="V101" s="1168"/>
      <c r="W101" s="1168"/>
      <c r="X101" s="671" t="e">
        <f t="shared" si="22"/>
        <v>#REF!</v>
      </c>
      <c r="Y101" s="671" t="e">
        <f t="shared" si="23"/>
        <v>#REF!</v>
      </c>
      <c r="Z101" s="254"/>
      <c r="AA101" s="673" t="e">
        <f t="shared" si="24"/>
        <v>#REF!</v>
      </c>
      <c r="AB101" s="254"/>
      <c r="AC101" s="672"/>
      <c r="AD101" s="1169">
        <f t="shared" si="25"/>
        <v>86</v>
      </c>
      <c r="AE101" s="674"/>
      <c r="AF101" s="674"/>
      <c r="AG101" s="674"/>
      <c r="AH101" s="674"/>
      <c r="AI101" s="674"/>
      <c r="AJ101" s="674"/>
      <c r="AK101" s="674"/>
      <c r="AL101" s="674"/>
    </row>
    <row r="102" spans="1:38" s="1171" customFormat="1" ht="33" customHeight="1">
      <c r="A102" s="1164">
        <v>87</v>
      </c>
      <c r="B102" s="1165">
        <v>87</v>
      </c>
      <c r="C102" s="1165"/>
      <c r="D102" s="1170" t="e">
        <f>TONGHOPCONGDOI!#REF!</f>
        <v>#REF!</v>
      </c>
      <c r="E102" s="1165" t="s">
        <v>28</v>
      </c>
      <c r="F102" s="1167"/>
      <c r="G102" s="254">
        <f t="shared" si="19"/>
        <v>0</v>
      </c>
      <c r="H102" s="254" t="e">
        <f>VLOOKUP(D102,TONGHOPCONGDOI!C95:AD160,16,0)</f>
        <v>#REF!</v>
      </c>
      <c r="I102" s="254" t="e">
        <f>VLOOKUP(D102,TONGHOPCONGDOI!C95:AD160,18,0)</f>
        <v>#REF!</v>
      </c>
      <c r="J102" s="254"/>
      <c r="K102" s="668" t="e">
        <f t="shared" si="20"/>
        <v>#REF!</v>
      </c>
      <c r="L102" s="669" t="e">
        <f>VLOOKUP(D102,'BTH mủ tạp'!$D$17:$AN$95,37,0)</f>
        <v>#REF!</v>
      </c>
      <c r="M102" s="670" t="e">
        <f t="shared" si="21"/>
        <v>#REF!</v>
      </c>
      <c r="N102" s="671" t="e">
        <f>VLOOKUP(D102,TONGHOPCONGDOI!$C$95:$AD$95,20,0)</f>
        <v>#REF!</v>
      </c>
      <c r="O102" s="671" t="e">
        <f>VLOOKUP(D102,TONGHOPCONGDOI!$C$95:$AD$95,21,0)</f>
        <v>#REF!</v>
      </c>
      <c r="P102" s="671" t="e">
        <f>VLOOKUP(D102,TONGHOPCONGDOI!$C$95:$AD$95,22,0)</f>
        <v>#REF!</v>
      </c>
      <c r="Q102" s="671" t="e">
        <f>VLOOKUP(D102,TONGHOPCONGDOI!$C$95:$AD$95,23,0)</f>
        <v>#REF!</v>
      </c>
      <c r="R102" s="671" t="e">
        <f>VLOOKUP(D102,TONGHOPCONGDOI!$C$95:$AD$95,24,0)</f>
        <v>#REF!</v>
      </c>
      <c r="S102" s="671" t="e">
        <f>VLOOKUP(D102,TONGHOPCONGDOI!$C$95:$AD$95,25,0)</f>
        <v>#REF!</v>
      </c>
      <c r="T102" s="671"/>
      <c r="U102" s="1168"/>
      <c r="V102" s="1168"/>
      <c r="W102" s="1168"/>
      <c r="X102" s="671" t="e">
        <f t="shared" si="22"/>
        <v>#REF!</v>
      </c>
      <c r="Y102" s="671" t="e">
        <f t="shared" si="23"/>
        <v>#REF!</v>
      </c>
      <c r="Z102" s="254"/>
      <c r="AA102" s="673" t="e">
        <f t="shared" si="24"/>
        <v>#REF!</v>
      </c>
      <c r="AB102" s="254"/>
      <c r="AC102" s="672"/>
      <c r="AD102" s="1169">
        <f t="shared" si="25"/>
        <v>87</v>
      </c>
      <c r="AE102" s="674"/>
      <c r="AF102" s="674"/>
      <c r="AG102" s="674"/>
      <c r="AH102" s="674"/>
      <c r="AI102" s="674"/>
      <c r="AJ102" s="674"/>
      <c r="AK102" s="674"/>
      <c r="AL102" s="674"/>
    </row>
    <row r="103" spans="1:38" s="1171" customFormat="1" ht="33" customHeight="1">
      <c r="A103" s="1164">
        <v>88</v>
      </c>
      <c r="B103" s="1165">
        <v>88</v>
      </c>
      <c r="C103" s="1165"/>
      <c r="D103" s="1170" t="e">
        <f>TONGHOPCONGDOI!#REF!</f>
        <v>#REF!</v>
      </c>
      <c r="E103" s="1165" t="s">
        <v>28</v>
      </c>
      <c r="F103" s="1167"/>
      <c r="G103" s="254">
        <f t="shared" si="19"/>
        <v>0</v>
      </c>
      <c r="H103" s="254" t="e">
        <f>VLOOKUP(D103,TONGHOPCONGDOI!C95:AD160,16,0)</f>
        <v>#REF!</v>
      </c>
      <c r="I103" s="254" t="e">
        <f>VLOOKUP(D103,TONGHOPCONGDOI!C95:AD160,18,0)</f>
        <v>#REF!</v>
      </c>
      <c r="J103" s="254"/>
      <c r="K103" s="668" t="e">
        <f t="shared" si="20"/>
        <v>#REF!</v>
      </c>
      <c r="L103" s="669" t="e">
        <f>VLOOKUP(D103,'BTH mủ tạp'!$D$17:$AN$95,37,0)</f>
        <v>#REF!</v>
      </c>
      <c r="M103" s="670" t="e">
        <f t="shared" si="21"/>
        <v>#REF!</v>
      </c>
      <c r="N103" s="671" t="e">
        <f>VLOOKUP(D103,TONGHOPCONGDOI!$C$95:$AD$95,20,0)</f>
        <v>#REF!</v>
      </c>
      <c r="O103" s="671" t="e">
        <f>VLOOKUP(D103,TONGHOPCONGDOI!$C$95:$AD$95,21,0)</f>
        <v>#REF!</v>
      </c>
      <c r="P103" s="671" t="e">
        <f>VLOOKUP(D103,TONGHOPCONGDOI!$C$95:$AD$95,22,0)</f>
        <v>#REF!</v>
      </c>
      <c r="Q103" s="671" t="e">
        <f>VLOOKUP(D103,TONGHOPCONGDOI!$C$95:$AD$95,23,0)</f>
        <v>#REF!</v>
      </c>
      <c r="R103" s="671" t="e">
        <f>VLOOKUP(D103,TONGHOPCONGDOI!$C$95:$AD$95,24,0)</f>
        <v>#REF!</v>
      </c>
      <c r="S103" s="671" t="e">
        <f>VLOOKUP(D103,TONGHOPCONGDOI!$C$95:$AD$95,25,0)</f>
        <v>#REF!</v>
      </c>
      <c r="T103" s="671"/>
      <c r="U103" s="1168"/>
      <c r="V103" s="1168"/>
      <c r="W103" s="1168"/>
      <c r="X103" s="671" t="e">
        <f t="shared" si="22"/>
        <v>#REF!</v>
      </c>
      <c r="Y103" s="671" t="e">
        <f t="shared" si="23"/>
        <v>#REF!</v>
      </c>
      <c r="Z103" s="254"/>
      <c r="AA103" s="673" t="e">
        <f t="shared" si="24"/>
        <v>#REF!</v>
      </c>
      <c r="AB103" s="254"/>
      <c r="AC103" s="672"/>
      <c r="AD103" s="1169">
        <f t="shared" si="25"/>
        <v>88</v>
      </c>
      <c r="AE103" s="674"/>
      <c r="AF103" s="674"/>
      <c r="AG103" s="674"/>
      <c r="AH103" s="674"/>
      <c r="AI103" s="674"/>
      <c r="AJ103" s="674"/>
      <c r="AK103" s="674"/>
      <c r="AL103" s="674"/>
    </row>
    <row r="104" spans="1:38" s="1171" customFormat="1" ht="33" customHeight="1">
      <c r="A104" s="1164">
        <v>89</v>
      </c>
      <c r="B104" s="1165">
        <v>89</v>
      </c>
      <c r="C104" s="1165"/>
      <c r="D104" s="1170" t="e">
        <f>TONGHOPCONGDOI!#REF!</f>
        <v>#REF!</v>
      </c>
      <c r="E104" s="1165" t="s">
        <v>28</v>
      </c>
      <c r="F104" s="1167"/>
      <c r="G104" s="254">
        <f t="shared" si="19"/>
        <v>0</v>
      </c>
      <c r="H104" s="254" t="e">
        <f>VLOOKUP(D104,TONGHOPCONGDOI!C95:AD160,16,0)</f>
        <v>#REF!</v>
      </c>
      <c r="I104" s="254" t="e">
        <f>VLOOKUP(D104,TONGHOPCONGDOI!C95:AD160,18,0)</f>
        <v>#REF!</v>
      </c>
      <c r="J104" s="254"/>
      <c r="K104" s="668" t="e">
        <f t="shared" si="20"/>
        <v>#REF!</v>
      </c>
      <c r="L104" s="669" t="e">
        <f>VLOOKUP(D104,'BTH mủ tạp'!$D$17:$AN$95,37,0)</f>
        <v>#REF!</v>
      </c>
      <c r="M104" s="670" t="e">
        <f t="shared" si="21"/>
        <v>#REF!</v>
      </c>
      <c r="N104" s="671" t="e">
        <f>VLOOKUP(D104,TONGHOPCONGDOI!$C$95:$AD$95,20,0)</f>
        <v>#REF!</v>
      </c>
      <c r="O104" s="671" t="e">
        <f>VLOOKUP(D104,TONGHOPCONGDOI!$C$95:$AD$95,21,0)</f>
        <v>#REF!</v>
      </c>
      <c r="P104" s="671" t="e">
        <f>VLOOKUP(D104,TONGHOPCONGDOI!$C$95:$AD$95,22,0)</f>
        <v>#REF!</v>
      </c>
      <c r="Q104" s="671" t="e">
        <f>VLOOKUP(D104,TONGHOPCONGDOI!$C$95:$AD$95,23,0)</f>
        <v>#REF!</v>
      </c>
      <c r="R104" s="671" t="e">
        <f>VLOOKUP(D104,TONGHOPCONGDOI!$C$95:$AD$95,24,0)</f>
        <v>#REF!</v>
      </c>
      <c r="S104" s="671" t="e">
        <f>VLOOKUP(D104,TONGHOPCONGDOI!$C$95:$AD$95,25,0)</f>
        <v>#REF!</v>
      </c>
      <c r="T104" s="671"/>
      <c r="U104" s="1168"/>
      <c r="V104" s="1168"/>
      <c r="W104" s="1168"/>
      <c r="X104" s="671" t="e">
        <f t="shared" si="22"/>
        <v>#REF!</v>
      </c>
      <c r="Y104" s="671" t="e">
        <f t="shared" si="23"/>
        <v>#REF!</v>
      </c>
      <c r="Z104" s="254"/>
      <c r="AA104" s="673" t="e">
        <f t="shared" ref="AA104" si="26">Y104</f>
        <v>#REF!</v>
      </c>
      <c r="AB104" s="254"/>
      <c r="AC104" s="672"/>
      <c r="AD104" s="1169">
        <f t="shared" si="25"/>
        <v>89</v>
      </c>
      <c r="AE104" s="674"/>
      <c r="AF104" s="674"/>
      <c r="AG104" s="674"/>
      <c r="AH104" s="674"/>
      <c r="AI104" s="674"/>
      <c r="AJ104" s="674"/>
      <c r="AK104" s="674"/>
      <c r="AL104" s="674"/>
    </row>
    <row r="105" spans="1:38" s="1171" customFormat="1" ht="33" customHeight="1">
      <c r="A105" s="1164">
        <v>90</v>
      </c>
      <c r="B105" s="1165">
        <v>90</v>
      </c>
      <c r="C105" s="1165"/>
      <c r="D105" s="1170" t="e">
        <f>TONGHOPCONGDOI!#REF!</f>
        <v>#REF!</v>
      </c>
      <c r="E105" s="1165" t="s">
        <v>28</v>
      </c>
      <c r="F105" s="1167"/>
      <c r="G105" s="254">
        <f t="shared" si="19"/>
        <v>0</v>
      </c>
      <c r="H105" s="254" t="e">
        <f>VLOOKUP(D105,TONGHOPCONGDOI!C95:AD160,16,0)</f>
        <v>#REF!</v>
      </c>
      <c r="I105" s="254" t="e">
        <f>VLOOKUP(D105,TONGHOPCONGDOI!C95:AD160,18,0)</f>
        <v>#REF!</v>
      </c>
      <c r="J105" s="254"/>
      <c r="K105" s="668" t="e">
        <f t="shared" si="20"/>
        <v>#REF!</v>
      </c>
      <c r="L105" s="669" t="e">
        <f>VLOOKUP(D105,'BTH mủ tạp'!$D$17:$AN$95,37,0)</f>
        <v>#REF!</v>
      </c>
      <c r="M105" s="670" t="e">
        <f t="shared" si="21"/>
        <v>#REF!</v>
      </c>
      <c r="N105" s="671" t="e">
        <f>VLOOKUP(D105,TONGHOPCONGDOI!$C$95:$AD$95,20,0)</f>
        <v>#REF!</v>
      </c>
      <c r="O105" s="671" t="e">
        <f>VLOOKUP(D105,TONGHOPCONGDOI!$C$95:$AD$95,21,0)</f>
        <v>#REF!</v>
      </c>
      <c r="P105" s="671" t="e">
        <f>VLOOKUP(D105,TONGHOPCONGDOI!$C$95:$AD$95,22,0)</f>
        <v>#REF!</v>
      </c>
      <c r="Q105" s="671" t="e">
        <f>VLOOKUP(D105,TONGHOPCONGDOI!$C$95:$AD$95,23,0)</f>
        <v>#REF!</v>
      </c>
      <c r="R105" s="671" t="e">
        <f>VLOOKUP(D105,TONGHOPCONGDOI!$C$95:$AD$95,24,0)</f>
        <v>#REF!</v>
      </c>
      <c r="S105" s="671" t="e">
        <f>VLOOKUP(D105,TONGHOPCONGDOI!$C$95:$AD$95,25,0)</f>
        <v>#REF!</v>
      </c>
      <c r="T105" s="671"/>
      <c r="U105" s="1168"/>
      <c r="V105" s="1168"/>
      <c r="W105" s="1168"/>
      <c r="X105" s="671" t="e">
        <f t="shared" si="22"/>
        <v>#REF!</v>
      </c>
      <c r="Y105" s="671" t="e">
        <f t="shared" si="23"/>
        <v>#REF!</v>
      </c>
      <c r="Z105" s="254"/>
      <c r="AA105" s="673" t="e">
        <f t="shared" ref="AA105:AA107" si="27">Y105</f>
        <v>#REF!</v>
      </c>
      <c r="AB105" s="254"/>
      <c r="AC105" s="672"/>
      <c r="AD105" s="1169">
        <f t="shared" si="25"/>
        <v>90</v>
      </c>
      <c r="AE105" s="674"/>
      <c r="AF105" s="674"/>
      <c r="AG105" s="674"/>
      <c r="AH105" s="674"/>
      <c r="AI105" s="674"/>
      <c r="AJ105" s="674"/>
      <c r="AK105" s="674"/>
      <c r="AL105" s="674"/>
    </row>
    <row r="106" spans="1:38" s="1171" customFormat="1" ht="33" customHeight="1">
      <c r="A106" s="1164">
        <v>91</v>
      </c>
      <c r="B106" s="1165">
        <v>91</v>
      </c>
      <c r="C106" s="1165"/>
      <c r="D106" s="1170" t="e">
        <f>TONGHOPCONGDOI!#REF!</f>
        <v>#REF!</v>
      </c>
      <c r="E106" s="1165" t="s">
        <v>28</v>
      </c>
      <c r="F106" s="1167"/>
      <c r="G106" s="254">
        <f t="shared" si="19"/>
        <v>0</v>
      </c>
      <c r="H106" s="254" t="e">
        <f>VLOOKUP(D106,TONGHOPCONGDOI!C95:AD160,16,0)</f>
        <v>#REF!</v>
      </c>
      <c r="I106" s="254" t="e">
        <f>VLOOKUP(D106,TONGHOPCONGDOI!C95:AD160,18,0)</f>
        <v>#REF!</v>
      </c>
      <c r="J106" s="254"/>
      <c r="K106" s="668" t="e">
        <f t="shared" si="20"/>
        <v>#REF!</v>
      </c>
      <c r="L106" s="669" t="e">
        <f>VLOOKUP(D106,'BTH mủ tạp'!$D$17:$AN$95,37,0)</f>
        <v>#REF!</v>
      </c>
      <c r="M106" s="670" t="e">
        <f t="shared" si="21"/>
        <v>#REF!</v>
      </c>
      <c r="N106" s="671" t="e">
        <f>VLOOKUP(D106,TONGHOPCONGDOI!$C$95:$AD$95,20,0)</f>
        <v>#REF!</v>
      </c>
      <c r="O106" s="671" t="e">
        <f>VLOOKUP(D106,TONGHOPCONGDOI!$C$95:$AD$95,21,0)</f>
        <v>#REF!</v>
      </c>
      <c r="P106" s="671" t="e">
        <f>VLOOKUP(D106,TONGHOPCONGDOI!$C$95:$AD$95,22,0)</f>
        <v>#REF!</v>
      </c>
      <c r="Q106" s="671" t="e">
        <f>VLOOKUP(D106,TONGHOPCONGDOI!$C$95:$AD$95,23,0)</f>
        <v>#REF!</v>
      </c>
      <c r="R106" s="671" t="e">
        <f>VLOOKUP(D106,TONGHOPCONGDOI!$C$95:$AD$95,24,0)</f>
        <v>#REF!</v>
      </c>
      <c r="S106" s="671" t="e">
        <f>VLOOKUP(D106,TONGHOPCONGDOI!$C$95:$AD$95,25,0)</f>
        <v>#REF!</v>
      </c>
      <c r="T106" s="671"/>
      <c r="U106" s="1168"/>
      <c r="V106" s="1168"/>
      <c r="W106" s="1168"/>
      <c r="X106" s="671" t="e">
        <f t="shared" si="22"/>
        <v>#REF!</v>
      </c>
      <c r="Y106" s="671" t="e">
        <f t="shared" si="23"/>
        <v>#REF!</v>
      </c>
      <c r="Z106" s="254"/>
      <c r="AA106" s="673" t="e">
        <f t="shared" si="27"/>
        <v>#REF!</v>
      </c>
      <c r="AB106" s="254"/>
      <c r="AC106" s="672"/>
      <c r="AD106" s="1169">
        <f t="shared" si="25"/>
        <v>91</v>
      </c>
      <c r="AE106" s="674"/>
      <c r="AF106" s="674"/>
      <c r="AG106" s="674"/>
      <c r="AH106" s="674"/>
      <c r="AI106" s="674"/>
      <c r="AJ106" s="674"/>
      <c r="AK106" s="674"/>
      <c r="AL106" s="674"/>
    </row>
    <row r="107" spans="1:38" s="1171" customFormat="1" ht="33" customHeight="1">
      <c r="A107" s="1164">
        <v>92</v>
      </c>
      <c r="B107" s="1165">
        <v>92</v>
      </c>
      <c r="C107" s="1165"/>
      <c r="D107" s="1170" t="e">
        <f>TONGHOPCONGDOI!#REF!</f>
        <v>#REF!</v>
      </c>
      <c r="E107" s="1165" t="s">
        <v>28</v>
      </c>
      <c r="F107" s="1167"/>
      <c r="G107" s="254">
        <f t="shared" si="19"/>
        <v>0</v>
      </c>
      <c r="H107" s="254" t="e">
        <f>VLOOKUP(D107,TONGHOPCONGDOI!C95:AD160,16,0)</f>
        <v>#REF!</v>
      </c>
      <c r="I107" s="254" t="e">
        <f>VLOOKUP(D107,TONGHOPCONGDOI!C95:AD160,18,0)</f>
        <v>#REF!</v>
      </c>
      <c r="J107" s="254"/>
      <c r="K107" s="668" t="e">
        <f t="shared" si="20"/>
        <v>#REF!</v>
      </c>
      <c r="L107" s="669" t="e">
        <f>VLOOKUP(D107,'BTH mủ tạp'!$D$17:$AN$95,37,0)</f>
        <v>#REF!</v>
      </c>
      <c r="M107" s="670" t="e">
        <f t="shared" si="21"/>
        <v>#REF!</v>
      </c>
      <c r="N107" s="671" t="e">
        <f>VLOOKUP(D107,TONGHOPCONGDOI!$C$95:$AD$95,20,0)</f>
        <v>#REF!</v>
      </c>
      <c r="O107" s="671" t="e">
        <f>VLOOKUP(D107,TONGHOPCONGDOI!$C$95:$AD$95,21,0)</f>
        <v>#REF!</v>
      </c>
      <c r="P107" s="671" t="e">
        <f>VLOOKUP(D107,TONGHOPCONGDOI!$C$95:$AD$95,22,0)</f>
        <v>#REF!</v>
      </c>
      <c r="Q107" s="671" t="e">
        <f>VLOOKUP(D107,TONGHOPCONGDOI!$C$95:$AD$95,23,0)</f>
        <v>#REF!</v>
      </c>
      <c r="R107" s="671" t="e">
        <f>VLOOKUP(D107,TONGHOPCONGDOI!$C$95:$AD$95,24,0)</f>
        <v>#REF!</v>
      </c>
      <c r="S107" s="671" t="e">
        <f>VLOOKUP(D107,TONGHOPCONGDOI!$C$95:$AD$95,25,0)</f>
        <v>#REF!</v>
      </c>
      <c r="T107" s="671"/>
      <c r="U107" s="1168"/>
      <c r="V107" s="1168"/>
      <c r="W107" s="1168"/>
      <c r="X107" s="671" t="e">
        <f t="shared" si="22"/>
        <v>#REF!</v>
      </c>
      <c r="Y107" s="671" t="e">
        <f t="shared" si="23"/>
        <v>#REF!</v>
      </c>
      <c r="Z107" s="254"/>
      <c r="AA107" s="673" t="e">
        <f t="shared" si="27"/>
        <v>#REF!</v>
      </c>
      <c r="AB107" s="254"/>
      <c r="AC107" s="672"/>
      <c r="AD107" s="1169">
        <f t="shared" si="25"/>
        <v>92</v>
      </c>
      <c r="AE107" s="674"/>
      <c r="AF107" s="674"/>
      <c r="AG107" s="674"/>
      <c r="AH107" s="674"/>
      <c r="AI107" s="674"/>
      <c r="AJ107" s="674"/>
      <c r="AK107" s="674"/>
      <c r="AL107" s="674"/>
    </row>
    <row r="108" spans="1:38" s="1171" customFormat="1" ht="33" customHeight="1">
      <c r="A108" s="1164">
        <v>93</v>
      </c>
      <c r="B108" s="1165">
        <v>93</v>
      </c>
      <c r="C108" s="1165"/>
      <c r="D108" s="1170" t="e">
        <f>TONGHOPCONGDOI!#REF!</f>
        <v>#REF!</v>
      </c>
      <c r="E108" s="1165" t="s">
        <v>28</v>
      </c>
      <c r="F108" s="1167"/>
      <c r="G108" s="254">
        <f t="shared" si="19"/>
        <v>0</v>
      </c>
      <c r="H108" s="254" t="e">
        <f>VLOOKUP(D108,TONGHOPCONGDOI!C95:AD160,16,0)</f>
        <v>#REF!</v>
      </c>
      <c r="I108" s="254" t="e">
        <f>VLOOKUP(D108,TONGHOPCONGDOI!C95:AD160,18,0)</f>
        <v>#REF!</v>
      </c>
      <c r="J108" s="254"/>
      <c r="K108" s="668" t="e">
        <f t="shared" si="20"/>
        <v>#REF!</v>
      </c>
      <c r="L108" s="669" t="e">
        <f>VLOOKUP(D108,'BTH mủ tạp'!$D$17:$AN$95,37,0)</f>
        <v>#REF!</v>
      </c>
      <c r="M108" s="670" t="e">
        <f t="shared" si="21"/>
        <v>#REF!</v>
      </c>
      <c r="N108" s="671" t="e">
        <f>VLOOKUP(D108,TONGHOPCONGDOI!$C$95:$AD$95,20,0)</f>
        <v>#REF!</v>
      </c>
      <c r="O108" s="671" t="e">
        <f>VLOOKUP(D108,TONGHOPCONGDOI!$C$95:$AD$95,21,0)</f>
        <v>#REF!</v>
      </c>
      <c r="P108" s="671" t="e">
        <f>VLOOKUP(D108,TONGHOPCONGDOI!$C$95:$AD$95,22,0)</f>
        <v>#REF!</v>
      </c>
      <c r="Q108" s="671" t="e">
        <f>VLOOKUP(D108,TONGHOPCONGDOI!$C$95:$AD$95,23,0)</f>
        <v>#REF!</v>
      </c>
      <c r="R108" s="671" t="e">
        <f>VLOOKUP(D108,TONGHOPCONGDOI!$C$95:$AD$95,24,0)</f>
        <v>#REF!</v>
      </c>
      <c r="S108" s="671" t="e">
        <f>VLOOKUP(D108,TONGHOPCONGDOI!$C$95:$AD$95,25,0)</f>
        <v>#REF!</v>
      </c>
      <c r="T108" s="671"/>
      <c r="U108" s="1168"/>
      <c r="V108" s="1168"/>
      <c r="W108" s="1168"/>
      <c r="X108" s="671" t="e">
        <f t="shared" si="22"/>
        <v>#REF!</v>
      </c>
      <c r="Y108" s="671" t="e">
        <f t="shared" si="23"/>
        <v>#REF!</v>
      </c>
      <c r="Z108" s="254"/>
      <c r="AA108" s="673" t="e">
        <f t="shared" ref="AA108:AA109" si="28">Y108</f>
        <v>#REF!</v>
      </c>
      <c r="AB108" s="254"/>
      <c r="AC108" s="672"/>
      <c r="AD108" s="1169"/>
      <c r="AE108" s="674"/>
      <c r="AF108" s="674"/>
      <c r="AG108" s="674"/>
      <c r="AH108" s="674"/>
      <c r="AI108" s="674"/>
      <c r="AJ108" s="674"/>
      <c r="AK108" s="674"/>
      <c r="AL108" s="674"/>
    </row>
    <row r="109" spans="1:38" s="1171" customFormat="1" ht="33" customHeight="1">
      <c r="A109" s="1164">
        <v>94</v>
      </c>
      <c r="B109" s="1165">
        <v>94</v>
      </c>
      <c r="C109" s="1165"/>
      <c r="D109" s="1170" t="e">
        <f>TONGHOPCONGDOI!#REF!</f>
        <v>#REF!</v>
      </c>
      <c r="E109" s="1165"/>
      <c r="F109" s="1167"/>
      <c r="G109" s="254">
        <f t="shared" si="19"/>
        <v>0</v>
      </c>
      <c r="H109" s="254"/>
      <c r="I109" s="254"/>
      <c r="J109" s="254" t="e">
        <f>#REF!</f>
        <v>#REF!</v>
      </c>
      <c r="K109" s="668" t="e">
        <f>#REF!</f>
        <v>#REF!</v>
      </c>
      <c r="L109" s="669" t="e">
        <f>VLOOKUP(D109,'BTH mủ tạp'!$D$17:$AN$95,37,0)</f>
        <v>#REF!</v>
      </c>
      <c r="M109" s="670" t="e">
        <f>ROUND((K109*6.1*$F$11),0)</f>
        <v>#REF!</v>
      </c>
      <c r="N109" s="671"/>
      <c r="O109" s="671"/>
      <c r="P109" s="671"/>
      <c r="Q109" s="671"/>
      <c r="R109" s="671"/>
      <c r="S109" s="671"/>
      <c r="T109" s="671"/>
      <c r="U109" s="1168"/>
      <c r="V109" s="1168"/>
      <c r="W109" s="1168"/>
      <c r="X109" s="671">
        <f t="shared" si="22"/>
        <v>0</v>
      </c>
      <c r="Y109" s="671" t="e">
        <f t="shared" si="23"/>
        <v>#REF!</v>
      </c>
      <c r="Z109" s="254"/>
      <c r="AA109" s="673" t="e">
        <f t="shared" si="28"/>
        <v>#REF!</v>
      </c>
      <c r="AB109" s="254"/>
      <c r="AC109" s="672"/>
      <c r="AD109" s="1169"/>
      <c r="AE109" s="674"/>
      <c r="AF109" s="674"/>
      <c r="AG109" s="674"/>
      <c r="AH109" s="674"/>
      <c r="AI109" s="674"/>
      <c r="AJ109" s="674"/>
      <c r="AK109" s="674"/>
      <c r="AL109" s="674"/>
    </row>
    <row r="110" spans="1:38" s="1171" customFormat="1" ht="33" customHeight="1">
      <c r="A110" s="1164">
        <v>95</v>
      </c>
      <c r="B110" s="1165">
        <v>95</v>
      </c>
      <c r="C110" s="1165"/>
      <c r="D110" s="1170" t="e">
        <f>TONGHOPCONGDOI!#REF!</f>
        <v>#REF!</v>
      </c>
      <c r="E110" s="1165"/>
      <c r="F110" s="1167"/>
      <c r="G110" s="254">
        <f t="shared" si="19"/>
        <v>0</v>
      </c>
      <c r="H110" s="254"/>
      <c r="I110" s="254"/>
      <c r="J110" s="254"/>
      <c r="K110" s="668"/>
      <c r="L110" s="669" t="e">
        <f>VLOOKUP(D110,'BTH mủ tạp'!$D$17:$AN$95,37,0)</f>
        <v>#REF!</v>
      </c>
      <c r="M110" s="670"/>
      <c r="N110" s="671"/>
      <c r="O110" s="671"/>
      <c r="P110" s="671"/>
      <c r="Q110" s="671"/>
      <c r="R110" s="671"/>
      <c r="S110" s="671"/>
      <c r="T110" s="671"/>
      <c r="U110" s="1168"/>
      <c r="V110" s="1168"/>
      <c r="W110" s="1168"/>
      <c r="X110" s="671">
        <f t="shared" si="22"/>
        <v>0</v>
      </c>
      <c r="Y110" s="671">
        <f t="shared" si="23"/>
        <v>0</v>
      </c>
      <c r="Z110" s="254"/>
      <c r="AA110" s="673">
        <f t="shared" ref="AA110:AA112" si="29">Y110</f>
        <v>0</v>
      </c>
      <c r="AB110" s="254"/>
      <c r="AC110" s="672"/>
      <c r="AD110" s="1169"/>
      <c r="AE110" s="674"/>
      <c r="AF110" s="674"/>
      <c r="AG110" s="674"/>
      <c r="AH110" s="674"/>
      <c r="AI110" s="674"/>
      <c r="AJ110" s="674"/>
      <c r="AK110" s="674"/>
      <c r="AL110" s="674"/>
    </row>
    <row r="111" spans="1:38" s="1171" customFormat="1" ht="33" customHeight="1">
      <c r="A111" s="1164">
        <v>96</v>
      </c>
      <c r="B111" s="1165">
        <v>96</v>
      </c>
      <c r="C111" s="1165"/>
      <c r="D111" s="1170" t="e">
        <f>TONGHOPCONGDOI!#REF!</f>
        <v>#REF!</v>
      </c>
      <c r="E111" s="1165" t="s">
        <v>28</v>
      </c>
      <c r="F111" s="1167"/>
      <c r="G111" s="254">
        <f t="shared" si="19"/>
        <v>0</v>
      </c>
      <c r="H111" s="254" t="e">
        <f>VLOOKUP(D111,TONGHOPCONGDOI!C95:AD160,16,0)</f>
        <v>#REF!</v>
      </c>
      <c r="I111" s="254" t="e">
        <f>VLOOKUP(D111,TONGHOPCONGDOI!C95:AD160,18,0)</f>
        <v>#REF!</v>
      </c>
      <c r="J111" s="254"/>
      <c r="K111" s="668" t="e">
        <f>$AH$8/$AH$7*H111+I111*$AH$9+J111*$AH$10</f>
        <v>#REF!</v>
      </c>
      <c r="L111" s="669" t="e">
        <f>VLOOKUP(D111,'BTH mủ tạp'!$D$17:$AN$95,37,0)</f>
        <v>#REF!</v>
      </c>
      <c r="M111" s="670"/>
      <c r="N111" s="671" t="e">
        <f>VLOOKUP(D111,TONGHOPCONGDOI!$C$95:$AD$95,20,0)</f>
        <v>#REF!</v>
      </c>
      <c r="O111" s="671" t="e">
        <f>VLOOKUP(D111,TONGHOPCONGDOI!$C$95:$AD$95,21,0)</f>
        <v>#REF!</v>
      </c>
      <c r="P111" s="671" t="e">
        <f>VLOOKUP(D111,TONGHOPCONGDOI!$C$95:$AD$95,22,0)</f>
        <v>#REF!</v>
      </c>
      <c r="Q111" s="671" t="e">
        <f>VLOOKUP(D111,TONGHOPCONGDOI!$C$95:$AD$95,23,0)</f>
        <v>#REF!</v>
      </c>
      <c r="R111" s="671" t="e">
        <f>VLOOKUP(D111,TONGHOPCONGDOI!$C$95:$AD$95,24,0)</f>
        <v>#REF!</v>
      </c>
      <c r="S111" s="671" t="e">
        <f>VLOOKUP(D111,TONGHOPCONGDOI!$C$95:$AD$95,25,0)</f>
        <v>#REF!</v>
      </c>
      <c r="T111" s="671"/>
      <c r="U111" s="1168"/>
      <c r="V111" s="1168"/>
      <c r="W111" s="1168"/>
      <c r="X111" s="671" t="e">
        <f t="shared" si="22"/>
        <v>#REF!</v>
      </c>
      <c r="Y111" s="671" t="e">
        <f t="shared" si="23"/>
        <v>#REF!</v>
      </c>
      <c r="Z111" s="254"/>
      <c r="AA111" s="673" t="e">
        <f t="shared" si="29"/>
        <v>#REF!</v>
      </c>
      <c r="AB111" s="254"/>
      <c r="AC111" s="672"/>
      <c r="AD111" s="1169">
        <f t="shared" ref="AD111:AD142" si="30">B111</f>
        <v>96</v>
      </c>
      <c r="AE111" s="674"/>
      <c r="AF111" s="674"/>
      <c r="AG111" s="674"/>
      <c r="AH111" s="674"/>
      <c r="AI111" s="674"/>
      <c r="AJ111" s="674"/>
      <c r="AK111" s="674"/>
      <c r="AL111" s="674"/>
    </row>
    <row r="112" spans="1:38" s="1171" customFormat="1" ht="33" customHeight="1">
      <c r="A112" s="1164">
        <v>97</v>
      </c>
      <c r="B112" s="1165">
        <v>97</v>
      </c>
      <c r="C112" s="1165"/>
      <c r="D112" s="1170" t="e">
        <f>TONGHOPCONGDOI!#REF!</f>
        <v>#REF!</v>
      </c>
      <c r="E112" s="1165" t="s">
        <v>371</v>
      </c>
      <c r="F112" s="1167"/>
      <c r="G112" s="254">
        <f t="shared" si="19"/>
        <v>0</v>
      </c>
      <c r="H112" s="254"/>
      <c r="I112" s="254"/>
      <c r="J112" s="254"/>
      <c r="K112" s="668"/>
      <c r="L112" s="669" t="e">
        <f>VLOOKUP(D112,'BTH mủ tạp'!$D$17:$AN$95,37,0)</f>
        <v>#REF!</v>
      </c>
      <c r="M112" s="670"/>
      <c r="N112" s="671"/>
      <c r="O112" s="671"/>
      <c r="P112" s="671"/>
      <c r="Q112" s="671"/>
      <c r="R112" s="671"/>
      <c r="S112" s="671"/>
      <c r="T112" s="671"/>
      <c r="U112" s="1168"/>
      <c r="V112" s="1168"/>
      <c r="W112" s="1168"/>
      <c r="X112" s="671">
        <f t="shared" si="22"/>
        <v>0</v>
      </c>
      <c r="Y112" s="671">
        <f t="shared" si="23"/>
        <v>0</v>
      </c>
      <c r="Z112" s="254"/>
      <c r="AA112" s="673">
        <f t="shared" si="29"/>
        <v>0</v>
      </c>
      <c r="AB112" s="254"/>
      <c r="AC112" s="672"/>
      <c r="AD112" s="1169">
        <f t="shared" si="30"/>
        <v>97</v>
      </c>
      <c r="AE112" s="674"/>
      <c r="AF112" s="674"/>
      <c r="AG112" s="674"/>
      <c r="AH112" s="674"/>
      <c r="AI112" s="674"/>
      <c r="AJ112" s="674"/>
      <c r="AK112" s="674"/>
      <c r="AL112" s="674"/>
    </row>
    <row r="113" spans="1:38" s="1171" customFormat="1" ht="33" customHeight="1">
      <c r="A113" s="1469" t="s">
        <v>585</v>
      </c>
      <c r="B113" s="1469"/>
      <c r="C113" s="1469"/>
      <c r="D113" s="1469"/>
      <c r="E113" s="1469"/>
      <c r="F113" s="667"/>
      <c r="G113" s="667">
        <f t="shared" ref="G113:AA113" si="31">SUM(G114:G178)</f>
        <v>0</v>
      </c>
      <c r="H113" s="667">
        <f t="shared" si="31"/>
        <v>158146</v>
      </c>
      <c r="I113" s="667">
        <f t="shared" si="31"/>
        <v>0</v>
      </c>
      <c r="J113" s="667">
        <f t="shared" si="31"/>
        <v>0</v>
      </c>
      <c r="K113" s="667">
        <f t="shared" si="31"/>
        <v>73024.987000000023</v>
      </c>
      <c r="L113" s="667">
        <f t="shared" si="31"/>
        <v>0</v>
      </c>
      <c r="M113" s="667">
        <f t="shared" si="31"/>
        <v>292339544</v>
      </c>
      <c r="N113" s="667">
        <f t="shared" si="31"/>
        <v>1383</v>
      </c>
      <c r="O113" s="667">
        <f t="shared" si="31"/>
        <v>289</v>
      </c>
      <c r="P113" s="667">
        <f t="shared" si="31"/>
        <v>0</v>
      </c>
      <c r="Q113" s="667">
        <f t="shared" si="31"/>
        <v>0</v>
      </c>
      <c r="R113" s="667">
        <f t="shared" si="31"/>
        <v>0</v>
      </c>
      <c r="S113" s="667">
        <f t="shared" si="31"/>
        <v>0</v>
      </c>
      <c r="T113" s="667">
        <f t="shared" si="31"/>
        <v>0</v>
      </c>
      <c r="U113" s="667">
        <f t="shared" si="31"/>
        <v>0</v>
      </c>
      <c r="V113" s="667">
        <f t="shared" si="31"/>
        <v>0</v>
      </c>
      <c r="W113" s="667">
        <f t="shared" si="31"/>
        <v>0</v>
      </c>
      <c r="X113" s="667">
        <f t="shared" si="31"/>
        <v>57507146</v>
      </c>
      <c r="Y113" s="667">
        <f t="shared" si="31"/>
        <v>349846690</v>
      </c>
      <c r="Z113" s="667">
        <f t="shared" si="31"/>
        <v>0</v>
      </c>
      <c r="AA113" s="667">
        <f t="shared" si="31"/>
        <v>349846690</v>
      </c>
      <c r="AB113" s="667" t="e">
        <f>#REF!+#REF!+#REF!</f>
        <v>#REF!</v>
      </c>
      <c r="AC113" s="672"/>
      <c r="AD113" s="1169">
        <f t="shared" si="30"/>
        <v>0</v>
      </c>
      <c r="AE113" s="674"/>
      <c r="AF113" s="674"/>
      <c r="AG113" s="674"/>
      <c r="AH113" s="674"/>
      <c r="AI113" s="674"/>
      <c r="AJ113" s="674"/>
      <c r="AK113" s="674"/>
      <c r="AL113" s="674"/>
    </row>
    <row r="114" spans="1:38" s="1171" customFormat="1" ht="33" customHeight="1">
      <c r="A114" s="1172">
        <v>83</v>
      </c>
      <c r="B114" s="1173">
        <v>1</v>
      </c>
      <c r="C114" s="1170" t="str">
        <f>'Chấm công KT'!C95</f>
        <v>04072</v>
      </c>
      <c r="D114" s="1170" t="str">
        <f>TONGHOPCONGDOI!C96</f>
        <v xml:space="preserve">T. Lun </v>
      </c>
      <c r="E114" s="1170" t="s">
        <v>28</v>
      </c>
      <c r="F114" s="1174"/>
      <c r="G114" s="254">
        <f t="shared" ref="G114:G178" si="32">F114*25000</f>
        <v>0</v>
      </c>
      <c r="H114" s="254">
        <f>VLOOKUP(D114,TONGHOPCONGDOI!C96:AD160,16,0)</f>
        <v>2601</v>
      </c>
      <c r="I114" s="254">
        <f>VLOOKUP(D114,TONGHOPCONGDOI!C96:AD160,18,0)</f>
        <v>0</v>
      </c>
      <c r="J114" s="254"/>
      <c r="K114" s="668">
        <f t="shared" ref="K114:K145" si="33">$AJ$8/$AJ$7*H114+I114*$AJ$9+J114*$AJ$10</f>
        <v>1201.0293727757896</v>
      </c>
      <c r="L114" s="669" t="str">
        <f>VLOOKUP(D114,'BTH mủ tạp'!$D$98:$AN$160,37,0)</f>
        <v>A</v>
      </c>
      <c r="M114" s="670">
        <f>ROUND((IF(L114="A",(H114*$AA$11*6.1),IF(L114="B",(H114*$AA$11*5.8),IF(L114="C",(H114*$AA$11*5.5),IF(L114="C.",(H114*$AA$11*5.5),IF(L114="D",(H114*$AA$11*5.2),0)))))*$F$11+(I114*$AJ$9*$F$11*6.1)+J114*$F$11*$AJ$10*6.1),0)</f>
        <v>4900109</v>
      </c>
      <c r="N114" s="671">
        <f>VLOOKUP(D114,TONGHOPCONGDOI!$C$96:$AD$153,20,0)</f>
        <v>24</v>
      </c>
      <c r="O114" s="671">
        <f>VLOOKUP(D114,TONGHOPCONGDOI!$C$96:$AD$153,21,0)</f>
        <v>5</v>
      </c>
      <c r="P114" s="671">
        <f>VLOOKUP(D114,TONGHOPCONGDOI!$C$96:$AD$153,22,0)</f>
        <v>0</v>
      </c>
      <c r="Q114" s="671">
        <f>VLOOKUP(D114,TONGHOPCONGDOI!$C$96:$AD$153,23,0)</f>
        <v>0</v>
      </c>
      <c r="R114" s="671">
        <f>VLOOKUP(D114,TONGHOPCONGDOI!$C$96:$AD$153,24,0)</f>
        <v>0</v>
      </c>
      <c r="S114" s="671">
        <f>VLOOKUP(D114,TONGHOPCONGDOI!$C$96:$AD$153,25,0)</f>
        <v>0</v>
      </c>
      <c r="T114" s="671"/>
      <c r="U114" s="1168"/>
      <c r="V114" s="1168"/>
      <c r="W114" s="1168"/>
      <c r="X114" s="671">
        <f>ROUND(((N114*46.1)+(O114*76.9)+(P114*92.2)+(Q114*153.8)+(R114*92.2)+(S114*153.8))*$F$11+(T114*25000)+(U114*10000)+(V114*30000),0)</f>
        <v>997174</v>
      </c>
      <c r="Y114" s="671">
        <f t="shared" ref="Y114:Y145" si="34">G114+M114+X114</f>
        <v>5897283</v>
      </c>
      <c r="Z114" s="675"/>
      <c r="AA114" s="673">
        <f t="shared" ref="AA114:AA174" si="35">Y114-Z114</f>
        <v>5897283</v>
      </c>
      <c r="AB114" s="254"/>
      <c r="AC114" s="672"/>
      <c r="AD114" s="1169">
        <f t="shared" si="30"/>
        <v>1</v>
      </c>
      <c r="AE114" s="674"/>
      <c r="AF114" s="674"/>
      <c r="AG114" s="674"/>
      <c r="AH114" s="674"/>
      <c r="AI114" s="674"/>
      <c r="AJ114" s="674"/>
      <c r="AK114" s="674"/>
      <c r="AL114" s="674"/>
    </row>
    <row r="115" spans="1:38" s="1171" customFormat="1" ht="33" customHeight="1">
      <c r="A115" s="1172">
        <v>84</v>
      </c>
      <c r="B115" s="1170">
        <v>2</v>
      </c>
      <c r="C115" s="1170" t="str">
        <f>'Chấm công KT'!C96</f>
        <v>03466</v>
      </c>
      <c r="D115" s="1170" t="str">
        <f>TONGHOPCONGDOI!C97</f>
        <v>N. Keo</v>
      </c>
      <c r="E115" s="1170" t="s">
        <v>28</v>
      </c>
      <c r="F115" s="1174"/>
      <c r="G115" s="254">
        <f t="shared" si="32"/>
        <v>0</v>
      </c>
      <c r="H115" s="254">
        <f>VLOOKUP(D115,TONGHOPCONGDOI!C97:AD160,16,0)</f>
        <v>2863</v>
      </c>
      <c r="I115" s="254">
        <f>VLOOKUP(D115,TONGHOPCONGDOI!C97:AD160,18,0)</f>
        <v>0</v>
      </c>
      <c r="J115" s="254"/>
      <c r="K115" s="668">
        <f t="shared" si="33"/>
        <v>1322.0096479265997</v>
      </c>
      <c r="L115" s="669" t="str">
        <f>VLOOKUP(D115,'BTH mủ tạp'!$D$98:$AN$160,37,0)</f>
        <v>B</v>
      </c>
      <c r="M115" s="670">
        <f t="shared" ref="M115:M177" si="36">ROUND((IF(L115="A",(H115*$AA$11*6.1),IF(L115="B",(H115*$AA$11*5.8),IF(L115="C",(H115*$AA$11*5.5),IF(L115="C.",(H115*$AA$11*5.5),IF(L115="D",(H115*$AA$11*5.2),0)))))*$F$11+(I115*$AJ$9*$F$11*6.1)+J115*$F$11*$AJ$10*6.1),0)</f>
        <v>5128435</v>
      </c>
      <c r="N115" s="671">
        <f>VLOOKUP(D115,TONGHOPCONGDOI!$C$96:$AD$153,20,0)</f>
        <v>23</v>
      </c>
      <c r="O115" s="671">
        <f>VLOOKUP(D115,TONGHOPCONGDOI!$C$96:$AD$153,21,0)</f>
        <v>5</v>
      </c>
      <c r="P115" s="671">
        <f>VLOOKUP(D115,TONGHOPCONGDOI!$C$96:$AD$153,22,0)</f>
        <v>0</v>
      </c>
      <c r="Q115" s="671">
        <f>VLOOKUP(D115,TONGHOPCONGDOI!$C$96:$AD$153,23,0)</f>
        <v>0</v>
      </c>
      <c r="R115" s="671">
        <f>VLOOKUP(D115,TONGHOPCONGDOI!$C$96:$AD$153,24,0)</f>
        <v>0</v>
      </c>
      <c r="S115" s="671">
        <f>VLOOKUP(D115,TONGHOPCONGDOI!$C$96:$AD$153,25,0)</f>
        <v>0</v>
      </c>
      <c r="T115" s="671"/>
      <c r="U115" s="1168"/>
      <c r="V115" s="1168"/>
      <c r="W115" s="1168"/>
      <c r="X115" s="671">
        <f t="shared" ref="X115:X176" si="37">ROUND(((N115*46.1)+(O115*76.9)+(P115*92.2)+(Q115*153.8)+(R115*92.2)+(S115*153.8))*$F$11+(T115*25000)+(U115*10000)+(V115*30000),0)</f>
        <v>966340</v>
      </c>
      <c r="Y115" s="671">
        <f t="shared" si="34"/>
        <v>6094775</v>
      </c>
      <c r="Z115" s="675"/>
      <c r="AA115" s="673">
        <f t="shared" si="35"/>
        <v>6094775</v>
      </c>
      <c r="AB115" s="254"/>
      <c r="AC115" s="672"/>
      <c r="AD115" s="1169">
        <f t="shared" si="30"/>
        <v>2</v>
      </c>
      <c r="AE115" s="674"/>
      <c r="AF115" s="674"/>
      <c r="AG115" s="674"/>
      <c r="AH115" s="674"/>
      <c r="AI115" s="674"/>
      <c r="AJ115" s="674"/>
      <c r="AK115" s="674"/>
      <c r="AL115" s="674"/>
    </row>
    <row r="116" spans="1:38" s="1171" customFormat="1" ht="33" customHeight="1">
      <c r="A116" s="1172">
        <v>85</v>
      </c>
      <c r="B116" s="1173">
        <v>3</v>
      </c>
      <c r="C116" s="1170" t="str">
        <f>'Chấm công KT'!C97</f>
        <v>03590</v>
      </c>
      <c r="D116" s="1170" t="str">
        <f>TONGHOPCONGDOI!C98</f>
        <v>T .Nhum</v>
      </c>
      <c r="E116" s="1170" t="s">
        <v>28</v>
      </c>
      <c r="F116" s="1174"/>
      <c r="G116" s="254">
        <f t="shared" si="32"/>
        <v>0</v>
      </c>
      <c r="H116" s="254">
        <f>VLOOKUP(D116,TONGHOPCONGDOI!C98:AD160,16,0)</f>
        <v>2547</v>
      </c>
      <c r="I116" s="254">
        <f>VLOOKUP(D116,TONGHOPCONGDOI!C98:AD160,18,0)</f>
        <v>0</v>
      </c>
      <c r="J116" s="254"/>
      <c r="K116" s="668">
        <f t="shared" si="33"/>
        <v>1176.0945069050119</v>
      </c>
      <c r="L116" s="669" t="str">
        <f>VLOOKUP(D116,'BTH mủ tạp'!$D$98:$AN$160,37,0)</f>
        <v>A</v>
      </c>
      <c r="M116" s="670">
        <f t="shared" si="36"/>
        <v>4798376</v>
      </c>
      <c r="N116" s="671">
        <f>VLOOKUP(D116,TONGHOPCONGDOI!$C$96:$AD$153,20,0)</f>
        <v>24</v>
      </c>
      <c r="O116" s="671">
        <f>VLOOKUP(D116,TONGHOPCONGDOI!$C$96:$AD$153,21,0)</f>
        <v>5</v>
      </c>
      <c r="P116" s="671">
        <f>VLOOKUP(D116,TONGHOPCONGDOI!$C$96:$AD$153,22,0)</f>
        <v>0</v>
      </c>
      <c r="Q116" s="671">
        <f>VLOOKUP(D116,TONGHOPCONGDOI!$C$96:$AD$153,23,0)</f>
        <v>0</v>
      </c>
      <c r="R116" s="671">
        <f>VLOOKUP(D116,TONGHOPCONGDOI!$C$96:$AD$153,24,0)</f>
        <v>0</v>
      </c>
      <c r="S116" s="671">
        <f>VLOOKUP(D116,TONGHOPCONGDOI!$C$96:$AD$153,25,0)</f>
        <v>0</v>
      </c>
      <c r="T116" s="671"/>
      <c r="U116" s="1168"/>
      <c r="V116" s="1168"/>
      <c r="W116" s="1168"/>
      <c r="X116" s="671">
        <f t="shared" si="37"/>
        <v>997174</v>
      </c>
      <c r="Y116" s="671">
        <f t="shared" si="34"/>
        <v>5795550</v>
      </c>
      <c r="Z116" s="675"/>
      <c r="AA116" s="673">
        <f t="shared" si="35"/>
        <v>5795550</v>
      </c>
      <c r="AB116" s="254"/>
      <c r="AC116" s="672"/>
      <c r="AD116" s="1169">
        <f t="shared" si="30"/>
        <v>3</v>
      </c>
      <c r="AE116" s="674"/>
      <c r="AF116" s="674"/>
      <c r="AG116" s="674"/>
      <c r="AH116" s="674"/>
      <c r="AI116" s="674"/>
      <c r="AJ116" s="674"/>
      <c r="AK116" s="674"/>
      <c r="AL116" s="674"/>
    </row>
    <row r="117" spans="1:38" s="1171" customFormat="1" ht="33" customHeight="1">
      <c r="A117" s="1172">
        <v>86</v>
      </c>
      <c r="B117" s="1170">
        <v>4</v>
      </c>
      <c r="C117" s="1170" t="str">
        <f>'Chấm công KT'!C98</f>
        <v>03591</v>
      </c>
      <c r="D117" s="1170" t="str">
        <f>TONGHOPCONGDOI!C99</f>
        <v>N.Vông Ma Ni</v>
      </c>
      <c r="E117" s="1170" t="s">
        <v>28</v>
      </c>
      <c r="F117" s="1174"/>
      <c r="G117" s="254">
        <f t="shared" si="32"/>
        <v>0</v>
      </c>
      <c r="H117" s="254">
        <f>VLOOKUP(D117,TONGHOPCONGDOI!C99:AD160,16,0)</f>
        <v>2898</v>
      </c>
      <c r="I117" s="254">
        <f>VLOOKUP(D117,TONGHOPCONGDOI!C99:AD160,18,0)</f>
        <v>0</v>
      </c>
      <c r="J117" s="254"/>
      <c r="K117" s="668">
        <f t="shared" si="33"/>
        <v>1338.1711350650667</v>
      </c>
      <c r="L117" s="669" t="str">
        <f>VLOOKUP(D117,'BTH mủ tạp'!$D$98:$AN$160,37,0)</f>
        <v>A</v>
      </c>
      <c r="M117" s="670">
        <f t="shared" si="36"/>
        <v>5459637</v>
      </c>
      <c r="N117" s="671">
        <f>VLOOKUP(D117,TONGHOPCONGDOI!$C$96:$AD$153,20,0)</f>
        <v>24</v>
      </c>
      <c r="O117" s="671">
        <f>VLOOKUP(D117,TONGHOPCONGDOI!$C$96:$AD$153,21,0)</f>
        <v>5</v>
      </c>
      <c r="P117" s="671">
        <f>VLOOKUP(D117,TONGHOPCONGDOI!$C$96:$AD$153,22,0)</f>
        <v>0</v>
      </c>
      <c r="Q117" s="671">
        <f>VLOOKUP(D117,TONGHOPCONGDOI!$C$96:$AD$153,23,0)</f>
        <v>0</v>
      </c>
      <c r="R117" s="671">
        <f>VLOOKUP(D117,TONGHOPCONGDOI!$C$96:$AD$153,24,0)</f>
        <v>0</v>
      </c>
      <c r="S117" s="671">
        <f>VLOOKUP(D117,TONGHOPCONGDOI!$C$96:$AD$153,25,0)</f>
        <v>0</v>
      </c>
      <c r="T117" s="671"/>
      <c r="U117" s="1168"/>
      <c r="V117" s="1168"/>
      <c r="W117" s="1168"/>
      <c r="X117" s="671">
        <f t="shared" si="37"/>
        <v>997174</v>
      </c>
      <c r="Y117" s="671">
        <f t="shared" si="34"/>
        <v>6456811</v>
      </c>
      <c r="Z117" s="675"/>
      <c r="AA117" s="673">
        <f t="shared" si="35"/>
        <v>6456811</v>
      </c>
      <c r="AB117" s="254"/>
      <c r="AC117" s="672"/>
      <c r="AD117" s="1169">
        <f t="shared" si="30"/>
        <v>4</v>
      </c>
      <c r="AE117" s="674"/>
      <c r="AF117" s="674"/>
      <c r="AG117" s="674"/>
      <c r="AH117" s="674"/>
      <c r="AI117" s="674"/>
      <c r="AJ117" s="674"/>
      <c r="AK117" s="674"/>
      <c r="AL117" s="674"/>
    </row>
    <row r="118" spans="1:38" s="1171" customFormat="1" ht="33" customHeight="1">
      <c r="A118" s="1172">
        <v>87</v>
      </c>
      <c r="B118" s="1173">
        <v>5</v>
      </c>
      <c r="C118" s="1170" t="str">
        <f>'Chấm công KT'!C99</f>
        <v>03592</v>
      </c>
      <c r="D118" s="1170" t="str">
        <f>TONGHOPCONGDOI!C100</f>
        <v>Đao Hương</v>
      </c>
      <c r="E118" s="1170" t="s">
        <v>28</v>
      </c>
      <c r="F118" s="1174"/>
      <c r="G118" s="254">
        <f t="shared" si="32"/>
        <v>0</v>
      </c>
      <c r="H118" s="254">
        <f>VLOOKUP(D118,TONGHOPCONGDOI!C100:AD160,16,0)</f>
        <v>3014</v>
      </c>
      <c r="I118" s="254">
        <f>VLOOKUP(D118,TONGHOPCONGDOI!C100:AD160,18,0)</f>
        <v>0</v>
      </c>
      <c r="J118" s="254"/>
      <c r="K118" s="668">
        <f t="shared" si="33"/>
        <v>1391.7349210097002</v>
      </c>
      <c r="L118" s="669" t="str">
        <f>VLOOKUP(D118,'BTH mủ tạp'!$D$98:$AN$160,37,0)</f>
        <v>A</v>
      </c>
      <c r="M118" s="670">
        <f t="shared" si="36"/>
        <v>5678173</v>
      </c>
      <c r="N118" s="671">
        <f>VLOOKUP(D118,TONGHOPCONGDOI!$C$96:$AD$153,20,0)</f>
        <v>24</v>
      </c>
      <c r="O118" s="671">
        <f>VLOOKUP(D118,TONGHOPCONGDOI!$C$96:$AD$153,21,0)</f>
        <v>5</v>
      </c>
      <c r="P118" s="671">
        <f>VLOOKUP(D118,TONGHOPCONGDOI!$C$96:$AD$153,22,0)</f>
        <v>0</v>
      </c>
      <c r="Q118" s="671">
        <f>VLOOKUP(D118,TONGHOPCONGDOI!$C$96:$AD$153,23,0)</f>
        <v>0</v>
      </c>
      <c r="R118" s="671">
        <f>VLOOKUP(D118,TONGHOPCONGDOI!$C$96:$AD$153,24,0)</f>
        <v>0</v>
      </c>
      <c r="S118" s="671">
        <f>VLOOKUP(D118,TONGHOPCONGDOI!$C$96:$AD$153,25,0)</f>
        <v>0</v>
      </c>
      <c r="T118" s="671"/>
      <c r="U118" s="1168"/>
      <c r="V118" s="1168"/>
      <c r="W118" s="1168"/>
      <c r="X118" s="671">
        <f t="shared" si="37"/>
        <v>997174</v>
      </c>
      <c r="Y118" s="671">
        <f t="shared" si="34"/>
        <v>6675347</v>
      </c>
      <c r="Z118" s="675"/>
      <c r="AA118" s="673">
        <f t="shared" si="35"/>
        <v>6675347</v>
      </c>
      <c r="AB118" s="254"/>
      <c r="AC118" s="672"/>
      <c r="AD118" s="1169">
        <f t="shared" si="30"/>
        <v>5</v>
      </c>
      <c r="AE118" s="674"/>
      <c r="AF118" s="674"/>
      <c r="AG118" s="674"/>
      <c r="AH118" s="674"/>
      <c r="AI118" s="674"/>
      <c r="AJ118" s="674"/>
      <c r="AK118" s="674"/>
      <c r="AL118" s="674"/>
    </row>
    <row r="119" spans="1:38" s="1171" customFormat="1" ht="33" customHeight="1">
      <c r="A119" s="1172">
        <v>88</v>
      </c>
      <c r="B119" s="1170">
        <v>6</v>
      </c>
      <c r="C119" s="1170" t="str">
        <f>'Chấm công KT'!C100</f>
        <v>03593</v>
      </c>
      <c r="D119" s="1170" t="str">
        <f>TONGHOPCONGDOI!C101</f>
        <v>T. Xi Nun</v>
      </c>
      <c r="E119" s="1170" t="s">
        <v>28</v>
      </c>
      <c r="F119" s="1174"/>
      <c r="G119" s="254">
        <f t="shared" si="32"/>
        <v>0</v>
      </c>
      <c r="H119" s="254">
        <f>VLOOKUP(D119,TONGHOPCONGDOI!C101:AD160,16,0)</f>
        <v>2283</v>
      </c>
      <c r="I119" s="254">
        <f>VLOOKUP(D119,TONGHOPCONGDOI!C101:AD160,18,0)</f>
        <v>0</v>
      </c>
      <c r="J119" s="254"/>
      <c r="K119" s="668">
        <f t="shared" si="33"/>
        <v>1054.1907182034324</v>
      </c>
      <c r="L119" s="669" t="str">
        <f>VLOOKUP(D119,'BTH mủ tạp'!$D$98:$AN$160,37,0)</f>
        <v>B</v>
      </c>
      <c r="M119" s="670">
        <f t="shared" si="36"/>
        <v>4089493</v>
      </c>
      <c r="N119" s="671">
        <f>VLOOKUP(D119,TONGHOPCONGDOI!$C$96:$AD$153,20,0)</f>
        <v>17</v>
      </c>
      <c r="O119" s="671">
        <f>VLOOKUP(D119,TONGHOPCONGDOI!$C$96:$AD$153,21,0)</f>
        <v>2</v>
      </c>
      <c r="P119" s="671">
        <f>VLOOKUP(D119,TONGHOPCONGDOI!$C$96:$AD$153,22,0)</f>
        <v>0</v>
      </c>
      <c r="Q119" s="671">
        <f>VLOOKUP(D119,TONGHOPCONGDOI!$C$96:$AD$153,23,0)</f>
        <v>0</v>
      </c>
      <c r="R119" s="671">
        <f>VLOOKUP(D119,TONGHOPCONGDOI!$C$96:$AD$153,24,0)</f>
        <v>0</v>
      </c>
      <c r="S119" s="671">
        <f>VLOOKUP(D119,TONGHOPCONGDOI!$C$96:$AD$153,25,0)</f>
        <v>0</v>
      </c>
      <c r="T119" s="671"/>
      <c r="U119" s="1168"/>
      <c r="V119" s="1168"/>
      <c r="W119" s="1168"/>
      <c r="X119" s="671">
        <f t="shared" si="37"/>
        <v>627038</v>
      </c>
      <c r="Y119" s="671">
        <f t="shared" si="34"/>
        <v>4716531</v>
      </c>
      <c r="Z119" s="675"/>
      <c r="AA119" s="673">
        <f t="shared" si="35"/>
        <v>4716531</v>
      </c>
      <c r="AB119" s="254"/>
      <c r="AC119" s="672"/>
      <c r="AD119" s="1169">
        <f t="shared" si="30"/>
        <v>6</v>
      </c>
      <c r="AE119" s="674"/>
      <c r="AF119" s="674"/>
      <c r="AG119" s="674"/>
      <c r="AH119" s="674"/>
      <c r="AI119" s="674"/>
      <c r="AJ119" s="674"/>
      <c r="AK119" s="674"/>
      <c r="AL119" s="674"/>
    </row>
    <row r="120" spans="1:38" s="1171" customFormat="1" ht="33" customHeight="1">
      <c r="A120" s="1172">
        <v>89</v>
      </c>
      <c r="B120" s="1173">
        <v>7</v>
      </c>
      <c r="C120" s="1170" t="str">
        <f>'Chấm công KT'!C101</f>
        <v>03594</v>
      </c>
      <c r="D120" s="1170" t="str">
        <f>TONGHOPCONGDOI!C102</f>
        <v>T. Bun Hinh</v>
      </c>
      <c r="E120" s="1170" t="s">
        <v>28</v>
      </c>
      <c r="F120" s="1174"/>
      <c r="G120" s="254">
        <f t="shared" si="32"/>
        <v>0</v>
      </c>
      <c r="H120" s="254">
        <f>VLOOKUP(D120,TONGHOPCONGDOI!C102:AD160,16,0)</f>
        <v>2345</v>
      </c>
      <c r="I120" s="254">
        <f>VLOOKUP(D120,TONGHOPCONGDOI!C102:AD160,18,0)</f>
        <v>0</v>
      </c>
      <c r="J120" s="254"/>
      <c r="K120" s="668">
        <f t="shared" si="33"/>
        <v>1082.8196382772883</v>
      </c>
      <c r="L120" s="669" t="str">
        <f>VLOOKUP(D120,'BTH mủ tạp'!$D$98:$AN$160,37,0)</f>
        <v>A</v>
      </c>
      <c r="M120" s="670">
        <f t="shared" si="36"/>
        <v>4417822</v>
      </c>
      <c r="N120" s="671">
        <f>VLOOKUP(D120,TONGHOPCONGDOI!$C$96:$AD$153,20,0)</f>
        <v>25</v>
      </c>
      <c r="O120" s="671">
        <f>VLOOKUP(D120,TONGHOPCONGDOI!$C$96:$AD$153,21,0)</f>
        <v>5</v>
      </c>
      <c r="P120" s="671">
        <f>VLOOKUP(D120,TONGHOPCONGDOI!$C$96:$AD$153,22,0)</f>
        <v>0</v>
      </c>
      <c r="Q120" s="671">
        <f>VLOOKUP(D120,TONGHOPCONGDOI!$C$96:$AD$153,23,0)</f>
        <v>0</v>
      </c>
      <c r="R120" s="671">
        <f>VLOOKUP(D120,TONGHOPCONGDOI!$C$96:$AD$153,24,0)</f>
        <v>0</v>
      </c>
      <c r="S120" s="671">
        <f>VLOOKUP(D120,TONGHOPCONGDOI!$C$96:$AD$153,25,0)</f>
        <v>0</v>
      </c>
      <c r="T120" s="671"/>
      <c r="U120" s="1168"/>
      <c r="V120" s="1168"/>
      <c r="W120" s="1168"/>
      <c r="X120" s="671">
        <f t="shared" si="37"/>
        <v>1028007</v>
      </c>
      <c r="Y120" s="671">
        <f t="shared" si="34"/>
        <v>5445829</v>
      </c>
      <c r="Z120" s="675"/>
      <c r="AA120" s="673">
        <f t="shared" si="35"/>
        <v>5445829</v>
      </c>
      <c r="AB120" s="254"/>
      <c r="AC120" s="672"/>
      <c r="AD120" s="1169">
        <f t="shared" si="30"/>
        <v>7</v>
      </c>
      <c r="AE120" s="674"/>
      <c r="AF120" s="674"/>
      <c r="AG120" s="674"/>
      <c r="AH120" s="674"/>
      <c r="AI120" s="674"/>
      <c r="AJ120" s="674"/>
      <c r="AK120" s="674"/>
      <c r="AL120" s="674"/>
    </row>
    <row r="121" spans="1:38" s="1171" customFormat="1" ht="33" customHeight="1">
      <c r="A121" s="1172">
        <v>90</v>
      </c>
      <c r="B121" s="1170">
        <v>8</v>
      </c>
      <c r="C121" s="1170" t="str">
        <f>'Chấm công KT'!C102</f>
        <v>04073</v>
      </c>
      <c r="D121" s="1170" t="str">
        <f>TONGHOPCONGDOI!C103</f>
        <v>T. Miềng</v>
      </c>
      <c r="E121" s="1170" t="s">
        <v>28</v>
      </c>
      <c r="F121" s="1174"/>
      <c r="G121" s="254">
        <f t="shared" si="32"/>
        <v>0</v>
      </c>
      <c r="H121" s="254">
        <f>VLOOKUP(D121,TONGHOPCONGDOI!C103:AD160,16,0)</f>
        <v>2244</v>
      </c>
      <c r="I121" s="254">
        <f>VLOOKUP(D121,TONGHOPCONGDOI!C103:AD160,18,0)</f>
        <v>0</v>
      </c>
      <c r="J121" s="254"/>
      <c r="K121" s="668">
        <f t="shared" si="33"/>
        <v>1036.1822039634264</v>
      </c>
      <c r="L121" s="669" t="str">
        <f>VLOOKUP(D121,'BTH mủ tạp'!$D$98:$AN$160,37,0)</f>
        <v>B</v>
      </c>
      <c r="M121" s="670">
        <f t="shared" si="36"/>
        <v>4019633</v>
      </c>
      <c r="N121" s="671">
        <f>VLOOKUP(D121,TONGHOPCONGDOI!$C$96:$AD$153,20,0)</f>
        <v>20</v>
      </c>
      <c r="O121" s="671">
        <f>VLOOKUP(D121,TONGHOPCONGDOI!$C$96:$AD$153,21,0)</f>
        <v>4</v>
      </c>
      <c r="P121" s="671">
        <f>VLOOKUP(D121,TONGHOPCONGDOI!$C$96:$AD$153,22,0)</f>
        <v>0</v>
      </c>
      <c r="Q121" s="671">
        <f>VLOOKUP(D121,TONGHOPCONGDOI!$C$96:$AD$153,23,0)</f>
        <v>0</v>
      </c>
      <c r="R121" s="671">
        <f>VLOOKUP(D121,TONGHOPCONGDOI!$C$96:$AD$153,24,0)</f>
        <v>0</v>
      </c>
      <c r="S121" s="671">
        <f>VLOOKUP(D121,TONGHOPCONGDOI!$C$96:$AD$153,25,0)</f>
        <v>0</v>
      </c>
      <c r="T121" s="671"/>
      <c r="U121" s="1168"/>
      <c r="V121" s="1168"/>
      <c r="W121" s="1168"/>
      <c r="X121" s="671">
        <f t="shared" si="37"/>
        <v>822406</v>
      </c>
      <c r="Y121" s="671">
        <f t="shared" si="34"/>
        <v>4842039</v>
      </c>
      <c r="Z121" s="675"/>
      <c r="AA121" s="673">
        <f t="shared" si="35"/>
        <v>4842039</v>
      </c>
      <c r="AB121" s="254"/>
      <c r="AC121" s="672"/>
      <c r="AD121" s="1169">
        <f t="shared" si="30"/>
        <v>8</v>
      </c>
      <c r="AE121" s="674"/>
      <c r="AF121" s="674"/>
      <c r="AG121" s="674"/>
      <c r="AH121" s="674"/>
      <c r="AI121" s="674"/>
      <c r="AJ121" s="674"/>
      <c r="AK121" s="674"/>
      <c r="AL121" s="674"/>
    </row>
    <row r="122" spans="1:38" s="1171" customFormat="1" ht="33" customHeight="1">
      <c r="A122" s="1172">
        <v>91</v>
      </c>
      <c r="B122" s="1173">
        <v>9</v>
      </c>
      <c r="C122" s="1170" t="str">
        <f>'Chấm công KT'!C103</f>
        <v>03596</v>
      </c>
      <c r="D122" s="1170" t="str">
        <f>TONGHOPCONGDOI!C104</f>
        <v>N. Xúc</v>
      </c>
      <c r="E122" s="1170" t="s">
        <v>28</v>
      </c>
      <c r="F122" s="1174"/>
      <c r="G122" s="254">
        <f t="shared" si="32"/>
        <v>0</v>
      </c>
      <c r="H122" s="254">
        <f>VLOOKUP(D122,TONGHOPCONGDOI!C104:AD160,16,0)</f>
        <v>3083</v>
      </c>
      <c r="I122" s="254">
        <f>VLOOKUP(D122,TONGHOPCONGDOI!C104:AD160,18,0)</f>
        <v>0</v>
      </c>
      <c r="J122" s="254"/>
      <c r="K122" s="668">
        <f t="shared" si="33"/>
        <v>1423.5961385112494</v>
      </c>
      <c r="L122" s="669" t="str">
        <f>VLOOKUP(D122,'BTH mủ tạp'!$D$98:$AN$160,37,0)</f>
        <v>B</v>
      </c>
      <c r="M122" s="670">
        <f t="shared" si="36"/>
        <v>5522517</v>
      </c>
      <c r="N122" s="671">
        <f>VLOOKUP(D122,TONGHOPCONGDOI!$C$96:$AD$153,20,0)</f>
        <v>23</v>
      </c>
      <c r="O122" s="671">
        <f>VLOOKUP(D122,TONGHOPCONGDOI!$C$96:$AD$153,21,0)</f>
        <v>5</v>
      </c>
      <c r="P122" s="671">
        <f>VLOOKUP(D122,TONGHOPCONGDOI!$C$96:$AD$153,22,0)</f>
        <v>0</v>
      </c>
      <c r="Q122" s="671">
        <f>VLOOKUP(D122,TONGHOPCONGDOI!$C$96:$AD$153,23,0)</f>
        <v>0</v>
      </c>
      <c r="R122" s="671">
        <f>VLOOKUP(D122,TONGHOPCONGDOI!$C$96:$AD$153,24,0)</f>
        <v>0</v>
      </c>
      <c r="S122" s="671">
        <f>VLOOKUP(D122,TONGHOPCONGDOI!$C$96:$AD$153,25,0)</f>
        <v>0</v>
      </c>
      <c r="T122" s="671"/>
      <c r="U122" s="1168"/>
      <c r="V122" s="1168"/>
      <c r="W122" s="1168"/>
      <c r="X122" s="671">
        <f t="shared" si="37"/>
        <v>966340</v>
      </c>
      <c r="Y122" s="671">
        <f t="shared" si="34"/>
        <v>6488857</v>
      </c>
      <c r="Z122" s="675"/>
      <c r="AA122" s="673">
        <f t="shared" si="35"/>
        <v>6488857</v>
      </c>
      <c r="AB122" s="254"/>
      <c r="AC122" s="672"/>
      <c r="AD122" s="1169">
        <f t="shared" si="30"/>
        <v>9</v>
      </c>
      <c r="AE122" s="674"/>
      <c r="AF122" s="674"/>
      <c r="AG122" s="674"/>
      <c r="AH122" s="674"/>
      <c r="AI122" s="674"/>
      <c r="AJ122" s="674"/>
      <c r="AK122" s="674"/>
      <c r="AL122" s="674"/>
    </row>
    <row r="123" spans="1:38" s="1171" customFormat="1" ht="33" customHeight="1">
      <c r="A123" s="1172">
        <v>92</v>
      </c>
      <c r="B123" s="1170">
        <v>10</v>
      </c>
      <c r="C123" s="1170" t="str">
        <f>'Chấm công KT'!C104</f>
        <v>03597</v>
      </c>
      <c r="D123" s="1170" t="str">
        <f>TONGHOPCONGDOI!C105</f>
        <v>N. Lẹ</v>
      </c>
      <c r="E123" s="1170" t="s">
        <v>28</v>
      </c>
      <c r="F123" s="1174"/>
      <c r="G123" s="254">
        <f t="shared" si="32"/>
        <v>0</v>
      </c>
      <c r="H123" s="254">
        <f>VLOOKUP(D123,TONGHOPCONGDOI!C105:AD160,16,0)</f>
        <v>2533</v>
      </c>
      <c r="I123" s="254">
        <f>VLOOKUP(D123,TONGHOPCONGDOI!C105:AD160,18,0)</f>
        <v>0</v>
      </c>
      <c r="J123" s="254"/>
      <c r="K123" s="668">
        <f t="shared" si="33"/>
        <v>1169.6299120496253</v>
      </c>
      <c r="L123" s="669" t="str">
        <f>VLOOKUP(D123,'BTH mủ tạp'!$D$98:$AN$160,37,0)</f>
        <v>A</v>
      </c>
      <c r="M123" s="670">
        <f t="shared" si="36"/>
        <v>4772001</v>
      </c>
      <c r="N123" s="671">
        <f>VLOOKUP(D123,TONGHOPCONGDOI!$C$96:$AD$153,20,0)</f>
        <v>24</v>
      </c>
      <c r="O123" s="671">
        <f>VLOOKUP(D123,TONGHOPCONGDOI!$C$96:$AD$153,21,0)</f>
        <v>5</v>
      </c>
      <c r="P123" s="671">
        <f>VLOOKUP(D123,TONGHOPCONGDOI!$C$96:$AD$153,22,0)</f>
        <v>0</v>
      </c>
      <c r="Q123" s="671">
        <f>VLOOKUP(D123,TONGHOPCONGDOI!$C$96:$AD$153,23,0)</f>
        <v>0</v>
      </c>
      <c r="R123" s="671">
        <f>VLOOKUP(D123,TONGHOPCONGDOI!$C$96:$AD$153,24,0)</f>
        <v>0</v>
      </c>
      <c r="S123" s="671">
        <f>VLOOKUP(D123,TONGHOPCONGDOI!$C$96:$AD$153,25,0)</f>
        <v>0</v>
      </c>
      <c r="T123" s="671"/>
      <c r="U123" s="1168"/>
      <c r="V123" s="1168"/>
      <c r="W123" s="1168"/>
      <c r="X123" s="671">
        <f t="shared" si="37"/>
        <v>997174</v>
      </c>
      <c r="Y123" s="671">
        <f t="shared" si="34"/>
        <v>5769175</v>
      </c>
      <c r="Z123" s="675"/>
      <c r="AA123" s="673">
        <f t="shared" si="35"/>
        <v>5769175</v>
      </c>
      <c r="AB123" s="254"/>
      <c r="AC123" s="672"/>
      <c r="AD123" s="1169">
        <f t="shared" si="30"/>
        <v>10</v>
      </c>
      <c r="AE123" s="674"/>
      <c r="AF123" s="674"/>
      <c r="AG123" s="674"/>
      <c r="AH123" s="674"/>
      <c r="AI123" s="674"/>
      <c r="AJ123" s="674"/>
      <c r="AK123" s="674"/>
      <c r="AL123" s="674"/>
    </row>
    <row r="124" spans="1:38" s="1171" customFormat="1" ht="33" customHeight="1">
      <c r="A124" s="1172">
        <v>93</v>
      </c>
      <c r="B124" s="1173">
        <v>11</v>
      </c>
      <c r="C124" s="1170" t="str">
        <f>'Chấm công KT'!C105</f>
        <v>03598</v>
      </c>
      <c r="D124" s="1170" t="str">
        <f>TONGHOPCONGDOI!C106</f>
        <v>N . Thích</v>
      </c>
      <c r="E124" s="1170" t="s">
        <v>28</v>
      </c>
      <c r="F124" s="1174"/>
      <c r="G124" s="254">
        <f t="shared" si="32"/>
        <v>0</v>
      </c>
      <c r="H124" s="254">
        <f>VLOOKUP(D124,TONGHOPCONGDOI!C106:AD160,16,0)</f>
        <v>2834</v>
      </c>
      <c r="I124" s="254">
        <f>VLOOKUP(D124,TONGHOPCONGDOI!C106:AD160,18,0)</f>
        <v>0</v>
      </c>
      <c r="J124" s="254"/>
      <c r="K124" s="668">
        <f t="shared" si="33"/>
        <v>1308.6187014404413</v>
      </c>
      <c r="L124" s="669" t="str">
        <f>VLOOKUP(D124,'BTH mủ tạp'!$D$98:$AN$160,37,0)</f>
        <v>B</v>
      </c>
      <c r="M124" s="670">
        <f t="shared" si="36"/>
        <v>5076488</v>
      </c>
      <c r="N124" s="671">
        <f>VLOOKUP(D124,TONGHOPCONGDOI!$C$96:$AD$153,20,0)</f>
        <v>24</v>
      </c>
      <c r="O124" s="671">
        <f>VLOOKUP(D124,TONGHOPCONGDOI!$C$96:$AD$153,21,0)</f>
        <v>5</v>
      </c>
      <c r="P124" s="671">
        <f>VLOOKUP(D124,TONGHOPCONGDOI!$C$96:$AD$153,22,0)</f>
        <v>0</v>
      </c>
      <c r="Q124" s="671">
        <f>VLOOKUP(D124,TONGHOPCONGDOI!$C$96:$AD$153,23,0)</f>
        <v>0</v>
      </c>
      <c r="R124" s="671">
        <f>VLOOKUP(D124,TONGHOPCONGDOI!$C$96:$AD$153,24,0)</f>
        <v>0</v>
      </c>
      <c r="S124" s="671">
        <f>VLOOKUP(D124,TONGHOPCONGDOI!$C$96:$AD$153,25,0)</f>
        <v>0</v>
      </c>
      <c r="T124" s="671"/>
      <c r="U124" s="1168"/>
      <c r="V124" s="1168"/>
      <c r="W124" s="1168"/>
      <c r="X124" s="671">
        <f t="shared" si="37"/>
        <v>997174</v>
      </c>
      <c r="Y124" s="671">
        <f t="shared" si="34"/>
        <v>6073662</v>
      </c>
      <c r="Z124" s="675"/>
      <c r="AA124" s="673">
        <f t="shared" si="35"/>
        <v>6073662</v>
      </c>
      <c r="AB124" s="254"/>
      <c r="AC124" s="672"/>
      <c r="AD124" s="1169">
        <f t="shared" si="30"/>
        <v>11</v>
      </c>
      <c r="AE124" s="674"/>
      <c r="AF124" s="674"/>
      <c r="AG124" s="674"/>
      <c r="AH124" s="674"/>
      <c r="AI124" s="674"/>
      <c r="AJ124" s="674"/>
      <c r="AK124" s="674"/>
      <c r="AL124" s="674"/>
    </row>
    <row r="125" spans="1:38" s="1171" customFormat="1" ht="33" customHeight="1">
      <c r="A125" s="1172">
        <v>94</v>
      </c>
      <c r="B125" s="1170">
        <v>12</v>
      </c>
      <c r="C125" s="1170" t="str">
        <f>'Chấm công KT'!C106</f>
        <v>03599</v>
      </c>
      <c r="D125" s="1170" t="str">
        <f>TONGHOPCONGDOI!C107</f>
        <v>N. Cong Mi</v>
      </c>
      <c r="E125" s="1170" t="s">
        <v>28</v>
      </c>
      <c r="F125" s="1174"/>
      <c r="G125" s="254">
        <f t="shared" si="32"/>
        <v>0</v>
      </c>
      <c r="H125" s="254">
        <f>VLOOKUP(D125,TONGHOPCONGDOI!C107:AD160,16,0)</f>
        <v>2309</v>
      </c>
      <c r="I125" s="254">
        <f>VLOOKUP(D125,TONGHOPCONGDOI!C107:AD160,18,0)</f>
        <v>0</v>
      </c>
      <c r="J125" s="254"/>
      <c r="K125" s="668">
        <f t="shared" si="33"/>
        <v>1066.1963943634364</v>
      </c>
      <c r="L125" s="669" t="str">
        <f>VLOOKUP(D125,'BTH mủ tạp'!$D$98:$AN$160,37,0)</f>
        <v>A</v>
      </c>
      <c r="M125" s="670">
        <f t="shared" si="36"/>
        <v>4350000</v>
      </c>
      <c r="N125" s="671">
        <f>VLOOKUP(D125,TONGHOPCONGDOI!$C$96:$AD$153,20,0)</f>
        <v>24</v>
      </c>
      <c r="O125" s="671">
        <f>VLOOKUP(D125,TONGHOPCONGDOI!$C$96:$AD$153,21,0)</f>
        <v>5</v>
      </c>
      <c r="P125" s="671">
        <f>VLOOKUP(D125,TONGHOPCONGDOI!$C$96:$AD$153,22,0)</f>
        <v>0</v>
      </c>
      <c r="Q125" s="671">
        <f>VLOOKUP(D125,TONGHOPCONGDOI!$C$96:$AD$153,23,0)</f>
        <v>0</v>
      </c>
      <c r="R125" s="671">
        <f>VLOOKUP(D125,TONGHOPCONGDOI!$C$96:$AD$153,24,0)</f>
        <v>0</v>
      </c>
      <c r="S125" s="671">
        <f>VLOOKUP(D125,TONGHOPCONGDOI!$C$96:$AD$153,25,0)</f>
        <v>0</v>
      </c>
      <c r="T125" s="671"/>
      <c r="U125" s="1168"/>
      <c r="V125" s="1168"/>
      <c r="W125" s="1168"/>
      <c r="X125" s="671">
        <f t="shared" si="37"/>
        <v>997174</v>
      </c>
      <c r="Y125" s="671">
        <f t="shared" si="34"/>
        <v>5347174</v>
      </c>
      <c r="Z125" s="675"/>
      <c r="AA125" s="673">
        <f t="shared" si="35"/>
        <v>5347174</v>
      </c>
      <c r="AB125" s="254"/>
      <c r="AC125" s="672"/>
      <c r="AD125" s="1169">
        <f t="shared" si="30"/>
        <v>12</v>
      </c>
      <c r="AE125" s="674"/>
      <c r="AF125" s="674"/>
      <c r="AG125" s="674"/>
      <c r="AH125" s="674"/>
      <c r="AI125" s="674"/>
      <c r="AJ125" s="674"/>
      <c r="AK125" s="674"/>
      <c r="AL125" s="674"/>
    </row>
    <row r="126" spans="1:38" s="1171" customFormat="1" ht="33" customHeight="1">
      <c r="A126" s="1172">
        <v>95</v>
      </c>
      <c r="B126" s="1173">
        <v>13</v>
      </c>
      <c r="C126" s="1170" t="str">
        <f>'Chấm công KT'!C107</f>
        <v>04074</v>
      </c>
      <c r="D126" s="1170" t="str">
        <f>TONGHOPCONGDOI!C108</f>
        <v>T. Na</v>
      </c>
      <c r="E126" s="1170" t="s">
        <v>28</v>
      </c>
      <c r="F126" s="1174"/>
      <c r="G126" s="254">
        <f t="shared" si="32"/>
        <v>0</v>
      </c>
      <c r="H126" s="254">
        <f>VLOOKUP(D126,TONGHOPCONGDOI!C108:AD160,16,0)</f>
        <v>2090</v>
      </c>
      <c r="I126" s="254">
        <f>VLOOKUP(D126,TONGHOPCONGDOI!C108:AD160,18,0)</f>
        <v>0</v>
      </c>
      <c r="J126" s="254"/>
      <c r="K126" s="668">
        <f t="shared" si="33"/>
        <v>965.07166055417167</v>
      </c>
      <c r="L126" s="669" t="str">
        <f>VLOOKUP(D126,'BTH mủ tạp'!$D$98:$AN$160,37,0)</f>
        <v>B</v>
      </c>
      <c r="M126" s="670">
        <f t="shared" si="36"/>
        <v>3743775</v>
      </c>
      <c r="N126" s="671">
        <f>VLOOKUP(D126,TONGHOPCONGDOI!$C$96:$AD$153,20,0)</f>
        <v>21</v>
      </c>
      <c r="O126" s="671">
        <f>VLOOKUP(D126,TONGHOPCONGDOI!$C$96:$AD$153,21,0)</f>
        <v>4</v>
      </c>
      <c r="P126" s="671">
        <f>VLOOKUP(D126,TONGHOPCONGDOI!$C$96:$AD$153,22,0)</f>
        <v>0</v>
      </c>
      <c r="Q126" s="671">
        <f>VLOOKUP(D126,TONGHOPCONGDOI!$C$96:$AD$153,23,0)</f>
        <v>0</v>
      </c>
      <c r="R126" s="671">
        <f>VLOOKUP(D126,TONGHOPCONGDOI!$C$96:$AD$153,24,0)</f>
        <v>0</v>
      </c>
      <c r="S126" s="671">
        <f>VLOOKUP(D126,TONGHOPCONGDOI!$C$96:$AD$153,25,0)</f>
        <v>0</v>
      </c>
      <c r="T126" s="671"/>
      <c r="U126" s="1168"/>
      <c r="V126" s="1168"/>
      <c r="W126" s="1168"/>
      <c r="X126" s="671">
        <f t="shared" si="37"/>
        <v>853239</v>
      </c>
      <c r="Y126" s="671">
        <f t="shared" si="34"/>
        <v>4597014</v>
      </c>
      <c r="Z126" s="675"/>
      <c r="AA126" s="673">
        <f t="shared" si="35"/>
        <v>4597014</v>
      </c>
      <c r="AB126" s="254"/>
      <c r="AC126" s="672"/>
      <c r="AD126" s="1169">
        <f t="shared" si="30"/>
        <v>13</v>
      </c>
      <c r="AE126" s="674"/>
      <c r="AF126" s="674"/>
      <c r="AG126" s="674"/>
      <c r="AH126" s="674"/>
      <c r="AI126" s="674"/>
      <c r="AJ126" s="674"/>
      <c r="AK126" s="674"/>
      <c r="AL126" s="674"/>
    </row>
    <row r="127" spans="1:38" s="1171" customFormat="1" ht="33" customHeight="1">
      <c r="A127" s="1172">
        <v>96</v>
      </c>
      <c r="B127" s="1170">
        <v>14</v>
      </c>
      <c r="C127" s="1170" t="str">
        <f>'Chấm công KT'!C108</f>
        <v>03601</v>
      </c>
      <c r="D127" s="1170" t="str">
        <f>TONGHOPCONGDOI!C109</f>
        <v>T. Khăm Mặn</v>
      </c>
      <c r="E127" s="1170" t="s">
        <v>28</v>
      </c>
      <c r="F127" s="1174"/>
      <c r="G127" s="254">
        <f t="shared" si="32"/>
        <v>0</v>
      </c>
      <c r="H127" s="254">
        <f>VLOOKUP(D127,TONGHOPCONGDOI!C109:AD160,16,0)</f>
        <v>3739</v>
      </c>
      <c r="I127" s="254">
        <f>VLOOKUP(D127,TONGHOPCONGDOI!C109:AD160,18,0)</f>
        <v>0</v>
      </c>
      <c r="J127" s="254"/>
      <c r="K127" s="668">
        <f t="shared" si="33"/>
        <v>1726.5085831636593</v>
      </c>
      <c r="L127" s="669" t="str">
        <f>VLOOKUP(D127,'BTH mủ tạp'!$D$98:$AN$160,37,0)</f>
        <v>A</v>
      </c>
      <c r="M127" s="670">
        <f t="shared" si="36"/>
        <v>7044024</v>
      </c>
      <c r="N127" s="671">
        <f>VLOOKUP(D127,TONGHOPCONGDOI!$C$96:$AD$153,20,0)</f>
        <v>24</v>
      </c>
      <c r="O127" s="671">
        <f>VLOOKUP(D127,TONGHOPCONGDOI!$C$96:$AD$153,21,0)</f>
        <v>5</v>
      </c>
      <c r="P127" s="671">
        <f>VLOOKUP(D127,TONGHOPCONGDOI!$C$96:$AD$153,22,0)</f>
        <v>0</v>
      </c>
      <c r="Q127" s="671">
        <f>VLOOKUP(D127,TONGHOPCONGDOI!$C$96:$AD$153,23,0)</f>
        <v>0</v>
      </c>
      <c r="R127" s="671">
        <f>VLOOKUP(D127,TONGHOPCONGDOI!$C$96:$AD$153,24,0)</f>
        <v>0</v>
      </c>
      <c r="S127" s="671">
        <f>VLOOKUP(D127,TONGHOPCONGDOI!$C$96:$AD$153,25,0)</f>
        <v>0</v>
      </c>
      <c r="T127" s="671"/>
      <c r="U127" s="1168"/>
      <c r="V127" s="1168"/>
      <c r="W127" s="1168"/>
      <c r="X127" s="671">
        <f t="shared" si="37"/>
        <v>997174</v>
      </c>
      <c r="Y127" s="671">
        <f t="shared" si="34"/>
        <v>8041198</v>
      </c>
      <c r="Z127" s="675"/>
      <c r="AA127" s="673">
        <f t="shared" si="35"/>
        <v>8041198</v>
      </c>
      <c r="AB127" s="254"/>
      <c r="AC127" s="672"/>
      <c r="AD127" s="1169">
        <f t="shared" si="30"/>
        <v>14</v>
      </c>
      <c r="AE127" s="674"/>
      <c r="AF127" s="674"/>
      <c r="AG127" s="674"/>
      <c r="AH127" s="674"/>
      <c r="AI127" s="674"/>
      <c r="AJ127" s="674"/>
      <c r="AK127" s="674"/>
      <c r="AL127" s="674"/>
    </row>
    <row r="128" spans="1:38" s="1171" customFormat="1" ht="33" customHeight="1">
      <c r="A128" s="1172">
        <v>97</v>
      </c>
      <c r="B128" s="1173">
        <v>15</v>
      </c>
      <c r="C128" s="1170" t="str">
        <f>'Chấm công KT'!C109</f>
        <v>03602</v>
      </c>
      <c r="D128" s="1170" t="str">
        <f>TONGHOPCONGDOI!C110</f>
        <v>T . In Tong</v>
      </c>
      <c r="E128" s="1170" t="s">
        <v>28</v>
      </c>
      <c r="F128" s="1174"/>
      <c r="G128" s="254">
        <f t="shared" si="32"/>
        <v>0</v>
      </c>
      <c r="H128" s="254">
        <f>VLOOKUP(D128,TONGHOPCONGDOI!C110:AD160,16,0)</f>
        <v>2733</v>
      </c>
      <c r="I128" s="254">
        <f>VLOOKUP(D128,TONGHOPCONGDOI!C110:AD160,18,0)</f>
        <v>0</v>
      </c>
      <c r="J128" s="254"/>
      <c r="K128" s="668">
        <f t="shared" si="33"/>
        <v>1261.9812671265795</v>
      </c>
      <c r="L128" s="669" t="str">
        <f>VLOOKUP(D128,'BTH mủ tạp'!$D$98:$AN$160,37,0)</f>
        <v>A</v>
      </c>
      <c r="M128" s="670">
        <f t="shared" si="36"/>
        <v>5148788</v>
      </c>
      <c r="N128" s="671">
        <f>VLOOKUP(D128,TONGHOPCONGDOI!$C$96:$AD$153,20,0)</f>
        <v>24</v>
      </c>
      <c r="O128" s="671">
        <f>VLOOKUP(D128,TONGHOPCONGDOI!$C$96:$AD$153,21,0)</f>
        <v>5</v>
      </c>
      <c r="P128" s="671">
        <f>VLOOKUP(D128,TONGHOPCONGDOI!$C$96:$AD$153,22,0)</f>
        <v>0</v>
      </c>
      <c r="Q128" s="671">
        <f>VLOOKUP(D128,TONGHOPCONGDOI!$C$96:$AD$153,23,0)</f>
        <v>0</v>
      </c>
      <c r="R128" s="671">
        <f>VLOOKUP(D128,TONGHOPCONGDOI!$C$96:$AD$153,24,0)</f>
        <v>0</v>
      </c>
      <c r="S128" s="671">
        <f>VLOOKUP(D128,TONGHOPCONGDOI!$C$96:$AD$153,25,0)</f>
        <v>0</v>
      </c>
      <c r="T128" s="671"/>
      <c r="U128" s="1168"/>
      <c r="V128" s="1168"/>
      <c r="W128" s="1168"/>
      <c r="X128" s="671">
        <f t="shared" si="37"/>
        <v>997174</v>
      </c>
      <c r="Y128" s="671">
        <f t="shared" si="34"/>
        <v>6145962</v>
      </c>
      <c r="Z128" s="675"/>
      <c r="AA128" s="673">
        <f t="shared" si="35"/>
        <v>6145962</v>
      </c>
      <c r="AB128" s="254"/>
      <c r="AC128" s="672"/>
      <c r="AD128" s="1169">
        <f t="shared" si="30"/>
        <v>15</v>
      </c>
      <c r="AE128" s="674"/>
      <c r="AF128" s="674"/>
      <c r="AG128" s="674"/>
      <c r="AH128" s="674"/>
      <c r="AI128" s="674"/>
      <c r="AJ128" s="674"/>
      <c r="AK128" s="674"/>
      <c r="AL128" s="674"/>
    </row>
    <row r="129" spans="1:38" s="1171" customFormat="1" ht="33" customHeight="1">
      <c r="A129" s="1172">
        <v>98</v>
      </c>
      <c r="B129" s="1170">
        <v>16</v>
      </c>
      <c r="C129" s="1170" t="str">
        <f>'Chấm công KT'!C110</f>
        <v>03496</v>
      </c>
      <c r="D129" s="1170" t="str">
        <f>TONGHOPCONGDOI!C111</f>
        <v>T. Lốp</v>
      </c>
      <c r="E129" s="1170" t="s">
        <v>28</v>
      </c>
      <c r="F129" s="1174"/>
      <c r="G129" s="254">
        <f t="shared" si="32"/>
        <v>0</v>
      </c>
      <c r="H129" s="254">
        <f>VLOOKUP(D129,TONGHOPCONGDOI!C111:AD160,16,0)</f>
        <v>2447</v>
      </c>
      <c r="I129" s="254">
        <f>VLOOKUP(D129,TONGHOPCONGDOI!C111:AD160,18,0)</f>
        <v>0</v>
      </c>
      <c r="J129" s="254"/>
      <c r="K129" s="668">
        <f t="shared" si="33"/>
        <v>1129.918829366535</v>
      </c>
      <c r="L129" s="669" t="str">
        <f>VLOOKUP(D129,'BTH mủ tạp'!$D$98:$AN$160,37,0)</f>
        <v>B</v>
      </c>
      <c r="M129" s="670">
        <f t="shared" si="36"/>
        <v>4383262</v>
      </c>
      <c r="N129" s="671">
        <f>VLOOKUP(D129,TONGHOPCONGDOI!$C$96:$AD$153,20,0)</f>
        <v>22</v>
      </c>
      <c r="O129" s="671">
        <f>VLOOKUP(D129,TONGHOPCONGDOI!$C$96:$AD$153,21,0)</f>
        <v>3</v>
      </c>
      <c r="P129" s="671">
        <f>VLOOKUP(D129,TONGHOPCONGDOI!$C$96:$AD$153,22,0)</f>
        <v>0</v>
      </c>
      <c r="Q129" s="671">
        <f>VLOOKUP(D129,TONGHOPCONGDOI!$C$96:$AD$153,23,0)</f>
        <v>0</v>
      </c>
      <c r="R129" s="671">
        <f>VLOOKUP(D129,TONGHOPCONGDOI!$C$96:$AD$153,24,0)</f>
        <v>0</v>
      </c>
      <c r="S129" s="671">
        <f>VLOOKUP(D129,TONGHOPCONGDOI!$C$96:$AD$153,25,0)</f>
        <v>0</v>
      </c>
      <c r="T129" s="671"/>
      <c r="U129" s="1168"/>
      <c r="V129" s="1168"/>
      <c r="W129" s="1168"/>
      <c r="X129" s="671">
        <f t="shared" si="37"/>
        <v>832639</v>
      </c>
      <c r="Y129" s="671">
        <f t="shared" si="34"/>
        <v>5215901</v>
      </c>
      <c r="Z129" s="675"/>
      <c r="AA129" s="673">
        <f t="shared" si="35"/>
        <v>5215901</v>
      </c>
      <c r="AB129" s="254"/>
      <c r="AC129" s="672"/>
      <c r="AD129" s="1169">
        <f t="shared" si="30"/>
        <v>16</v>
      </c>
      <c r="AE129" s="674"/>
      <c r="AF129" s="674"/>
      <c r="AG129" s="674"/>
      <c r="AH129" s="674"/>
      <c r="AI129" s="674"/>
      <c r="AJ129" s="674"/>
      <c r="AK129" s="674"/>
      <c r="AL129" s="674"/>
    </row>
    <row r="130" spans="1:38" s="1171" customFormat="1" ht="33" customHeight="1">
      <c r="A130" s="1172">
        <v>99</v>
      </c>
      <c r="B130" s="1173">
        <v>17</v>
      </c>
      <c r="C130" s="1170" t="str">
        <f>'Chấm công KT'!C111</f>
        <v>03604</v>
      </c>
      <c r="D130" s="1170" t="str">
        <f>TONGHOPCONGDOI!C112</f>
        <v>T. Lăm Phêng</v>
      </c>
      <c r="E130" s="1170" t="s">
        <v>28</v>
      </c>
      <c r="F130" s="1174"/>
      <c r="G130" s="254">
        <f t="shared" si="32"/>
        <v>0</v>
      </c>
      <c r="H130" s="254">
        <f>VLOOKUP(D130,TONGHOPCONGDOI!C112:AD160,16,0)</f>
        <v>4123</v>
      </c>
      <c r="I130" s="254">
        <f>VLOOKUP(D130,TONGHOPCONGDOI!C112:AD160,18,0)</f>
        <v>0</v>
      </c>
      <c r="J130" s="254"/>
      <c r="K130" s="668">
        <f t="shared" si="33"/>
        <v>1903.8231849114113</v>
      </c>
      <c r="L130" s="669" t="str">
        <f>VLOOKUP(D130,'BTH mủ tạp'!$D$98:$AN$160,37,0)</f>
        <v>A</v>
      </c>
      <c r="M130" s="670">
        <f t="shared" si="36"/>
        <v>7767454</v>
      </c>
      <c r="N130" s="671">
        <f>VLOOKUP(D130,TONGHOPCONGDOI!$C$96:$AD$153,20,0)</f>
        <v>23</v>
      </c>
      <c r="O130" s="671">
        <f>VLOOKUP(D130,TONGHOPCONGDOI!$C$96:$AD$153,21,0)</f>
        <v>5</v>
      </c>
      <c r="P130" s="671">
        <f>VLOOKUP(D130,TONGHOPCONGDOI!$C$96:$AD$153,22,0)</f>
        <v>0</v>
      </c>
      <c r="Q130" s="671">
        <f>VLOOKUP(D130,TONGHOPCONGDOI!$C$96:$AD$153,23,0)</f>
        <v>0</v>
      </c>
      <c r="R130" s="671">
        <f>VLOOKUP(D130,TONGHOPCONGDOI!$C$96:$AD$153,24,0)</f>
        <v>0</v>
      </c>
      <c r="S130" s="671">
        <f>VLOOKUP(D130,TONGHOPCONGDOI!$C$96:$AD$153,25,0)</f>
        <v>0</v>
      </c>
      <c r="T130" s="671"/>
      <c r="U130" s="1168"/>
      <c r="V130" s="1168"/>
      <c r="W130" s="1168"/>
      <c r="X130" s="671">
        <f t="shared" si="37"/>
        <v>966340</v>
      </c>
      <c r="Y130" s="671">
        <f t="shared" si="34"/>
        <v>8733794</v>
      </c>
      <c r="Z130" s="675"/>
      <c r="AA130" s="673">
        <f t="shared" si="35"/>
        <v>8733794</v>
      </c>
      <c r="AB130" s="254"/>
      <c r="AC130" s="672"/>
      <c r="AD130" s="1169">
        <f t="shared" si="30"/>
        <v>17</v>
      </c>
      <c r="AE130" s="674"/>
      <c r="AF130" s="674"/>
      <c r="AG130" s="674"/>
      <c r="AH130" s="674"/>
      <c r="AI130" s="674"/>
      <c r="AJ130" s="674"/>
      <c r="AK130" s="674"/>
      <c r="AL130" s="674"/>
    </row>
    <row r="131" spans="1:38" s="1171" customFormat="1" ht="33" customHeight="1">
      <c r="A131" s="1172">
        <v>100</v>
      </c>
      <c r="B131" s="1170">
        <v>18</v>
      </c>
      <c r="C131" s="1170" t="str">
        <f>'Chấm công KT'!C112</f>
        <v>04075</v>
      </c>
      <c r="D131" s="1170" t="str">
        <f>TONGHOPCONGDOI!C113</f>
        <v>T Xèng</v>
      </c>
      <c r="E131" s="1170" t="s">
        <v>28</v>
      </c>
      <c r="F131" s="1174"/>
      <c r="G131" s="254">
        <f t="shared" si="32"/>
        <v>0</v>
      </c>
      <c r="H131" s="254">
        <f>VLOOKUP(D131,TONGHOPCONGDOI!C113:AD160,16,0)</f>
        <v>3112</v>
      </c>
      <c r="I131" s="254">
        <f>VLOOKUP(D131,TONGHOPCONGDOI!C113:AD160,18,0)</f>
        <v>0</v>
      </c>
      <c r="J131" s="254"/>
      <c r="K131" s="668">
        <f t="shared" si="33"/>
        <v>1436.9870849974077</v>
      </c>
      <c r="L131" s="669" t="str">
        <f>VLOOKUP(D131,'BTH mủ tạp'!$D$98:$AN$160,37,0)</f>
        <v>A</v>
      </c>
      <c r="M131" s="670">
        <f t="shared" si="36"/>
        <v>5862798</v>
      </c>
      <c r="N131" s="671">
        <f>VLOOKUP(D131,TONGHOPCONGDOI!$C$96:$AD$153,20,0)</f>
        <v>24</v>
      </c>
      <c r="O131" s="671">
        <f>VLOOKUP(D131,TONGHOPCONGDOI!$C$96:$AD$153,21,0)</f>
        <v>5</v>
      </c>
      <c r="P131" s="671">
        <f>VLOOKUP(D131,TONGHOPCONGDOI!$C$96:$AD$153,22,0)</f>
        <v>0</v>
      </c>
      <c r="Q131" s="671">
        <f>VLOOKUP(D131,TONGHOPCONGDOI!$C$96:$AD$153,23,0)</f>
        <v>0</v>
      </c>
      <c r="R131" s="671">
        <f>VLOOKUP(D131,TONGHOPCONGDOI!$C$96:$AD$153,24,0)</f>
        <v>0</v>
      </c>
      <c r="S131" s="671">
        <f>VLOOKUP(D131,TONGHOPCONGDOI!$C$96:$AD$153,25,0)</f>
        <v>0</v>
      </c>
      <c r="T131" s="671"/>
      <c r="U131" s="1168"/>
      <c r="V131" s="1168"/>
      <c r="W131" s="1168"/>
      <c r="X131" s="671">
        <f t="shared" si="37"/>
        <v>997174</v>
      </c>
      <c r="Y131" s="671">
        <f t="shared" si="34"/>
        <v>6859972</v>
      </c>
      <c r="Z131" s="675"/>
      <c r="AA131" s="673">
        <f t="shared" si="35"/>
        <v>6859972</v>
      </c>
      <c r="AB131" s="254"/>
      <c r="AC131" s="672"/>
      <c r="AD131" s="1169">
        <f t="shared" si="30"/>
        <v>18</v>
      </c>
      <c r="AE131" s="674"/>
      <c r="AF131" s="674"/>
      <c r="AG131" s="674"/>
      <c r="AH131" s="674"/>
      <c r="AI131" s="674"/>
      <c r="AJ131" s="674"/>
      <c r="AK131" s="674"/>
      <c r="AL131" s="674"/>
    </row>
    <row r="132" spans="1:38" s="1171" customFormat="1" ht="33" customHeight="1">
      <c r="A132" s="1172">
        <v>101</v>
      </c>
      <c r="B132" s="1173">
        <v>19</v>
      </c>
      <c r="C132" s="1170" t="str">
        <f>'Chấm công KT'!C113</f>
        <v>03509</v>
      </c>
      <c r="D132" s="1170" t="str">
        <f>TONGHOPCONGDOI!C114</f>
        <v>T. May</v>
      </c>
      <c r="E132" s="1170" t="s">
        <v>28</v>
      </c>
      <c r="F132" s="1174"/>
      <c r="G132" s="254">
        <f t="shared" si="32"/>
        <v>0</v>
      </c>
      <c r="H132" s="254">
        <f>VLOOKUP(D132,TONGHOPCONGDOI!C114:AD160,16,0)</f>
        <v>2965</v>
      </c>
      <c r="I132" s="254">
        <f>VLOOKUP(D132,TONGHOPCONGDOI!C114:AD160,18,0)</f>
        <v>0</v>
      </c>
      <c r="J132" s="254"/>
      <c r="K132" s="668">
        <f t="shared" si="33"/>
        <v>1369.1088390158463</v>
      </c>
      <c r="L132" s="669" t="str">
        <f>VLOOKUP(D132,'BTH mủ tạp'!$D$98:$AN$160,37,0)</f>
        <v>B</v>
      </c>
      <c r="M132" s="670">
        <f t="shared" si="36"/>
        <v>5311146</v>
      </c>
      <c r="N132" s="671">
        <f>VLOOKUP(D132,TONGHOPCONGDOI!$C$96:$AD$153,20,0)</f>
        <v>25</v>
      </c>
      <c r="O132" s="671">
        <f>VLOOKUP(D132,TONGHOPCONGDOI!$C$96:$AD$153,21,0)</f>
        <v>5</v>
      </c>
      <c r="P132" s="671">
        <f>VLOOKUP(D132,TONGHOPCONGDOI!$C$96:$AD$153,22,0)</f>
        <v>0</v>
      </c>
      <c r="Q132" s="671">
        <f>VLOOKUP(D132,TONGHOPCONGDOI!$C$96:$AD$153,23,0)</f>
        <v>0</v>
      </c>
      <c r="R132" s="671">
        <f>VLOOKUP(D132,TONGHOPCONGDOI!$C$96:$AD$153,24,0)</f>
        <v>0</v>
      </c>
      <c r="S132" s="671">
        <f>VLOOKUP(D132,TONGHOPCONGDOI!$C$96:$AD$153,25,0)</f>
        <v>0</v>
      </c>
      <c r="T132" s="671"/>
      <c r="U132" s="1168"/>
      <c r="V132" s="1168"/>
      <c r="W132" s="1168"/>
      <c r="X132" s="671">
        <f t="shared" si="37"/>
        <v>1028007</v>
      </c>
      <c r="Y132" s="671">
        <f t="shared" si="34"/>
        <v>6339153</v>
      </c>
      <c r="Z132" s="675"/>
      <c r="AA132" s="673">
        <f t="shared" si="35"/>
        <v>6339153</v>
      </c>
      <c r="AB132" s="254"/>
      <c r="AC132" s="672"/>
      <c r="AD132" s="1169">
        <f t="shared" si="30"/>
        <v>19</v>
      </c>
      <c r="AE132" s="674"/>
      <c r="AF132" s="674"/>
      <c r="AG132" s="674"/>
      <c r="AH132" s="674"/>
      <c r="AI132" s="674"/>
      <c r="AJ132" s="674"/>
      <c r="AK132" s="674"/>
      <c r="AL132" s="674"/>
    </row>
    <row r="133" spans="1:38" s="1171" customFormat="1" ht="33" customHeight="1">
      <c r="A133" s="1172">
        <v>102</v>
      </c>
      <c r="B133" s="1170">
        <v>20</v>
      </c>
      <c r="C133" s="1170" t="str">
        <f>'Chấm công KT'!C114</f>
        <v>03607</v>
      </c>
      <c r="D133" s="1170" t="str">
        <f>TONGHOPCONGDOI!C115</f>
        <v>T. Huôn</v>
      </c>
      <c r="E133" s="1170" t="s">
        <v>28</v>
      </c>
      <c r="F133" s="1174"/>
      <c r="G133" s="254">
        <f t="shared" si="32"/>
        <v>0</v>
      </c>
      <c r="H133" s="254">
        <f>VLOOKUP(D133,TONGHOPCONGDOI!C115:AD160,16,0)</f>
        <v>2426</v>
      </c>
      <c r="I133" s="254">
        <f>VLOOKUP(D133,TONGHOPCONGDOI!C115:AD160,18,0)</f>
        <v>0</v>
      </c>
      <c r="J133" s="254"/>
      <c r="K133" s="668">
        <f t="shared" si="33"/>
        <v>1120.2219370834548</v>
      </c>
      <c r="L133" s="669" t="str">
        <f>VLOOKUP(D133,'BTH mủ tạp'!$D$98:$AN$160,37,0)</f>
        <v>A</v>
      </c>
      <c r="M133" s="670">
        <f t="shared" si="36"/>
        <v>4570420</v>
      </c>
      <c r="N133" s="671">
        <f>VLOOKUP(D133,TONGHOPCONGDOI!$C$96:$AD$153,20,0)</f>
        <v>25</v>
      </c>
      <c r="O133" s="671">
        <f>VLOOKUP(D133,TONGHOPCONGDOI!$C$96:$AD$153,21,0)</f>
        <v>5</v>
      </c>
      <c r="P133" s="671">
        <f>VLOOKUP(D133,TONGHOPCONGDOI!$C$96:$AD$153,22,0)</f>
        <v>0</v>
      </c>
      <c r="Q133" s="671">
        <f>VLOOKUP(D133,TONGHOPCONGDOI!$C$96:$AD$153,23,0)</f>
        <v>0</v>
      </c>
      <c r="R133" s="671">
        <f>VLOOKUP(D133,TONGHOPCONGDOI!$C$96:$AD$153,24,0)</f>
        <v>0</v>
      </c>
      <c r="S133" s="671">
        <f>VLOOKUP(D133,TONGHOPCONGDOI!$C$96:$AD$153,25,0)</f>
        <v>0</v>
      </c>
      <c r="T133" s="671"/>
      <c r="U133" s="1168"/>
      <c r="V133" s="1168"/>
      <c r="W133" s="1168"/>
      <c r="X133" s="671">
        <f t="shared" si="37"/>
        <v>1028007</v>
      </c>
      <c r="Y133" s="671">
        <f t="shared" si="34"/>
        <v>5598427</v>
      </c>
      <c r="Z133" s="675"/>
      <c r="AA133" s="673">
        <f t="shared" si="35"/>
        <v>5598427</v>
      </c>
      <c r="AB133" s="254"/>
      <c r="AC133" s="672"/>
      <c r="AD133" s="1169">
        <f t="shared" si="30"/>
        <v>20</v>
      </c>
      <c r="AE133" s="674"/>
      <c r="AF133" s="674"/>
      <c r="AG133" s="674"/>
      <c r="AH133" s="674"/>
      <c r="AI133" s="674"/>
      <c r="AJ133" s="674"/>
      <c r="AK133" s="674"/>
      <c r="AL133" s="674"/>
    </row>
    <row r="134" spans="1:38" s="1171" customFormat="1" ht="33" customHeight="1">
      <c r="A134" s="1172">
        <v>103</v>
      </c>
      <c r="B134" s="1173">
        <v>21</v>
      </c>
      <c r="C134" s="1170" t="str">
        <f>'Chấm công KT'!C115</f>
        <v>02729</v>
      </c>
      <c r="D134" s="1170" t="str">
        <f>TONGHOPCONGDOI!C116</f>
        <v>N. Lay</v>
      </c>
      <c r="E134" s="1170" t="s">
        <v>28</v>
      </c>
      <c r="F134" s="1174"/>
      <c r="G134" s="254">
        <f t="shared" si="32"/>
        <v>0</v>
      </c>
      <c r="H134" s="254">
        <f>VLOOKUP(D134,TONGHOPCONGDOI!C116:AD160,16,0)</f>
        <v>2477</v>
      </c>
      <c r="I134" s="254">
        <f>VLOOKUP(D134,TONGHOPCONGDOI!C116:AD160,18,0)</f>
        <v>0</v>
      </c>
      <c r="J134" s="254"/>
      <c r="K134" s="668">
        <f t="shared" si="33"/>
        <v>1143.7715326280781</v>
      </c>
      <c r="L134" s="669" t="str">
        <f>VLOOKUP(D134,'BTH mủ tạp'!$D$98:$AN$160,37,0)</f>
        <v>A</v>
      </c>
      <c r="M134" s="670">
        <f t="shared" si="36"/>
        <v>4666501</v>
      </c>
      <c r="N134" s="671">
        <f>VLOOKUP(D134,TONGHOPCONGDOI!$C$96:$AD$153,20,0)</f>
        <v>25</v>
      </c>
      <c r="O134" s="671">
        <f>VLOOKUP(D134,TONGHOPCONGDOI!$C$96:$AD$153,21,0)</f>
        <v>5</v>
      </c>
      <c r="P134" s="671">
        <f>VLOOKUP(D134,TONGHOPCONGDOI!$C$96:$AD$153,22,0)</f>
        <v>0</v>
      </c>
      <c r="Q134" s="671">
        <f>VLOOKUP(D134,TONGHOPCONGDOI!$C$96:$AD$153,23,0)</f>
        <v>0</v>
      </c>
      <c r="R134" s="671">
        <f>VLOOKUP(D134,TONGHOPCONGDOI!$C$96:$AD$153,24,0)</f>
        <v>0</v>
      </c>
      <c r="S134" s="671">
        <f>VLOOKUP(D134,TONGHOPCONGDOI!$C$96:$AD$153,25,0)</f>
        <v>0</v>
      </c>
      <c r="T134" s="671"/>
      <c r="U134" s="1168"/>
      <c r="V134" s="1168"/>
      <c r="W134" s="1168"/>
      <c r="X134" s="671">
        <f t="shared" si="37"/>
        <v>1028007</v>
      </c>
      <c r="Y134" s="671">
        <f t="shared" si="34"/>
        <v>5694508</v>
      </c>
      <c r="Z134" s="675"/>
      <c r="AA134" s="673">
        <f t="shared" si="35"/>
        <v>5694508</v>
      </c>
      <c r="AB134" s="254"/>
      <c r="AC134" s="672"/>
      <c r="AD134" s="1169">
        <f t="shared" si="30"/>
        <v>21</v>
      </c>
      <c r="AE134" s="674"/>
      <c r="AF134" s="674"/>
      <c r="AG134" s="674"/>
      <c r="AH134" s="674"/>
      <c r="AI134" s="674"/>
      <c r="AJ134" s="674"/>
      <c r="AK134" s="674"/>
      <c r="AL134" s="674"/>
    </row>
    <row r="135" spans="1:38" s="1171" customFormat="1" ht="33" customHeight="1">
      <c r="A135" s="1172">
        <v>104</v>
      </c>
      <c r="B135" s="1170">
        <v>22</v>
      </c>
      <c r="C135" s="1170" t="str">
        <f>'Chấm công KT'!C116</f>
        <v>03608</v>
      </c>
      <c r="D135" s="1170" t="str">
        <f>TONGHOPCONGDOI!C117</f>
        <v>N. Pon</v>
      </c>
      <c r="E135" s="1170" t="s">
        <v>28</v>
      </c>
      <c r="F135" s="1174"/>
      <c r="G135" s="254">
        <f t="shared" si="32"/>
        <v>0</v>
      </c>
      <c r="H135" s="254">
        <f>VLOOKUP(D135,TONGHOPCONGDOI!C117:AD160,16,0)</f>
        <v>2578</v>
      </c>
      <c r="I135" s="254">
        <f>VLOOKUP(D135,TONGHOPCONGDOI!C117:AD160,18,0)</f>
        <v>0</v>
      </c>
      <c r="J135" s="254"/>
      <c r="K135" s="668">
        <f t="shared" si="33"/>
        <v>1190.40896694194</v>
      </c>
      <c r="L135" s="669" t="str">
        <f>VLOOKUP(D135,'BTH mủ tạp'!$D$98:$AN$160,37,0)</f>
        <v>A</v>
      </c>
      <c r="M135" s="670">
        <f t="shared" si="36"/>
        <v>4856778</v>
      </c>
      <c r="N135" s="671">
        <f>VLOOKUP(D135,TONGHOPCONGDOI!$C$96:$AD$153,20,0)</f>
        <v>23</v>
      </c>
      <c r="O135" s="671">
        <f>VLOOKUP(D135,TONGHOPCONGDOI!$C$96:$AD$153,21,0)</f>
        <v>5</v>
      </c>
      <c r="P135" s="671">
        <f>VLOOKUP(D135,TONGHOPCONGDOI!$C$96:$AD$153,22,0)</f>
        <v>0</v>
      </c>
      <c r="Q135" s="671">
        <f>VLOOKUP(D135,TONGHOPCONGDOI!$C$96:$AD$153,23,0)</f>
        <v>0</v>
      </c>
      <c r="R135" s="671">
        <f>VLOOKUP(D135,TONGHOPCONGDOI!$C$96:$AD$153,24,0)</f>
        <v>0</v>
      </c>
      <c r="S135" s="671">
        <f>VLOOKUP(D135,TONGHOPCONGDOI!$C$96:$AD$153,25,0)</f>
        <v>0</v>
      </c>
      <c r="T135" s="671"/>
      <c r="U135" s="1168"/>
      <c r="V135" s="1168"/>
      <c r="W135" s="1168"/>
      <c r="X135" s="671">
        <f t="shared" si="37"/>
        <v>966340</v>
      </c>
      <c r="Y135" s="671">
        <f t="shared" si="34"/>
        <v>5823118</v>
      </c>
      <c r="Z135" s="675"/>
      <c r="AA135" s="673">
        <f t="shared" si="35"/>
        <v>5823118</v>
      </c>
      <c r="AB135" s="254"/>
      <c r="AC135" s="672"/>
      <c r="AD135" s="1169">
        <f t="shared" si="30"/>
        <v>22</v>
      </c>
      <c r="AE135" s="674"/>
      <c r="AF135" s="674"/>
      <c r="AG135" s="674"/>
      <c r="AH135" s="674"/>
      <c r="AI135" s="674"/>
      <c r="AJ135" s="674"/>
      <c r="AK135" s="674"/>
      <c r="AL135" s="674"/>
    </row>
    <row r="136" spans="1:38" s="1171" customFormat="1" ht="33" customHeight="1">
      <c r="A136" s="1172">
        <v>105</v>
      </c>
      <c r="B136" s="1173">
        <v>23</v>
      </c>
      <c r="C136" s="1170" t="str">
        <f>'Chấm công KT'!C117</f>
        <v>03609</v>
      </c>
      <c r="D136" s="1170" t="str">
        <f>TONGHOPCONGDOI!C118</f>
        <v>N. Bun Đi</v>
      </c>
      <c r="E136" s="1170" t="s">
        <v>28</v>
      </c>
      <c r="F136" s="1174"/>
      <c r="G136" s="254">
        <f t="shared" si="32"/>
        <v>0</v>
      </c>
      <c r="H136" s="254">
        <f>VLOOKUP(D136,TONGHOPCONGDOI!C118:AD160,16,0)</f>
        <v>2248</v>
      </c>
      <c r="I136" s="254">
        <f>VLOOKUP(D136,TONGHOPCONGDOI!C118:AD160,18,0)</f>
        <v>0</v>
      </c>
      <c r="J136" s="254"/>
      <c r="K136" s="668">
        <f t="shared" si="33"/>
        <v>1038.0292310649654</v>
      </c>
      <c r="L136" s="669" t="str">
        <f>VLOOKUP(D136,'BTH mủ tạp'!$D$98:$AN$160,37,0)</f>
        <v>A</v>
      </c>
      <c r="M136" s="670">
        <f t="shared" si="36"/>
        <v>4235080</v>
      </c>
      <c r="N136" s="671">
        <f>VLOOKUP(D136,TONGHOPCONGDOI!$C$96:$AD$153,20,0)</f>
        <v>24</v>
      </c>
      <c r="O136" s="671">
        <f>VLOOKUP(D136,TONGHOPCONGDOI!$C$96:$AD$153,21,0)</f>
        <v>5</v>
      </c>
      <c r="P136" s="671">
        <f>VLOOKUP(D136,TONGHOPCONGDOI!$C$96:$AD$153,22,0)</f>
        <v>0</v>
      </c>
      <c r="Q136" s="671">
        <f>VLOOKUP(D136,TONGHOPCONGDOI!$C$96:$AD$153,23,0)</f>
        <v>0</v>
      </c>
      <c r="R136" s="671">
        <f>VLOOKUP(D136,TONGHOPCONGDOI!$C$96:$AD$153,24,0)</f>
        <v>0</v>
      </c>
      <c r="S136" s="671">
        <f>VLOOKUP(D136,TONGHOPCONGDOI!$C$96:$AD$153,25,0)</f>
        <v>0</v>
      </c>
      <c r="T136" s="671"/>
      <c r="U136" s="1168"/>
      <c r="V136" s="1168"/>
      <c r="W136" s="1168"/>
      <c r="X136" s="671">
        <f t="shared" si="37"/>
        <v>997174</v>
      </c>
      <c r="Y136" s="671">
        <f t="shared" si="34"/>
        <v>5232254</v>
      </c>
      <c r="Z136" s="675"/>
      <c r="AA136" s="673">
        <f t="shared" si="35"/>
        <v>5232254</v>
      </c>
      <c r="AB136" s="254"/>
      <c r="AC136" s="672"/>
      <c r="AD136" s="1169">
        <f t="shared" si="30"/>
        <v>23</v>
      </c>
      <c r="AE136" s="674"/>
      <c r="AF136" s="674"/>
      <c r="AG136" s="674"/>
      <c r="AH136" s="674"/>
      <c r="AI136" s="674"/>
      <c r="AJ136" s="674"/>
      <c r="AK136" s="674"/>
      <c r="AL136" s="674"/>
    </row>
    <row r="137" spans="1:38" s="1171" customFormat="1" ht="33" customHeight="1">
      <c r="A137" s="1172">
        <v>106</v>
      </c>
      <c r="B137" s="1170">
        <v>24</v>
      </c>
      <c r="C137" s="1170" t="str">
        <f>'Chấm công KT'!C118</f>
        <v>03610</v>
      </c>
      <c r="D137" s="1170" t="str">
        <f>TONGHOPCONGDOI!C119</f>
        <v>N. Phon</v>
      </c>
      <c r="E137" s="1170" t="s">
        <v>28</v>
      </c>
      <c r="F137" s="1174"/>
      <c r="G137" s="254">
        <f t="shared" si="32"/>
        <v>0</v>
      </c>
      <c r="H137" s="254">
        <f>VLOOKUP(D137,TONGHOPCONGDOI!C119:AD160,16,0)</f>
        <v>2328</v>
      </c>
      <c r="I137" s="254">
        <f>VLOOKUP(D137,TONGHOPCONGDOI!C119:AD160,18,0)</f>
        <v>0</v>
      </c>
      <c r="J137" s="254"/>
      <c r="K137" s="668">
        <f t="shared" si="33"/>
        <v>1074.9697730957471</v>
      </c>
      <c r="L137" s="669" t="str">
        <f>VLOOKUP(D137,'BTH mủ tạp'!$D$98:$AN$160,37,0)</f>
        <v>A</v>
      </c>
      <c r="M137" s="670">
        <f t="shared" si="36"/>
        <v>4385795</v>
      </c>
      <c r="N137" s="671">
        <f>VLOOKUP(D137,TONGHOPCONGDOI!$C$96:$AD$153,20,0)</f>
        <v>24</v>
      </c>
      <c r="O137" s="671">
        <f>VLOOKUP(D137,TONGHOPCONGDOI!$C$96:$AD$153,21,0)</f>
        <v>5</v>
      </c>
      <c r="P137" s="671">
        <f>VLOOKUP(D137,TONGHOPCONGDOI!$C$96:$AD$153,22,0)</f>
        <v>0</v>
      </c>
      <c r="Q137" s="671">
        <f>VLOOKUP(D137,TONGHOPCONGDOI!$C$96:$AD$153,23,0)</f>
        <v>0</v>
      </c>
      <c r="R137" s="671">
        <f>VLOOKUP(D137,TONGHOPCONGDOI!$C$96:$AD$153,24,0)</f>
        <v>0</v>
      </c>
      <c r="S137" s="671">
        <f>VLOOKUP(D137,TONGHOPCONGDOI!$C$96:$AD$153,25,0)</f>
        <v>0</v>
      </c>
      <c r="T137" s="671"/>
      <c r="U137" s="1168"/>
      <c r="V137" s="1168"/>
      <c r="W137" s="1168"/>
      <c r="X137" s="671">
        <f t="shared" si="37"/>
        <v>997174</v>
      </c>
      <c r="Y137" s="671">
        <f t="shared" si="34"/>
        <v>5382969</v>
      </c>
      <c r="Z137" s="675"/>
      <c r="AA137" s="673">
        <f t="shared" si="35"/>
        <v>5382969</v>
      </c>
      <c r="AB137" s="254"/>
      <c r="AC137" s="672"/>
      <c r="AD137" s="1169">
        <f t="shared" si="30"/>
        <v>24</v>
      </c>
      <c r="AE137" s="674"/>
      <c r="AF137" s="674"/>
      <c r="AG137" s="674"/>
      <c r="AH137" s="674"/>
      <c r="AI137" s="674"/>
      <c r="AJ137" s="674"/>
      <c r="AK137" s="674"/>
      <c r="AL137" s="674"/>
    </row>
    <row r="138" spans="1:38" s="1171" customFormat="1" ht="33" customHeight="1">
      <c r="A138" s="1172">
        <v>107</v>
      </c>
      <c r="B138" s="1173">
        <v>25</v>
      </c>
      <c r="C138" s="1170" t="str">
        <f>'Chấm công KT'!C119</f>
        <v>04076</v>
      </c>
      <c r="D138" s="1170" t="str">
        <f>TONGHOPCONGDOI!C120</f>
        <v xml:space="preserve">N. Bun </v>
      </c>
      <c r="E138" s="1170" t="s">
        <v>28</v>
      </c>
      <c r="F138" s="1174"/>
      <c r="G138" s="254">
        <f t="shared" si="32"/>
        <v>0</v>
      </c>
      <c r="H138" s="254">
        <f>VLOOKUP(D138,TONGHOPCONGDOI!C120:AD160,16,0)</f>
        <v>3222</v>
      </c>
      <c r="I138" s="254">
        <f>VLOOKUP(D138,TONGHOPCONGDOI!C120:AD160,18,0)</f>
        <v>0</v>
      </c>
      <c r="J138" s="254"/>
      <c r="K138" s="668">
        <f t="shared" si="33"/>
        <v>1487.7803302897325</v>
      </c>
      <c r="L138" s="669" t="str">
        <f>VLOOKUP(D138,'BTH mủ tạp'!$D$98:$AN$160,37,0)</f>
        <v>B</v>
      </c>
      <c r="M138" s="670">
        <f t="shared" si="36"/>
        <v>5771505</v>
      </c>
      <c r="N138" s="671">
        <f>VLOOKUP(D138,TONGHOPCONGDOI!$C$96:$AD$153,20,0)</f>
        <v>24</v>
      </c>
      <c r="O138" s="671">
        <f>VLOOKUP(D138,TONGHOPCONGDOI!$C$96:$AD$153,21,0)</f>
        <v>4</v>
      </c>
      <c r="P138" s="671">
        <f>VLOOKUP(D138,TONGHOPCONGDOI!$C$96:$AD$153,22,0)</f>
        <v>0</v>
      </c>
      <c r="Q138" s="671">
        <f>VLOOKUP(D138,TONGHOPCONGDOI!$C$96:$AD$153,23,0)</f>
        <v>0</v>
      </c>
      <c r="R138" s="671">
        <f>VLOOKUP(D138,TONGHOPCONGDOI!$C$96:$AD$153,24,0)</f>
        <v>0</v>
      </c>
      <c r="S138" s="671">
        <f>VLOOKUP(D138,TONGHOPCONGDOI!$C$96:$AD$153,25,0)</f>
        <v>0</v>
      </c>
      <c r="T138" s="671"/>
      <c r="U138" s="1168"/>
      <c r="V138" s="1168"/>
      <c r="W138" s="1168"/>
      <c r="X138" s="671">
        <f t="shared" si="37"/>
        <v>945740</v>
      </c>
      <c r="Y138" s="671">
        <f t="shared" si="34"/>
        <v>6717245</v>
      </c>
      <c r="Z138" s="675"/>
      <c r="AA138" s="673">
        <f t="shared" si="35"/>
        <v>6717245</v>
      </c>
      <c r="AB138" s="254"/>
      <c r="AC138" s="672"/>
      <c r="AD138" s="1169">
        <f t="shared" si="30"/>
        <v>25</v>
      </c>
      <c r="AE138" s="674"/>
      <c r="AF138" s="674"/>
      <c r="AG138" s="674"/>
      <c r="AH138" s="674"/>
      <c r="AI138" s="674"/>
      <c r="AJ138" s="674"/>
      <c r="AK138" s="674"/>
      <c r="AL138" s="674"/>
    </row>
    <row r="139" spans="1:38" s="1171" customFormat="1" ht="33" customHeight="1">
      <c r="A139" s="1172">
        <v>108</v>
      </c>
      <c r="B139" s="1170">
        <v>26</v>
      </c>
      <c r="C139" s="1170" t="str">
        <f>'Chấm công KT'!C120</f>
        <v>03612</v>
      </c>
      <c r="D139" s="1170" t="str">
        <f>TONGHOPCONGDOI!C121</f>
        <v>N. Phu Văn</v>
      </c>
      <c r="E139" s="1170" t="s">
        <v>28</v>
      </c>
      <c r="F139" s="1174"/>
      <c r="G139" s="254">
        <f t="shared" si="32"/>
        <v>0</v>
      </c>
      <c r="H139" s="254">
        <f>VLOOKUP(D139,TONGHOPCONGDOI!C121:AD160,16,0)</f>
        <v>2983</v>
      </c>
      <c r="I139" s="254">
        <f>VLOOKUP(D139,TONGHOPCONGDOI!C121:AD160,18,0)</f>
        <v>0</v>
      </c>
      <c r="J139" s="254"/>
      <c r="K139" s="668">
        <f t="shared" si="33"/>
        <v>1377.4204609727722</v>
      </c>
      <c r="L139" s="669" t="str">
        <f>VLOOKUP(D139,'BTH mủ tạp'!$D$98:$AN$160,37,0)</f>
        <v>A</v>
      </c>
      <c r="M139" s="670">
        <f t="shared" si="36"/>
        <v>5619771</v>
      </c>
      <c r="N139" s="671">
        <f>VLOOKUP(D139,TONGHOPCONGDOI!$C$96:$AD$153,20,0)</f>
        <v>24</v>
      </c>
      <c r="O139" s="671">
        <f>VLOOKUP(D139,TONGHOPCONGDOI!$C$96:$AD$153,21,0)</f>
        <v>5</v>
      </c>
      <c r="P139" s="671">
        <f>VLOOKUP(D139,TONGHOPCONGDOI!$C$96:$AD$153,22,0)</f>
        <v>0</v>
      </c>
      <c r="Q139" s="671">
        <f>VLOOKUP(D139,TONGHOPCONGDOI!$C$96:$AD$153,23,0)</f>
        <v>0</v>
      </c>
      <c r="R139" s="671">
        <f>VLOOKUP(D139,TONGHOPCONGDOI!$C$96:$AD$153,24,0)</f>
        <v>0</v>
      </c>
      <c r="S139" s="671">
        <f>VLOOKUP(D139,TONGHOPCONGDOI!$C$96:$AD$153,25,0)</f>
        <v>0</v>
      </c>
      <c r="T139" s="671"/>
      <c r="U139" s="1168"/>
      <c r="V139" s="1168"/>
      <c r="W139" s="1168"/>
      <c r="X139" s="671">
        <f t="shared" si="37"/>
        <v>997174</v>
      </c>
      <c r="Y139" s="671">
        <f t="shared" si="34"/>
        <v>6616945</v>
      </c>
      <c r="Z139" s="675"/>
      <c r="AA139" s="673">
        <f t="shared" si="35"/>
        <v>6616945</v>
      </c>
      <c r="AB139" s="254"/>
      <c r="AC139" s="672"/>
      <c r="AD139" s="1169">
        <f t="shared" si="30"/>
        <v>26</v>
      </c>
      <c r="AE139" s="674"/>
      <c r="AF139" s="674"/>
      <c r="AG139" s="674"/>
      <c r="AH139" s="674"/>
      <c r="AI139" s="674"/>
      <c r="AJ139" s="674"/>
      <c r="AK139" s="674"/>
      <c r="AL139" s="674"/>
    </row>
    <row r="140" spans="1:38" s="1171" customFormat="1" ht="33" customHeight="1">
      <c r="A140" s="1172">
        <v>109</v>
      </c>
      <c r="B140" s="1173">
        <v>27</v>
      </c>
      <c r="C140" s="1170" t="str">
        <f>'Chấm công KT'!C121</f>
        <v>03613</v>
      </c>
      <c r="D140" s="1170" t="str">
        <f>TONGHOPCONGDOI!C122</f>
        <v>N. Lỷ</v>
      </c>
      <c r="E140" s="1170" t="s">
        <v>28</v>
      </c>
      <c r="F140" s="1174"/>
      <c r="G140" s="254">
        <f t="shared" si="32"/>
        <v>0</v>
      </c>
      <c r="H140" s="254">
        <f>VLOOKUP(D140,TONGHOPCONGDOI!C122:AD160,16,0)</f>
        <v>2391</v>
      </c>
      <c r="I140" s="254">
        <f>VLOOKUP(D140,TONGHOPCONGDOI!C122:AD160,18,0)</f>
        <v>0</v>
      </c>
      <c r="J140" s="254"/>
      <c r="K140" s="668">
        <f t="shared" si="33"/>
        <v>1104.0604499449878</v>
      </c>
      <c r="L140" s="669" t="str">
        <f>VLOOKUP(D140,'BTH mủ tạp'!$D$98:$AN$160,37,0)</f>
        <v>A</v>
      </c>
      <c r="M140" s="670">
        <f t="shared" si="36"/>
        <v>4504483</v>
      </c>
      <c r="N140" s="671">
        <f>VLOOKUP(D140,TONGHOPCONGDOI!$C$96:$AD$153,20,0)</f>
        <v>24</v>
      </c>
      <c r="O140" s="671">
        <f>VLOOKUP(D140,TONGHOPCONGDOI!$C$96:$AD$153,21,0)</f>
        <v>5</v>
      </c>
      <c r="P140" s="671">
        <f>VLOOKUP(D140,TONGHOPCONGDOI!$C$96:$AD$153,22,0)</f>
        <v>0</v>
      </c>
      <c r="Q140" s="671">
        <f>VLOOKUP(D140,TONGHOPCONGDOI!$C$96:$AD$153,23,0)</f>
        <v>0</v>
      </c>
      <c r="R140" s="671">
        <f>VLOOKUP(D140,TONGHOPCONGDOI!$C$96:$AD$153,24,0)</f>
        <v>0</v>
      </c>
      <c r="S140" s="671">
        <f>VLOOKUP(D140,TONGHOPCONGDOI!$C$96:$AD$153,25,0)</f>
        <v>0</v>
      </c>
      <c r="T140" s="671"/>
      <c r="U140" s="1168"/>
      <c r="V140" s="1168"/>
      <c r="W140" s="1168"/>
      <c r="X140" s="671">
        <f t="shared" si="37"/>
        <v>997174</v>
      </c>
      <c r="Y140" s="671">
        <f t="shared" si="34"/>
        <v>5501657</v>
      </c>
      <c r="Z140" s="675"/>
      <c r="AA140" s="673">
        <f t="shared" si="35"/>
        <v>5501657</v>
      </c>
      <c r="AB140" s="254"/>
      <c r="AC140" s="672"/>
      <c r="AD140" s="1169">
        <f t="shared" si="30"/>
        <v>27</v>
      </c>
      <c r="AE140" s="674"/>
      <c r="AF140" s="674"/>
      <c r="AG140" s="674"/>
      <c r="AH140" s="674"/>
      <c r="AI140" s="674"/>
      <c r="AJ140" s="674"/>
      <c r="AK140" s="674"/>
      <c r="AL140" s="674"/>
    </row>
    <row r="141" spans="1:38" s="1171" customFormat="1" ht="33" customHeight="1">
      <c r="A141" s="1172">
        <v>110</v>
      </c>
      <c r="B141" s="1170">
        <v>28</v>
      </c>
      <c r="C141" s="1170" t="str">
        <f>'Chấm công KT'!C122</f>
        <v>04077</v>
      </c>
      <c r="D141" s="1170" t="str">
        <f>TONGHOPCONGDOI!C123</f>
        <v>N. Quen</v>
      </c>
      <c r="E141" s="1170" t="s">
        <v>28</v>
      </c>
      <c r="F141" s="1174"/>
      <c r="G141" s="254">
        <f t="shared" si="32"/>
        <v>0</v>
      </c>
      <c r="H141" s="254">
        <f>VLOOKUP(D141,TONGHOPCONGDOI!C123:AD160,16,0)</f>
        <v>2964</v>
      </c>
      <c r="I141" s="254">
        <f>VLOOKUP(D141,TONGHOPCONGDOI!C123:AD160,18,0)</f>
        <v>0</v>
      </c>
      <c r="J141" s="254"/>
      <c r="K141" s="668">
        <f t="shared" si="33"/>
        <v>1368.6470822404615</v>
      </c>
      <c r="L141" s="669" t="str">
        <f>VLOOKUP(D141,'BTH mủ tạp'!$D$98:$AN$160,37,0)</f>
        <v>A</v>
      </c>
      <c r="M141" s="670">
        <f t="shared" si="36"/>
        <v>5583976</v>
      </c>
      <c r="N141" s="671">
        <f>VLOOKUP(D141,TONGHOPCONGDOI!$C$96:$AD$153,20,0)</f>
        <v>23</v>
      </c>
      <c r="O141" s="671">
        <f>VLOOKUP(D141,TONGHOPCONGDOI!$C$96:$AD$153,21,0)</f>
        <v>5</v>
      </c>
      <c r="P141" s="671">
        <f>VLOOKUP(D141,TONGHOPCONGDOI!$C$96:$AD$153,22,0)</f>
        <v>0</v>
      </c>
      <c r="Q141" s="671">
        <f>VLOOKUP(D141,TONGHOPCONGDOI!$C$96:$AD$153,23,0)</f>
        <v>0</v>
      </c>
      <c r="R141" s="671">
        <f>VLOOKUP(D141,TONGHOPCONGDOI!$C$96:$AD$153,24,0)</f>
        <v>0</v>
      </c>
      <c r="S141" s="671">
        <f>VLOOKUP(D141,TONGHOPCONGDOI!$C$96:$AD$153,25,0)</f>
        <v>0</v>
      </c>
      <c r="T141" s="671"/>
      <c r="U141" s="1168"/>
      <c r="V141" s="1168"/>
      <c r="W141" s="1168"/>
      <c r="X141" s="671">
        <f t="shared" si="37"/>
        <v>966340</v>
      </c>
      <c r="Y141" s="671">
        <f t="shared" si="34"/>
        <v>6550316</v>
      </c>
      <c r="Z141" s="675"/>
      <c r="AA141" s="673">
        <f t="shared" si="35"/>
        <v>6550316</v>
      </c>
      <c r="AB141" s="254"/>
      <c r="AC141" s="672"/>
      <c r="AD141" s="1169">
        <f t="shared" si="30"/>
        <v>28</v>
      </c>
      <c r="AE141" s="674"/>
      <c r="AF141" s="674"/>
      <c r="AG141" s="674"/>
      <c r="AH141" s="674"/>
      <c r="AI141" s="674"/>
      <c r="AJ141" s="674"/>
      <c r="AK141" s="674"/>
      <c r="AL141" s="674"/>
    </row>
    <row r="142" spans="1:38" s="1171" customFormat="1" ht="33" customHeight="1">
      <c r="A142" s="1172">
        <v>111</v>
      </c>
      <c r="B142" s="1173">
        <v>29</v>
      </c>
      <c r="C142" s="1170" t="str">
        <f>'Chấm công KT'!C123</f>
        <v>03615</v>
      </c>
      <c r="D142" s="1170" t="str">
        <f>TONGHOPCONGDOI!C124</f>
        <v>T. Xi Nuôn</v>
      </c>
      <c r="E142" s="1170" t="s">
        <v>28</v>
      </c>
      <c r="F142" s="1174"/>
      <c r="G142" s="254">
        <f t="shared" si="32"/>
        <v>0</v>
      </c>
      <c r="H142" s="254">
        <f>VLOOKUP(D142,TONGHOPCONGDOI!C124:AD160,16,0)</f>
        <v>1950</v>
      </c>
      <c r="I142" s="254">
        <f>VLOOKUP(D142,TONGHOPCONGDOI!C124:AD160,18,0)</f>
        <v>0</v>
      </c>
      <c r="J142" s="254"/>
      <c r="K142" s="668">
        <f t="shared" si="33"/>
        <v>900.42571200030363</v>
      </c>
      <c r="L142" s="669" t="str">
        <f>VLOOKUP(D142,'BTH mủ tạp'!$D$98:$AN$160,37,0)</f>
        <v>B</v>
      </c>
      <c r="M142" s="670">
        <f t="shared" si="36"/>
        <v>3492996</v>
      </c>
      <c r="N142" s="671">
        <f>VLOOKUP(D142,TONGHOPCONGDOI!$C$96:$AD$153,20,0)</f>
        <v>20</v>
      </c>
      <c r="O142" s="671">
        <f>VLOOKUP(D142,TONGHOPCONGDOI!$C$96:$AD$153,21,0)</f>
        <v>4</v>
      </c>
      <c r="P142" s="671">
        <f>VLOOKUP(D142,TONGHOPCONGDOI!$C$96:$AD$153,22,0)</f>
        <v>0</v>
      </c>
      <c r="Q142" s="671">
        <f>VLOOKUP(D142,TONGHOPCONGDOI!$C$96:$AD$153,23,0)</f>
        <v>0</v>
      </c>
      <c r="R142" s="671">
        <f>VLOOKUP(D142,TONGHOPCONGDOI!$C$96:$AD$153,24,0)</f>
        <v>0</v>
      </c>
      <c r="S142" s="671">
        <f>VLOOKUP(D142,TONGHOPCONGDOI!$C$96:$AD$153,25,0)</f>
        <v>0</v>
      </c>
      <c r="T142" s="671"/>
      <c r="U142" s="1168"/>
      <c r="V142" s="1168"/>
      <c r="W142" s="1168"/>
      <c r="X142" s="671">
        <f t="shared" si="37"/>
        <v>822406</v>
      </c>
      <c r="Y142" s="671">
        <f t="shared" si="34"/>
        <v>4315402</v>
      </c>
      <c r="Z142" s="675"/>
      <c r="AA142" s="673">
        <f t="shared" si="35"/>
        <v>4315402</v>
      </c>
      <c r="AB142" s="254"/>
      <c r="AC142" s="672"/>
      <c r="AD142" s="1169">
        <f t="shared" si="30"/>
        <v>29</v>
      </c>
      <c r="AE142" s="674"/>
      <c r="AF142" s="674"/>
      <c r="AG142" s="674"/>
      <c r="AH142" s="674"/>
      <c r="AI142" s="674"/>
      <c r="AJ142" s="674"/>
      <c r="AK142" s="674"/>
      <c r="AL142" s="674"/>
    </row>
    <row r="143" spans="1:38" s="1171" customFormat="1" ht="33" customHeight="1">
      <c r="A143" s="1172">
        <v>112</v>
      </c>
      <c r="B143" s="1170">
        <v>30</v>
      </c>
      <c r="C143" s="1170" t="str">
        <f>'Chấm công KT'!C124</f>
        <v>03616</v>
      </c>
      <c r="D143" s="1170" t="str">
        <f>TONGHOPCONGDOI!C125</f>
        <v>N. Ốc</v>
      </c>
      <c r="E143" s="1170" t="s">
        <v>28</v>
      </c>
      <c r="F143" s="1174"/>
      <c r="G143" s="254">
        <f t="shared" si="32"/>
        <v>0</v>
      </c>
      <c r="H143" s="254">
        <f>VLOOKUP(D143,TONGHOPCONGDOI!C125:AD160,16,0)</f>
        <v>2389</v>
      </c>
      <c r="I143" s="254">
        <f>VLOOKUP(D143,TONGHOPCONGDOI!C125:AD160,18,0)</f>
        <v>0</v>
      </c>
      <c r="J143" s="254"/>
      <c r="K143" s="668">
        <f t="shared" si="33"/>
        <v>1103.1369363942181</v>
      </c>
      <c r="L143" s="669" t="str">
        <f>VLOOKUP(D143,'BTH mủ tạp'!$D$98:$AN$160,37,0)</f>
        <v>A</v>
      </c>
      <c r="M143" s="670">
        <f t="shared" si="36"/>
        <v>4500715</v>
      </c>
      <c r="N143" s="671">
        <f>VLOOKUP(D143,TONGHOPCONGDOI!$C$96:$AD$153,20,0)</f>
        <v>24</v>
      </c>
      <c r="O143" s="671">
        <f>VLOOKUP(D143,TONGHOPCONGDOI!$C$96:$AD$153,21,0)</f>
        <v>5</v>
      </c>
      <c r="P143" s="671">
        <f>VLOOKUP(D143,TONGHOPCONGDOI!$C$96:$AD$153,22,0)</f>
        <v>0</v>
      </c>
      <c r="Q143" s="671">
        <f>VLOOKUP(D143,TONGHOPCONGDOI!$C$96:$AD$153,23,0)</f>
        <v>0</v>
      </c>
      <c r="R143" s="671">
        <f>VLOOKUP(D143,TONGHOPCONGDOI!$C$96:$AD$153,24,0)</f>
        <v>0</v>
      </c>
      <c r="S143" s="671">
        <f>VLOOKUP(D143,TONGHOPCONGDOI!$C$96:$AD$153,25,0)</f>
        <v>0</v>
      </c>
      <c r="T143" s="671"/>
      <c r="U143" s="1168"/>
      <c r="V143" s="1168"/>
      <c r="W143" s="1168"/>
      <c r="X143" s="671">
        <f t="shared" si="37"/>
        <v>997174</v>
      </c>
      <c r="Y143" s="671">
        <f t="shared" si="34"/>
        <v>5497889</v>
      </c>
      <c r="Z143" s="675"/>
      <c r="AA143" s="673">
        <f t="shared" si="35"/>
        <v>5497889</v>
      </c>
      <c r="AB143" s="254"/>
      <c r="AC143" s="672"/>
      <c r="AD143" s="1169">
        <f t="shared" ref="AD143:AD174" si="38">B143</f>
        <v>30</v>
      </c>
      <c r="AE143" s="674"/>
      <c r="AF143" s="674"/>
      <c r="AG143" s="674"/>
      <c r="AH143" s="674"/>
      <c r="AI143" s="674"/>
      <c r="AJ143" s="674"/>
      <c r="AK143" s="674"/>
      <c r="AL143" s="674"/>
    </row>
    <row r="144" spans="1:38" s="1171" customFormat="1" ht="33" customHeight="1">
      <c r="A144" s="1172">
        <v>113</v>
      </c>
      <c r="B144" s="1173">
        <v>31</v>
      </c>
      <c r="C144" s="1170" t="str">
        <f>'Chấm công KT'!C125</f>
        <v>03617</v>
      </c>
      <c r="D144" s="1170" t="str">
        <f>TONGHOPCONGDOI!C126</f>
        <v>T. Văn Nô</v>
      </c>
      <c r="E144" s="1170" t="s">
        <v>28</v>
      </c>
      <c r="F144" s="1174"/>
      <c r="G144" s="254">
        <f t="shared" si="32"/>
        <v>0</v>
      </c>
      <c r="H144" s="254">
        <f>VLOOKUP(D144,TONGHOPCONGDOI!C126:AD160,16,0)</f>
        <v>3310</v>
      </c>
      <c r="I144" s="254">
        <f>VLOOKUP(D144,TONGHOPCONGDOI!C126:AD160,18,0)</f>
        <v>0</v>
      </c>
      <c r="J144" s="254"/>
      <c r="K144" s="668">
        <f t="shared" si="33"/>
        <v>1528.4149265235924</v>
      </c>
      <c r="L144" s="669" t="str">
        <f>VLOOKUP(D144,'BTH mủ tạp'!$D$98:$AN$160,37,0)</f>
        <v>A</v>
      </c>
      <c r="M144" s="670">
        <f t="shared" si="36"/>
        <v>6235817</v>
      </c>
      <c r="N144" s="671">
        <f>VLOOKUP(D144,TONGHOPCONGDOI!$C$96:$AD$153,20,0)</f>
        <v>24</v>
      </c>
      <c r="O144" s="671">
        <f>VLOOKUP(D144,TONGHOPCONGDOI!$C$96:$AD$153,21,0)</f>
        <v>5</v>
      </c>
      <c r="P144" s="671">
        <f>VLOOKUP(D144,TONGHOPCONGDOI!$C$96:$AD$153,22,0)</f>
        <v>0</v>
      </c>
      <c r="Q144" s="671">
        <f>VLOOKUP(D144,TONGHOPCONGDOI!$C$96:$AD$153,23,0)</f>
        <v>0</v>
      </c>
      <c r="R144" s="671">
        <f>VLOOKUP(D144,TONGHOPCONGDOI!$C$96:$AD$153,24,0)</f>
        <v>0</v>
      </c>
      <c r="S144" s="671">
        <f>VLOOKUP(D144,TONGHOPCONGDOI!$C$96:$AD$153,25,0)</f>
        <v>0</v>
      </c>
      <c r="T144" s="671"/>
      <c r="U144" s="1168"/>
      <c r="V144" s="1168"/>
      <c r="W144" s="1168"/>
      <c r="X144" s="671">
        <f t="shared" si="37"/>
        <v>997174</v>
      </c>
      <c r="Y144" s="671">
        <f t="shared" si="34"/>
        <v>7232991</v>
      </c>
      <c r="Z144" s="675"/>
      <c r="AA144" s="673">
        <f t="shared" si="35"/>
        <v>7232991</v>
      </c>
      <c r="AB144" s="254"/>
      <c r="AC144" s="672"/>
      <c r="AD144" s="1169">
        <f t="shared" si="38"/>
        <v>31</v>
      </c>
      <c r="AE144" s="674"/>
      <c r="AF144" s="674"/>
      <c r="AG144" s="674"/>
      <c r="AH144" s="674"/>
      <c r="AI144" s="674"/>
      <c r="AJ144" s="674"/>
      <c r="AK144" s="674"/>
      <c r="AL144" s="674"/>
    </row>
    <row r="145" spans="1:38" s="1171" customFormat="1" ht="33" customHeight="1">
      <c r="A145" s="1172">
        <v>114</v>
      </c>
      <c r="B145" s="1170">
        <v>32</v>
      </c>
      <c r="C145" s="1170" t="str">
        <f>'Chấm công KT'!C126</f>
        <v>03618</v>
      </c>
      <c r="D145" s="1170" t="str">
        <f>TONGHOPCONGDOI!C127</f>
        <v>N. Văn Ta</v>
      </c>
      <c r="E145" s="1170" t="s">
        <v>28</v>
      </c>
      <c r="F145" s="1174"/>
      <c r="G145" s="254">
        <f t="shared" si="32"/>
        <v>0</v>
      </c>
      <c r="H145" s="254">
        <f>VLOOKUP(D145,TONGHOPCONGDOI!C127:AD160,16,0)</f>
        <v>2844</v>
      </c>
      <c r="I145" s="254">
        <f>VLOOKUP(D145,TONGHOPCONGDOI!C127:AD160,18,0)</f>
        <v>0</v>
      </c>
      <c r="J145" s="254"/>
      <c r="K145" s="668">
        <f t="shared" si="33"/>
        <v>1313.236269194289</v>
      </c>
      <c r="L145" s="669" t="str">
        <f>VLOOKUP(D145,'BTH mủ tạp'!$D$98:$AN$160,37,0)</f>
        <v>A</v>
      </c>
      <c r="M145" s="670">
        <f t="shared" si="36"/>
        <v>5357904</v>
      </c>
      <c r="N145" s="671">
        <f>VLOOKUP(D145,TONGHOPCONGDOI!$C$96:$AD$153,20,0)</f>
        <v>24</v>
      </c>
      <c r="O145" s="671">
        <f>VLOOKUP(D145,TONGHOPCONGDOI!$C$96:$AD$153,21,0)</f>
        <v>5</v>
      </c>
      <c r="P145" s="671">
        <f>VLOOKUP(D145,TONGHOPCONGDOI!$C$96:$AD$153,22,0)</f>
        <v>0</v>
      </c>
      <c r="Q145" s="671">
        <f>VLOOKUP(D145,TONGHOPCONGDOI!$C$96:$AD$153,23,0)</f>
        <v>0</v>
      </c>
      <c r="R145" s="671">
        <f>VLOOKUP(D145,TONGHOPCONGDOI!$C$96:$AD$153,24,0)</f>
        <v>0</v>
      </c>
      <c r="S145" s="671">
        <f>VLOOKUP(D145,TONGHOPCONGDOI!$C$96:$AD$153,25,0)</f>
        <v>0</v>
      </c>
      <c r="T145" s="671"/>
      <c r="U145" s="1168"/>
      <c r="V145" s="1168"/>
      <c r="W145" s="1168"/>
      <c r="X145" s="671">
        <f t="shared" si="37"/>
        <v>997174</v>
      </c>
      <c r="Y145" s="671">
        <f t="shared" si="34"/>
        <v>6355078</v>
      </c>
      <c r="Z145" s="675"/>
      <c r="AA145" s="673">
        <f t="shared" si="35"/>
        <v>6355078</v>
      </c>
      <c r="AB145" s="254"/>
      <c r="AC145" s="672"/>
      <c r="AD145" s="1169">
        <f t="shared" si="38"/>
        <v>32</v>
      </c>
      <c r="AE145" s="674"/>
      <c r="AF145" s="674"/>
      <c r="AG145" s="674"/>
      <c r="AH145" s="674"/>
      <c r="AI145" s="674"/>
      <c r="AJ145" s="674"/>
      <c r="AK145" s="674"/>
      <c r="AL145" s="674"/>
    </row>
    <row r="146" spans="1:38" s="1171" customFormat="1" ht="33" customHeight="1">
      <c r="A146" s="1172">
        <v>115</v>
      </c>
      <c r="B146" s="1173">
        <v>33</v>
      </c>
      <c r="C146" s="1170" t="str">
        <f>'Chấm công KT'!C127</f>
        <v>03619</v>
      </c>
      <c r="D146" s="1170" t="str">
        <f>TONGHOPCONGDOI!C128</f>
        <v>T. Thon</v>
      </c>
      <c r="E146" s="1170" t="s">
        <v>28</v>
      </c>
      <c r="F146" s="1174"/>
      <c r="G146" s="254">
        <f t="shared" si="32"/>
        <v>0</v>
      </c>
      <c r="H146" s="254">
        <f>VLOOKUP(D146,TONGHOPCONGDOI!C128:AD160,16,0)</f>
        <v>2869</v>
      </c>
      <c r="I146" s="254">
        <f>VLOOKUP(D146,TONGHOPCONGDOI!C128:AD160,18,0)</f>
        <v>0</v>
      </c>
      <c r="J146" s="254"/>
      <c r="K146" s="668">
        <f t="shared" ref="K146:K175" si="39">$AJ$8/$AJ$7*H146+I146*$AJ$9+J146*$AJ$10</f>
        <v>1324.7801885789083</v>
      </c>
      <c r="L146" s="669" t="str">
        <f>VLOOKUP(D146,'BTH mủ tạp'!$D$98:$AN$160,37,0)</f>
        <v>A</v>
      </c>
      <c r="M146" s="670">
        <f t="shared" si="36"/>
        <v>5405002</v>
      </c>
      <c r="N146" s="671">
        <f>VLOOKUP(D146,TONGHOPCONGDOI!$C$96:$AD$153,20,0)</f>
        <v>24</v>
      </c>
      <c r="O146" s="671">
        <f>VLOOKUP(D146,TONGHOPCONGDOI!$C$96:$AD$153,21,0)</f>
        <v>5</v>
      </c>
      <c r="P146" s="671">
        <f>VLOOKUP(D146,TONGHOPCONGDOI!$C$96:$AD$153,22,0)</f>
        <v>0</v>
      </c>
      <c r="Q146" s="671">
        <f>VLOOKUP(D146,TONGHOPCONGDOI!$C$96:$AD$153,23,0)</f>
        <v>0</v>
      </c>
      <c r="R146" s="671">
        <f>VLOOKUP(D146,TONGHOPCONGDOI!$C$96:$AD$153,24,0)</f>
        <v>0</v>
      </c>
      <c r="S146" s="671">
        <f>VLOOKUP(D146,TONGHOPCONGDOI!$C$96:$AD$153,25,0)</f>
        <v>0</v>
      </c>
      <c r="T146" s="671"/>
      <c r="U146" s="1168"/>
      <c r="V146" s="1168"/>
      <c r="W146" s="1168"/>
      <c r="X146" s="671">
        <f t="shared" si="37"/>
        <v>997174</v>
      </c>
      <c r="Y146" s="671">
        <f t="shared" ref="Y146:Y177" si="40">G146+M146+X146</f>
        <v>6402176</v>
      </c>
      <c r="Z146" s="675"/>
      <c r="AA146" s="673">
        <f t="shared" si="35"/>
        <v>6402176</v>
      </c>
      <c r="AB146" s="254"/>
      <c r="AC146" s="672"/>
      <c r="AD146" s="1169">
        <f t="shared" si="38"/>
        <v>33</v>
      </c>
      <c r="AE146" s="674"/>
      <c r="AF146" s="674"/>
      <c r="AG146" s="674"/>
      <c r="AH146" s="674"/>
      <c r="AI146" s="674"/>
      <c r="AJ146" s="674"/>
      <c r="AK146" s="674"/>
      <c r="AL146" s="674"/>
    </row>
    <row r="147" spans="1:38" s="1171" customFormat="1" ht="33" customHeight="1">
      <c r="A147" s="1172">
        <v>116</v>
      </c>
      <c r="B147" s="1170">
        <v>34</v>
      </c>
      <c r="C147" s="1170" t="str">
        <f>'Chấm công KT'!C128</f>
        <v>03620</v>
      </c>
      <c r="D147" s="1170" t="str">
        <f>TONGHOPCONGDOI!C129</f>
        <v>Bun Thon</v>
      </c>
      <c r="E147" s="1170" t="s">
        <v>28</v>
      </c>
      <c r="F147" s="1174"/>
      <c r="G147" s="254">
        <f t="shared" si="32"/>
        <v>0</v>
      </c>
      <c r="H147" s="254">
        <f>VLOOKUP(D147,TONGHOPCONGDOI!C129:AD160,16,0)</f>
        <v>2047</v>
      </c>
      <c r="I147" s="254">
        <f>VLOOKUP(D147,TONGHOPCONGDOI!C129:AD160,18,0)</f>
        <v>0</v>
      </c>
      <c r="J147" s="254"/>
      <c r="K147" s="668">
        <f t="shared" si="39"/>
        <v>945.2161192126265</v>
      </c>
      <c r="L147" s="669" t="str">
        <f>VLOOKUP(D147,'BTH mủ tạp'!$D$98:$AN$160,37,0)</f>
        <v>A</v>
      </c>
      <c r="M147" s="670">
        <f t="shared" si="36"/>
        <v>3856410</v>
      </c>
      <c r="N147" s="671">
        <f>VLOOKUP(D147,TONGHOPCONGDOI!$C$96:$AD$153,20,0)</f>
        <v>20</v>
      </c>
      <c r="O147" s="671">
        <f>VLOOKUP(D147,TONGHOPCONGDOI!$C$96:$AD$153,21,0)</f>
        <v>4</v>
      </c>
      <c r="P147" s="671">
        <f>VLOOKUP(D147,TONGHOPCONGDOI!$C$96:$AD$153,22,0)</f>
        <v>0</v>
      </c>
      <c r="Q147" s="671">
        <f>VLOOKUP(D147,TONGHOPCONGDOI!$C$96:$AD$153,23,0)</f>
        <v>0</v>
      </c>
      <c r="R147" s="671">
        <f>VLOOKUP(D147,TONGHOPCONGDOI!$C$96:$AD$153,24,0)</f>
        <v>0</v>
      </c>
      <c r="S147" s="671">
        <f>VLOOKUP(D147,TONGHOPCONGDOI!$C$96:$AD$153,25,0)</f>
        <v>0</v>
      </c>
      <c r="T147" s="671"/>
      <c r="U147" s="1168"/>
      <c r="V147" s="1168"/>
      <c r="W147" s="1168"/>
      <c r="X147" s="671">
        <f t="shared" si="37"/>
        <v>822406</v>
      </c>
      <c r="Y147" s="671">
        <f t="shared" si="40"/>
        <v>4678816</v>
      </c>
      <c r="Z147" s="675"/>
      <c r="AA147" s="673">
        <f t="shared" si="35"/>
        <v>4678816</v>
      </c>
      <c r="AB147" s="254"/>
      <c r="AC147" s="672"/>
      <c r="AD147" s="1169">
        <f t="shared" si="38"/>
        <v>34</v>
      </c>
      <c r="AE147" s="674"/>
      <c r="AF147" s="674"/>
      <c r="AG147" s="674"/>
      <c r="AH147" s="674"/>
      <c r="AI147" s="674"/>
      <c r="AJ147" s="674"/>
      <c r="AK147" s="674"/>
      <c r="AL147" s="674"/>
    </row>
    <row r="148" spans="1:38" s="1171" customFormat="1" ht="33" customHeight="1">
      <c r="A148" s="1172">
        <v>117</v>
      </c>
      <c r="B148" s="1173">
        <v>35</v>
      </c>
      <c r="C148" s="1170" t="str">
        <f>'Chấm công KT'!C129</f>
        <v>04078</v>
      </c>
      <c r="D148" s="1170" t="str">
        <f>TONGHOPCONGDOI!C130</f>
        <v>Lăm Thong</v>
      </c>
      <c r="E148" s="1170" t="s">
        <v>28</v>
      </c>
      <c r="F148" s="1174"/>
      <c r="G148" s="254">
        <f t="shared" si="32"/>
        <v>0</v>
      </c>
      <c r="H148" s="254">
        <f>VLOOKUP(D148,TONGHOPCONGDOI!C130:AD160,16,0)</f>
        <v>2113</v>
      </c>
      <c r="I148" s="254">
        <f>VLOOKUP(D148,TONGHOPCONGDOI!C130:AD160,18,0)</f>
        <v>0</v>
      </c>
      <c r="J148" s="254"/>
      <c r="K148" s="668">
        <f t="shared" si="39"/>
        <v>975.69206638802132</v>
      </c>
      <c r="L148" s="669" t="str">
        <f>VLOOKUP(D148,'BTH mủ tạp'!$D$98:$AN$160,37,0)</f>
        <v>B</v>
      </c>
      <c r="M148" s="670">
        <f t="shared" si="36"/>
        <v>3784975</v>
      </c>
      <c r="N148" s="671">
        <f>VLOOKUP(D148,TONGHOPCONGDOI!$C$96:$AD$153,20,0)</f>
        <v>22</v>
      </c>
      <c r="O148" s="671">
        <f>VLOOKUP(D148,TONGHOPCONGDOI!$C$96:$AD$153,21,0)</f>
        <v>4</v>
      </c>
      <c r="P148" s="671">
        <f>VLOOKUP(D148,TONGHOPCONGDOI!$C$96:$AD$153,22,0)</f>
        <v>0</v>
      </c>
      <c r="Q148" s="671">
        <f>VLOOKUP(D148,TONGHOPCONGDOI!$C$96:$AD$153,23,0)</f>
        <v>0</v>
      </c>
      <c r="R148" s="671">
        <f>VLOOKUP(D148,TONGHOPCONGDOI!$C$96:$AD$153,24,0)</f>
        <v>0</v>
      </c>
      <c r="S148" s="671">
        <f>VLOOKUP(D148,TONGHOPCONGDOI!$C$96:$AD$153,25,0)</f>
        <v>0</v>
      </c>
      <c r="T148" s="671"/>
      <c r="U148" s="1168"/>
      <c r="V148" s="1168"/>
      <c r="W148" s="1168"/>
      <c r="X148" s="671">
        <f t="shared" si="37"/>
        <v>884073</v>
      </c>
      <c r="Y148" s="671">
        <f t="shared" si="40"/>
        <v>4669048</v>
      </c>
      <c r="Z148" s="675"/>
      <c r="AA148" s="673">
        <f t="shared" si="35"/>
        <v>4669048</v>
      </c>
      <c r="AB148" s="254"/>
      <c r="AC148" s="672"/>
      <c r="AD148" s="1169">
        <f t="shared" si="38"/>
        <v>35</v>
      </c>
      <c r="AE148" s="674"/>
      <c r="AF148" s="674"/>
      <c r="AG148" s="674"/>
      <c r="AH148" s="674"/>
      <c r="AI148" s="674"/>
      <c r="AJ148" s="674"/>
      <c r="AK148" s="674"/>
      <c r="AL148" s="674"/>
    </row>
    <row r="149" spans="1:38" s="1171" customFormat="1" ht="33" customHeight="1">
      <c r="A149" s="1172">
        <v>118</v>
      </c>
      <c r="B149" s="1170">
        <v>36</v>
      </c>
      <c r="C149" s="1170" t="str">
        <f>'Chấm công KT'!C130</f>
        <v>03622</v>
      </c>
      <c r="D149" s="1170" t="str">
        <f>TONGHOPCONGDOI!C131</f>
        <v>N. Xeo Khăm</v>
      </c>
      <c r="E149" s="1170" t="s">
        <v>28</v>
      </c>
      <c r="F149" s="1174"/>
      <c r="G149" s="254">
        <f t="shared" si="32"/>
        <v>0</v>
      </c>
      <c r="H149" s="254">
        <f>VLOOKUP(D149,TONGHOPCONGDOI!C131:AD160,16,0)</f>
        <v>3315</v>
      </c>
      <c r="I149" s="254">
        <f>VLOOKUP(D149,TONGHOPCONGDOI!C131:AD160,18,0)</f>
        <v>0</v>
      </c>
      <c r="J149" s="254"/>
      <c r="K149" s="668">
        <f t="shared" si="39"/>
        <v>1530.7237104005162</v>
      </c>
      <c r="L149" s="669" t="str">
        <f>VLOOKUP(D149,'BTH mủ tạp'!$D$98:$AN$160,37,0)</f>
        <v>A</v>
      </c>
      <c r="M149" s="670">
        <f t="shared" si="36"/>
        <v>6245236</v>
      </c>
      <c r="N149" s="671">
        <f>VLOOKUP(D149,TONGHOPCONGDOI!$C$96:$AD$153,20,0)</f>
        <v>24</v>
      </c>
      <c r="O149" s="671">
        <f>VLOOKUP(D149,TONGHOPCONGDOI!$C$96:$AD$153,21,0)</f>
        <v>5</v>
      </c>
      <c r="P149" s="671">
        <f>VLOOKUP(D149,TONGHOPCONGDOI!$C$96:$AD$153,22,0)</f>
        <v>0</v>
      </c>
      <c r="Q149" s="671">
        <f>VLOOKUP(D149,TONGHOPCONGDOI!$C$96:$AD$153,23,0)</f>
        <v>0</v>
      </c>
      <c r="R149" s="671">
        <f>VLOOKUP(D149,TONGHOPCONGDOI!$C$96:$AD$153,24,0)</f>
        <v>0</v>
      </c>
      <c r="S149" s="671">
        <f>VLOOKUP(D149,TONGHOPCONGDOI!$C$96:$AD$153,25,0)</f>
        <v>0</v>
      </c>
      <c r="T149" s="671"/>
      <c r="U149" s="1168"/>
      <c r="V149" s="1168"/>
      <c r="W149" s="1168"/>
      <c r="X149" s="671">
        <f t="shared" si="37"/>
        <v>997174</v>
      </c>
      <c r="Y149" s="671">
        <f t="shared" si="40"/>
        <v>7242410</v>
      </c>
      <c r="Z149" s="675"/>
      <c r="AA149" s="673">
        <f t="shared" si="35"/>
        <v>7242410</v>
      </c>
      <c r="AB149" s="254"/>
      <c r="AC149" s="672"/>
      <c r="AD149" s="1169">
        <f t="shared" si="38"/>
        <v>36</v>
      </c>
      <c r="AE149" s="674"/>
      <c r="AF149" s="674"/>
      <c r="AG149" s="674"/>
      <c r="AH149" s="674"/>
      <c r="AI149" s="674"/>
      <c r="AJ149" s="674"/>
      <c r="AK149" s="674"/>
      <c r="AL149" s="674"/>
    </row>
    <row r="150" spans="1:38" s="1171" customFormat="1" ht="33" customHeight="1">
      <c r="A150" s="1172">
        <v>119</v>
      </c>
      <c r="B150" s="1173">
        <v>37</v>
      </c>
      <c r="C150" s="1170" t="str">
        <f>'Chấm công KT'!C131</f>
        <v>03623</v>
      </c>
      <c r="D150" s="1170" t="str">
        <f>TONGHOPCONGDOI!C132</f>
        <v>T. Khăm...</v>
      </c>
      <c r="E150" s="1170" t="s">
        <v>28</v>
      </c>
      <c r="F150" s="1174"/>
      <c r="G150" s="254">
        <f t="shared" si="32"/>
        <v>0</v>
      </c>
      <c r="H150" s="254">
        <f>VLOOKUP(D150,TONGHOPCONGDOI!C132:AD160,16,0)</f>
        <v>3225</v>
      </c>
      <c r="I150" s="254">
        <f>VLOOKUP(D150,TONGHOPCONGDOI!C132:AD160,18,0)</f>
        <v>0</v>
      </c>
      <c r="J150" s="254"/>
      <c r="K150" s="668">
        <f t="shared" si="39"/>
        <v>1489.1656006158869</v>
      </c>
      <c r="L150" s="669" t="str">
        <f>VLOOKUP(D150,'BTH mủ tạp'!$D$98:$AN$160,37,0)</f>
        <v>A</v>
      </c>
      <c r="M150" s="670">
        <f t="shared" si="36"/>
        <v>6075682</v>
      </c>
      <c r="N150" s="671">
        <f>VLOOKUP(D150,TONGHOPCONGDOI!$C$96:$AD$153,20,0)</f>
        <v>24</v>
      </c>
      <c r="O150" s="671">
        <f>VLOOKUP(D150,TONGHOPCONGDOI!$C$96:$AD$153,21,0)</f>
        <v>5</v>
      </c>
      <c r="P150" s="671">
        <f>VLOOKUP(D150,TONGHOPCONGDOI!$C$96:$AD$153,22,0)</f>
        <v>0</v>
      </c>
      <c r="Q150" s="671">
        <f>VLOOKUP(D150,TONGHOPCONGDOI!$C$96:$AD$153,23,0)</f>
        <v>0</v>
      </c>
      <c r="R150" s="671">
        <f>VLOOKUP(D150,TONGHOPCONGDOI!$C$96:$AD$153,24,0)</f>
        <v>0</v>
      </c>
      <c r="S150" s="671">
        <f>VLOOKUP(D150,TONGHOPCONGDOI!$C$96:$AD$153,25,0)</f>
        <v>0</v>
      </c>
      <c r="T150" s="671"/>
      <c r="U150" s="1168"/>
      <c r="V150" s="1168"/>
      <c r="W150" s="1168"/>
      <c r="X150" s="671">
        <f t="shared" si="37"/>
        <v>997174</v>
      </c>
      <c r="Y150" s="671">
        <f t="shared" si="40"/>
        <v>7072856</v>
      </c>
      <c r="Z150" s="675"/>
      <c r="AA150" s="673">
        <f t="shared" si="35"/>
        <v>7072856</v>
      </c>
      <c r="AB150" s="254"/>
      <c r="AC150" s="672"/>
      <c r="AD150" s="1169">
        <f t="shared" si="38"/>
        <v>37</v>
      </c>
      <c r="AE150" s="674"/>
      <c r="AF150" s="674"/>
      <c r="AG150" s="674"/>
      <c r="AH150" s="674"/>
      <c r="AI150" s="674"/>
      <c r="AJ150" s="674"/>
      <c r="AK150" s="674"/>
      <c r="AL150" s="674"/>
    </row>
    <row r="151" spans="1:38" s="1171" customFormat="1" ht="33" customHeight="1">
      <c r="A151" s="1172">
        <v>120</v>
      </c>
      <c r="B151" s="1170">
        <v>38</v>
      </c>
      <c r="C151" s="1170" t="str">
        <f>'Chấm công KT'!C132</f>
        <v>03532</v>
      </c>
      <c r="D151" s="1170" t="str">
        <f>TONGHOPCONGDOI!C133</f>
        <v>N. Túc</v>
      </c>
      <c r="E151" s="1170" t="s">
        <v>28</v>
      </c>
      <c r="F151" s="1174"/>
      <c r="G151" s="254">
        <f t="shared" si="32"/>
        <v>0</v>
      </c>
      <c r="H151" s="254">
        <f>VLOOKUP(D151,TONGHOPCONGDOI!C133:AD160,16,0)</f>
        <v>3015</v>
      </c>
      <c r="I151" s="254">
        <f>VLOOKUP(D151,TONGHOPCONGDOI!C133:AD160,18,0)</f>
        <v>0</v>
      </c>
      <c r="J151" s="254"/>
      <c r="K151" s="668">
        <f t="shared" si="39"/>
        <v>1392.1966777850848</v>
      </c>
      <c r="L151" s="669" t="str">
        <f>VLOOKUP(D151,'BTH mủ tạp'!$D$98:$AN$160,37,0)</f>
        <v>A</v>
      </c>
      <c r="M151" s="670">
        <f t="shared" si="36"/>
        <v>5680057</v>
      </c>
      <c r="N151" s="671">
        <f>VLOOKUP(D151,TONGHOPCONGDOI!$C$96:$AD$153,20,0)</f>
        <v>24</v>
      </c>
      <c r="O151" s="671">
        <f>VLOOKUP(D151,TONGHOPCONGDOI!$C$96:$AD$153,21,0)</f>
        <v>5</v>
      </c>
      <c r="P151" s="671">
        <f>VLOOKUP(D151,TONGHOPCONGDOI!$C$96:$AD$153,22,0)</f>
        <v>0</v>
      </c>
      <c r="Q151" s="671">
        <f>VLOOKUP(D151,TONGHOPCONGDOI!$C$96:$AD$153,23,0)</f>
        <v>0</v>
      </c>
      <c r="R151" s="671">
        <f>VLOOKUP(D151,TONGHOPCONGDOI!$C$96:$AD$153,24,0)</f>
        <v>0</v>
      </c>
      <c r="S151" s="671">
        <f>VLOOKUP(D151,TONGHOPCONGDOI!$C$96:$AD$153,25,0)</f>
        <v>0</v>
      </c>
      <c r="T151" s="671"/>
      <c r="U151" s="1168"/>
      <c r="V151" s="1168"/>
      <c r="W151" s="1168"/>
      <c r="X151" s="671">
        <f t="shared" si="37"/>
        <v>997174</v>
      </c>
      <c r="Y151" s="671">
        <f t="shared" si="40"/>
        <v>6677231</v>
      </c>
      <c r="Z151" s="675"/>
      <c r="AA151" s="673">
        <f t="shared" si="35"/>
        <v>6677231</v>
      </c>
      <c r="AB151" s="254"/>
      <c r="AC151" s="672"/>
      <c r="AD151" s="1169">
        <f t="shared" si="38"/>
        <v>38</v>
      </c>
      <c r="AE151" s="674"/>
      <c r="AF151" s="674"/>
      <c r="AG151" s="674"/>
      <c r="AH151" s="674"/>
      <c r="AI151" s="674"/>
      <c r="AJ151" s="674"/>
      <c r="AK151" s="674"/>
      <c r="AL151" s="674"/>
    </row>
    <row r="152" spans="1:38" s="1171" customFormat="1" ht="33" customHeight="1">
      <c r="A152" s="1172">
        <v>121</v>
      </c>
      <c r="B152" s="1173">
        <v>39</v>
      </c>
      <c r="C152" s="1170" t="str">
        <f>'Chấm công KT'!C133</f>
        <v>03625</v>
      </c>
      <c r="D152" s="1170" t="str">
        <f>TONGHOPCONGDOI!C134</f>
        <v>N. Pheng</v>
      </c>
      <c r="E152" s="1170" t="s">
        <v>28</v>
      </c>
      <c r="F152" s="1174"/>
      <c r="G152" s="254">
        <f t="shared" si="32"/>
        <v>0</v>
      </c>
      <c r="H152" s="254">
        <f>VLOOKUP(D152,TONGHOPCONGDOI!C134:AD160,16,0)</f>
        <v>3549</v>
      </c>
      <c r="I152" s="254">
        <f>VLOOKUP(D152,TONGHOPCONGDOI!C134:AD160,18,0)</f>
        <v>0</v>
      </c>
      <c r="J152" s="254"/>
      <c r="K152" s="668">
        <f t="shared" si="39"/>
        <v>1638.7747958405528</v>
      </c>
      <c r="L152" s="669" t="str">
        <f>VLOOKUP(D152,'BTH mủ tạp'!$D$98:$AN$160,37,0)</f>
        <v>A</v>
      </c>
      <c r="M152" s="670">
        <f t="shared" si="36"/>
        <v>6686077</v>
      </c>
      <c r="N152" s="671">
        <f>VLOOKUP(D152,TONGHOPCONGDOI!$C$96:$AD$153,20,0)</f>
        <v>24</v>
      </c>
      <c r="O152" s="671">
        <f>VLOOKUP(D152,TONGHOPCONGDOI!$C$96:$AD$153,21,0)</f>
        <v>5</v>
      </c>
      <c r="P152" s="671">
        <f>VLOOKUP(D152,TONGHOPCONGDOI!$C$96:$AD$153,22,0)</f>
        <v>0</v>
      </c>
      <c r="Q152" s="671">
        <f>VLOOKUP(D152,TONGHOPCONGDOI!$C$96:$AD$153,23,0)</f>
        <v>0</v>
      </c>
      <c r="R152" s="671">
        <f>VLOOKUP(D152,TONGHOPCONGDOI!$C$96:$AD$153,24,0)</f>
        <v>0</v>
      </c>
      <c r="S152" s="671">
        <f>VLOOKUP(D152,TONGHOPCONGDOI!$C$96:$AD$153,25,0)</f>
        <v>0</v>
      </c>
      <c r="T152" s="671"/>
      <c r="U152" s="1168"/>
      <c r="V152" s="1168"/>
      <c r="W152" s="1168"/>
      <c r="X152" s="671">
        <f t="shared" si="37"/>
        <v>997174</v>
      </c>
      <c r="Y152" s="671">
        <f t="shared" si="40"/>
        <v>7683251</v>
      </c>
      <c r="Z152" s="675"/>
      <c r="AA152" s="673">
        <f t="shared" si="35"/>
        <v>7683251</v>
      </c>
      <c r="AB152" s="254"/>
      <c r="AC152" s="672"/>
      <c r="AD152" s="1169">
        <f t="shared" si="38"/>
        <v>39</v>
      </c>
      <c r="AE152" s="674"/>
      <c r="AF152" s="674"/>
      <c r="AG152" s="674"/>
      <c r="AH152" s="674"/>
      <c r="AI152" s="674"/>
      <c r="AJ152" s="674"/>
      <c r="AK152" s="674"/>
      <c r="AL152" s="674"/>
    </row>
    <row r="153" spans="1:38" s="1171" customFormat="1" ht="33" customHeight="1">
      <c r="A153" s="1172">
        <v>122</v>
      </c>
      <c r="B153" s="1170">
        <v>40</v>
      </c>
      <c r="C153" s="1170" t="str">
        <f>'Chấm công KT'!C134</f>
        <v>03587</v>
      </c>
      <c r="D153" s="1170" t="str">
        <f>TONGHOPCONGDOI!C135</f>
        <v>N. Mom</v>
      </c>
      <c r="E153" s="1170" t="s">
        <v>28</v>
      </c>
      <c r="F153" s="1174"/>
      <c r="G153" s="254">
        <f t="shared" si="32"/>
        <v>0</v>
      </c>
      <c r="H153" s="254">
        <f>VLOOKUP(D153,TONGHOPCONGDOI!C135:AD160,16,0)</f>
        <v>3228</v>
      </c>
      <c r="I153" s="254">
        <f>VLOOKUP(D153,TONGHOPCONGDOI!C135:AD160,18,0)</f>
        <v>0</v>
      </c>
      <c r="J153" s="254"/>
      <c r="K153" s="668">
        <f t="shared" si="39"/>
        <v>1490.5508709420412</v>
      </c>
      <c r="L153" s="669" t="str">
        <f>VLOOKUP(D153,'BTH mủ tạp'!$D$98:$AN$160,37,0)</f>
        <v>A</v>
      </c>
      <c r="M153" s="670">
        <f t="shared" si="36"/>
        <v>6081334</v>
      </c>
      <c r="N153" s="671">
        <f>VLOOKUP(D153,TONGHOPCONGDOI!$C$96:$AD$153,20,0)</f>
        <v>24</v>
      </c>
      <c r="O153" s="671">
        <f>VLOOKUP(D153,TONGHOPCONGDOI!$C$96:$AD$153,21,0)</f>
        <v>5</v>
      </c>
      <c r="P153" s="671">
        <f>VLOOKUP(D153,TONGHOPCONGDOI!$C$96:$AD$153,22,0)</f>
        <v>0</v>
      </c>
      <c r="Q153" s="671">
        <f>VLOOKUP(D153,TONGHOPCONGDOI!$C$96:$AD$153,23,0)</f>
        <v>0</v>
      </c>
      <c r="R153" s="671">
        <f>VLOOKUP(D153,TONGHOPCONGDOI!$C$96:$AD$153,24,0)</f>
        <v>0</v>
      </c>
      <c r="S153" s="671">
        <f>VLOOKUP(D153,TONGHOPCONGDOI!$C$96:$AD$153,25,0)</f>
        <v>0</v>
      </c>
      <c r="T153" s="671"/>
      <c r="U153" s="1168"/>
      <c r="V153" s="1168"/>
      <c r="W153" s="1168"/>
      <c r="X153" s="671">
        <f t="shared" si="37"/>
        <v>997174</v>
      </c>
      <c r="Y153" s="671">
        <f t="shared" si="40"/>
        <v>7078508</v>
      </c>
      <c r="Z153" s="675"/>
      <c r="AA153" s="673">
        <f t="shared" si="35"/>
        <v>7078508</v>
      </c>
      <c r="AB153" s="254"/>
      <c r="AC153" s="672"/>
      <c r="AD153" s="1169">
        <f t="shared" si="38"/>
        <v>40</v>
      </c>
      <c r="AE153" s="674"/>
      <c r="AF153" s="674"/>
      <c r="AG153" s="674"/>
      <c r="AH153" s="674"/>
      <c r="AI153" s="674"/>
      <c r="AJ153" s="674"/>
      <c r="AK153" s="674"/>
      <c r="AL153" s="674"/>
    </row>
    <row r="154" spans="1:38" s="1171" customFormat="1" ht="33" customHeight="1">
      <c r="A154" s="1172">
        <v>123</v>
      </c>
      <c r="B154" s="1173">
        <v>41</v>
      </c>
      <c r="C154" s="1170" t="str">
        <f>'Chấm công KT'!C135</f>
        <v>04079</v>
      </c>
      <c r="D154" s="1170" t="str">
        <f>TONGHOPCONGDOI!C136</f>
        <v>T. Môn</v>
      </c>
      <c r="E154" s="1170" t="s">
        <v>28</v>
      </c>
      <c r="F154" s="1174"/>
      <c r="G154" s="254">
        <f t="shared" si="32"/>
        <v>0</v>
      </c>
      <c r="H154" s="254">
        <f>VLOOKUP(D154,TONGHOPCONGDOI!C136:AD160,16,0)</f>
        <v>2070</v>
      </c>
      <c r="I154" s="254">
        <f>VLOOKUP(D154,TONGHOPCONGDOI!C136:AD160,18,0)</f>
        <v>0</v>
      </c>
      <c r="J154" s="254"/>
      <c r="K154" s="668">
        <f t="shared" si="39"/>
        <v>955.83652504647625</v>
      </c>
      <c r="L154" s="669" t="str">
        <f>VLOOKUP(D154,'BTH mủ tạp'!$D$98:$AN$160,37,0)</f>
        <v>B</v>
      </c>
      <c r="M154" s="670">
        <f t="shared" si="36"/>
        <v>3707950</v>
      </c>
      <c r="N154" s="671">
        <f>VLOOKUP(D154,TONGHOPCONGDOI!$C$96:$AD$153,20,0)</f>
        <v>21</v>
      </c>
      <c r="O154" s="671">
        <f>VLOOKUP(D154,TONGHOPCONGDOI!$C$96:$AD$153,21,0)</f>
        <v>5</v>
      </c>
      <c r="P154" s="671">
        <f>VLOOKUP(D154,TONGHOPCONGDOI!$C$96:$AD$153,22,0)</f>
        <v>0</v>
      </c>
      <c r="Q154" s="671">
        <f>VLOOKUP(D154,TONGHOPCONGDOI!$C$96:$AD$153,23,0)</f>
        <v>0</v>
      </c>
      <c r="R154" s="671">
        <f>VLOOKUP(D154,TONGHOPCONGDOI!$C$96:$AD$153,24,0)</f>
        <v>0</v>
      </c>
      <c r="S154" s="671">
        <f>VLOOKUP(D154,TONGHOPCONGDOI!$C$96:$AD$153,25,0)</f>
        <v>0</v>
      </c>
      <c r="T154" s="671"/>
      <c r="U154" s="1168"/>
      <c r="V154" s="1168"/>
      <c r="W154" s="1168"/>
      <c r="X154" s="671">
        <f t="shared" si="37"/>
        <v>904673</v>
      </c>
      <c r="Y154" s="671">
        <f t="shared" si="40"/>
        <v>4612623</v>
      </c>
      <c r="Z154" s="675"/>
      <c r="AA154" s="673">
        <f t="shared" si="35"/>
        <v>4612623</v>
      </c>
      <c r="AB154" s="254"/>
      <c r="AC154" s="672"/>
      <c r="AD154" s="1169">
        <f t="shared" si="38"/>
        <v>41</v>
      </c>
      <c r="AE154" s="674"/>
      <c r="AF154" s="674"/>
      <c r="AG154" s="674"/>
      <c r="AH154" s="674"/>
      <c r="AI154" s="674"/>
      <c r="AJ154" s="674"/>
      <c r="AK154" s="674"/>
      <c r="AL154" s="674"/>
    </row>
    <row r="155" spans="1:38" s="1171" customFormat="1" ht="33" customHeight="1">
      <c r="A155" s="1172">
        <v>124</v>
      </c>
      <c r="B155" s="1170">
        <v>42</v>
      </c>
      <c r="C155" s="1170" t="str">
        <f>'Chấm công KT'!C136</f>
        <v>03628</v>
      </c>
      <c r="D155" s="1170" t="str">
        <f>TONGHOPCONGDOI!C137</f>
        <v>Khăn Hạ</v>
      </c>
      <c r="E155" s="1170" t="s">
        <v>28</v>
      </c>
      <c r="F155" s="1174"/>
      <c r="G155" s="254">
        <f t="shared" si="32"/>
        <v>0</v>
      </c>
      <c r="H155" s="254">
        <f>VLOOKUP(D155,TONGHOPCONGDOI!C137:AD160,16,0)</f>
        <v>2062</v>
      </c>
      <c r="I155" s="254">
        <f>VLOOKUP(D155,TONGHOPCONGDOI!C137:AD160,18,0)</f>
        <v>0</v>
      </c>
      <c r="J155" s="254"/>
      <c r="K155" s="668">
        <f t="shared" si="39"/>
        <v>952.14247084339809</v>
      </c>
      <c r="L155" s="669" t="str">
        <f>VLOOKUP(D155,'BTH mủ tạp'!$D$98:$AN$160,37,0)</f>
        <v>B</v>
      </c>
      <c r="M155" s="670">
        <f t="shared" si="36"/>
        <v>3693620</v>
      </c>
      <c r="N155" s="671">
        <f>VLOOKUP(D155,TONGHOPCONGDOI!$C$96:$AD$153,20,0)</f>
        <v>22</v>
      </c>
      <c r="O155" s="671">
        <f>VLOOKUP(D155,TONGHOPCONGDOI!$C$96:$AD$153,21,0)</f>
        <v>5</v>
      </c>
      <c r="P155" s="671">
        <f>VLOOKUP(D155,TONGHOPCONGDOI!$C$96:$AD$153,22,0)</f>
        <v>0</v>
      </c>
      <c r="Q155" s="671">
        <f>VLOOKUP(D155,TONGHOPCONGDOI!$C$96:$AD$153,23,0)</f>
        <v>0</v>
      </c>
      <c r="R155" s="671">
        <f>VLOOKUP(D155,TONGHOPCONGDOI!$C$96:$AD$153,24,0)</f>
        <v>0</v>
      </c>
      <c r="S155" s="671">
        <f>VLOOKUP(D155,TONGHOPCONGDOI!$C$96:$AD$153,25,0)</f>
        <v>0</v>
      </c>
      <c r="T155" s="671"/>
      <c r="U155" s="1168"/>
      <c r="V155" s="1168"/>
      <c r="W155" s="1168"/>
      <c r="X155" s="671">
        <f t="shared" si="37"/>
        <v>935507</v>
      </c>
      <c r="Y155" s="671">
        <f t="shared" si="40"/>
        <v>4629127</v>
      </c>
      <c r="Z155" s="675"/>
      <c r="AA155" s="673">
        <f t="shared" si="35"/>
        <v>4629127</v>
      </c>
      <c r="AB155" s="254"/>
      <c r="AC155" s="672"/>
      <c r="AD155" s="1169">
        <f t="shared" si="38"/>
        <v>42</v>
      </c>
      <c r="AE155" s="674"/>
      <c r="AF155" s="674"/>
      <c r="AG155" s="674"/>
      <c r="AH155" s="674"/>
      <c r="AI155" s="674"/>
      <c r="AJ155" s="674"/>
      <c r="AK155" s="674"/>
      <c r="AL155" s="674"/>
    </row>
    <row r="156" spans="1:38" s="1171" customFormat="1" ht="33" customHeight="1">
      <c r="A156" s="1172">
        <v>125</v>
      </c>
      <c r="B156" s="1173">
        <v>43</v>
      </c>
      <c r="C156" s="1170" t="str">
        <f>'Chấm công KT'!C137</f>
        <v>03629</v>
      </c>
      <c r="D156" s="1170" t="str">
        <f>TONGHOPCONGDOI!C138</f>
        <v>T. Chăn La .</v>
      </c>
      <c r="E156" s="1170" t="s">
        <v>28</v>
      </c>
      <c r="F156" s="1174"/>
      <c r="G156" s="254">
        <f t="shared" si="32"/>
        <v>0</v>
      </c>
      <c r="H156" s="254">
        <f>VLOOKUP(D156,TONGHOPCONGDOI!C138:AD160,16,0)</f>
        <v>2236</v>
      </c>
      <c r="I156" s="254">
        <f>VLOOKUP(D156,TONGHOPCONGDOI!C138:AD160,18,0)</f>
        <v>0</v>
      </c>
      <c r="J156" s="254"/>
      <c r="K156" s="668">
        <f t="shared" si="39"/>
        <v>1032.4881497603483</v>
      </c>
      <c r="L156" s="669" t="str">
        <f>VLOOKUP(D156,'BTH mủ tạp'!$D$98:$AN$160,37,0)</f>
        <v>A</v>
      </c>
      <c r="M156" s="670">
        <f t="shared" si="36"/>
        <v>4212473</v>
      </c>
      <c r="N156" s="671">
        <f>VLOOKUP(D156,TONGHOPCONGDOI!$C$96:$AD$153,20,0)</f>
        <v>22</v>
      </c>
      <c r="O156" s="671">
        <f>VLOOKUP(D156,TONGHOPCONGDOI!$C$96:$AD$153,21,0)</f>
        <v>5</v>
      </c>
      <c r="P156" s="671">
        <f>VLOOKUP(D156,TONGHOPCONGDOI!$C$96:$AD$153,22,0)</f>
        <v>0</v>
      </c>
      <c r="Q156" s="671">
        <f>VLOOKUP(D156,TONGHOPCONGDOI!$C$96:$AD$153,23,0)</f>
        <v>0</v>
      </c>
      <c r="R156" s="671">
        <f>VLOOKUP(D156,TONGHOPCONGDOI!$C$96:$AD$153,24,0)</f>
        <v>0</v>
      </c>
      <c r="S156" s="671">
        <f>VLOOKUP(D156,TONGHOPCONGDOI!$C$96:$AD$153,25,0)</f>
        <v>0</v>
      </c>
      <c r="T156" s="671"/>
      <c r="U156" s="1168"/>
      <c r="V156" s="1168"/>
      <c r="W156" s="1168"/>
      <c r="X156" s="671">
        <f t="shared" si="37"/>
        <v>935507</v>
      </c>
      <c r="Y156" s="671">
        <f t="shared" si="40"/>
        <v>5147980</v>
      </c>
      <c r="Z156" s="675"/>
      <c r="AA156" s="673">
        <f t="shared" si="35"/>
        <v>5147980</v>
      </c>
      <c r="AB156" s="254"/>
      <c r="AC156" s="672"/>
      <c r="AD156" s="1169">
        <f t="shared" si="38"/>
        <v>43</v>
      </c>
      <c r="AE156" s="674"/>
      <c r="AF156" s="674"/>
      <c r="AG156" s="674"/>
      <c r="AH156" s="674"/>
      <c r="AI156" s="674"/>
      <c r="AJ156" s="674"/>
      <c r="AK156" s="674"/>
      <c r="AL156" s="674"/>
    </row>
    <row r="157" spans="1:38" s="1171" customFormat="1" ht="33" customHeight="1">
      <c r="A157" s="1172">
        <v>126</v>
      </c>
      <c r="B157" s="1170">
        <v>44</v>
      </c>
      <c r="C157" s="1170" t="str">
        <f>'Chấm công KT'!C138</f>
        <v>03630</v>
      </c>
      <c r="D157" s="1170" t="str">
        <f>TONGHOPCONGDOI!C139</f>
        <v>T. Nú</v>
      </c>
      <c r="E157" s="1170" t="s">
        <v>28</v>
      </c>
      <c r="F157" s="1174"/>
      <c r="G157" s="254">
        <f t="shared" si="32"/>
        <v>0</v>
      </c>
      <c r="H157" s="254">
        <f>VLOOKUP(D157,TONGHOPCONGDOI!C139:AD160,16,0)</f>
        <v>2081</v>
      </c>
      <c r="I157" s="254">
        <f>VLOOKUP(D157,TONGHOPCONGDOI!C139:AD160,18,0)</f>
        <v>0</v>
      </c>
      <c r="J157" s="254"/>
      <c r="K157" s="668">
        <f t="shared" si="39"/>
        <v>960.91584957570865</v>
      </c>
      <c r="L157" s="669" t="str">
        <f>VLOOKUP(D157,'BTH mủ tạp'!$D$98:$AN$160,37,0)</f>
        <v>B</v>
      </c>
      <c r="M157" s="670">
        <f t="shared" si="36"/>
        <v>3727654</v>
      </c>
      <c r="N157" s="671">
        <f>VLOOKUP(D157,TONGHOPCONGDOI!$C$96:$AD$153,20,0)</f>
        <v>22</v>
      </c>
      <c r="O157" s="671">
        <f>VLOOKUP(D157,TONGHOPCONGDOI!$C$96:$AD$153,21,0)</f>
        <v>5</v>
      </c>
      <c r="P157" s="671">
        <f>VLOOKUP(D157,TONGHOPCONGDOI!$C$96:$AD$153,22,0)</f>
        <v>0</v>
      </c>
      <c r="Q157" s="671">
        <f>VLOOKUP(D157,TONGHOPCONGDOI!$C$96:$AD$153,23,0)</f>
        <v>0</v>
      </c>
      <c r="R157" s="671">
        <f>VLOOKUP(D157,TONGHOPCONGDOI!$C$96:$AD$153,24,0)</f>
        <v>0</v>
      </c>
      <c r="S157" s="671">
        <f>VLOOKUP(D157,TONGHOPCONGDOI!$C$96:$AD$153,25,0)</f>
        <v>0</v>
      </c>
      <c r="T157" s="671"/>
      <c r="U157" s="1168"/>
      <c r="V157" s="1168"/>
      <c r="W157" s="1168"/>
      <c r="X157" s="671">
        <f t="shared" si="37"/>
        <v>935507</v>
      </c>
      <c r="Y157" s="671">
        <f t="shared" si="40"/>
        <v>4663161</v>
      </c>
      <c r="Z157" s="675"/>
      <c r="AA157" s="673">
        <f t="shared" si="35"/>
        <v>4663161</v>
      </c>
      <c r="AB157" s="254"/>
      <c r="AC157" s="672"/>
      <c r="AD157" s="1169">
        <f t="shared" si="38"/>
        <v>44</v>
      </c>
      <c r="AE157" s="674"/>
      <c r="AF157" s="674"/>
      <c r="AG157" s="674"/>
      <c r="AH157" s="674"/>
      <c r="AI157" s="674"/>
      <c r="AJ157" s="674"/>
      <c r="AK157" s="674"/>
      <c r="AL157" s="674"/>
    </row>
    <row r="158" spans="1:38" s="1171" customFormat="1" ht="33" customHeight="1">
      <c r="A158" s="1172">
        <v>127</v>
      </c>
      <c r="B158" s="1173">
        <v>45</v>
      </c>
      <c r="C158" s="1170" t="str">
        <f>'Chấm công KT'!C139</f>
        <v>03631</v>
      </c>
      <c r="D158" s="1170" t="str">
        <f>TONGHOPCONGDOI!C140</f>
        <v>T. Xan Nha</v>
      </c>
      <c r="E158" s="1170" t="s">
        <v>28</v>
      </c>
      <c r="F158" s="1174"/>
      <c r="G158" s="254">
        <f t="shared" si="32"/>
        <v>0</v>
      </c>
      <c r="H158" s="254">
        <f>VLOOKUP(D158,TONGHOPCONGDOI!C140:AD160,16,0)</f>
        <v>2201</v>
      </c>
      <c r="I158" s="254">
        <f>VLOOKUP(D158,TONGHOPCONGDOI!C140:AD160,18,0)</f>
        <v>0</v>
      </c>
      <c r="J158" s="254"/>
      <c r="K158" s="668">
        <f t="shared" si="39"/>
        <v>1016.3266626218813</v>
      </c>
      <c r="L158" s="669" t="str">
        <f>VLOOKUP(D158,'BTH mủ tạp'!$D$98:$AN$160,37,0)</f>
        <v>A</v>
      </c>
      <c r="M158" s="670">
        <f t="shared" si="36"/>
        <v>4146536</v>
      </c>
      <c r="N158" s="671">
        <f>VLOOKUP(D158,TONGHOPCONGDOI!$C$96:$AD$153,20,0)</f>
        <v>22</v>
      </c>
      <c r="O158" s="671">
        <f>VLOOKUP(D158,TONGHOPCONGDOI!$C$96:$AD$153,21,0)</f>
        <v>5</v>
      </c>
      <c r="P158" s="671">
        <f>VLOOKUP(D158,TONGHOPCONGDOI!$C$96:$AD$153,22,0)</f>
        <v>0</v>
      </c>
      <c r="Q158" s="671">
        <f>VLOOKUP(D158,TONGHOPCONGDOI!$C$96:$AD$153,23,0)</f>
        <v>0</v>
      </c>
      <c r="R158" s="671">
        <f>VLOOKUP(D158,TONGHOPCONGDOI!$C$96:$AD$153,24,0)</f>
        <v>0</v>
      </c>
      <c r="S158" s="671">
        <f>VLOOKUP(D158,TONGHOPCONGDOI!$C$96:$AD$153,25,0)</f>
        <v>0</v>
      </c>
      <c r="T158" s="671"/>
      <c r="U158" s="1168"/>
      <c r="V158" s="1168"/>
      <c r="W158" s="1168"/>
      <c r="X158" s="671">
        <f t="shared" si="37"/>
        <v>935507</v>
      </c>
      <c r="Y158" s="671">
        <f t="shared" si="40"/>
        <v>5082043</v>
      </c>
      <c r="Z158" s="675"/>
      <c r="AA158" s="673">
        <f t="shared" si="35"/>
        <v>5082043</v>
      </c>
      <c r="AB158" s="254"/>
      <c r="AC158" s="672"/>
      <c r="AD158" s="1169">
        <f t="shared" si="38"/>
        <v>45</v>
      </c>
      <c r="AE158" s="674"/>
      <c r="AF158" s="674"/>
      <c r="AG158" s="674"/>
      <c r="AH158" s="674"/>
      <c r="AI158" s="674"/>
      <c r="AJ158" s="674"/>
      <c r="AK158" s="674"/>
      <c r="AL158" s="674"/>
    </row>
    <row r="159" spans="1:38" s="1171" customFormat="1" ht="33" customHeight="1">
      <c r="A159" s="1172">
        <v>128</v>
      </c>
      <c r="B159" s="1170">
        <v>46</v>
      </c>
      <c r="C159" s="1170" t="str">
        <f>'Chấm công KT'!C140</f>
        <v>03632</v>
      </c>
      <c r="D159" s="1170" t="str">
        <f>TONGHOPCONGDOI!C141</f>
        <v>T. A lem</v>
      </c>
      <c r="E159" s="1170" t="s">
        <v>28</v>
      </c>
      <c r="F159" s="1174"/>
      <c r="G159" s="254">
        <f t="shared" si="32"/>
        <v>0</v>
      </c>
      <c r="H159" s="254">
        <f>VLOOKUP(D159,TONGHOPCONGDOI!C141:AD160,16,0)</f>
        <v>2052</v>
      </c>
      <c r="I159" s="254">
        <f>VLOOKUP(D159,TONGHOPCONGDOI!C141:AD160,18,0)</f>
        <v>0</v>
      </c>
      <c r="J159" s="254"/>
      <c r="K159" s="668">
        <f t="shared" si="39"/>
        <v>947.52490308955032</v>
      </c>
      <c r="L159" s="669" t="str">
        <f>VLOOKUP(D159,'BTH mủ tạp'!$D$98:$AN$160,37,0)</f>
        <v>B</v>
      </c>
      <c r="M159" s="670">
        <f t="shared" si="36"/>
        <v>3675707</v>
      </c>
      <c r="N159" s="671">
        <f>VLOOKUP(D159,TONGHOPCONGDOI!$C$96:$AD$153,20,0)</f>
        <v>18</v>
      </c>
      <c r="O159" s="671">
        <f>VLOOKUP(D159,TONGHOPCONGDOI!$C$96:$AD$153,21,0)</f>
        <v>4</v>
      </c>
      <c r="P159" s="671">
        <f>VLOOKUP(D159,TONGHOPCONGDOI!$C$96:$AD$153,22,0)</f>
        <v>0</v>
      </c>
      <c r="Q159" s="671">
        <f>VLOOKUP(D159,TONGHOPCONGDOI!$C$96:$AD$153,23,0)</f>
        <v>0</v>
      </c>
      <c r="R159" s="671">
        <f>VLOOKUP(D159,TONGHOPCONGDOI!$C$96:$AD$153,24,0)</f>
        <v>0</v>
      </c>
      <c r="S159" s="671">
        <f>VLOOKUP(D159,TONGHOPCONGDOI!$C$96:$AD$153,25,0)</f>
        <v>0</v>
      </c>
      <c r="T159" s="671"/>
      <c r="U159" s="1168"/>
      <c r="V159" s="1168"/>
      <c r="W159" s="1168"/>
      <c r="X159" s="671">
        <f t="shared" si="37"/>
        <v>760739</v>
      </c>
      <c r="Y159" s="671">
        <f t="shared" si="40"/>
        <v>4436446</v>
      </c>
      <c r="Z159" s="675"/>
      <c r="AA159" s="673">
        <f t="shared" si="35"/>
        <v>4436446</v>
      </c>
      <c r="AB159" s="254"/>
      <c r="AC159" s="672"/>
      <c r="AD159" s="1169">
        <f t="shared" si="38"/>
        <v>46</v>
      </c>
      <c r="AE159" s="674"/>
      <c r="AF159" s="674"/>
      <c r="AG159" s="674"/>
      <c r="AH159" s="674"/>
      <c r="AI159" s="674"/>
      <c r="AJ159" s="674"/>
      <c r="AK159" s="674"/>
      <c r="AL159" s="674"/>
    </row>
    <row r="160" spans="1:38" s="1171" customFormat="1" ht="33" customHeight="1">
      <c r="A160" s="1172">
        <v>129</v>
      </c>
      <c r="B160" s="1173">
        <v>47</v>
      </c>
      <c r="C160" s="1170" t="str">
        <f>'Chấm công KT'!C141</f>
        <v>04080</v>
      </c>
      <c r="D160" s="1170" t="str">
        <f>TONGHOPCONGDOI!C142</f>
        <v>T. Phan</v>
      </c>
      <c r="E160" s="1170" t="s">
        <v>28</v>
      </c>
      <c r="F160" s="1174"/>
      <c r="G160" s="254">
        <f t="shared" si="32"/>
        <v>0</v>
      </c>
      <c r="H160" s="254">
        <f>VLOOKUP(D160,TONGHOPCONGDOI!C142:AD160,16,0)</f>
        <v>2399</v>
      </c>
      <c r="I160" s="254">
        <f>VLOOKUP(D160,TONGHOPCONGDOI!C142:AD160,18,0)</f>
        <v>0</v>
      </c>
      <c r="J160" s="254"/>
      <c r="K160" s="668">
        <f t="shared" si="39"/>
        <v>1107.754504148066</v>
      </c>
      <c r="L160" s="669" t="str">
        <f>VLOOKUP(D160,'BTH mủ tạp'!$D$98:$AN$160,37,0)</f>
        <v>B</v>
      </c>
      <c r="M160" s="670">
        <f t="shared" si="36"/>
        <v>4297281</v>
      </c>
      <c r="N160" s="671">
        <f>VLOOKUP(D160,TONGHOPCONGDOI!$C$96:$AD$153,20,0)</f>
        <v>25</v>
      </c>
      <c r="O160" s="671">
        <f>VLOOKUP(D160,TONGHOPCONGDOI!$C$96:$AD$153,21,0)</f>
        <v>5</v>
      </c>
      <c r="P160" s="671">
        <f>VLOOKUP(D160,TONGHOPCONGDOI!$C$96:$AD$153,22,0)</f>
        <v>0</v>
      </c>
      <c r="Q160" s="671">
        <f>VLOOKUP(D160,TONGHOPCONGDOI!$C$96:$AD$153,23,0)</f>
        <v>0</v>
      </c>
      <c r="R160" s="671">
        <f>VLOOKUP(D160,TONGHOPCONGDOI!$C$96:$AD$153,24,0)</f>
        <v>0</v>
      </c>
      <c r="S160" s="671">
        <f>VLOOKUP(D160,TONGHOPCONGDOI!$C$96:$AD$153,25,0)</f>
        <v>0</v>
      </c>
      <c r="T160" s="671"/>
      <c r="U160" s="1168"/>
      <c r="V160" s="1168"/>
      <c r="W160" s="1168"/>
      <c r="X160" s="671">
        <f t="shared" si="37"/>
        <v>1028007</v>
      </c>
      <c r="Y160" s="671">
        <f t="shared" si="40"/>
        <v>5325288</v>
      </c>
      <c r="Z160" s="675"/>
      <c r="AA160" s="673">
        <f t="shared" si="35"/>
        <v>5325288</v>
      </c>
      <c r="AB160" s="254"/>
      <c r="AC160" s="672"/>
      <c r="AD160" s="1169">
        <f t="shared" si="38"/>
        <v>47</v>
      </c>
      <c r="AE160" s="674"/>
      <c r="AF160" s="674"/>
      <c r="AG160" s="674"/>
      <c r="AH160" s="674"/>
      <c r="AI160" s="674"/>
      <c r="AJ160" s="674"/>
      <c r="AK160" s="674"/>
      <c r="AL160" s="674"/>
    </row>
    <row r="161" spans="1:38" s="1171" customFormat="1" ht="33" customHeight="1">
      <c r="A161" s="1172">
        <v>130</v>
      </c>
      <c r="B161" s="1170">
        <v>48</v>
      </c>
      <c r="C161" s="1170" t="str">
        <f>'Chấm công KT'!C142</f>
        <v>03634</v>
      </c>
      <c r="D161" s="1170" t="str">
        <f>TONGHOPCONGDOI!C143</f>
        <v>T . Cổ</v>
      </c>
      <c r="E161" s="1170" t="s">
        <v>28</v>
      </c>
      <c r="F161" s="1174"/>
      <c r="G161" s="254">
        <f t="shared" si="32"/>
        <v>0</v>
      </c>
      <c r="H161" s="254">
        <f>VLOOKUP(D161,TONGHOPCONGDOI!C143:AD160,16,0)</f>
        <v>2509</v>
      </c>
      <c r="I161" s="254">
        <f>VLOOKUP(D161,TONGHOPCONGDOI!C143:AD160,18,0)</f>
        <v>0</v>
      </c>
      <c r="J161" s="254"/>
      <c r="K161" s="668">
        <f t="shared" si="39"/>
        <v>1158.5477494403908</v>
      </c>
      <c r="L161" s="669" t="str">
        <f>VLOOKUP(D161,'BTH mủ tạp'!$D$98:$AN$160,37,0)</f>
        <v>B</v>
      </c>
      <c r="M161" s="670">
        <f t="shared" si="36"/>
        <v>4494322</v>
      </c>
      <c r="N161" s="671">
        <f>VLOOKUP(D161,TONGHOPCONGDOI!$C$96:$AD$153,20,0)</f>
        <v>15</v>
      </c>
      <c r="O161" s="671">
        <f>VLOOKUP(D161,TONGHOPCONGDOI!$C$96:$AD$153,21,0)</f>
        <v>2</v>
      </c>
      <c r="P161" s="671">
        <f>VLOOKUP(D161,TONGHOPCONGDOI!$C$96:$AD$153,22,0)</f>
        <v>0</v>
      </c>
      <c r="Q161" s="671">
        <f>VLOOKUP(D161,TONGHOPCONGDOI!$C$96:$AD$153,23,0)</f>
        <v>0</v>
      </c>
      <c r="R161" s="671">
        <f>VLOOKUP(D161,TONGHOPCONGDOI!$C$96:$AD$153,24,0)</f>
        <v>0</v>
      </c>
      <c r="S161" s="671">
        <f>VLOOKUP(D161,TONGHOPCONGDOI!$C$96:$AD$153,25,0)</f>
        <v>0</v>
      </c>
      <c r="T161" s="671"/>
      <c r="U161" s="1168"/>
      <c r="V161" s="1168"/>
      <c r="W161" s="1168"/>
      <c r="X161" s="671">
        <f t="shared" si="37"/>
        <v>565370</v>
      </c>
      <c r="Y161" s="671">
        <f t="shared" si="40"/>
        <v>5059692</v>
      </c>
      <c r="Z161" s="675"/>
      <c r="AA161" s="673">
        <f t="shared" si="35"/>
        <v>5059692</v>
      </c>
      <c r="AB161" s="254"/>
      <c r="AC161" s="672"/>
      <c r="AD161" s="1169">
        <f t="shared" si="38"/>
        <v>48</v>
      </c>
      <c r="AE161" s="674"/>
      <c r="AF161" s="674"/>
      <c r="AG161" s="674"/>
      <c r="AH161" s="674"/>
      <c r="AI161" s="674"/>
      <c r="AJ161" s="674"/>
      <c r="AK161" s="674"/>
      <c r="AL161" s="674"/>
    </row>
    <row r="162" spans="1:38" s="1171" customFormat="1" ht="33" customHeight="1">
      <c r="A162" s="1172">
        <v>131</v>
      </c>
      <c r="B162" s="1173">
        <v>49</v>
      </c>
      <c r="C162" s="1170" t="str">
        <f>'Chấm công KT'!C143</f>
        <v>03635</v>
      </c>
      <c r="D162" s="1170" t="str">
        <f>TONGHOPCONGDOI!C144</f>
        <v>N. Phim Pha</v>
      </c>
      <c r="E162" s="1170" t="s">
        <v>28</v>
      </c>
      <c r="F162" s="1174"/>
      <c r="G162" s="254">
        <f t="shared" si="32"/>
        <v>0</v>
      </c>
      <c r="H162" s="254">
        <f>VLOOKUP(D162,TONGHOPCONGDOI!C144:AD160,16,0)</f>
        <v>2007</v>
      </c>
      <c r="I162" s="254">
        <f>VLOOKUP(D162,TONGHOPCONGDOI!C144:AD161,18,0)</f>
        <v>0</v>
      </c>
      <c r="J162" s="254"/>
      <c r="K162" s="668">
        <f t="shared" si="39"/>
        <v>926.74584819723566</v>
      </c>
      <c r="L162" s="669" t="str">
        <f>VLOOKUP(D162,'BTH mủ tạp'!$D$98:$AN$160,37,0)</f>
        <v>B</v>
      </c>
      <c r="M162" s="670">
        <f t="shared" si="36"/>
        <v>3595099</v>
      </c>
      <c r="N162" s="671">
        <f>VLOOKUP(D162,TONGHOPCONGDOI!$C$96:$AD$153,20,0)</f>
        <v>18</v>
      </c>
      <c r="O162" s="671">
        <f>VLOOKUP(D162,TONGHOPCONGDOI!$C$96:$AD$153,21,0)</f>
        <v>5</v>
      </c>
      <c r="P162" s="671">
        <f>VLOOKUP(D162,TONGHOPCONGDOI!$C$96:$AD$153,22,0)</f>
        <v>0</v>
      </c>
      <c r="Q162" s="671">
        <f>VLOOKUP(D162,TONGHOPCONGDOI!$C$96:$AD$153,23,0)</f>
        <v>0</v>
      </c>
      <c r="R162" s="671">
        <f>VLOOKUP(D162,TONGHOPCONGDOI!$C$96:$AD$153,24,0)</f>
        <v>0</v>
      </c>
      <c r="S162" s="671">
        <f>VLOOKUP(D162,TONGHOPCONGDOI!$C$96:$AD$153,25,0)</f>
        <v>0</v>
      </c>
      <c r="T162" s="671"/>
      <c r="U162" s="1168"/>
      <c r="V162" s="1168"/>
      <c r="W162" s="1168"/>
      <c r="X162" s="671">
        <f t="shared" si="37"/>
        <v>812172</v>
      </c>
      <c r="Y162" s="671">
        <f t="shared" si="40"/>
        <v>4407271</v>
      </c>
      <c r="Z162" s="675"/>
      <c r="AA162" s="673">
        <f t="shared" si="35"/>
        <v>4407271</v>
      </c>
      <c r="AB162" s="254"/>
      <c r="AC162" s="672"/>
      <c r="AD162" s="1169">
        <f t="shared" si="38"/>
        <v>49</v>
      </c>
      <c r="AE162" s="674"/>
      <c r="AF162" s="674"/>
      <c r="AG162" s="674"/>
      <c r="AH162" s="674"/>
      <c r="AI162" s="674"/>
      <c r="AJ162" s="674"/>
      <c r="AK162" s="674"/>
      <c r="AL162" s="674"/>
    </row>
    <row r="163" spans="1:38" s="1171" customFormat="1" ht="33" customHeight="1">
      <c r="A163" s="1172">
        <v>132</v>
      </c>
      <c r="B163" s="1170">
        <v>50</v>
      </c>
      <c r="C163" s="1170" t="str">
        <f>'Chấm công KT'!C144</f>
        <v>03636</v>
      </c>
      <c r="D163" s="1170" t="str">
        <f>TONGHOPCONGDOI!C145</f>
        <v xml:space="preserve">T. Xeng </v>
      </c>
      <c r="E163" s="1170" t="s">
        <v>28</v>
      </c>
      <c r="F163" s="1174"/>
      <c r="G163" s="254">
        <f t="shared" si="32"/>
        <v>0</v>
      </c>
      <c r="H163" s="254">
        <f>VLOOKUP(D163,TONGHOPCONGDOI!C145:AD160,16,0)</f>
        <v>2919</v>
      </c>
      <c r="I163" s="254">
        <f>VLOOKUP(D163,TONGHOPCONGDOI!C145:AD162,18,0)</f>
        <v>0</v>
      </c>
      <c r="J163" s="254"/>
      <c r="K163" s="668">
        <f t="shared" si="39"/>
        <v>1347.8680273481468</v>
      </c>
      <c r="L163" s="669" t="str">
        <f>VLOOKUP(D163,'BTH mủ tạp'!$D$98:$AN$160,37,0)</f>
        <v>A</v>
      </c>
      <c r="M163" s="670">
        <f t="shared" si="36"/>
        <v>5499199</v>
      </c>
      <c r="N163" s="671">
        <f>VLOOKUP(D163,TONGHOPCONGDOI!$C$96:$AD$153,20,0)</f>
        <v>22</v>
      </c>
      <c r="O163" s="671">
        <f>VLOOKUP(D163,TONGHOPCONGDOI!$C$96:$AD$153,21,0)</f>
        <v>5</v>
      </c>
      <c r="P163" s="671">
        <f>VLOOKUP(D163,TONGHOPCONGDOI!$C$96:$AD$153,22,0)</f>
        <v>0</v>
      </c>
      <c r="Q163" s="671">
        <f>VLOOKUP(D163,TONGHOPCONGDOI!$C$96:$AD$153,23,0)</f>
        <v>0</v>
      </c>
      <c r="R163" s="671">
        <f>VLOOKUP(D163,TONGHOPCONGDOI!$C$96:$AD$153,24,0)</f>
        <v>0</v>
      </c>
      <c r="S163" s="671">
        <f>VLOOKUP(D163,TONGHOPCONGDOI!$C$96:$AD$153,25,0)</f>
        <v>0</v>
      </c>
      <c r="T163" s="671"/>
      <c r="U163" s="1168"/>
      <c r="V163" s="1168"/>
      <c r="W163" s="1168"/>
      <c r="X163" s="671">
        <f t="shared" si="37"/>
        <v>935507</v>
      </c>
      <c r="Y163" s="671">
        <f t="shared" si="40"/>
        <v>6434706</v>
      </c>
      <c r="Z163" s="675"/>
      <c r="AA163" s="673">
        <f t="shared" si="35"/>
        <v>6434706</v>
      </c>
      <c r="AB163" s="254"/>
      <c r="AC163" s="672"/>
      <c r="AD163" s="1169">
        <f t="shared" si="38"/>
        <v>50</v>
      </c>
      <c r="AE163" s="674"/>
      <c r="AF163" s="674"/>
      <c r="AG163" s="674"/>
      <c r="AH163" s="674"/>
      <c r="AI163" s="674"/>
      <c r="AJ163" s="674"/>
      <c r="AK163" s="674"/>
      <c r="AL163" s="674"/>
    </row>
    <row r="164" spans="1:38" s="1171" customFormat="1" ht="33" customHeight="1">
      <c r="A164" s="1172">
        <v>133</v>
      </c>
      <c r="B164" s="1173">
        <v>51</v>
      </c>
      <c r="C164" s="1170" t="str">
        <f>'Chấm công KT'!C145</f>
        <v>03637</v>
      </c>
      <c r="D164" s="1170" t="str">
        <f>TONGHOPCONGDOI!C146</f>
        <v>T. Vạt</v>
      </c>
      <c r="E164" s="1170" t="s">
        <v>28</v>
      </c>
      <c r="F164" s="1174"/>
      <c r="G164" s="254">
        <f t="shared" si="32"/>
        <v>0</v>
      </c>
      <c r="H164" s="254">
        <f>VLOOKUP(D164,TONGHOPCONGDOI!C146:AD160,16,0)</f>
        <v>2115</v>
      </c>
      <c r="I164" s="254">
        <f>VLOOKUP(D164,TONGHOPCONGDOI!C146:AD163,18,0)</f>
        <v>0</v>
      </c>
      <c r="J164" s="254"/>
      <c r="K164" s="668">
        <f t="shared" si="39"/>
        <v>976.61557993879092</v>
      </c>
      <c r="L164" s="669" t="str">
        <f>VLOOKUP(D164,'BTH mủ tạp'!$D$98:$AN$160,37,0)</f>
        <v>B</v>
      </c>
      <c r="M164" s="670">
        <f t="shared" si="36"/>
        <v>3788557</v>
      </c>
      <c r="N164" s="671">
        <f>VLOOKUP(D164,TONGHOPCONGDOI!$C$96:$AD$153,20,0)</f>
        <v>19</v>
      </c>
      <c r="O164" s="671">
        <f>VLOOKUP(D164,TONGHOPCONGDOI!$C$96:$AD$153,21,0)</f>
        <v>3</v>
      </c>
      <c r="P164" s="671">
        <f>VLOOKUP(D164,TONGHOPCONGDOI!$C$96:$AD$153,22,0)</f>
        <v>0</v>
      </c>
      <c r="Q164" s="671">
        <f>VLOOKUP(D164,TONGHOPCONGDOI!$C$96:$AD$153,23,0)</f>
        <v>0</v>
      </c>
      <c r="R164" s="671">
        <f>VLOOKUP(D164,TONGHOPCONGDOI!$C$96:$AD$153,24,0)</f>
        <v>0</v>
      </c>
      <c r="S164" s="671">
        <f>VLOOKUP(D164,TONGHOPCONGDOI!$C$96:$AD$153,25,0)</f>
        <v>0</v>
      </c>
      <c r="T164" s="671"/>
      <c r="U164" s="1168"/>
      <c r="V164" s="1168"/>
      <c r="W164" s="1168"/>
      <c r="X164" s="671">
        <f t="shared" si="37"/>
        <v>740138</v>
      </c>
      <c r="Y164" s="671">
        <f t="shared" si="40"/>
        <v>4528695</v>
      </c>
      <c r="Z164" s="675"/>
      <c r="AA164" s="673">
        <f t="shared" si="35"/>
        <v>4528695</v>
      </c>
      <c r="AB164" s="254"/>
      <c r="AC164" s="672"/>
      <c r="AD164" s="1169">
        <f t="shared" si="38"/>
        <v>51</v>
      </c>
      <c r="AE164" s="674"/>
      <c r="AF164" s="674"/>
      <c r="AG164" s="674"/>
      <c r="AH164" s="674"/>
      <c r="AI164" s="674"/>
      <c r="AJ164" s="674"/>
      <c r="AK164" s="674"/>
      <c r="AL164" s="674"/>
    </row>
    <row r="165" spans="1:38" s="1171" customFormat="1" ht="33" customHeight="1">
      <c r="A165" s="1172">
        <v>134</v>
      </c>
      <c r="B165" s="1170">
        <v>52</v>
      </c>
      <c r="C165" s="1170" t="str">
        <f>'Chấm công KT'!C146</f>
        <v>03638</v>
      </c>
      <c r="D165" s="1170" t="str">
        <f>TONGHOPCONGDOI!C147</f>
        <v>T. Lay</v>
      </c>
      <c r="E165" s="1170" t="s">
        <v>28</v>
      </c>
      <c r="F165" s="1174"/>
      <c r="G165" s="254">
        <f t="shared" si="32"/>
        <v>0</v>
      </c>
      <c r="H165" s="254">
        <f>VLOOKUP(D165,TONGHOPCONGDOI!C147:AD160,16,0)</f>
        <v>3356</v>
      </c>
      <c r="I165" s="254">
        <f>VLOOKUP(D165,TONGHOPCONGDOI!C147:AD164,18,0)</f>
        <v>0</v>
      </c>
      <c r="J165" s="254"/>
      <c r="K165" s="668">
        <f t="shared" si="39"/>
        <v>1549.6557381912919</v>
      </c>
      <c r="L165" s="669" t="str">
        <f>VLOOKUP(D165,'BTH mủ tạp'!$D$98:$AN$160,37,0)</f>
        <v>A</v>
      </c>
      <c r="M165" s="670">
        <f t="shared" si="36"/>
        <v>6322478</v>
      </c>
      <c r="N165" s="671">
        <f>VLOOKUP(D165,TONGHOPCONGDOI!$C$96:$AD$153,20,0)</f>
        <v>24</v>
      </c>
      <c r="O165" s="671">
        <f>VLOOKUP(D165,TONGHOPCONGDOI!$C$96:$AD$153,21,0)</f>
        <v>5</v>
      </c>
      <c r="P165" s="671">
        <f>VLOOKUP(D165,TONGHOPCONGDOI!$C$96:$AD$153,22,0)</f>
        <v>0</v>
      </c>
      <c r="Q165" s="671">
        <f>VLOOKUP(D165,TONGHOPCONGDOI!$C$96:$AD$153,23,0)</f>
        <v>0</v>
      </c>
      <c r="R165" s="671">
        <f>VLOOKUP(D165,TONGHOPCONGDOI!$C$96:$AD$153,24,0)</f>
        <v>0</v>
      </c>
      <c r="S165" s="671">
        <f>VLOOKUP(D165,TONGHOPCONGDOI!$C$96:$AD$153,25,0)</f>
        <v>0</v>
      </c>
      <c r="T165" s="671"/>
      <c r="U165" s="1168"/>
      <c r="V165" s="1168"/>
      <c r="W165" s="1168"/>
      <c r="X165" s="671">
        <f t="shared" si="37"/>
        <v>997174</v>
      </c>
      <c r="Y165" s="671">
        <f t="shared" si="40"/>
        <v>7319652</v>
      </c>
      <c r="Z165" s="675"/>
      <c r="AA165" s="673">
        <f t="shared" si="35"/>
        <v>7319652</v>
      </c>
      <c r="AB165" s="254"/>
      <c r="AC165" s="672"/>
      <c r="AD165" s="1169">
        <f t="shared" si="38"/>
        <v>52</v>
      </c>
      <c r="AE165" s="674"/>
      <c r="AF165" s="674"/>
      <c r="AG165" s="674"/>
      <c r="AH165" s="674"/>
      <c r="AI165" s="674"/>
      <c r="AJ165" s="674"/>
      <c r="AK165" s="674"/>
      <c r="AL165" s="674"/>
    </row>
    <row r="166" spans="1:38" s="1171" customFormat="1" ht="33" customHeight="1">
      <c r="A166" s="1172">
        <v>135</v>
      </c>
      <c r="B166" s="1173">
        <v>53</v>
      </c>
      <c r="C166" s="1170" t="str">
        <f>'Chấm công KT'!C147</f>
        <v>04081</v>
      </c>
      <c r="D166" s="1170" t="str">
        <f>TONGHOPCONGDOI!C148</f>
        <v>N. Nọi</v>
      </c>
      <c r="E166" s="1170" t="s">
        <v>28</v>
      </c>
      <c r="F166" s="1174"/>
      <c r="G166" s="254">
        <f t="shared" si="32"/>
        <v>0</v>
      </c>
      <c r="H166" s="254">
        <f>VLOOKUP(D166,TONGHOPCONGDOI!C148:AD160,16,0)</f>
        <v>3218</v>
      </c>
      <c r="I166" s="254">
        <f>VLOOKUP(D166,TONGHOPCONGDOI!C148:AD165,18,0)</f>
        <v>0</v>
      </c>
      <c r="J166" s="254"/>
      <c r="K166" s="668">
        <f t="shared" si="39"/>
        <v>1485.9333031881933</v>
      </c>
      <c r="L166" s="669" t="str">
        <f>VLOOKUP(D166,'BTH mủ tạp'!$D$98:$AN$160,37,0)</f>
        <v>A</v>
      </c>
      <c r="M166" s="670">
        <f t="shared" si="36"/>
        <v>6062495</v>
      </c>
      <c r="N166" s="671">
        <f>VLOOKUP(D166,TONGHOPCONGDOI!$C$96:$AD$153,20,0)</f>
        <v>24</v>
      </c>
      <c r="O166" s="671">
        <f>VLOOKUP(D166,TONGHOPCONGDOI!$C$96:$AD$153,21,0)</f>
        <v>5</v>
      </c>
      <c r="P166" s="671">
        <f>VLOOKUP(D166,TONGHOPCONGDOI!$C$96:$AD$153,22,0)</f>
        <v>0</v>
      </c>
      <c r="Q166" s="671">
        <f>VLOOKUP(D166,TONGHOPCONGDOI!$C$96:$AD$153,23,0)</f>
        <v>0</v>
      </c>
      <c r="R166" s="671">
        <f>VLOOKUP(D166,TONGHOPCONGDOI!$C$96:$AD$153,24,0)</f>
        <v>0</v>
      </c>
      <c r="S166" s="671">
        <f>VLOOKUP(D166,TONGHOPCONGDOI!$C$96:$AD$153,25,0)</f>
        <v>0</v>
      </c>
      <c r="T166" s="671"/>
      <c r="U166" s="1168"/>
      <c r="V166" s="1168"/>
      <c r="W166" s="1168"/>
      <c r="X166" s="671">
        <f t="shared" si="37"/>
        <v>997174</v>
      </c>
      <c r="Y166" s="671">
        <f t="shared" si="40"/>
        <v>7059669</v>
      </c>
      <c r="Z166" s="675"/>
      <c r="AA166" s="673">
        <f t="shared" si="35"/>
        <v>7059669</v>
      </c>
      <c r="AB166" s="254"/>
      <c r="AC166" s="672"/>
      <c r="AD166" s="1169">
        <f t="shared" si="38"/>
        <v>53</v>
      </c>
      <c r="AE166" s="674"/>
      <c r="AF166" s="674"/>
      <c r="AG166" s="674"/>
      <c r="AH166" s="674"/>
      <c r="AI166" s="674"/>
      <c r="AJ166" s="674"/>
      <c r="AK166" s="674"/>
      <c r="AL166" s="674"/>
    </row>
    <row r="167" spans="1:38" s="1171" customFormat="1" ht="33" customHeight="1">
      <c r="A167" s="1172">
        <v>136</v>
      </c>
      <c r="B167" s="1170">
        <v>54</v>
      </c>
      <c r="C167" s="1170" t="str">
        <f>'Chấm công KT'!C148</f>
        <v>04082</v>
      </c>
      <c r="D167" s="1170" t="str">
        <f>TONGHOPCONGDOI!C149</f>
        <v>T Bun Xi</v>
      </c>
      <c r="E167" s="1170" t="s">
        <v>28</v>
      </c>
      <c r="F167" s="1174"/>
      <c r="G167" s="254">
        <f t="shared" si="32"/>
        <v>0</v>
      </c>
      <c r="H167" s="254">
        <f>VLOOKUP(D167,TONGHOPCONGDOI!C149:AD160,16,0)</f>
        <v>2894</v>
      </c>
      <c r="I167" s="254">
        <f>VLOOKUP(D167,TONGHOPCONGDOI!C149:AD166,18,0)</f>
        <v>0</v>
      </c>
      <c r="J167" s="254"/>
      <c r="K167" s="668">
        <f t="shared" si="39"/>
        <v>1336.3241079635277</v>
      </c>
      <c r="L167" s="669" t="str">
        <f>VLOOKUP(D167,'BTH mủ tạp'!$D$98:$AN$160,37,0)</f>
        <v>B</v>
      </c>
      <c r="M167" s="670">
        <f t="shared" si="36"/>
        <v>5183965</v>
      </c>
      <c r="N167" s="671">
        <f>VLOOKUP(D167,TONGHOPCONGDOI!$C$96:$AD$153,20,0)</f>
        <v>23</v>
      </c>
      <c r="O167" s="671">
        <f>VLOOKUP(D167,TONGHOPCONGDOI!$C$96:$AD$153,21,0)</f>
        <v>5</v>
      </c>
      <c r="P167" s="671">
        <f>VLOOKUP(D167,TONGHOPCONGDOI!$C$96:$AD$153,22,0)</f>
        <v>0</v>
      </c>
      <c r="Q167" s="671">
        <f>VLOOKUP(D167,TONGHOPCONGDOI!$C$96:$AD$153,23,0)</f>
        <v>0</v>
      </c>
      <c r="R167" s="671">
        <f>VLOOKUP(D167,TONGHOPCONGDOI!$C$96:$AD$153,24,0)</f>
        <v>0</v>
      </c>
      <c r="S167" s="671">
        <f>VLOOKUP(D167,TONGHOPCONGDOI!$C$96:$AD$153,25,0)</f>
        <v>0</v>
      </c>
      <c r="T167" s="671"/>
      <c r="U167" s="1168"/>
      <c r="V167" s="1168"/>
      <c r="W167" s="1168"/>
      <c r="X167" s="671">
        <f t="shared" si="37"/>
        <v>966340</v>
      </c>
      <c r="Y167" s="671">
        <f t="shared" si="40"/>
        <v>6150305</v>
      </c>
      <c r="Z167" s="675"/>
      <c r="AA167" s="673">
        <f t="shared" si="35"/>
        <v>6150305</v>
      </c>
      <c r="AB167" s="254"/>
      <c r="AC167" s="672"/>
      <c r="AD167" s="1169">
        <f t="shared" si="38"/>
        <v>54</v>
      </c>
      <c r="AE167" s="674"/>
      <c r="AF167" s="674"/>
      <c r="AG167" s="674"/>
      <c r="AH167" s="674"/>
      <c r="AI167" s="674"/>
      <c r="AJ167" s="674"/>
      <c r="AK167" s="674"/>
      <c r="AL167" s="674"/>
    </row>
    <row r="168" spans="1:38" s="1171" customFormat="1" ht="33" customHeight="1">
      <c r="A168" s="1172">
        <v>137</v>
      </c>
      <c r="B168" s="1173">
        <v>55</v>
      </c>
      <c r="C168" s="1170" t="str">
        <f>'Chấm công KT'!C149</f>
        <v>04083</v>
      </c>
      <c r="D168" s="1170" t="str">
        <f>TONGHOPCONGDOI!C150</f>
        <v>N. Bù</v>
      </c>
      <c r="E168" s="1170" t="s">
        <v>28</v>
      </c>
      <c r="F168" s="1174"/>
      <c r="G168" s="254">
        <f t="shared" si="32"/>
        <v>0</v>
      </c>
      <c r="H168" s="254">
        <f>VLOOKUP(D168,TONGHOPCONGDOI!C150:AD160,16,0)</f>
        <v>2171</v>
      </c>
      <c r="I168" s="254">
        <f>VLOOKUP(D168,TONGHOPCONGDOI!C150:AD167,18,0)</f>
        <v>0</v>
      </c>
      <c r="J168" s="254"/>
      <c r="K168" s="668">
        <f t="shared" si="39"/>
        <v>1002.4739593603381</v>
      </c>
      <c r="L168" s="669" t="str">
        <f>VLOOKUP(D168,'BTH mủ tạp'!$D$98:$AN$160,37,0)</f>
        <v>B</v>
      </c>
      <c r="M168" s="670">
        <f t="shared" si="36"/>
        <v>3888869</v>
      </c>
      <c r="N168" s="671">
        <f>VLOOKUP(D168,TONGHOPCONGDOI!$C$96:$AD$153,20,0)</f>
        <v>22</v>
      </c>
      <c r="O168" s="671">
        <f>VLOOKUP(D168,TONGHOPCONGDOI!$C$96:$AD$153,21,0)</f>
        <v>4</v>
      </c>
      <c r="P168" s="671">
        <f>VLOOKUP(D168,TONGHOPCONGDOI!$C$96:$AD$153,22,0)</f>
        <v>0</v>
      </c>
      <c r="Q168" s="671">
        <f>VLOOKUP(D168,TONGHOPCONGDOI!$C$96:$AD$153,23,0)</f>
        <v>0</v>
      </c>
      <c r="R168" s="671">
        <f>VLOOKUP(D168,TONGHOPCONGDOI!$C$96:$AD$153,24,0)</f>
        <v>0</v>
      </c>
      <c r="S168" s="671">
        <f>VLOOKUP(D168,TONGHOPCONGDOI!$C$96:$AD$153,25,0)</f>
        <v>0</v>
      </c>
      <c r="T168" s="671"/>
      <c r="U168" s="1168"/>
      <c r="V168" s="1168"/>
      <c r="W168" s="1168"/>
      <c r="X168" s="671">
        <f t="shared" si="37"/>
        <v>884073</v>
      </c>
      <c r="Y168" s="671">
        <f t="shared" si="40"/>
        <v>4772942</v>
      </c>
      <c r="Z168" s="675"/>
      <c r="AA168" s="673">
        <f t="shared" si="35"/>
        <v>4772942</v>
      </c>
      <c r="AB168" s="254"/>
      <c r="AC168" s="672"/>
      <c r="AD168" s="1169">
        <f t="shared" si="38"/>
        <v>55</v>
      </c>
      <c r="AE168" s="674"/>
      <c r="AF168" s="674"/>
      <c r="AG168" s="674"/>
      <c r="AH168" s="674"/>
      <c r="AI168" s="674"/>
      <c r="AJ168" s="674"/>
      <c r="AK168" s="674"/>
      <c r="AL168" s="674"/>
    </row>
    <row r="169" spans="1:38" s="1171" customFormat="1" ht="33" customHeight="1">
      <c r="A169" s="1172">
        <v>138</v>
      </c>
      <c r="B169" s="1170">
        <v>56</v>
      </c>
      <c r="C169" s="1170" t="str">
        <f>'Chấm công KT'!C150</f>
        <v>03642</v>
      </c>
      <c r="D169" s="1170" t="str">
        <f>TONGHOPCONGDOI!C151</f>
        <v>T. Xơn</v>
      </c>
      <c r="E169" s="1170" t="s">
        <v>28</v>
      </c>
      <c r="F169" s="1174"/>
      <c r="G169" s="254">
        <f t="shared" si="32"/>
        <v>0</v>
      </c>
      <c r="H169" s="254">
        <f>VLOOKUP(D169,TONGHOPCONGDOI!C151:AD160,16,0)</f>
        <v>2857</v>
      </c>
      <c r="I169" s="254">
        <f>VLOOKUP(D169,TONGHOPCONGDOI!C151:AD168,18,0)</f>
        <v>0</v>
      </c>
      <c r="J169" s="254"/>
      <c r="K169" s="668">
        <f t="shared" si="39"/>
        <v>1319.239107274291</v>
      </c>
      <c r="L169" s="669" t="str">
        <f>VLOOKUP(D169,'BTH mủ tạp'!$D$98:$AN$160,37,0)</f>
        <v>B</v>
      </c>
      <c r="M169" s="670">
        <f t="shared" si="36"/>
        <v>5117687</v>
      </c>
      <c r="N169" s="671">
        <f>VLOOKUP(D169,TONGHOPCONGDOI!$C$96:$AD$153,20,0)</f>
        <v>23</v>
      </c>
      <c r="O169" s="671">
        <f>VLOOKUP(D169,TONGHOPCONGDOI!$C$96:$AD$153,21,0)</f>
        <v>5</v>
      </c>
      <c r="P169" s="671">
        <f>VLOOKUP(D169,TONGHOPCONGDOI!$C$96:$AD$153,22,0)</f>
        <v>0</v>
      </c>
      <c r="Q169" s="671">
        <f>VLOOKUP(D169,TONGHOPCONGDOI!$C$96:$AD$153,23,0)</f>
        <v>0</v>
      </c>
      <c r="R169" s="671">
        <f>VLOOKUP(D169,TONGHOPCONGDOI!$C$96:$AD$153,24,0)</f>
        <v>0</v>
      </c>
      <c r="S169" s="671">
        <f>VLOOKUP(D169,TONGHOPCONGDOI!$C$96:$AD$153,25,0)</f>
        <v>0</v>
      </c>
      <c r="T169" s="671"/>
      <c r="U169" s="1168"/>
      <c r="V169" s="1168"/>
      <c r="W169" s="1168"/>
      <c r="X169" s="671">
        <f t="shared" si="37"/>
        <v>966340</v>
      </c>
      <c r="Y169" s="671">
        <f t="shared" si="40"/>
        <v>6084027</v>
      </c>
      <c r="Z169" s="675"/>
      <c r="AA169" s="673">
        <f t="shared" si="35"/>
        <v>6084027</v>
      </c>
      <c r="AB169" s="254"/>
      <c r="AC169" s="672"/>
      <c r="AD169" s="1169">
        <f t="shared" si="38"/>
        <v>56</v>
      </c>
      <c r="AE169" s="674"/>
      <c r="AF169" s="674"/>
      <c r="AG169" s="674"/>
      <c r="AH169" s="674"/>
      <c r="AI169" s="674"/>
      <c r="AJ169" s="674"/>
      <c r="AK169" s="674"/>
      <c r="AL169" s="674"/>
    </row>
    <row r="170" spans="1:38" s="1171" customFormat="1" ht="33" customHeight="1">
      <c r="A170" s="1172">
        <v>139</v>
      </c>
      <c r="B170" s="1173">
        <v>57</v>
      </c>
      <c r="C170" s="1170" t="str">
        <f>'Chấm công KT'!C151</f>
        <v>04084</v>
      </c>
      <c r="D170" s="1170" t="str">
        <f>TONGHOPCONGDOI!C152</f>
        <v>T. Thi</v>
      </c>
      <c r="E170" s="1170" t="s">
        <v>28</v>
      </c>
      <c r="F170" s="1174"/>
      <c r="G170" s="254">
        <f t="shared" si="32"/>
        <v>0</v>
      </c>
      <c r="H170" s="254">
        <f>VLOOKUP(D170,TONGHOPCONGDOI!C152:AD160,16,0)</f>
        <v>2561</v>
      </c>
      <c r="I170" s="254">
        <f>VLOOKUP(D170,TONGHOPCONGDOI!C152:AD169,18,0)</f>
        <v>0</v>
      </c>
      <c r="J170" s="254"/>
      <c r="K170" s="668">
        <f t="shared" si="39"/>
        <v>1182.5591017603988</v>
      </c>
      <c r="L170" s="669" t="str">
        <f>VLOOKUP(D170,'BTH mủ tạp'!$D$98:$AN$160,37,0)</f>
        <v>A</v>
      </c>
      <c r="M170" s="670">
        <f t="shared" si="36"/>
        <v>4824751</v>
      </c>
      <c r="N170" s="671">
        <f>VLOOKUP(D170,TONGHOPCONGDOI!$C$96:$AD$153,20,0)</f>
        <v>25</v>
      </c>
      <c r="O170" s="671">
        <f>VLOOKUP(D170,TONGHOPCONGDOI!$C$96:$AD$153,21,0)</f>
        <v>5</v>
      </c>
      <c r="P170" s="671">
        <f>VLOOKUP(D170,TONGHOPCONGDOI!$C$96:$AD$153,22,0)</f>
        <v>0</v>
      </c>
      <c r="Q170" s="671">
        <f>VLOOKUP(D170,TONGHOPCONGDOI!$C$96:$AD$153,23,0)</f>
        <v>0</v>
      </c>
      <c r="R170" s="671">
        <f>VLOOKUP(D170,TONGHOPCONGDOI!$C$96:$AD$153,24,0)</f>
        <v>0</v>
      </c>
      <c r="S170" s="671">
        <f>VLOOKUP(D170,TONGHOPCONGDOI!$C$96:$AD$153,25,0)</f>
        <v>0</v>
      </c>
      <c r="T170" s="671"/>
      <c r="U170" s="1168"/>
      <c r="V170" s="1168"/>
      <c r="W170" s="1168"/>
      <c r="X170" s="671">
        <f t="shared" si="37"/>
        <v>1028007</v>
      </c>
      <c r="Y170" s="671">
        <f t="shared" si="40"/>
        <v>5852758</v>
      </c>
      <c r="Z170" s="675"/>
      <c r="AA170" s="673">
        <f t="shared" si="35"/>
        <v>5852758</v>
      </c>
      <c r="AB170" s="254"/>
      <c r="AC170" s="672"/>
      <c r="AD170" s="1169">
        <f t="shared" si="38"/>
        <v>57</v>
      </c>
      <c r="AE170" s="674"/>
      <c r="AF170" s="674"/>
      <c r="AG170" s="674"/>
      <c r="AH170" s="674"/>
      <c r="AI170" s="674"/>
      <c r="AJ170" s="674"/>
      <c r="AK170" s="674"/>
      <c r="AL170" s="674"/>
    </row>
    <row r="171" spans="1:38" s="1171" customFormat="1" ht="33" customHeight="1">
      <c r="A171" s="1172">
        <v>140</v>
      </c>
      <c r="B171" s="1170">
        <v>58</v>
      </c>
      <c r="C171" s="1170" t="str">
        <f>'Chấm công KT'!C152</f>
        <v>04085</v>
      </c>
      <c r="D171" s="1170" t="str">
        <f>TONGHOPCONGDOI!C153</f>
        <v>On chay</v>
      </c>
      <c r="E171" s="1170" t="s">
        <v>28</v>
      </c>
      <c r="F171" s="1174"/>
      <c r="G171" s="254">
        <f t="shared" si="32"/>
        <v>0</v>
      </c>
      <c r="H171" s="254">
        <f>VLOOKUP(D171,TONGHOPCONGDOI!C153:AD161,16,0)</f>
        <v>2656</v>
      </c>
      <c r="I171" s="254">
        <f>VLOOKUP(D171,TONGHOPCONGDOI!C153:AD170,18,0)</f>
        <v>0</v>
      </c>
      <c r="J171" s="254"/>
      <c r="K171" s="668">
        <f t="shared" si="39"/>
        <v>1226.4259954219522</v>
      </c>
      <c r="L171" s="669" t="str">
        <f>VLOOKUP(D171,'BTH mủ tạp'!$D$98:$AN$160,37,0)</f>
        <v>A</v>
      </c>
      <c r="M171" s="670">
        <f t="shared" si="36"/>
        <v>5003725</v>
      </c>
      <c r="N171" s="671">
        <f>VLOOKUP(D171,TONGHOPCONGDOI!$C$96:$AD$153,20,0)</f>
        <v>25</v>
      </c>
      <c r="O171" s="671">
        <f>VLOOKUP(D171,TONGHOPCONGDOI!$C$96:$AD$153,21,0)</f>
        <v>5</v>
      </c>
      <c r="P171" s="671">
        <f>VLOOKUP(D171,TONGHOPCONGDOI!$C$96:$AD$158,22,0)</f>
        <v>0</v>
      </c>
      <c r="Q171" s="671">
        <f>VLOOKUP(D171,TONGHOPCONGDOI!$C$96:$AD$153,23,0)</f>
        <v>0</v>
      </c>
      <c r="R171" s="671">
        <f>VLOOKUP(D171,TONGHOPCONGDOI!$C$96:$AD$153,24,0)</f>
        <v>0</v>
      </c>
      <c r="S171" s="671">
        <f>VLOOKUP(D171,TONGHOPCONGDOI!$C$96:$AD$153,25,0)</f>
        <v>0</v>
      </c>
      <c r="T171" s="671"/>
      <c r="U171" s="1168"/>
      <c r="V171" s="1168"/>
      <c r="W171" s="1168"/>
      <c r="X171" s="671">
        <f t="shared" si="37"/>
        <v>1028007</v>
      </c>
      <c r="Y171" s="671">
        <f t="shared" si="40"/>
        <v>6031732</v>
      </c>
      <c r="Z171" s="675"/>
      <c r="AA171" s="673">
        <f t="shared" si="35"/>
        <v>6031732</v>
      </c>
      <c r="AB171" s="254"/>
      <c r="AC171" s="672"/>
      <c r="AD171" s="1169">
        <f t="shared" si="38"/>
        <v>58</v>
      </c>
      <c r="AE171" s="674"/>
      <c r="AF171" s="674"/>
      <c r="AG171" s="674"/>
      <c r="AH171" s="674"/>
      <c r="AI171" s="674"/>
      <c r="AJ171" s="674"/>
      <c r="AK171" s="674"/>
      <c r="AL171" s="674"/>
    </row>
    <row r="172" spans="1:38" s="1171" customFormat="1" ht="33" customHeight="1">
      <c r="A172" s="1172">
        <v>141</v>
      </c>
      <c r="B172" s="1173">
        <v>59</v>
      </c>
      <c r="C172" s="1170">
        <f>'Chấm công KT'!C153</f>
        <v>0</v>
      </c>
      <c r="D172" s="1170" t="str">
        <f>TONGHOPCONGDOI!C154</f>
        <v>T. Thong</v>
      </c>
      <c r="E172" s="1170" t="s">
        <v>28</v>
      </c>
      <c r="F172" s="1174"/>
      <c r="G172" s="254">
        <f t="shared" si="32"/>
        <v>0</v>
      </c>
      <c r="H172" s="254">
        <f>VLOOKUP(D172,TONGHOPCONGDOI!C154:AD162,16,0)</f>
        <v>1593</v>
      </c>
      <c r="I172" s="254">
        <f>VLOOKUP(D172,TONGHOPCONGDOI!C154:AD171,18,0)</f>
        <v>0</v>
      </c>
      <c r="J172" s="254"/>
      <c r="K172" s="668">
        <f t="shared" si="39"/>
        <v>735.57854318794034</v>
      </c>
      <c r="L172" s="669" t="str">
        <f>VLOOKUP(D172,'BTH mủ tạp'!$D$98:$AN$160,37,0)</f>
        <v>C.</v>
      </c>
      <c r="M172" s="670">
        <f t="shared" si="36"/>
        <v>2705914</v>
      </c>
      <c r="N172" s="671">
        <f>VLOOKUP(D172,TONGHOPCONGDOI!$C$96:$AD$160,20,0)</f>
        <v>23</v>
      </c>
      <c r="O172" s="671">
        <f>VLOOKUP(D172,TONGHOPCONGDOI!$C$96:$AD$160,21,0)</f>
        <v>5</v>
      </c>
      <c r="P172" s="671">
        <f>VLOOKUP(D172,TONGHOPCONGDOI!$C$96:$AD$158,22,0)</f>
        <v>0</v>
      </c>
      <c r="Q172" s="671">
        <f>VLOOKUP(D172,TONGHOPCONGDOI!$C$96:$AD$160,23,0)</f>
        <v>0</v>
      </c>
      <c r="R172" s="671">
        <f>VLOOKUP(D172,TONGHOPCONGDOI!$C$96:$AD$160,24,0)</f>
        <v>0</v>
      </c>
      <c r="S172" s="671">
        <f>VLOOKUP(D172,TONGHOPCONGDOI!$C$96:$AD$160,25,0)</f>
        <v>0</v>
      </c>
      <c r="T172" s="671">
        <f>VLOOKUP(D172,TONGHOPCONGDOI!$C$96:$AD$159,24,0)</f>
        <v>0</v>
      </c>
      <c r="U172" s="1168"/>
      <c r="V172" s="1168"/>
      <c r="W172" s="1168"/>
      <c r="X172" s="671">
        <f t="shared" si="37"/>
        <v>966340</v>
      </c>
      <c r="Y172" s="671">
        <f t="shared" si="40"/>
        <v>3672254</v>
      </c>
      <c r="Z172" s="675"/>
      <c r="AA172" s="673">
        <f t="shared" si="35"/>
        <v>3672254</v>
      </c>
      <c r="AB172" s="254"/>
      <c r="AC172" s="672"/>
      <c r="AD172" s="1169">
        <f t="shared" si="38"/>
        <v>59</v>
      </c>
      <c r="AE172" s="674"/>
      <c r="AF172" s="674"/>
      <c r="AG172" s="674"/>
      <c r="AH172" s="674"/>
      <c r="AI172" s="674"/>
      <c r="AJ172" s="674"/>
      <c r="AK172" s="674"/>
      <c r="AL172" s="674"/>
    </row>
    <row r="173" spans="1:38" s="1171" customFormat="1" ht="33" customHeight="1">
      <c r="A173" s="1172">
        <v>142</v>
      </c>
      <c r="B173" s="1170">
        <v>60</v>
      </c>
      <c r="C173" s="1170">
        <f>'Chấm công KT'!C154</f>
        <v>0</v>
      </c>
      <c r="D173" s="1170" t="str">
        <f>TONGHOPCONGDOI!C155</f>
        <v>T. Khách</v>
      </c>
      <c r="E173" s="1170" t="s">
        <v>28</v>
      </c>
      <c r="F173" s="1174"/>
      <c r="G173" s="254">
        <f t="shared" si="32"/>
        <v>0</v>
      </c>
      <c r="H173" s="254">
        <f>VLOOKUP(D173,TONGHOPCONGDOI!C155:AD163,16,0)</f>
        <v>1318</v>
      </c>
      <c r="I173" s="254">
        <f>VLOOKUP(D173,TONGHOPCONGDOI!C155:AD172,18,0)</f>
        <v>0</v>
      </c>
      <c r="J173" s="254"/>
      <c r="K173" s="668">
        <f t="shared" si="39"/>
        <v>608.59542995712832</v>
      </c>
      <c r="L173" s="669" t="str">
        <f>VLOOKUP(D173,'BTH mủ tạp'!$D$98:$AN$160,37,0)</f>
        <v>C.</v>
      </c>
      <c r="M173" s="670">
        <f t="shared" si="36"/>
        <v>2238791</v>
      </c>
      <c r="N173" s="671">
        <f>VLOOKUP(D173,TONGHOPCONGDOI!$C$96:$AD$160,20,0)</f>
        <v>22</v>
      </c>
      <c r="O173" s="671">
        <f>VLOOKUP(D173,TONGHOPCONGDOI!$C$96:$AD$160,21,0)</f>
        <v>5</v>
      </c>
      <c r="P173" s="671">
        <f>VLOOKUP(D173,TONGHOPCONGDOI!$C$96:$AD$158,22,0)</f>
        <v>0</v>
      </c>
      <c r="Q173" s="671">
        <f>VLOOKUP(D173,TONGHOPCONGDOI!$C$96:$AD$160,23,0)</f>
        <v>0</v>
      </c>
      <c r="R173" s="671">
        <f>VLOOKUP(D173,TONGHOPCONGDOI!$C$96:$AD$160,24,0)</f>
        <v>0</v>
      </c>
      <c r="S173" s="671">
        <f>VLOOKUP(D173,TONGHOPCONGDOI!$C$96:$AD$160,25,0)</f>
        <v>0</v>
      </c>
      <c r="T173" s="671">
        <f>VLOOKUP(D173,TONGHOPCONGDOI!$C$96:$AD$159,24,0)</f>
        <v>0</v>
      </c>
      <c r="U173" s="1168"/>
      <c r="V173" s="1168"/>
      <c r="W173" s="1168"/>
      <c r="X173" s="671">
        <f t="shared" si="37"/>
        <v>935507</v>
      </c>
      <c r="Y173" s="671">
        <f t="shared" si="40"/>
        <v>3174298</v>
      </c>
      <c r="Z173" s="675"/>
      <c r="AA173" s="673">
        <f t="shared" si="35"/>
        <v>3174298</v>
      </c>
      <c r="AB173" s="254"/>
      <c r="AC173" s="672"/>
      <c r="AD173" s="1169">
        <f t="shared" si="38"/>
        <v>60</v>
      </c>
      <c r="AE173" s="674"/>
      <c r="AF173" s="674"/>
      <c r="AG173" s="674"/>
      <c r="AH173" s="674"/>
      <c r="AI173" s="674"/>
      <c r="AJ173" s="674"/>
      <c r="AK173" s="674"/>
      <c r="AL173" s="674"/>
    </row>
    <row r="174" spans="1:38" s="1171" customFormat="1" ht="33" customHeight="1">
      <c r="A174" s="1172">
        <v>143</v>
      </c>
      <c r="B174" s="1173">
        <v>61</v>
      </c>
      <c r="C174" s="1170">
        <f>'Chấm công KT'!C155</f>
        <v>0</v>
      </c>
      <c r="D174" s="1170" t="str">
        <f>TONGHOPCONGDOI!C156</f>
        <v>Nang On Xi</v>
      </c>
      <c r="E174" s="1170" t="s">
        <v>28</v>
      </c>
      <c r="F174" s="1174"/>
      <c r="G174" s="254">
        <f t="shared" si="32"/>
        <v>0</v>
      </c>
      <c r="H174" s="254">
        <f>VLOOKUP(D174,TONGHOPCONGDOI!C156:AD164,16,0)</f>
        <v>519</v>
      </c>
      <c r="I174" s="254">
        <f>VLOOKUP(D174,TONGHOPCONGDOI!C156:AD173,18,0)</f>
        <v>0</v>
      </c>
      <c r="J174" s="254"/>
      <c r="K174" s="668">
        <f t="shared" si="39"/>
        <v>239.65176642469621</v>
      </c>
      <c r="L174" s="669" t="str">
        <f>VLOOKUP(D174,'BTH mủ tạp'!$D$98:$AN$160,37,0)</f>
        <v>C.</v>
      </c>
      <c r="M174" s="670">
        <f t="shared" si="36"/>
        <v>881588</v>
      </c>
      <c r="N174" s="671">
        <f>VLOOKUP(D174,TONGHOPCONGDOI!$C$96:$AD$160,20,0)</f>
        <v>11</v>
      </c>
      <c r="O174" s="671">
        <f>VLOOKUP(D174,TONGHOPCONGDOI!$C$96:$AD$160,21,0)</f>
        <v>5</v>
      </c>
      <c r="P174" s="671">
        <f>VLOOKUP(D174,TONGHOPCONGDOI!$C$96:$AD$158,22,0)</f>
        <v>0</v>
      </c>
      <c r="Q174" s="671">
        <f>VLOOKUP(D174,TONGHOPCONGDOI!$C$96:$AD$160,23,0)</f>
        <v>0</v>
      </c>
      <c r="R174" s="671">
        <f>VLOOKUP(D174,TONGHOPCONGDOI!$C$96:$AD$160,24,0)</f>
        <v>0</v>
      </c>
      <c r="S174" s="671">
        <f>VLOOKUP(D174,TONGHOPCONGDOI!$C$96:$AD$160,25,0)</f>
        <v>0</v>
      </c>
      <c r="T174" s="671">
        <f>VLOOKUP(D174,TONGHOPCONGDOI!$C$96:$AD$159,24,0)</f>
        <v>0</v>
      </c>
      <c r="U174" s="1168"/>
      <c r="V174" s="1168"/>
      <c r="W174" s="1168"/>
      <c r="X174" s="671">
        <f t="shared" si="37"/>
        <v>596338</v>
      </c>
      <c r="Y174" s="671">
        <f t="shared" si="40"/>
        <v>1477926</v>
      </c>
      <c r="Z174" s="675"/>
      <c r="AA174" s="673">
        <f t="shared" si="35"/>
        <v>1477926</v>
      </c>
      <c r="AB174" s="254"/>
      <c r="AC174" s="672"/>
      <c r="AD174" s="1169">
        <f t="shared" si="38"/>
        <v>61</v>
      </c>
      <c r="AE174" s="674"/>
      <c r="AF174" s="674"/>
      <c r="AG174" s="674"/>
      <c r="AH174" s="674"/>
      <c r="AI174" s="674"/>
      <c r="AJ174" s="674"/>
      <c r="AK174" s="674"/>
      <c r="AL174" s="674"/>
    </row>
    <row r="175" spans="1:38" s="1171" customFormat="1" ht="33" customHeight="1">
      <c r="A175" s="1172">
        <v>144</v>
      </c>
      <c r="B175" s="1170">
        <v>62</v>
      </c>
      <c r="C175" s="1170">
        <f>'Chấm công KT'!C156</f>
        <v>0</v>
      </c>
      <c r="D175" s="1170" t="str">
        <f>TONGHOPCONGDOI!C157</f>
        <v>Thảo Túc</v>
      </c>
      <c r="E175" s="1170" t="s">
        <v>28</v>
      </c>
      <c r="F175" s="1174"/>
      <c r="G175" s="254">
        <f t="shared" si="32"/>
        <v>0</v>
      </c>
      <c r="H175" s="254">
        <f>VLOOKUP(D175,TONGHOPCONGDOI!C157:AD165,16,0)</f>
        <v>118</v>
      </c>
      <c r="I175" s="254">
        <f>VLOOKUP(D175,TONGHOPCONGDOI!C157:AD174,18,0)</f>
        <v>0</v>
      </c>
      <c r="J175" s="254"/>
      <c r="K175" s="668">
        <f t="shared" si="39"/>
        <v>54.487299495402993</v>
      </c>
      <c r="L175" s="669" t="str">
        <f>VLOOKUP(D175,'BTH mủ tạp'!$D$98:$AN$160,37,0)</f>
        <v>C.</v>
      </c>
      <c r="M175" s="670">
        <f t="shared" si="36"/>
        <v>200438</v>
      </c>
      <c r="N175" s="671">
        <f>VLOOKUP(D175,TONGHOPCONGDOI!$C$96:$AD$160,20,0)</f>
        <v>2</v>
      </c>
      <c r="O175" s="671">
        <f>VLOOKUP(D175,TONGHOPCONGDOI!$C$96:$AD$160,21,0)</f>
        <v>2</v>
      </c>
      <c r="P175" s="671">
        <f>VLOOKUP(D175,TONGHOPCONGDOI!$C$96:$AD$158,22,0)</f>
        <v>0</v>
      </c>
      <c r="Q175" s="671">
        <f>VLOOKUP(D175,TONGHOPCONGDOI!$C$96:$AD$160,23,0)</f>
        <v>0</v>
      </c>
      <c r="R175" s="671">
        <f>VLOOKUP(D175,TONGHOPCONGDOI!$C$96:$AD$160,24,0)</f>
        <v>0</v>
      </c>
      <c r="S175" s="671">
        <f>VLOOKUP(D175,TONGHOPCONGDOI!$C$96:$AD$160,25,0)</f>
        <v>0</v>
      </c>
      <c r="T175" s="671">
        <f>VLOOKUP(D175,TONGHOPCONGDOI!$C$96:$AD$159,24,0)</f>
        <v>0</v>
      </c>
      <c r="U175" s="1168"/>
      <c r="V175" s="1168"/>
      <c r="W175" s="1168"/>
      <c r="X175" s="671">
        <f t="shared" si="37"/>
        <v>164535</v>
      </c>
      <c r="Y175" s="671">
        <f t="shared" si="40"/>
        <v>364973</v>
      </c>
      <c r="Z175" s="675"/>
      <c r="AA175" s="673">
        <f t="shared" ref="AA175:AA178" si="41">Y175-Z175</f>
        <v>364973</v>
      </c>
      <c r="AB175" s="254"/>
      <c r="AC175" s="672"/>
      <c r="AD175" s="1169">
        <f t="shared" ref="AD175:AD178" si="42">B175</f>
        <v>62</v>
      </c>
      <c r="AE175" s="674"/>
      <c r="AF175" s="674"/>
      <c r="AG175" s="674"/>
      <c r="AH175" s="674"/>
      <c r="AI175" s="674"/>
      <c r="AJ175" s="674"/>
      <c r="AK175" s="674"/>
      <c r="AL175" s="674"/>
    </row>
    <row r="176" spans="1:38" s="1171" customFormat="1" ht="33" customHeight="1">
      <c r="A176" s="1172">
        <v>145</v>
      </c>
      <c r="B176" s="1173">
        <v>63</v>
      </c>
      <c r="C176" s="1170">
        <f>'Chấm công KT'!C157</f>
        <v>0</v>
      </c>
      <c r="D176" s="1170" t="str">
        <f>TONGHOPCONGDOI!C158</f>
        <v>Mủ Xi Rum</v>
      </c>
      <c r="E176" s="1170" t="s">
        <v>28</v>
      </c>
      <c r="F176" s="1174"/>
      <c r="G176" s="254">
        <f t="shared" ref="G176" si="43">F176*25000</f>
        <v>0</v>
      </c>
      <c r="H176" s="254"/>
      <c r="I176" s="254"/>
      <c r="J176" s="254">
        <f>'Trạm 2'!I79</f>
        <v>0</v>
      </c>
      <c r="K176" s="668">
        <f>'Trạm 2'!J79</f>
        <v>0</v>
      </c>
      <c r="L176" s="669"/>
      <c r="M176" s="670">
        <f t="shared" si="36"/>
        <v>0</v>
      </c>
      <c r="N176" s="671"/>
      <c r="O176" s="671"/>
      <c r="P176" s="671"/>
      <c r="Q176" s="671"/>
      <c r="R176" s="671"/>
      <c r="S176" s="671"/>
      <c r="T176" s="671"/>
      <c r="U176" s="1168"/>
      <c r="V176" s="1168"/>
      <c r="W176" s="1168"/>
      <c r="X176" s="671">
        <f t="shared" si="37"/>
        <v>0</v>
      </c>
      <c r="Y176" s="671">
        <f t="shared" si="40"/>
        <v>0</v>
      </c>
      <c r="Z176" s="675"/>
      <c r="AA176" s="673">
        <f t="shared" ref="AA176" si="44">Y176-Z176</f>
        <v>0</v>
      </c>
      <c r="AB176" s="254"/>
      <c r="AC176" s="672"/>
      <c r="AD176" s="1169">
        <f t="shared" si="42"/>
        <v>63</v>
      </c>
      <c r="AE176" s="674"/>
      <c r="AF176" s="674"/>
      <c r="AG176" s="674"/>
      <c r="AH176" s="674"/>
      <c r="AI176" s="674"/>
      <c r="AJ176" s="674"/>
      <c r="AK176" s="674"/>
      <c r="AL176" s="674"/>
    </row>
    <row r="177" spans="1:38" s="1171" customFormat="1" ht="33" customHeight="1">
      <c r="A177" s="1172">
        <v>146</v>
      </c>
      <c r="B177" s="1170">
        <v>64</v>
      </c>
      <c r="C177" s="1170"/>
      <c r="D177" s="1170" t="str">
        <f>TONGHOPCONGDOI!C159</f>
        <v>Mon (3)</v>
      </c>
      <c r="E177" s="1170" t="s">
        <v>28</v>
      </c>
      <c r="F177" s="1174"/>
      <c r="G177" s="254">
        <f t="shared" si="32"/>
        <v>0</v>
      </c>
      <c r="H177" s="254"/>
      <c r="I177" s="254"/>
      <c r="J177" s="254"/>
      <c r="K177" s="668"/>
      <c r="L177" s="669"/>
      <c r="M177" s="670">
        <f t="shared" si="36"/>
        <v>0</v>
      </c>
      <c r="N177" s="671"/>
      <c r="O177" s="671"/>
      <c r="P177" s="671"/>
      <c r="Q177" s="671"/>
      <c r="R177" s="671"/>
      <c r="S177" s="671"/>
      <c r="T177" s="671"/>
      <c r="U177" s="1168"/>
      <c r="V177" s="1168"/>
      <c r="W177" s="1168"/>
      <c r="X177" s="671">
        <f t="shared" ref="X177" si="45">ROUND(((N177*46.1)+(O177*76.9)+(P177*92.2)+(Q177*153.8)+(R177*92.2)+(S177*153.8))*$F$10+(T177*25000)+(U177*10000)+(V177*30000),0)</f>
        <v>0</v>
      </c>
      <c r="Y177" s="671">
        <f t="shared" si="40"/>
        <v>0</v>
      </c>
      <c r="Z177" s="675"/>
      <c r="AA177" s="673">
        <f t="shared" si="41"/>
        <v>0</v>
      </c>
      <c r="AB177" s="254"/>
      <c r="AC177" s="672"/>
      <c r="AD177" s="1169">
        <f t="shared" si="42"/>
        <v>64</v>
      </c>
      <c r="AE177" s="674"/>
      <c r="AF177" s="674"/>
      <c r="AG177" s="674"/>
      <c r="AH177" s="674"/>
      <c r="AI177" s="674"/>
      <c r="AJ177" s="674"/>
      <c r="AK177" s="674"/>
      <c r="AL177" s="674"/>
    </row>
    <row r="178" spans="1:38" s="1171" customFormat="1" ht="33" customHeight="1">
      <c r="A178" s="1172">
        <v>145</v>
      </c>
      <c r="B178" s="1173">
        <v>65</v>
      </c>
      <c r="C178" s="1170"/>
      <c r="D178" s="1170" t="str">
        <f>TONGHOPCONGDOI!C160</f>
        <v>T. Huân</v>
      </c>
      <c r="E178" s="1170" t="s">
        <v>28</v>
      </c>
      <c r="F178" s="1174"/>
      <c r="G178" s="254">
        <f t="shared" si="32"/>
        <v>0</v>
      </c>
      <c r="H178" s="254"/>
      <c r="I178" s="254"/>
      <c r="J178" s="254"/>
      <c r="K178" s="668"/>
      <c r="L178" s="669"/>
      <c r="M178" s="670"/>
      <c r="N178" s="671"/>
      <c r="O178" s="671"/>
      <c r="P178" s="671"/>
      <c r="Q178" s="671"/>
      <c r="R178" s="671"/>
      <c r="S178" s="671"/>
      <c r="T178" s="671"/>
      <c r="U178" s="1168">
        <f t="shared" ref="U178" si="46">SUM(N178:T178)</f>
        <v>0</v>
      </c>
      <c r="V178" s="1168"/>
      <c r="W178" s="1168"/>
      <c r="X178" s="671">
        <f t="shared" ref="X178" si="47">((N178*46.1)+(O178*76.9)+(P178*92.2)+(Q178*153.8)+(R178*92.2)+(S178*153.8))*$F$11+(T178*20000)+(U178*10000)+(V178*20000)+(W178*10000)</f>
        <v>0</v>
      </c>
      <c r="Y178" s="671">
        <f t="shared" ref="Y178" si="48">G178+M178+X178</f>
        <v>0</v>
      </c>
      <c r="Z178" s="675"/>
      <c r="AA178" s="673">
        <f t="shared" si="41"/>
        <v>0</v>
      </c>
      <c r="AB178" s="254"/>
      <c r="AC178" s="672"/>
      <c r="AD178" s="1169">
        <f t="shared" si="42"/>
        <v>65</v>
      </c>
      <c r="AE178" s="674"/>
      <c r="AF178" s="674"/>
      <c r="AG178" s="674"/>
      <c r="AH178" s="674"/>
      <c r="AI178" s="674"/>
      <c r="AJ178" s="674"/>
      <c r="AK178" s="674"/>
      <c r="AL178" s="674"/>
    </row>
    <row r="179" spans="1:38" s="1171" customFormat="1" ht="33" customHeight="1">
      <c r="A179" s="1480" t="s">
        <v>374</v>
      </c>
      <c r="B179" s="1480"/>
      <c r="C179" s="1480"/>
      <c r="D179" s="1480"/>
      <c r="E179" s="1480"/>
      <c r="F179" s="676"/>
      <c r="G179" s="667">
        <f t="shared" ref="G179:AA179" si="49">G15+G113</f>
        <v>0</v>
      </c>
      <c r="H179" s="667">
        <f t="shared" si="49"/>
        <v>327057</v>
      </c>
      <c r="I179" s="667">
        <f t="shared" si="49"/>
        <v>0</v>
      </c>
      <c r="J179" s="667">
        <f t="shared" si="49"/>
        <v>0</v>
      </c>
      <c r="K179" s="667">
        <f t="shared" si="49"/>
        <v>151351.57400000005</v>
      </c>
      <c r="L179" s="667"/>
      <c r="M179" s="1136">
        <f t="shared" si="49"/>
        <v>607849756</v>
      </c>
      <c r="N179" s="667">
        <f t="shared" si="49"/>
        <v>3006</v>
      </c>
      <c r="O179" s="667">
        <f t="shared" si="49"/>
        <v>646</v>
      </c>
      <c r="P179" s="667">
        <f t="shared" si="49"/>
        <v>0</v>
      </c>
      <c r="Q179" s="667">
        <f t="shared" si="49"/>
        <v>0</v>
      </c>
      <c r="R179" s="667">
        <f t="shared" si="49"/>
        <v>0</v>
      </c>
      <c r="S179" s="667">
        <f t="shared" si="49"/>
        <v>0</v>
      </c>
      <c r="T179" s="667">
        <f t="shared" si="49"/>
        <v>0</v>
      </c>
      <c r="U179" s="667">
        <f t="shared" si="49"/>
        <v>0</v>
      </c>
      <c r="V179" s="667">
        <f t="shared" si="49"/>
        <v>0</v>
      </c>
      <c r="W179" s="667">
        <f t="shared" si="49"/>
        <v>0</v>
      </c>
      <c r="X179" s="1136">
        <f t="shared" si="49"/>
        <v>125911822</v>
      </c>
      <c r="Y179" s="667">
        <f>Y15+Y113</f>
        <v>733761578</v>
      </c>
      <c r="Z179" s="676">
        <f t="shared" si="49"/>
        <v>0</v>
      </c>
      <c r="AA179" s="667">
        <f t="shared" si="49"/>
        <v>733761578</v>
      </c>
      <c r="AB179" s="676" t="e">
        <f>AB15+#REF!+AB113+#REF!</f>
        <v>#REF!</v>
      </c>
      <c r="AC179" s="677"/>
      <c r="AD179" s="1175"/>
      <c r="AE179" s="1116">
        <f>'Trạm 1'!Z99+'Trạm 2'!Z82</f>
        <v>733761578</v>
      </c>
      <c r="AF179" s="674"/>
      <c r="AG179" s="674"/>
      <c r="AH179" s="674"/>
      <c r="AI179" s="674"/>
      <c r="AJ179" s="674"/>
      <c r="AK179" s="674"/>
      <c r="AL179" s="674"/>
    </row>
    <row r="180" spans="1:38" s="1176" customFormat="1" ht="35.450000000000003" customHeight="1">
      <c r="A180" s="1471" t="s">
        <v>863</v>
      </c>
      <c r="B180" s="1471"/>
      <c r="C180" s="1471"/>
      <c r="D180" s="1471"/>
      <c r="E180" s="1471"/>
      <c r="F180" s="1471"/>
      <c r="G180" s="1471"/>
      <c r="H180" s="1471"/>
      <c r="I180" s="1471"/>
      <c r="J180" s="1471"/>
      <c r="K180" s="1471"/>
      <c r="L180" s="1471"/>
      <c r="M180" s="1471"/>
      <c r="N180" s="1471"/>
      <c r="O180" s="1471"/>
      <c r="P180" s="1471"/>
      <c r="Q180" s="1471"/>
      <c r="R180" s="1471"/>
      <c r="S180" s="1471"/>
      <c r="T180" s="1471"/>
      <c r="U180" s="1471"/>
      <c r="V180" s="1471"/>
      <c r="W180" s="1471"/>
      <c r="X180" s="1471"/>
      <c r="Y180" s="1471"/>
      <c r="Z180" s="1471"/>
      <c r="AA180" s="1471"/>
      <c r="AB180" s="1471"/>
      <c r="AC180" s="1471"/>
      <c r="AE180" s="538"/>
      <c r="AF180" s="538"/>
      <c r="AG180" s="538"/>
      <c r="AH180" s="538"/>
      <c r="AI180" s="538"/>
      <c r="AJ180" s="538"/>
      <c r="AK180" s="538"/>
      <c r="AL180" s="538"/>
    </row>
    <row r="181" spans="1:38" s="1176" customFormat="1" ht="35.450000000000003" customHeight="1">
      <c r="A181" s="1211"/>
      <c r="B181" s="1211"/>
      <c r="C181" s="1211"/>
      <c r="D181" s="1211"/>
      <c r="E181" s="1211"/>
      <c r="F181" s="1211"/>
      <c r="G181" s="1211"/>
      <c r="H181" s="1211">
        <f>G179/25000</f>
        <v>0</v>
      </c>
      <c r="I181" s="1211"/>
      <c r="J181" s="1211"/>
      <c r="K181" s="1211"/>
      <c r="L181" s="1211"/>
      <c r="M181" s="1211"/>
      <c r="N181" s="1211"/>
      <c r="O181" s="1211"/>
      <c r="P181" s="1211"/>
      <c r="Q181" s="1211"/>
      <c r="R181" s="1211"/>
      <c r="S181" s="1211"/>
      <c r="T181" s="1211"/>
      <c r="U181" s="1211"/>
      <c r="V181" s="1211"/>
      <c r="W181" s="1211"/>
      <c r="X181" s="1211"/>
      <c r="Y181" s="1211"/>
      <c r="Z181" s="1211"/>
      <c r="AA181" s="1211"/>
      <c r="AB181" s="1211"/>
      <c r="AC181" s="1211"/>
      <c r="AE181" s="538"/>
      <c r="AF181" s="538"/>
      <c r="AG181" s="538"/>
      <c r="AH181" s="538"/>
      <c r="AI181" s="538"/>
      <c r="AJ181" s="538"/>
      <c r="AK181" s="538"/>
      <c r="AL181" s="538"/>
    </row>
    <row r="182" spans="1:38" s="1176" customFormat="1" ht="23.25" customHeight="1">
      <c r="B182" s="1177"/>
      <c r="C182" s="1178"/>
      <c r="D182" s="1178"/>
      <c r="E182" s="1178"/>
      <c r="F182" s="678"/>
      <c r="G182" s="679"/>
      <c r="H182" s="679"/>
      <c r="I182" s="679"/>
      <c r="J182" s="679"/>
      <c r="K182" s="680"/>
      <c r="L182" s="681"/>
      <c r="M182" s="679"/>
      <c r="N182" s="679"/>
      <c r="O182" s="679"/>
      <c r="P182" s="678"/>
      <c r="Q182" s="678"/>
      <c r="R182" s="678"/>
      <c r="S182" s="678"/>
      <c r="T182" s="678"/>
      <c r="U182" s="1478" t="s">
        <v>611</v>
      </c>
      <c r="V182" s="1478"/>
      <c r="W182" s="1478"/>
      <c r="X182" s="1478"/>
      <c r="Y182" s="1478"/>
      <c r="Z182" s="1478"/>
      <c r="AA182" s="1478"/>
      <c r="AB182" s="1478"/>
      <c r="AC182" s="1478"/>
      <c r="AD182" s="1179"/>
      <c r="AE182" s="1180"/>
      <c r="AF182" s="538"/>
      <c r="AG182" s="538"/>
      <c r="AH182" s="538"/>
      <c r="AI182" s="538"/>
      <c r="AJ182" s="538"/>
      <c r="AK182" s="538"/>
      <c r="AL182" s="538"/>
    </row>
    <row r="183" spans="1:38" ht="15.75" customHeight="1">
      <c r="E183" s="682"/>
      <c r="F183" s="683"/>
      <c r="T183" s="1181"/>
      <c r="Z183" s="50"/>
      <c r="AA183" s="50"/>
      <c r="AB183" s="50"/>
    </row>
    <row r="184" spans="1:38" s="659" customFormat="1" ht="31.9" customHeight="1">
      <c r="B184" s="1479" t="s">
        <v>612</v>
      </c>
      <c r="C184" s="1479"/>
      <c r="D184" s="1479"/>
      <c r="E184" s="1479"/>
      <c r="F184" s="1479"/>
      <c r="G184" s="1479"/>
      <c r="H184" s="1479"/>
      <c r="I184" s="1479"/>
      <c r="J184" s="1479"/>
      <c r="K184" s="1479"/>
      <c r="L184" s="1479"/>
      <c r="M184" s="1479"/>
      <c r="N184" s="1479"/>
      <c r="O184" s="1479"/>
      <c r="P184" s="1479"/>
      <c r="Q184" s="1479"/>
      <c r="R184" s="1479"/>
      <c r="S184" s="1479"/>
      <c r="T184" s="1479"/>
      <c r="U184" s="1479"/>
      <c r="V184" s="1479"/>
      <c r="W184" s="1479"/>
      <c r="X184" s="1479"/>
      <c r="Y184" s="1479"/>
      <c r="Z184" s="1479"/>
      <c r="AA184" s="1479"/>
      <c r="AB184" s="1479"/>
      <c r="AC184" s="1479"/>
      <c r="AD184" s="1158"/>
      <c r="AE184" s="1454">
        <f>AE182-AE179</f>
        <v>-733761578</v>
      </c>
      <c r="AF184" s="637"/>
      <c r="AG184" s="637"/>
      <c r="AH184" s="637"/>
      <c r="AI184" s="637"/>
      <c r="AJ184" s="637"/>
      <c r="AK184" s="637"/>
      <c r="AL184" s="637"/>
    </row>
    <row r="185" spans="1:38" s="659" customFormat="1" ht="15.75" customHeight="1">
      <c r="B185" s="985"/>
      <c r="C185" s="985"/>
      <c r="D185" s="814"/>
      <c r="E185" s="814"/>
      <c r="F185" s="814"/>
      <c r="G185" s="814"/>
      <c r="H185" s="814"/>
      <c r="I185" s="814"/>
      <c r="J185" s="814"/>
      <c r="K185" s="986"/>
      <c r="L185" s="814"/>
      <c r="M185" s="684"/>
      <c r="N185" s="684"/>
      <c r="O185" s="684"/>
      <c r="P185" s="684"/>
      <c r="Q185" s="684"/>
      <c r="R185" s="684"/>
      <c r="S185" s="684"/>
      <c r="T185" s="684"/>
      <c r="U185" s="684"/>
      <c r="V185" s="684"/>
      <c r="W185" s="684"/>
      <c r="X185" s="685"/>
      <c r="Y185" s="814"/>
      <c r="Z185" s="814"/>
      <c r="AA185" s="814"/>
      <c r="AB185" s="814"/>
      <c r="AC185" s="684"/>
      <c r="AE185" s="1454"/>
      <c r="AF185" s="637"/>
      <c r="AG185" s="637"/>
      <c r="AH185" s="637"/>
      <c r="AI185" s="637"/>
      <c r="AJ185" s="637"/>
      <c r="AK185" s="637"/>
      <c r="AL185" s="637"/>
    </row>
    <row r="186" spans="1:38" s="659" customFormat="1" ht="15.75" customHeight="1">
      <c r="B186" s="985"/>
      <c r="C186" s="985"/>
      <c r="D186" s="814"/>
      <c r="E186" s="814"/>
      <c r="F186" s="814"/>
      <c r="G186" s="814"/>
      <c r="H186" s="814"/>
      <c r="I186" s="814"/>
      <c r="J186" s="814"/>
      <c r="K186" s="986"/>
      <c r="L186" s="814"/>
      <c r="M186" s="684"/>
      <c r="N186" s="684"/>
      <c r="O186" s="684"/>
      <c r="P186" s="684"/>
      <c r="Q186" s="684"/>
      <c r="R186" s="684"/>
      <c r="S186" s="684"/>
      <c r="T186" s="684"/>
      <c r="U186" s="684"/>
      <c r="V186" s="684"/>
      <c r="W186" s="684"/>
      <c r="X186" s="685"/>
      <c r="Y186" s="814"/>
      <c r="Z186" s="814"/>
      <c r="AA186" s="814"/>
      <c r="AB186" s="814"/>
      <c r="AC186" s="684"/>
      <c r="AE186" s="637"/>
      <c r="AF186" s="637"/>
      <c r="AG186" s="637"/>
      <c r="AH186" s="637"/>
      <c r="AI186" s="637"/>
      <c r="AJ186" s="637"/>
      <c r="AK186" s="637"/>
      <c r="AL186" s="637"/>
    </row>
    <row r="187" spans="1:38" s="659" customFormat="1" ht="15.75" customHeight="1">
      <c r="C187" s="236"/>
      <c r="D187" s="236"/>
      <c r="E187" s="236"/>
      <c r="F187" s="236"/>
      <c r="G187" s="236"/>
      <c r="H187" s="236"/>
      <c r="J187" s="236"/>
      <c r="K187" s="236"/>
      <c r="L187" s="236"/>
      <c r="M187" s="236"/>
      <c r="N187" s="236"/>
      <c r="AE187" s="637"/>
      <c r="AF187" s="637"/>
      <c r="AG187" s="637"/>
      <c r="AH187" s="637"/>
      <c r="AI187" s="637"/>
      <c r="AJ187" s="637"/>
      <c r="AK187" s="637"/>
      <c r="AL187" s="637"/>
    </row>
    <row r="188" spans="1:38" s="659" customFormat="1" ht="15.75" customHeight="1">
      <c r="B188" s="985"/>
      <c r="C188" s="985"/>
      <c r="D188" s="814"/>
      <c r="E188" s="814"/>
      <c r="F188" s="814"/>
      <c r="G188" s="814"/>
      <c r="H188" s="814"/>
      <c r="I188" s="814"/>
      <c r="J188" s="814"/>
      <c r="K188" s="986"/>
      <c r="L188" s="814"/>
      <c r="M188" s="684"/>
      <c r="N188" s="684"/>
      <c r="O188" s="684"/>
      <c r="P188" s="684"/>
      <c r="Q188" s="684"/>
      <c r="R188" s="684"/>
      <c r="S188" s="684"/>
      <c r="T188" s="684"/>
      <c r="U188" s="684"/>
      <c r="V188" s="684"/>
      <c r="W188" s="684"/>
      <c r="X188" s="685"/>
      <c r="Y188" s="814"/>
      <c r="Z188" s="814"/>
      <c r="AA188" s="814"/>
      <c r="AB188" s="814"/>
      <c r="AC188" s="684"/>
      <c r="AE188" s="1206">
        <f>X179/25000</f>
        <v>5036.4728800000003</v>
      </c>
      <c r="AF188" s="637"/>
      <c r="AG188" s="637"/>
      <c r="AH188" s="637"/>
      <c r="AI188" s="637"/>
      <c r="AJ188" s="637"/>
      <c r="AK188" s="637"/>
      <c r="AL188" s="637"/>
    </row>
    <row r="189" spans="1:38" s="659" customFormat="1" ht="15.75" customHeight="1">
      <c r="B189" s="1182"/>
      <c r="D189" s="1158"/>
      <c r="E189" s="1158"/>
      <c r="F189" s="1158"/>
      <c r="G189" s="1158"/>
      <c r="H189" s="1158"/>
      <c r="I189" s="1158"/>
      <c r="J189" s="1158"/>
      <c r="K189" s="1183"/>
      <c r="L189" s="1158"/>
      <c r="P189" s="1184"/>
      <c r="Q189" s="1184"/>
      <c r="R189" s="1184"/>
      <c r="S189" s="1184"/>
      <c r="X189" s="1184"/>
      <c r="Y189" s="1158"/>
      <c r="Z189" s="1158"/>
      <c r="AA189" s="1158"/>
      <c r="AB189" s="1158"/>
      <c r="AE189" s="637"/>
      <c r="AF189" s="637"/>
      <c r="AG189" s="637"/>
      <c r="AH189" s="637"/>
      <c r="AI189" s="637"/>
      <c r="AJ189" s="637"/>
      <c r="AK189" s="637"/>
      <c r="AL189" s="637"/>
    </row>
    <row r="190" spans="1:38" s="659" customFormat="1" ht="15.75" customHeight="1">
      <c r="B190" s="1182"/>
      <c r="D190" s="1158"/>
      <c r="E190" s="1158"/>
      <c r="F190" s="1158"/>
      <c r="G190" s="1158"/>
      <c r="H190" s="1158"/>
      <c r="I190" s="1158"/>
      <c r="J190" s="1158"/>
      <c r="K190" s="1183"/>
      <c r="L190" s="1158"/>
      <c r="M190" s="1184"/>
      <c r="Y190" s="1158"/>
      <c r="Z190" s="1158"/>
      <c r="AA190" s="1158"/>
      <c r="AB190" s="1158"/>
      <c r="AE190" s="637"/>
      <c r="AF190" s="637"/>
      <c r="AG190" s="637"/>
      <c r="AH190" s="637"/>
      <c r="AI190" s="637"/>
      <c r="AJ190" s="637"/>
      <c r="AK190" s="637"/>
      <c r="AL190" s="637"/>
    </row>
    <row r="191" spans="1:38" s="659" customFormat="1" ht="15.75" customHeight="1">
      <c r="B191" s="1182"/>
      <c r="D191" s="1158"/>
      <c r="E191" s="1158"/>
      <c r="F191" s="1185"/>
      <c r="G191" s="1158"/>
      <c r="H191" s="1158"/>
      <c r="I191" s="1158"/>
      <c r="J191" s="1158"/>
      <c r="K191" s="1183"/>
      <c r="L191" s="1158"/>
      <c r="X191" s="1184"/>
      <c r="Y191" s="1158"/>
      <c r="Z191" s="1158"/>
      <c r="AA191" s="1158"/>
      <c r="AB191" s="1158"/>
      <c r="AE191" s="637"/>
      <c r="AF191" s="637"/>
      <c r="AG191" s="637"/>
      <c r="AH191" s="637"/>
      <c r="AI191" s="637"/>
      <c r="AJ191" s="637"/>
      <c r="AK191" s="637"/>
      <c r="AL191" s="637"/>
    </row>
    <row r="192" spans="1:38" s="659" customFormat="1" ht="18.75" customHeight="1">
      <c r="B192" s="1182"/>
      <c r="D192" s="1158"/>
      <c r="E192" s="1186"/>
      <c r="F192" s="1187"/>
      <c r="G192" s="1158"/>
      <c r="H192" s="1158"/>
      <c r="I192" s="1158"/>
      <c r="J192" s="1158"/>
      <c r="K192" s="1183"/>
      <c r="L192" s="1158"/>
      <c r="X192" s="1184"/>
      <c r="Y192" s="1158"/>
      <c r="Z192" s="1158"/>
      <c r="AA192" s="1158"/>
      <c r="AB192" s="1158"/>
      <c r="AE192" s="637"/>
      <c r="AF192" s="637"/>
      <c r="AG192" s="637"/>
      <c r="AH192" s="637"/>
      <c r="AI192" s="637"/>
      <c r="AJ192" s="637"/>
      <c r="AK192" s="637"/>
      <c r="AL192" s="637"/>
    </row>
    <row r="193" spans="2:38" s="659" customFormat="1" ht="28.5" customHeight="1">
      <c r="B193" s="1182"/>
      <c r="D193" s="1175"/>
      <c r="E193" s="1175"/>
      <c r="F193" s="1175"/>
      <c r="G193" s="1188"/>
      <c r="H193" s="1175"/>
      <c r="I193" s="1175"/>
      <c r="J193" s="1175"/>
      <c r="K193" s="1175"/>
      <c r="L193" s="1175"/>
      <c r="M193" s="1175"/>
      <c r="N193" s="1175"/>
      <c r="O193" s="1175"/>
      <c r="P193" s="1175"/>
      <c r="Q193" s="1175"/>
      <c r="R193" s="1175"/>
      <c r="S193" s="1175"/>
      <c r="T193" s="1175"/>
      <c r="U193" s="1175"/>
      <c r="V193" s="1188"/>
      <c r="W193" s="1188"/>
      <c r="X193" s="1175"/>
      <c r="Y193" s="1175"/>
      <c r="Z193" s="1175"/>
      <c r="AA193" s="1175"/>
      <c r="AE193" s="637"/>
      <c r="AF193" s="637"/>
      <c r="AG193" s="637"/>
      <c r="AH193" s="637"/>
      <c r="AI193" s="637"/>
      <c r="AJ193" s="637"/>
      <c r="AK193" s="637"/>
      <c r="AL193" s="637"/>
    </row>
    <row r="194" spans="2:38" s="659" customFormat="1" ht="18.75" customHeight="1">
      <c r="B194" s="1182"/>
      <c r="D194" s="1158"/>
      <c r="E194" s="1158"/>
      <c r="F194" s="1184"/>
      <c r="G194" s="1158"/>
      <c r="H194" s="1158"/>
      <c r="I194" s="1158"/>
      <c r="J194" s="1158"/>
      <c r="K194" s="1183"/>
      <c r="L194" s="1157"/>
      <c r="X194" s="1184"/>
      <c r="Y194" s="1186"/>
      <c r="Z194" s="1158"/>
      <c r="AA194" s="1158"/>
      <c r="AB194" s="1158"/>
      <c r="AE194" s="637"/>
      <c r="AF194" s="637"/>
      <c r="AG194" s="637"/>
      <c r="AH194" s="637"/>
      <c r="AI194" s="637"/>
      <c r="AJ194" s="637"/>
      <c r="AK194" s="637"/>
      <c r="AL194" s="637"/>
    </row>
    <row r="195" spans="2:38" s="659" customFormat="1" ht="18.75" customHeight="1">
      <c r="B195" s="1182"/>
      <c r="D195" s="1158"/>
      <c r="E195" s="1186"/>
      <c r="F195" s="1184"/>
      <c r="G195" s="1189"/>
      <c r="H195" s="1189"/>
      <c r="I195" s="1189"/>
      <c r="J195" s="1189"/>
      <c r="K195" s="1183"/>
      <c r="L195" s="1157"/>
      <c r="M195" s="1184"/>
      <c r="X195" s="654"/>
      <c r="Y195" s="685"/>
      <c r="Z195" s="684"/>
      <c r="AA195" s="684"/>
      <c r="AB195" s="684"/>
      <c r="AE195" s="637"/>
      <c r="AF195" s="637"/>
      <c r="AG195" s="637"/>
      <c r="AH195" s="637"/>
      <c r="AI195" s="637"/>
      <c r="AJ195" s="637"/>
      <c r="AK195" s="637"/>
      <c r="AL195" s="637"/>
    </row>
    <row r="196" spans="2:38" ht="24.75" hidden="1" customHeight="1">
      <c r="C196" s="654"/>
      <c r="D196" s="654"/>
      <c r="E196" s="1181"/>
      <c r="F196" s="1181"/>
      <c r="L196" s="1138"/>
      <c r="M196" s="654"/>
    </row>
    <row r="197" spans="2:38" ht="24.75" hidden="1" customHeight="1">
      <c r="C197" s="654"/>
      <c r="D197" s="1190" t="e">
        <f>#REF!+#REF!+#REF!+#REF!</f>
        <v>#REF!</v>
      </c>
      <c r="E197" s="1191"/>
      <c r="F197" s="1181" t="s">
        <v>375</v>
      </c>
      <c r="G197" s="1181"/>
      <c r="H197" s="1181"/>
      <c r="I197" s="1181"/>
      <c r="J197" s="1181"/>
      <c r="K197" s="1474">
        <f>SUMIF($L$16:$L$178,"A",$K$16:$K$178)</f>
        <v>107329.30014897726</v>
      </c>
      <c r="L197" s="1474"/>
      <c r="M197" s="686">
        <f>(K197*6.1)*$F$11</f>
        <v>437895387.58101588</v>
      </c>
      <c r="N197" s="686"/>
      <c r="O197" s="686"/>
      <c r="P197" s="1192"/>
      <c r="Q197" s="1192"/>
      <c r="R197" s="1192"/>
      <c r="S197" s="1192"/>
      <c r="U197" s="654">
        <f>7.2+0.6+21+5+70</f>
        <v>103.8</v>
      </c>
    </row>
    <row r="198" spans="2:38" ht="24.75" hidden="1" customHeight="1">
      <c r="C198" s="654"/>
      <c r="D198" s="654"/>
      <c r="F198" s="1181" t="s">
        <v>376</v>
      </c>
      <c r="G198" s="1181"/>
      <c r="H198" s="1181"/>
      <c r="I198" s="1181"/>
      <c r="J198" s="1181"/>
      <c r="K198" s="1474">
        <f>SUMIF($L$16:$L$178,"B",$K$16:$K$178)</f>
        <v>39935.544904408642</v>
      </c>
      <c r="L198" s="1474"/>
      <c r="M198" s="686">
        <f>(K198*5.8)*$F$11</f>
        <v>154920841.15241513</v>
      </c>
      <c r="N198" s="686"/>
      <c r="O198" s="686"/>
      <c r="P198" s="1181"/>
      <c r="Q198" s="1181"/>
      <c r="R198" s="1181"/>
      <c r="S198" s="1181"/>
    </row>
    <row r="199" spans="2:38" ht="24.75" hidden="1" customHeight="1">
      <c r="C199" s="654"/>
      <c r="D199" s="654"/>
      <c r="F199" s="1181" t="s">
        <v>377</v>
      </c>
      <c r="G199" s="1181"/>
      <c r="H199" s="1181"/>
      <c r="I199" s="1181"/>
      <c r="J199" s="1181"/>
      <c r="K199" s="1474">
        <f>SUMIF($L$16:$L$178,"C",$K$16:$K$178)+SUMIF($L$16:$L$178,"C.",$K$16:$K$178)</f>
        <v>4086.7289466141133</v>
      </c>
      <c r="L199" s="1474"/>
      <c r="M199" s="686">
        <f>(K199*5.5)*$F$11</f>
        <v>15033522.837593611</v>
      </c>
      <c r="N199" s="686"/>
      <c r="O199" s="686"/>
      <c r="T199" s="1192"/>
      <c r="U199" s="1192"/>
      <c r="V199" s="1192"/>
      <c r="W199" s="1192"/>
      <c r="X199" s="1192"/>
      <c r="Y199" s="1192"/>
      <c r="Z199" s="1192"/>
      <c r="AA199" s="1181"/>
    </row>
    <row r="200" spans="2:38" ht="24.75" hidden="1" customHeight="1">
      <c r="C200" s="654"/>
      <c r="D200" s="654"/>
      <c r="F200" s="1181" t="s">
        <v>378</v>
      </c>
      <c r="G200" s="1181"/>
      <c r="H200" s="1181"/>
      <c r="I200" s="1181"/>
      <c r="J200" s="1181"/>
      <c r="K200" s="1474">
        <f>SUMIF($L$16:$L$178,"D",$K$16:$K$178)+SUMIF($L$16:$L$178,"D.",$K$16:$K$178)</f>
        <v>0</v>
      </c>
      <c r="L200" s="1474"/>
      <c r="M200" s="686"/>
      <c r="N200" s="686"/>
      <c r="O200" s="686"/>
      <c r="T200" s="1193"/>
      <c r="U200" s="1193"/>
      <c r="V200" s="1193"/>
      <c r="W200" s="1193"/>
      <c r="X200" s="1193"/>
      <c r="Y200" s="1193"/>
      <c r="Z200" s="1193"/>
      <c r="AA200" s="1181"/>
    </row>
    <row r="201" spans="2:38" ht="24.75" hidden="1" customHeight="1">
      <c r="C201" s="654"/>
      <c r="D201" s="654"/>
      <c r="F201" s="1181" t="s">
        <v>511</v>
      </c>
      <c r="G201" s="1181"/>
      <c r="H201" s="1181"/>
      <c r="I201" s="1181"/>
      <c r="J201" s="1181"/>
      <c r="K201" s="1474">
        <f>'BTH mủ Sỉum'!AJ20</f>
        <v>0</v>
      </c>
      <c r="L201" s="1474"/>
      <c r="M201" s="686">
        <f>(K201*6.1)*$F$11</f>
        <v>0</v>
      </c>
      <c r="N201" s="686"/>
      <c r="O201" s="686"/>
      <c r="T201" s="1193"/>
      <c r="U201" s="1193"/>
      <c r="V201" s="1193"/>
      <c r="W201" s="1193"/>
      <c r="X201" s="1193"/>
      <c r="Y201" s="1193"/>
      <c r="Z201" s="1193"/>
      <c r="AA201" s="1181"/>
    </row>
    <row r="202" spans="2:38" ht="24.75" hidden="1" customHeight="1">
      <c r="C202" s="654"/>
      <c r="D202" s="654"/>
      <c r="F202" s="654"/>
      <c r="K202" s="1474">
        <f>SUM(K197:L201)</f>
        <v>151351.57399999999</v>
      </c>
      <c r="L202" s="1474"/>
      <c r="M202" s="686">
        <f>SUM(M197:M201)</f>
        <v>607849751.57102454</v>
      </c>
      <c r="N202" s="686"/>
      <c r="O202" s="686"/>
      <c r="P202" s="1476" t="e">
        <f>M202+M212+M213</f>
        <v>#REF!</v>
      </c>
      <c r="Q202" s="1476"/>
      <c r="R202" s="1476"/>
      <c r="S202" s="1476"/>
      <c r="T202" s="1476"/>
      <c r="U202" s="1476"/>
      <c r="V202" s="1138"/>
      <c r="W202" s="1138"/>
      <c r="X202" s="1138"/>
      <c r="Z202" s="654" t="e">
        <f>P202-#REF!</f>
        <v>#REF!</v>
      </c>
    </row>
    <row r="203" spans="2:38" ht="24.75" hidden="1" customHeight="1">
      <c r="C203" s="654"/>
      <c r="D203" s="654"/>
      <c r="F203" s="654"/>
      <c r="K203" s="654"/>
      <c r="L203" s="654"/>
      <c r="M203" s="895"/>
      <c r="N203" s="895"/>
      <c r="O203" s="895"/>
    </row>
    <row r="204" spans="2:38" ht="24.75" hidden="1" customHeight="1">
      <c r="C204" s="654"/>
      <c r="D204" s="654"/>
      <c r="F204" s="654" t="s">
        <v>379</v>
      </c>
      <c r="K204" s="654"/>
      <c r="L204" s="654">
        <v>3006</v>
      </c>
      <c r="M204" s="687">
        <f>(L204*46.1)*$F$11</f>
        <v>92685573.144000009</v>
      </c>
      <c r="N204" s="687"/>
      <c r="O204" s="687"/>
    </row>
    <row r="205" spans="2:38" ht="24.75" hidden="1" customHeight="1">
      <c r="B205" s="654"/>
      <c r="F205" s="654" t="s">
        <v>523</v>
      </c>
      <c r="K205" s="654"/>
      <c r="L205" s="654"/>
      <c r="M205" s="687">
        <f>(L205*92.2)*$F$10</f>
        <v>0</v>
      </c>
      <c r="N205" s="687"/>
      <c r="O205" s="687"/>
      <c r="P205" s="657"/>
      <c r="Q205" s="657"/>
      <c r="R205" s="657"/>
      <c r="S205" s="657"/>
    </row>
    <row r="206" spans="2:38" ht="24.75" hidden="1" customHeight="1">
      <c r="B206" s="654"/>
      <c r="F206" s="654" t="s">
        <v>380</v>
      </c>
      <c r="K206" s="654"/>
      <c r="L206" s="654">
        <v>646</v>
      </c>
      <c r="M206" s="933">
        <f>(L206*76.9)*$F$11</f>
        <v>33226232.216000002</v>
      </c>
      <c r="N206" s="687"/>
      <c r="O206" s="687"/>
      <c r="P206" s="657"/>
      <c r="Q206" s="657"/>
      <c r="R206" s="657"/>
      <c r="S206" s="657"/>
    </row>
    <row r="207" spans="2:38" ht="24.75" hidden="1" customHeight="1">
      <c r="B207" s="654"/>
      <c r="F207" s="654" t="s">
        <v>451</v>
      </c>
      <c r="K207" s="654"/>
      <c r="L207" s="654"/>
      <c r="M207" s="687">
        <f>(L207*153.8)*$F$11</f>
        <v>0</v>
      </c>
      <c r="N207" s="687"/>
      <c r="O207" s="687"/>
      <c r="P207" s="657"/>
      <c r="Q207" s="657"/>
      <c r="R207" s="657"/>
      <c r="S207" s="657"/>
    </row>
    <row r="208" spans="2:38" ht="24.75" hidden="1" customHeight="1">
      <c r="B208" s="654"/>
      <c r="F208" s="1465" t="s">
        <v>550</v>
      </c>
      <c r="G208" s="1466"/>
      <c r="K208" s="654"/>
      <c r="L208" s="654"/>
      <c r="M208" s="687">
        <f>L208*25000</f>
        <v>0</v>
      </c>
      <c r="N208" s="687"/>
      <c r="O208" s="687"/>
      <c r="P208" s="657"/>
      <c r="Q208" s="657"/>
      <c r="R208" s="657"/>
      <c r="S208" s="657"/>
    </row>
    <row r="209" spans="2:28" ht="24.75" hidden="1" customHeight="1">
      <c r="B209" s="654"/>
      <c r="F209" s="1465" t="s">
        <v>525</v>
      </c>
      <c r="G209" s="1466"/>
      <c r="K209" s="654"/>
      <c r="L209" s="654"/>
      <c r="M209" s="687">
        <f>L209*20000</f>
        <v>0</v>
      </c>
      <c r="N209" s="687"/>
      <c r="O209" s="687"/>
      <c r="P209" s="657"/>
      <c r="Q209" s="657"/>
      <c r="R209" s="657"/>
      <c r="S209" s="657"/>
    </row>
    <row r="210" spans="2:28" ht="24.75" hidden="1" customHeight="1">
      <c r="B210" s="654"/>
      <c r="F210" s="1465" t="s">
        <v>524</v>
      </c>
      <c r="G210" s="1466"/>
      <c r="K210" s="654"/>
      <c r="L210" s="654"/>
      <c r="M210" s="687">
        <f>L210*10000</f>
        <v>0</v>
      </c>
      <c r="N210" s="687"/>
      <c r="O210" s="687"/>
      <c r="P210" s="657"/>
      <c r="Q210" s="657"/>
      <c r="R210" s="657"/>
      <c r="S210" s="657"/>
    </row>
    <row r="211" spans="2:28" ht="24.75" hidden="1" customHeight="1">
      <c r="B211" s="654"/>
      <c r="F211" s="654" t="s">
        <v>381</v>
      </c>
      <c r="K211" s="654"/>
      <c r="L211" s="654"/>
      <c r="M211" s="687">
        <f>L211*10000</f>
        <v>0</v>
      </c>
      <c r="N211" s="687"/>
      <c r="O211" s="1477">
        <f>U179*25000</f>
        <v>0</v>
      </c>
      <c r="P211" s="1477"/>
      <c r="Q211" s="657"/>
      <c r="R211" s="657"/>
      <c r="S211" s="657"/>
      <c r="AA211" s="1138"/>
      <c r="AB211" s="1138"/>
    </row>
    <row r="212" spans="2:28" ht="24.75" hidden="1" customHeight="1">
      <c r="B212" s="654"/>
      <c r="C212" s="1194"/>
      <c r="F212" s="654"/>
      <c r="K212" s="1476"/>
      <c r="L212" s="1476"/>
      <c r="M212" s="1475">
        <f>SUM(M204:M211)</f>
        <v>125911805.36000001</v>
      </c>
      <c r="N212" s="1475"/>
      <c r="O212" s="895"/>
      <c r="P212" s="657"/>
      <c r="Q212" s="657"/>
      <c r="R212" s="657"/>
      <c r="S212" s="657"/>
      <c r="Y212" s="1476" t="e">
        <f>M212-#REF!</f>
        <v>#REF!</v>
      </c>
      <c r="Z212" s="1476"/>
    </row>
    <row r="213" spans="2:28" ht="24.75" hidden="1" customHeight="1">
      <c r="B213" s="654"/>
      <c r="C213" s="1195"/>
      <c r="F213" s="654" t="s">
        <v>382</v>
      </c>
      <c r="K213" s="1472" t="e">
        <f>#REF!+F113+#REF!+F15</f>
        <v>#REF!</v>
      </c>
      <c r="L213" s="1472"/>
      <c r="M213" s="687" t="e">
        <f>K213*25000</f>
        <v>#REF!</v>
      </c>
      <c r="N213" s="687"/>
      <c r="O213" s="687"/>
      <c r="P213" s="657"/>
      <c r="Q213" s="657"/>
      <c r="R213" s="657"/>
      <c r="S213" s="657"/>
    </row>
    <row r="214" spans="2:28" ht="24.75" hidden="1" customHeight="1">
      <c r="F214" s="654"/>
      <c r="K214" s="654"/>
      <c r="L214" s="654"/>
      <c r="M214" s="656"/>
      <c r="N214" s="896"/>
      <c r="O214" s="896"/>
      <c r="P214" s="657"/>
      <c r="Q214" s="657"/>
      <c r="R214" s="657"/>
      <c r="S214" s="657"/>
    </row>
    <row r="215" spans="2:28" ht="24.75" customHeight="1">
      <c r="B215" s="654"/>
      <c r="F215" s="654"/>
      <c r="K215" s="654"/>
      <c r="L215" s="654"/>
      <c r="M215" s="1473" t="e">
        <f>+#REF!+AA113+#REF!+AA15</f>
        <v>#REF!</v>
      </c>
      <c r="N215" s="1473"/>
      <c r="O215" s="894"/>
      <c r="P215" s="657"/>
      <c r="Q215" s="657"/>
      <c r="R215" s="657"/>
      <c r="S215" s="657"/>
    </row>
    <row r="216" spans="2:28" ht="24.75" customHeight="1">
      <c r="F216" s="654"/>
      <c r="K216" s="654"/>
      <c r="L216" s="654"/>
      <c r="M216" s="656"/>
      <c r="N216" s="896"/>
      <c r="O216" s="896"/>
      <c r="P216" s="657"/>
      <c r="Q216" s="657"/>
      <c r="R216" s="657"/>
      <c r="S216" s="657"/>
    </row>
    <row r="217" spans="2:28" ht="24.75" customHeight="1">
      <c r="B217" s="654"/>
      <c r="G217" s="1181"/>
      <c r="H217" s="1181"/>
      <c r="I217" s="1181"/>
      <c r="J217" s="1181"/>
      <c r="K217" s="687"/>
    </row>
    <row r="218" spans="2:28" ht="24.75" customHeight="1">
      <c r="B218" s="654"/>
      <c r="N218" s="1181"/>
      <c r="O218" s="1181"/>
    </row>
    <row r="219" spans="2:28" ht="24.75" customHeight="1"/>
    <row r="220" spans="2:28" ht="24.75" customHeight="1"/>
    <row r="221" spans="2:28" ht="24.75" customHeight="1"/>
    <row r="222" spans="2:28" ht="24.75" customHeight="1">
      <c r="B222" s="654"/>
      <c r="G222" s="1181">
        <v>2551.8899999999994</v>
      </c>
      <c r="H222" s="1181"/>
      <c r="I222" s="1181"/>
      <c r="J222" s="1181"/>
    </row>
    <row r="223" spans="2:28" ht="48" customHeight="1">
      <c r="B223" s="654"/>
      <c r="C223" s="654"/>
      <c r="D223" s="654"/>
      <c r="F223" s="654"/>
      <c r="G223" s="1181">
        <f>+G213-G222</f>
        <v>-2551.8899999999994</v>
      </c>
      <c r="H223" s="1181"/>
      <c r="I223" s="1181"/>
      <c r="J223" s="1181"/>
    </row>
    <row r="229" spans="2:24" ht="48" customHeight="1">
      <c r="B229" s="654"/>
      <c r="C229" s="654"/>
      <c r="D229" s="654"/>
      <c r="F229" s="654"/>
      <c r="L229" s="896">
        <v>1678</v>
      </c>
      <c r="M229" s="657">
        <v>1573</v>
      </c>
      <c r="N229" s="654">
        <v>1187</v>
      </c>
      <c r="P229" s="654">
        <v>1183</v>
      </c>
      <c r="X229" s="654">
        <f>SUM(L229:P229)</f>
        <v>5621</v>
      </c>
    </row>
    <row r="230" spans="2:24" ht="48" customHeight="1">
      <c r="B230" s="654"/>
      <c r="C230" s="654"/>
      <c r="D230" s="654"/>
      <c r="F230" s="654"/>
      <c r="L230" s="896">
        <v>257</v>
      </c>
      <c r="M230" s="657">
        <v>244</v>
      </c>
      <c r="N230" s="654">
        <v>183</v>
      </c>
      <c r="P230" s="654">
        <v>182</v>
      </c>
      <c r="X230" s="654">
        <f>SUM(L230:P230)</f>
        <v>866</v>
      </c>
    </row>
    <row r="231" spans="2:24" ht="48" customHeight="1">
      <c r="B231" s="654"/>
      <c r="C231" s="654"/>
      <c r="D231" s="654"/>
      <c r="F231" s="654"/>
      <c r="L231" s="896">
        <v>1935</v>
      </c>
      <c r="M231" s="657">
        <v>1817</v>
      </c>
      <c r="N231" s="654">
        <v>1370</v>
      </c>
      <c r="P231" s="654">
        <v>1365</v>
      </c>
      <c r="X231" s="654">
        <f>SUM(L231:P231)</f>
        <v>6487</v>
      </c>
    </row>
  </sheetData>
  <autoFilter ref="A15:AL180">
    <filterColumn colId="0" showButton="0"/>
    <filterColumn colId="1" showButton="0"/>
    <filterColumn colId="2" showButton="0"/>
    <filterColumn colId="3" showButton="0"/>
  </autoFilter>
  <mergeCells count="48">
    <mergeCell ref="C12:C14"/>
    <mergeCell ref="D12:D14"/>
    <mergeCell ref="E12:E14"/>
    <mergeCell ref="A113:E113"/>
    <mergeCell ref="A179:E179"/>
    <mergeCell ref="Y212:Z212"/>
    <mergeCell ref="P202:U202"/>
    <mergeCell ref="O211:P211"/>
    <mergeCell ref="U182:AC182"/>
    <mergeCell ref="B184:AC184"/>
    <mergeCell ref="F210:G210"/>
    <mergeCell ref="K213:L213"/>
    <mergeCell ref="M215:N215"/>
    <mergeCell ref="K197:L197"/>
    <mergeCell ref="K198:L198"/>
    <mergeCell ref="K199:L199"/>
    <mergeCell ref="K200:L200"/>
    <mergeCell ref="M212:N212"/>
    <mergeCell ref="K201:L201"/>
    <mergeCell ref="K212:L212"/>
    <mergeCell ref="K202:L202"/>
    <mergeCell ref="AE184:AE185"/>
    <mergeCell ref="F209:G209"/>
    <mergeCell ref="F208:G208"/>
    <mergeCell ref="AG6:AH6"/>
    <mergeCell ref="AI6:AJ6"/>
    <mergeCell ref="F12:X12"/>
    <mergeCell ref="AA12:AA14"/>
    <mergeCell ref="AC12:AC14"/>
    <mergeCell ref="F13:G13"/>
    <mergeCell ref="H13:M13"/>
    <mergeCell ref="N13:X13"/>
    <mergeCell ref="Y12:Y14"/>
    <mergeCell ref="Z12:Z14"/>
    <mergeCell ref="A180:AC180"/>
    <mergeCell ref="A12:B14"/>
    <mergeCell ref="A15:E15"/>
    <mergeCell ref="AK6:AL6"/>
    <mergeCell ref="B7:H7"/>
    <mergeCell ref="B9:AC9"/>
    <mergeCell ref="D11:E11"/>
    <mergeCell ref="Y11:Z11"/>
    <mergeCell ref="AE2:AF2"/>
    <mergeCell ref="B3:AC3"/>
    <mergeCell ref="B4:AC4"/>
    <mergeCell ref="B5:AC5"/>
    <mergeCell ref="B6:H6"/>
    <mergeCell ref="AE6:AF6"/>
  </mergeCells>
  <printOptions horizontalCentered="1"/>
  <pageMargins left="0.37" right="0.17" top="0.25" bottom="0.21" header="0.17" footer="0.196850393700787"/>
  <pageSetup paperSize="9" scale="50" fitToHeight="0" orientation="landscape" r:id="rId1"/>
  <headerFooter>
    <oddFooter>&amp;R&amp;P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92D050"/>
  </sheetPr>
  <dimension ref="A2:AR30"/>
  <sheetViews>
    <sheetView zoomScale="70" zoomScaleNormal="70" workbookViewId="0">
      <pane ySplit="1" topLeftCell="A2" activePane="bottomLeft" state="frozen"/>
      <selection activeCell="A23" sqref="A23:AN23"/>
      <selection pane="bottomLeft" activeCell="J22" sqref="J22"/>
    </sheetView>
  </sheetViews>
  <sheetFormatPr defaultColWidth="9.140625" defaultRowHeight="15"/>
  <cols>
    <col min="1" max="1" width="5" style="1" customWidth="1"/>
    <col min="2" max="2" width="14.85546875" style="1" customWidth="1"/>
    <col min="3" max="3" width="19.28515625" style="1" customWidth="1"/>
    <col min="4" max="4" width="18.5703125" style="1" customWidth="1"/>
    <col min="5" max="5" width="13.7109375" style="1" customWidth="1"/>
    <col min="6" max="6" width="16.5703125" style="1" customWidth="1"/>
    <col min="7" max="7" width="18.85546875" style="1" customWidth="1"/>
    <col min="8" max="8" width="20.5703125" style="1" customWidth="1"/>
    <col min="9" max="9" width="24" style="1" customWidth="1"/>
    <col min="10" max="10" width="16" style="1" customWidth="1"/>
    <col min="11" max="12" width="24" style="1" customWidth="1"/>
    <col min="13" max="13" width="8.42578125" style="1" customWidth="1"/>
    <col min="14" max="14" width="12.85546875" style="1" customWidth="1"/>
    <col min="15" max="15" width="18.28515625" style="1" customWidth="1"/>
    <col min="16" max="16" width="34.140625" style="1" customWidth="1"/>
    <col min="17" max="17" width="7.85546875" style="1" customWidth="1"/>
    <col min="18" max="18" width="7.28515625" style="1" customWidth="1"/>
    <col min="19" max="19" width="7.42578125" style="1" customWidth="1"/>
    <col min="20" max="20" width="6.28515625" style="1" customWidth="1"/>
    <col min="21" max="21" width="5.7109375" style="1" customWidth="1"/>
    <col min="22" max="22" width="6" style="1" customWidth="1"/>
    <col min="23" max="23" width="4.85546875" style="1" customWidth="1"/>
    <col min="24" max="24" width="6" style="1" customWidth="1"/>
    <col min="25" max="25" width="6.5703125" style="1" customWidth="1"/>
    <col min="26" max="26" width="8.140625" style="1" customWidth="1"/>
    <col min="27" max="27" width="6" style="1" customWidth="1"/>
    <col min="28" max="28" width="8.140625" style="1" customWidth="1"/>
    <col min="29" max="29" width="15" style="1" bestFit="1" customWidth="1"/>
    <col min="30" max="30" width="17.85546875" style="1" bestFit="1" customWidth="1"/>
    <col min="31" max="31" width="12.85546875" style="1" bestFit="1" customWidth="1"/>
    <col min="32" max="16384" width="9.140625" style="1"/>
  </cols>
  <sheetData>
    <row r="2" spans="1:31" ht="19.5">
      <c r="A2" s="1491" t="s">
        <v>54</v>
      </c>
      <c r="B2" s="1491"/>
      <c r="C2" s="1491"/>
      <c r="D2" s="1491"/>
      <c r="E2" s="1491"/>
      <c r="F2" s="1491"/>
      <c r="G2" s="1491"/>
      <c r="H2" s="1491"/>
      <c r="I2" s="1491"/>
      <c r="J2" s="1491"/>
      <c r="K2" s="1491"/>
      <c r="L2" s="1491"/>
      <c r="M2" s="119"/>
      <c r="N2" s="119"/>
      <c r="O2" s="119"/>
      <c r="P2" s="351"/>
      <c r="R2" s="963"/>
      <c r="S2" s="963"/>
      <c r="T2" s="963"/>
      <c r="U2" s="963"/>
      <c r="V2" s="963"/>
      <c r="W2" s="963"/>
      <c r="X2" s="963"/>
      <c r="Y2" s="963"/>
      <c r="Z2" s="963"/>
      <c r="AA2" s="963"/>
      <c r="AB2" s="963"/>
    </row>
    <row r="3" spans="1:31" ht="19.5">
      <c r="A3" s="1491" t="s">
        <v>40</v>
      </c>
      <c r="B3" s="1491"/>
      <c r="C3" s="1491"/>
      <c r="D3" s="1491"/>
      <c r="E3" s="1491"/>
      <c r="F3" s="1491"/>
      <c r="G3" s="1491"/>
      <c r="H3" s="1491"/>
      <c r="I3" s="1491"/>
      <c r="J3" s="1491"/>
      <c r="K3" s="1491"/>
      <c r="L3" s="1491"/>
      <c r="M3" s="964"/>
      <c r="N3" s="964"/>
      <c r="O3" s="964"/>
      <c r="P3" s="965"/>
      <c r="Q3" s="61"/>
      <c r="S3" s="965"/>
      <c r="T3" s="965"/>
      <c r="U3" s="965"/>
      <c r="V3" s="965"/>
      <c r="W3" s="965"/>
      <c r="X3" s="965"/>
      <c r="Y3" s="965"/>
      <c r="Z3" s="965"/>
      <c r="AA3" s="965"/>
      <c r="AB3" s="5"/>
    </row>
    <row r="4" spans="1:31" ht="19.5">
      <c r="A4" s="1492" t="s">
        <v>293</v>
      </c>
      <c r="B4" s="1491"/>
      <c r="C4" s="1491"/>
      <c r="D4" s="1491"/>
      <c r="E4" s="1491"/>
      <c r="F4" s="1491"/>
      <c r="G4" s="1491"/>
      <c r="H4" s="1491"/>
      <c r="I4" s="1491"/>
      <c r="J4" s="1491"/>
      <c r="K4" s="1491"/>
      <c r="L4" s="1491"/>
      <c r="M4" s="964"/>
      <c r="N4" s="964"/>
      <c r="O4" s="964"/>
      <c r="P4" s="965"/>
      <c r="Q4" s="61"/>
      <c r="S4" s="965"/>
      <c r="T4" s="965"/>
      <c r="U4" s="965"/>
      <c r="V4" s="965"/>
      <c r="W4" s="965"/>
      <c r="X4" s="965"/>
      <c r="Y4" s="965"/>
      <c r="Z4" s="965"/>
      <c r="AA4" s="965"/>
      <c r="AB4" s="5"/>
    </row>
    <row r="5" spans="1:31" ht="9" customHeight="1">
      <c r="A5" s="966"/>
      <c r="B5" s="966"/>
      <c r="C5" s="966"/>
      <c r="D5" s="966"/>
      <c r="E5" s="966"/>
      <c r="F5" s="966"/>
      <c r="G5" s="966"/>
      <c r="H5" s="966"/>
      <c r="I5" s="966"/>
      <c r="J5" s="966"/>
      <c r="K5" s="966"/>
      <c r="L5" s="967"/>
      <c r="M5" s="82"/>
      <c r="N5" s="82"/>
      <c r="O5" s="82"/>
      <c r="P5" s="478"/>
      <c r="Q5" s="62"/>
      <c r="R5" s="968"/>
      <c r="S5" s="65"/>
      <c r="T5" s="65"/>
      <c r="U5" s="65"/>
      <c r="V5" s="65"/>
      <c r="W5" s="65"/>
      <c r="X5" s="65"/>
      <c r="Y5" s="65"/>
      <c r="Z5" s="65"/>
      <c r="AA5" s="65"/>
      <c r="AB5" s="5"/>
      <c r="AC5" s="22">
        <f>1372+388</f>
        <v>1760</v>
      </c>
      <c r="AD5" s="1">
        <f>AC5*30000</f>
        <v>52800000</v>
      </c>
      <c r="AE5" s="1" t="e">
        <f>AD5+#REF!+#REF!</f>
        <v>#REF!</v>
      </c>
    </row>
    <row r="6" spans="1:31" ht="19.5">
      <c r="A6" s="1493" t="s">
        <v>598</v>
      </c>
      <c r="B6" s="1493"/>
      <c r="C6" s="1493"/>
      <c r="D6" s="1493"/>
      <c r="E6" s="1493"/>
      <c r="F6" s="1493"/>
      <c r="G6" s="969"/>
      <c r="H6" s="970"/>
      <c r="I6" s="970"/>
      <c r="J6" s="970"/>
      <c r="K6" s="970"/>
      <c r="L6" s="967"/>
      <c r="M6" s="82"/>
      <c r="N6" s="82"/>
      <c r="O6" s="82"/>
      <c r="P6" s="478"/>
      <c r="Q6" s="62"/>
      <c r="R6" s="968"/>
      <c r="S6" s="65"/>
      <c r="T6" s="65"/>
      <c r="U6" s="65"/>
      <c r="V6" s="65"/>
      <c r="W6" s="65"/>
      <c r="X6" s="65"/>
      <c r="Y6" s="65"/>
      <c r="Z6" s="65"/>
      <c r="AA6" s="65"/>
      <c r="AB6" s="5"/>
      <c r="AC6" s="22"/>
    </row>
    <row r="7" spans="1:31" ht="18" customHeight="1">
      <c r="A7" s="1494" t="s">
        <v>576</v>
      </c>
      <c r="B7" s="1494"/>
      <c r="C7" s="1494"/>
      <c r="D7" s="1494"/>
      <c r="E7" s="1494"/>
      <c r="F7" s="1494"/>
      <c r="G7" s="971"/>
      <c r="H7" s="972"/>
      <c r="I7" s="967"/>
      <c r="J7" s="967"/>
      <c r="K7" s="967"/>
      <c r="L7" s="967"/>
      <c r="M7" s="82"/>
      <c r="N7" s="82"/>
      <c r="O7" s="82"/>
      <c r="P7" s="478"/>
      <c r="Q7" s="62"/>
      <c r="R7" s="968"/>
      <c r="S7" s="65"/>
      <c r="T7" s="65"/>
      <c r="U7" s="65"/>
      <c r="V7" s="65"/>
      <c r="W7" s="65"/>
      <c r="X7" s="65"/>
      <c r="Y7" s="65"/>
      <c r="Z7" s="65"/>
      <c r="AA7" s="65"/>
      <c r="AB7" s="5"/>
      <c r="AC7" s="22"/>
    </row>
    <row r="8" spans="1:31" ht="12.75" customHeight="1">
      <c r="A8" s="971"/>
      <c r="B8" s="971"/>
      <c r="C8" s="971"/>
      <c r="D8" s="971"/>
      <c r="E8" s="971"/>
      <c r="F8" s="971"/>
      <c r="G8" s="971"/>
      <c r="H8" s="972"/>
      <c r="I8" s="967"/>
      <c r="J8" s="967"/>
      <c r="K8" s="967"/>
      <c r="L8" s="967"/>
      <c r="M8" s="82"/>
      <c r="N8" s="82"/>
      <c r="O8" s="82"/>
      <c r="P8" s="478"/>
      <c r="Q8" s="62"/>
      <c r="R8" s="968"/>
      <c r="S8" s="65"/>
      <c r="T8" s="65"/>
      <c r="U8" s="65"/>
      <c r="V8" s="65"/>
      <c r="W8" s="65"/>
      <c r="X8" s="65"/>
      <c r="Y8" s="65"/>
      <c r="Z8" s="65"/>
      <c r="AA8" s="65"/>
      <c r="AB8" s="5"/>
      <c r="AC8" s="22"/>
    </row>
    <row r="9" spans="1:31" ht="24.75" customHeight="1">
      <c r="A9" s="1495" t="s">
        <v>597</v>
      </c>
      <c r="B9" s="1496"/>
      <c r="C9" s="1496"/>
      <c r="D9" s="1496"/>
      <c r="E9" s="1496"/>
      <c r="F9" s="1496"/>
      <c r="G9" s="1496"/>
      <c r="H9" s="1496"/>
      <c r="I9" s="1496"/>
      <c r="J9" s="1496"/>
      <c r="K9" s="1496"/>
      <c r="L9" s="1496"/>
      <c r="M9" s="973"/>
      <c r="N9" s="973"/>
      <c r="O9" s="973"/>
      <c r="P9" s="973"/>
      <c r="Q9" s="189"/>
      <c r="R9" s="189"/>
      <c r="S9" s="189"/>
      <c r="T9" s="189"/>
      <c r="U9" s="189"/>
      <c r="V9" s="189"/>
      <c r="W9" s="189"/>
      <c r="X9" s="189"/>
      <c r="Y9" s="189"/>
      <c r="Z9" s="189"/>
      <c r="AA9" s="189"/>
      <c r="AB9" s="189"/>
    </row>
    <row r="10" spans="1:31" ht="12" customHeight="1">
      <c r="A10" s="26"/>
      <c r="B10" s="27"/>
      <c r="C10" s="27"/>
      <c r="D10" s="27"/>
      <c r="E10" s="26"/>
      <c r="F10" s="26"/>
      <c r="G10" s="26"/>
      <c r="H10" s="26"/>
      <c r="I10" s="26"/>
      <c r="J10" s="26"/>
      <c r="K10" s="26"/>
      <c r="L10" s="27"/>
      <c r="M10" s="23"/>
      <c r="N10" s="24"/>
      <c r="O10" s="25"/>
    </row>
    <row r="11" spans="1:31" ht="15" customHeight="1">
      <c r="A11" s="1483" t="s">
        <v>4</v>
      </c>
      <c r="B11" s="1484" t="s">
        <v>66</v>
      </c>
      <c r="C11" s="1483" t="s">
        <v>51</v>
      </c>
      <c r="D11" s="1483" t="s">
        <v>10</v>
      </c>
      <c r="E11" s="1483" t="s">
        <v>33</v>
      </c>
      <c r="F11" s="1485" t="s">
        <v>599</v>
      </c>
      <c r="G11" s="1485" t="s">
        <v>18</v>
      </c>
      <c r="H11" s="1485" t="s">
        <v>600</v>
      </c>
      <c r="I11" s="1483" t="s">
        <v>257</v>
      </c>
      <c r="J11" s="1497" t="s">
        <v>166</v>
      </c>
      <c r="K11" s="1497" t="s">
        <v>366</v>
      </c>
      <c r="L11" s="1483" t="s">
        <v>67</v>
      </c>
      <c r="M11" s="294"/>
      <c r="N11" s="109"/>
      <c r="O11" s="110"/>
    </row>
    <row r="12" spans="1:31" ht="30" customHeight="1">
      <c r="A12" s="1483"/>
      <c r="B12" s="1484"/>
      <c r="C12" s="1483"/>
      <c r="D12" s="1483"/>
      <c r="E12" s="1483"/>
      <c r="F12" s="1486"/>
      <c r="G12" s="1486"/>
      <c r="H12" s="1486"/>
      <c r="I12" s="1483"/>
      <c r="J12" s="1497"/>
      <c r="K12" s="1497"/>
      <c r="L12" s="1483"/>
      <c r="M12" s="111"/>
      <c r="N12" s="109"/>
      <c r="O12" s="110"/>
    </row>
    <row r="13" spans="1:31" ht="32.25" customHeight="1">
      <c r="A13" s="974">
        <v>1</v>
      </c>
      <c r="B13" s="975" t="str">
        <f>'Bảng ĐP - BV  '!B16</f>
        <v>N. Tinh</v>
      </c>
      <c r="C13" s="976" t="str">
        <f>'Bảng ĐP - BV  '!C16</f>
        <v>Bảo vệ (T1)</v>
      </c>
      <c r="D13" s="977"/>
      <c r="E13" s="974">
        <f>'Bảng ĐP - BV  '!AI16</f>
        <v>30</v>
      </c>
      <c r="F13" s="978">
        <f>(2000000/E13)</f>
        <v>66666.666666666672</v>
      </c>
      <c r="G13" s="978">
        <f>E13*F13</f>
        <v>2000000.0000000002</v>
      </c>
      <c r="H13" s="978">
        <v>600000</v>
      </c>
      <c r="I13" s="979">
        <f>G13+H13</f>
        <v>2600000</v>
      </c>
      <c r="J13" s="960"/>
      <c r="K13" s="979">
        <f>I13-J13</f>
        <v>2600000</v>
      </c>
      <c r="L13" s="980"/>
      <c r="M13" s="111"/>
      <c r="N13" s="109"/>
      <c r="O13" s="110"/>
    </row>
    <row r="14" spans="1:31" ht="32.25" customHeight="1">
      <c r="A14" s="974">
        <v>2</v>
      </c>
      <c r="B14" s="975" t="str">
        <f>'Bảng ĐP - BV  '!B17</f>
        <v>Đô La</v>
      </c>
      <c r="C14" s="976" t="str">
        <f>'Bảng ĐP - BV  '!C17</f>
        <v>Bảo vệ (T2)</v>
      </c>
      <c r="D14" s="977"/>
      <c r="E14" s="974">
        <f>'Bảng ĐP - BV  '!AI17</f>
        <v>30</v>
      </c>
      <c r="F14" s="978">
        <f t="shared" ref="F14:F15" si="0">(2000000/E14)</f>
        <v>66666.666666666672</v>
      </c>
      <c r="G14" s="978">
        <f t="shared" ref="G14:G15" si="1">E14*F14</f>
        <v>2000000.0000000002</v>
      </c>
      <c r="H14" s="978">
        <v>600000</v>
      </c>
      <c r="I14" s="979">
        <f t="shared" ref="I14:I15" si="2">G14+H14</f>
        <v>2600000</v>
      </c>
      <c r="J14" s="960"/>
      <c r="K14" s="979">
        <f t="shared" ref="K14:K15" si="3">I14-J14</f>
        <v>2600000</v>
      </c>
      <c r="L14" s="980"/>
      <c r="M14" s="111"/>
      <c r="N14" s="109"/>
      <c r="O14" s="110"/>
    </row>
    <row r="15" spans="1:31" ht="32.25" customHeight="1">
      <c r="A15" s="974">
        <v>3</v>
      </c>
      <c r="B15" s="975" t="str">
        <f>'Bảng ĐP - BV  '!B18</f>
        <v xml:space="preserve">Thảo Mét </v>
      </c>
      <c r="C15" s="976" t="str">
        <f>'Bảng ĐP - BV  '!C18</f>
        <v>Bảo vệ (VP)</v>
      </c>
      <c r="D15" s="977"/>
      <c r="E15" s="974">
        <f>'Bảng ĐP - BV  '!AI18</f>
        <v>30</v>
      </c>
      <c r="F15" s="978">
        <f t="shared" si="0"/>
        <v>66666.666666666672</v>
      </c>
      <c r="G15" s="978">
        <f t="shared" si="1"/>
        <v>2000000.0000000002</v>
      </c>
      <c r="H15" s="978">
        <v>600000</v>
      </c>
      <c r="I15" s="979">
        <f t="shared" si="2"/>
        <v>2600000</v>
      </c>
      <c r="J15" s="961">
        <f>IF(I15&gt;65000000,((I15-65000000)*25%+10685000),IF(I15&gt;25000000,((I15-25000000)*20%+2685000),IF(I15&gt;15000000,((I15-15000000)*15%+1185000),IF(I15&gt;5000000,(I15-5000000)*10%+185000,IF(I15&gt;1300000,(I15-1300000)*5%,0)))))</f>
        <v>65000</v>
      </c>
      <c r="K15" s="979">
        <f t="shared" si="3"/>
        <v>2535000</v>
      </c>
      <c r="L15" s="980"/>
      <c r="M15" s="111"/>
      <c r="N15" s="109"/>
      <c r="O15" s="110"/>
    </row>
    <row r="16" spans="1:31" ht="32.25" customHeight="1">
      <c r="A16" s="1483" t="s">
        <v>157</v>
      </c>
      <c r="B16" s="1483"/>
      <c r="C16" s="980"/>
      <c r="D16" s="980"/>
      <c r="E16" s="981">
        <f>SUM(E13:E15)</f>
        <v>90</v>
      </c>
      <c r="F16" s="962">
        <f>SUM(F13:F15)</f>
        <v>200000</v>
      </c>
      <c r="G16" s="962"/>
      <c r="H16" s="962">
        <f>SUM(H13:H15)</f>
        <v>1800000</v>
      </c>
      <c r="I16" s="982">
        <f>SUM(I13:I15)</f>
        <v>7800000</v>
      </c>
      <c r="J16" s="962">
        <f>SUM(J13:J15)</f>
        <v>65000</v>
      </c>
      <c r="K16" s="962">
        <f>SUM(K13:K15)</f>
        <v>7735000</v>
      </c>
      <c r="L16" s="974"/>
      <c r="M16" s="111"/>
      <c r="N16" s="112">
        <f>I16/25000</f>
        <v>312</v>
      </c>
      <c r="O16" s="113"/>
    </row>
    <row r="17" spans="1:44" ht="27.75" customHeight="1">
      <c r="A17" s="1487" t="s">
        <v>853</v>
      </c>
      <c r="B17" s="1488"/>
      <c r="C17" s="1488"/>
      <c r="D17" s="1488"/>
      <c r="E17" s="1488"/>
      <c r="F17" s="1488"/>
      <c r="G17" s="1488"/>
      <c r="H17" s="1488"/>
      <c r="I17" s="1488"/>
      <c r="J17" s="1488"/>
      <c r="K17" s="1488"/>
      <c r="L17" s="1489"/>
    </row>
    <row r="18" spans="1:44" ht="18" customHeight="1">
      <c r="A18" s="966"/>
      <c r="B18" s="966"/>
      <c r="C18" s="966"/>
      <c r="D18" s="966"/>
      <c r="E18" s="966"/>
      <c r="F18" s="966"/>
      <c r="G18" s="966"/>
      <c r="H18" s="1490" t="s">
        <v>601</v>
      </c>
      <c r="I18" s="1490"/>
      <c r="J18" s="1490"/>
      <c r="K18" s="1490"/>
      <c r="L18" s="1490"/>
    </row>
    <row r="19" spans="1:44" ht="18" customHeight="1">
      <c r="A19" s="120"/>
      <c r="B19" s="120"/>
      <c r="C19" s="120"/>
      <c r="D19" s="120"/>
      <c r="E19" s="120"/>
      <c r="F19" s="120"/>
      <c r="G19" s="120"/>
      <c r="H19" s="983"/>
      <c r="I19" s="983"/>
      <c r="J19" s="983"/>
      <c r="K19" s="983"/>
      <c r="L19" s="983"/>
    </row>
    <row r="20" spans="1:44" ht="24" customHeight="1">
      <c r="A20" s="1481" t="s">
        <v>602</v>
      </c>
      <c r="B20" s="1481"/>
      <c r="C20" s="1481"/>
      <c r="D20" s="1481"/>
      <c r="E20" s="1481"/>
      <c r="F20" s="1481"/>
      <c r="G20" s="1481"/>
      <c r="H20" s="1481"/>
      <c r="I20" s="1481"/>
      <c r="J20" s="1481"/>
      <c r="K20" s="1481"/>
      <c r="L20" s="1481"/>
      <c r="M20" s="984"/>
      <c r="N20" s="984"/>
      <c r="O20" s="984"/>
      <c r="P20" s="984"/>
      <c r="Q20" s="984"/>
      <c r="R20" s="984"/>
      <c r="S20" s="984"/>
      <c r="T20" s="984"/>
      <c r="U20" s="984"/>
      <c r="V20" s="984"/>
      <c r="W20" s="984"/>
      <c r="X20" s="984"/>
      <c r="Y20" s="984"/>
      <c r="Z20" s="984"/>
      <c r="AA20" s="984"/>
      <c r="AB20" s="984"/>
      <c r="AC20" s="984"/>
      <c r="AD20" s="984"/>
      <c r="AE20" s="984"/>
      <c r="AF20" s="984"/>
      <c r="AG20" s="984"/>
      <c r="AH20" s="984"/>
      <c r="AI20" s="984"/>
      <c r="AJ20" s="984"/>
      <c r="AK20" s="984"/>
      <c r="AL20" s="984"/>
      <c r="AM20" s="984"/>
      <c r="AN20" s="984"/>
      <c r="AO20" s="984"/>
      <c r="AP20" s="984"/>
      <c r="AQ20" s="984"/>
      <c r="AR20" s="984"/>
    </row>
    <row r="21" spans="1:44" ht="16.5">
      <c r="A21" s="659"/>
      <c r="B21" s="236"/>
      <c r="C21" s="236"/>
      <c r="D21" s="236"/>
      <c r="E21" s="236"/>
      <c r="F21" s="236"/>
      <c r="G21" s="236"/>
      <c r="H21" s="236"/>
      <c r="I21" s="236"/>
      <c r="J21" s="236"/>
      <c r="K21" s="236"/>
      <c r="L21" s="659"/>
      <c r="M21" s="236"/>
      <c r="N21" s="236"/>
      <c r="O21" s="236"/>
      <c r="P21" s="236"/>
      <c r="Q21" s="236"/>
      <c r="R21" s="659"/>
      <c r="S21" s="659"/>
      <c r="T21" s="659"/>
      <c r="U21" s="659"/>
      <c r="V21" s="659"/>
      <c r="W21" s="659"/>
      <c r="X21" s="659"/>
      <c r="Y21" s="659"/>
      <c r="Z21" s="659"/>
      <c r="AA21" s="659"/>
      <c r="AB21" s="659"/>
      <c r="AC21" s="659"/>
      <c r="AD21" s="659"/>
      <c r="AE21" s="659"/>
      <c r="AF21" s="659"/>
    </row>
    <row r="22" spans="1:44" ht="16.5">
      <c r="A22" s="985"/>
      <c r="B22" s="985"/>
      <c r="C22" s="985"/>
      <c r="D22" s="814"/>
      <c r="E22" s="814"/>
      <c r="F22" s="814"/>
      <c r="G22" s="814"/>
      <c r="H22" s="814"/>
      <c r="I22" s="814"/>
      <c r="J22" s="814"/>
      <c r="K22" s="814"/>
      <c r="L22" s="814"/>
      <c r="M22" s="814"/>
      <c r="N22" s="986"/>
      <c r="O22" s="814"/>
      <c r="P22" s="684"/>
      <c r="Q22" s="684"/>
      <c r="R22" s="684"/>
      <c r="S22" s="684"/>
      <c r="T22" s="684"/>
      <c r="U22" s="684"/>
      <c r="V22" s="684"/>
      <c r="W22" s="684"/>
      <c r="X22" s="684"/>
      <c r="Y22" s="684"/>
      <c r="Z22" s="684"/>
      <c r="AA22" s="685"/>
      <c r="AB22" s="814"/>
      <c r="AC22" s="814"/>
      <c r="AD22" s="814"/>
      <c r="AE22" s="814"/>
      <c r="AF22" s="684"/>
    </row>
    <row r="23" spans="1:44" ht="16.5">
      <c r="A23" s="985"/>
      <c r="B23" s="985"/>
      <c r="C23" s="985"/>
      <c r="D23" s="814"/>
      <c r="E23" s="814"/>
      <c r="F23" s="814"/>
      <c r="G23" s="814"/>
      <c r="H23" s="814"/>
      <c r="I23" s="814"/>
      <c r="J23" s="814"/>
      <c r="K23" s="814"/>
      <c r="L23" s="814"/>
      <c r="M23" s="814"/>
      <c r="N23" s="986"/>
      <c r="O23" s="814"/>
      <c r="P23" s="684"/>
      <c r="Q23" s="684"/>
      <c r="R23" s="684"/>
      <c r="S23" s="684"/>
      <c r="T23" s="684"/>
      <c r="U23" s="684"/>
      <c r="V23" s="684"/>
      <c r="W23" s="684"/>
      <c r="X23" s="684"/>
      <c r="Y23" s="684"/>
      <c r="Z23" s="684"/>
      <c r="AA23" s="685"/>
      <c r="AB23" s="814"/>
      <c r="AC23" s="814"/>
      <c r="AD23" s="814"/>
      <c r="AE23" s="814"/>
      <c r="AF23" s="684"/>
    </row>
    <row r="24" spans="1:44" ht="16.5">
      <c r="A24" s="985"/>
      <c r="B24" s="985"/>
      <c r="C24" s="985"/>
      <c r="D24" s="814"/>
      <c r="E24" s="814"/>
      <c r="F24" s="814"/>
      <c r="G24" s="814"/>
      <c r="H24" s="814"/>
      <c r="I24" s="814"/>
      <c r="J24" s="814"/>
      <c r="K24" s="814"/>
      <c r="L24" s="814"/>
      <c r="M24" s="814"/>
      <c r="N24" s="986"/>
      <c r="O24" s="814"/>
      <c r="P24" s="684"/>
      <c r="Q24" s="684"/>
      <c r="R24" s="684"/>
      <c r="S24" s="684"/>
      <c r="T24" s="684"/>
      <c r="U24" s="684"/>
      <c r="V24" s="684"/>
      <c r="W24" s="684"/>
      <c r="X24" s="684"/>
      <c r="Y24" s="684"/>
      <c r="Z24" s="684"/>
      <c r="AA24" s="685"/>
      <c r="AB24" s="814"/>
      <c r="AC24" s="814"/>
      <c r="AD24" s="814"/>
      <c r="AE24" s="814"/>
      <c r="AF24" s="684"/>
    </row>
    <row r="25" spans="1:44" ht="16.5">
      <c r="A25" s="985"/>
      <c r="B25" s="985"/>
      <c r="C25" s="985"/>
      <c r="D25" s="814"/>
      <c r="E25" s="814"/>
      <c r="F25" s="814"/>
      <c r="G25" s="814"/>
      <c r="H25" s="814"/>
      <c r="I25" s="814"/>
      <c r="J25" s="814"/>
      <c r="K25" s="814"/>
      <c r="L25" s="814"/>
      <c r="M25" s="814"/>
      <c r="N25" s="986"/>
      <c r="O25" s="814">
        <f>I16</f>
        <v>7800000</v>
      </c>
      <c r="P25" s="684" t="e">
        <f>SUM(O25:O28)</f>
        <v>#REF!</v>
      </c>
      <c r="Q25" s="684"/>
      <c r="R25" s="684"/>
      <c r="S25" s="684"/>
      <c r="T25" s="684"/>
      <c r="U25" s="684"/>
      <c r="V25" s="684"/>
      <c r="W25" s="684"/>
      <c r="X25" s="684"/>
      <c r="Y25" s="684"/>
      <c r="Z25" s="684"/>
      <c r="AA25" s="685"/>
      <c r="AB25" s="814"/>
      <c r="AC25" s="814"/>
      <c r="AD25" s="814"/>
      <c r="AE25" s="814"/>
      <c r="AF25" s="684"/>
    </row>
    <row r="26" spans="1:44" ht="16.5">
      <c r="A26" s="985"/>
      <c r="B26" s="985"/>
      <c r="C26" s="985"/>
      <c r="D26" s="814"/>
      <c r="E26" s="814"/>
      <c r="F26" s="814"/>
      <c r="G26" s="814"/>
      <c r="H26" s="814"/>
      <c r="I26" s="814"/>
      <c r="J26" s="814"/>
      <c r="K26" s="814"/>
      <c r="L26" s="814"/>
      <c r="M26" s="814"/>
      <c r="N26" s="986"/>
      <c r="O26" s="814" t="e">
        <f>#REF!</f>
        <v>#REF!</v>
      </c>
      <c r="P26" s="684"/>
      <c r="Q26" s="684"/>
      <c r="R26" s="684"/>
      <c r="S26" s="684"/>
      <c r="T26" s="684"/>
      <c r="U26" s="684"/>
      <c r="V26" s="684"/>
      <c r="W26" s="684"/>
      <c r="X26" s="684"/>
      <c r="Y26" s="684"/>
      <c r="Z26" s="684"/>
      <c r="AA26" s="685"/>
      <c r="AB26" s="814"/>
      <c r="AC26" s="814"/>
      <c r="AD26" s="814"/>
      <c r="AE26" s="814"/>
      <c r="AF26" s="684"/>
    </row>
    <row r="27" spans="1:44" ht="16.5">
      <c r="A27" s="985"/>
      <c r="B27" s="985"/>
      <c r="C27" s="985"/>
      <c r="D27" s="814"/>
      <c r="E27" s="814"/>
      <c r="F27" s="814"/>
      <c r="G27" s="814"/>
      <c r="H27" s="814"/>
      <c r="I27" s="814"/>
      <c r="J27" s="814"/>
      <c r="K27" s="814"/>
      <c r="L27" s="814"/>
      <c r="M27" s="814"/>
      <c r="N27" s="986"/>
      <c r="O27" s="814">
        <f>'[2]lương gián tiếp'!G18</f>
        <v>11569069</v>
      </c>
      <c r="P27" s="684"/>
      <c r="Q27" s="684"/>
      <c r="R27" s="684"/>
      <c r="S27" s="684"/>
      <c r="T27" s="684"/>
      <c r="U27" s="684"/>
      <c r="V27" s="684"/>
      <c r="W27" s="684"/>
      <c r="X27" s="684"/>
      <c r="Y27" s="684"/>
      <c r="Z27" s="684"/>
      <c r="AA27" s="685"/>
      <c r="AB27" s="814"/>
      <c r="AC27" s="814"/>
      <c r="AD27" s="814"/>
      <c r="AE27" s="814"/>
      <c r="AF27" s="684"/>
    </row>
    <row r="28" spans="1:44" ht="16.5">
      <c r="A28" s="985"/>
      <c r="B28" s="985"/>
      <c r="C28" s="985"/>
      <c r="D28" s="814"/>
      <c r="E28" s="814"/>
      <c r="F28" s="814"/>
      <c r="G28" s="814"/>
      <c r="H28" s="814"/>
      <c r="I28" s="814"/>
      <c r="J28" s="814"/>
      <c r="K28" s="814"/>
      <c r="M28" s="814"/>
      <c r="N28" s="986"/>
      <c r="O28" s="814"/>
      <c r="P28" s="685"/>
      <c r="Q28" s="684"/>
      <c r="R28" s="684"/>
      <c r="S28" s="684"/>
      <c r="T28" s="684"/>
      <c r="U28" s="684"/>
      <c r="V28" s="684"/>
      <c r="W28" s="684"/>
      <c r="X28" s="684"/>
      <c r="Y28" s="684"/>
      <c r="Z28" s="684"/>
      <c r="AA28" s="684"/>
      <c r="AB28" s="814"/>
      <c r="AC28" s="814"/>
      <c r="AD28" s="814"/>
      <c r="AE28" s="684"/>
      <c r="AF28" s="684"/>
    </row>
    <row r="29" spans="1:44" ht="16.5">
      <c r="A29" s="985"/>
      <c r="B29" s="985"/>
      <c r="C29" s="985"/>
      <c r="D29" s="985"/>
      <c r="E29" s="985"/>
      <c r="F29" s="985"/>
      <c r="G29" s="985"/>
      <c r="H29" s="1482"/>
      <c r="I29" s="1482"/>
      <c r="J29" s="1482"/>
      <c r="K29" s="1482"/>
      <c r="L29" s="1482"/>
      <c r="M29" s="985"/>
      <c r="P29" s="985"/>
      <c r="Q29" s="985"/>
      <c r="R29" s="985"/>
      <c r="S29" s="985"/>
      <c r="T29" s="985"/>
      <c r="U29" s="985"/>
      <c r="V29" s="985"/>
      <c r="AC29" s="985"/>
      <c r="AD29" s="985"/>
      <c r="AE29" s="985"/>
      <c r="AF29" s="985"/>
    </row>
    <row r="30" spans="1:44">
      <c r="O30" s="987" t="e">
        <f>P25/25000</f>
        <v>#REF!</v>
      </c>
    </row>
  </sheetData>
  <mergeCells count="23">
    <mergeCell ref="A2:L2"/>
    <mergeCell ref="A3:L3"/>
    <mergeCell ref="A4:L4"/>
    <mergeCell ref="A6:F6"/>
    <mergeCell ref="F11:F12"/>
    <mergeCell ref="A7:F7"/>
    <mergeCell ref="A9:L9"/>
    <mergeCell ref="J11:J12"/>
    <mergeCell ref="K11:K12"/>
    <mergeCell ref="L11:L12"/>
    <mergeCell ref="A20:L20"/>
    <mergeCell ref="H29:L29"/>
    <mergeCell ref="A11:A12"/>
    <mergeCell ref="B11:B12"/>
    <mergeCell ref="C11:C12"/>
    <mergeCell ref="D11:D12"/>
    <mergeCell ref="E11:E12"/>
    <mergeCell ref="H11:H12"/>
    <mergeCell ref="I11:I12"/>
    <mergeCell ref="G11:G12"/>
    <mergeCell ref="A16:B16"/>
    <mergeCell ref="A17:L17"/>
    <mergeCell ref="H18:L18"/>
  </mergeCells>
  <printOptions horizontalCentered="1"/>
  <pageMargins left="0.37" right="0.17" top="0.25" bottom="0.21" header="0.17" footer="0.196850393700787"/>
  <pageSetup paperSize="9" fitToHeight="0" orientation="landscape" r:id="rId1"/>
  <headerFooter>
    <oddFooter>&amp;R&amp;P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92D050"/>
  </sheetPr>
  <dimension ref="A1:AB27"/>
  <sheetViews>
    <sheetView workbookViewId="0">
      <pane ySplit="1" topLeftCell="A8" activePane="bottomLeft" state="frozen"/>
      <selection activeCell="A23" sqref="A23:AN23"/>
      <selection pane="bottomLeft" activeCell="A18" sqref="A18:I18"/>
    </sheetView>
  </sheetViews>
  <sheetFormatPr defaultColWidth="9.140625" defaultRowHeight="16.5"/>
  <cols>
    <col min="1" max="1" width="5" style="120" customWidth="1"/>
    <col min="2" max="2" width="21.7109375" style="120" customWidth="1"/>
    <col min="3" max="3" width="19.85546875" style="120" customWidth="1"/>
    <col min="4" max="4" width="10.42578125" style="120" customWidth="1"/>
    <col min="5" max="5" width="15.28515625" style="120" customWidth="1"/>
    <col min="6" max="6" width="20.140625" style="120" customWidth="1"/>
    <col min="7" max="7" width="15.28515625" style="120" customWidth="1"/>
    <col min="8" max="8" width="13.7109375" style="120" customWidth="1"/>
    <col min="9" max="9" width="19.85546875" style="120" customWidth="1"/>
    <col min="10" max="10" width="8.42578125" style="120" customWidth="1"/>
    <col min="11" max="11" width="12.85546875" style="120" customWidth="1"/>
    <col min="12" max="12" width="13.42578125" style="120" customWidth="1"/>
    <col min="13" max="14" width="7.85546875" style="120" customWidth="1"/>
    <col min="15" max="15" width="7.28515625" style="120" customWidth="1"/>
    <col min="16" max="16" width="7.42578125" style="120" customWidth="1"/>
    <col min="17" max="17" width="6.28515625" style="120" customWidth="1"/>
    <col min="18" max="18" width="5.7109375" style="120" customWidth="1"/>
    <col min="19" max="19" width="6" style="120" customWidth="1"/>
    <col min="20" max="20" width="4.85546875" style="120" customWidth="1"/>
    <col min="21" max="21" width="6" style="120" customWidth="1"/>
    <col min="22" max="22" width="6.5703125" style="120" customWidth="1"/>
    <col min="23" max="23" width="8.140625" style="120" customWidth="1"/>
    <col min="24" max="24" width="6" style="120" customWidth="1"/>
    <col min="25" max="25" width="8.140625" style="120" customWidth="1"/>
    <col min="26" max="26" width="15" style="120" bestFit="1" customWidth="1"/>
    <col min="27" max="27" width="17.85546875" style="120" bestFit="1" customWidth="1"/>
    <col min="28" max="28" width="12.85546875" style="120" bestFit="1" customWidth="1"/>
    <col min="29" max="16384" width="9.140625" style="120"/>
  </cols>
  <sheetData>
    <row r="1" spans="1:28">
      <c r="A1" s="1501" t="s">
        <v>54</v>
      </c>
      <c r="B1" s="1501"/>
      <c r="C1" s="1501"/>
      <c r="D1" s="1501"/>
      <c r="E1" s="1501"/>
      <c r="F1" s="1501"/>
      <c r="G1" s="1501"/>
      <c r="H1" s="1501"/>
      <c r="I1" s="1501"/>
    </row>
    <row r="2" spans="1:28">
      <c r="A2" s="1501" t="s">
        <v>40</v>
      </c>
      <c r="B2" s="1501"/>
      <c r="C2" s="1501"/>
      <c r="D2" s="1501"/>
      <c r="E2" s="1501"/>
      <c r="F2" s="1501"/>
      <c r="G2" s="1501"/>
      <c r="H2" s="1501"/>
      <c r="I2" s="1501"/>
      <c r="J2" s="14"/>
      <c r="K2" s="14"/>
      <c r="L2" s="14"/>
      <c r="M2" s="330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8">
      <c r="A3" s="1506" t="s">
        <v>293</v>
      </c>
      <c r="B3" s="1501"/>
      <c r="C3" s="1501"/>
      <c r="D3" s="1501"/>
      <c r="E3" s="1501"/>
      <c r="F3" s="1501"/>
      <c r="G3" s="1501"/>
      <c r="H3" s="1501"/>
      <c r="I3" s="1501"/>
      <c r="J3" s="15"/>
      <c r="K3" s="15"/>
      <c r="L3" s="15"/>
      <c r="M3" s="15"/>
      <c r="N3" s="331"/>
      <c r="P3" s="15"/>
      <c r="Q3" s="15"/>
      <c r="R3" s="15"/>
      <c r="S3" s="15"/>
      <c r="T3" s="15"/>
      <c r="U3" s="15"/>
      <c r="V3" s="15"/>
      <c r="W3" s="15"/>
      <c r="X3" s="15"/>
      <c r="Y3" s="331"/>
    </row>
    <row r="4" spans="1:28">
      <c r="J4" s="15"/>
      <c r="K4" s="15"/>
      <c r="L4" s="15"/>
      <c r="M4" s="15"/>
      <c r="N4" s="331"/>
      <c r="P4" s="15"/>
      <c r="Q4" s="15"/>
      <c r="R4" s="15"/>
      <c r="S4" s="15"/>
      <c r="T4" s="15"/>
      <c r="U4" s="15"/>
      <c r="V4" s="15"/>
      <c r="W4" s="15"/>
      <c r="X4" s="15"/>
      <c r="Y4" s="331"/>
    </row>
    <row r="5" spans="1:28" ht="25.15" customHeight="1">
      <c r="A5" s="1502" t="s">
        <v>598</v>
      </c>
      <c r="B5" s="1502"/>
      <c r="C5" s="1502"/>
      <c r="D5" s="1502"/>
      <c r="E5" s="1502"/>
      <c r="F5" s="155"/>
      <c r="G5" s="155"/>
      <c r="H5" s="155"/>
      <c r="I5" s="155"/>
      <c r="J5" s="333"/>
      <c r="K5" s="333"/>
      <c r="L5" s="333"/>
      <c r="M5" s="334"/>
      <c r="N5" s="335"/>
      <c r="O5" s="336"/>
      <c r="P5" s="337"/>
      <c r="Q5" s="337"/>
      <c r="R5" s="337"/>
      <c r="S5" s="337"/>
      <c r="T5" s="337"/>
      <c r="U5" s="337"/>
      <c r="V5" s="337"/>
      <c r="W5" s="337"/>
      <c r="X5" s="337"/>
      <c r="Y5" s="331"/>
      <c r="Z5" s="338">
        <f>1372+388</f>
        <v>1760</v>
      </c>
      <c r="AA5" s="120">
        <f>Z5*30000</f>
        <v>52800000</v>
      </c>
      <c r="AB5" s="120" t="e">
        <f>AA5+#REF!+#REF!</f>
        <v>#REF!</v>
      </c>
    </row>
    <row r="6" spans="1:28" ht="22.15" customHeight="1">
      <c r="A6" s="1507" t="s">
        <v>583</v>
      </c>
      <c r="B6" s="1507"/>
      <c r="C6" s="1507"/>
      <c r="D6" s="1507"/>
      <c r="E6" s="1507"/>
      <c r="F6" s="544"/>
      <c r="G6" s="332"/>
      <c r="H6" s="332"/>
      <c r="I6" s="332"/>
      <c r="J6" s="333"/>
      <c r="K6" s="333"/>
      <c r="L6" s="333"/>
      <c r="M6" s="334"/>
      <c r="N6" s="335"/>
      <c r="O6" s="336"/>
      <c r="P6" s="337"/>
      <c r="Q6" s="337"/>
      <c r="R6" s="337"/>
      <c r="S6" s="337"/>
      <c r="T6" s="337"/>
      <c r="U6" s="337"/>
      <c r="V6" s="337"/>
      <c r="W6" s="337"/>
      <c r="X6" s="337"/>
      <c r="Y6" s="331"/>
      <c r="Z6" s="338"/>
    </row>
    <row r="7" spans="1:28">
      <c r="A7" s="864"/>
      <c r="B7" s="864"/>
      <c r="C7" s="864"/>
      <c r="D7" s="864"/>
      <c r="E7" s="864"/>
      <c r="F7" s="544"/>
      <c r="G7" s="332"/>
      <c r="H7" s="332"/>
      <c r="I7" s="332"/>
      <c r="J7" s="333"/>
      <c r="K7" s="333"/>
      <c r="L7" s="333"/>
      <c r="M7" s="334"/>
      <c r="N7" s="335"/>
      <c r="O7" s="336"/>
      <c r="P7" s="337"/>
      <c r="Q7" s="337"/>
      <c r="R7" s="337"/>
      <c r="S7" s="337"/>
      <c r="T7" s="337"/>
      <c r="U7" s="337"/>
      <c r="V7" s="337"/>
      <c r="W7" s="337"/>
      <c r="X7" s="337"/>
      <c r="Y7" s="331"/>
      <c r="Z7" s="338"/>
    </row>
    <row r="8" spans="1:28" ht="20.25">
      <c r="A8" s="1503" t="s">
        <v>603</v>
      </c>
      <c r="B8" s="1504"/>
      <c r="C8" s="1504"/>
      <c r="D8" s="1504"/>
      <c r="E8" s="1504"/>
      <c r="F8" s="1504"/>
      <c r="G8" s="1504"/>
      <c r="H8" s="1504"/>
      <c r="I8" s="1504"/>
      <c r="J8" s="333"/>
      <c r="K8" s="333"/>
      <c r="L8" s="333"/>
      <c r="M8" s="334"/>
      <c r="N8" s="335"/>
      <c r="O8" s="336"/>
      <c r="P8" s="337"/>
      <c r="Q8" s="337"/>
      <c r="R8" s="337"/>
      <c r="S8" s="337"/>
      <c r="T8" s="337"/>
      <c r="U8" s="337"/>
      <c r="V8" s="337"/>
      <c r="W8" s="337"/>
      <c r="X8" s="337"/>
      <c r="Y8" s="331"/>
      <c r="Z8" s="338"/>
    </row>
    <row r="9" spans="1:28" ht="27" customHeight="1">
      <c r="A9" s="550"/>
      <c r="B9" s="341"/>
      <c r="C9" s="341"/>
      <c r="D9" s="550"/>
      <c r="E9" s="550"/>
      <c r="F9" s="550"/>
      <c r="G9" s="550"/>
      <c r="H9" s="550"/>
      <c r="I9" s="458" t="s">
        <v>373</v>
      </c>
      <c r="J9" s="339"/>
      <c r="K9" s="339"/>
      <c r="L9" s="339"/>
      <c r="M9" s="339"/>
      <c r="N9" s="340"/>
      <c r="O9" s="340"/>
      <c r="P9" s="340"/>
      <c r="Q9" s="340"/>
      <c r="R9" s="340"/>
      <c r="S9" s="340"/>
      <c r="T9" s="340"/>
      <c r="U9" s="340"/>
      <c r="V9" s="340"/>
      <c r="W9" s="340"/>
      <c r="X9" s="340"/>
      <c r="Y9" s="340"/>
    </row>
    <row r="10" spans="1:28" ht="16.5" customHeight="1">
      <c r="A10" s="1512" t="s">
        <v>4</v>
      </c>
      <c r="B10" s="1512" t="s">
        <v>66</v>
      </c>
      <c r="C10" s="1512" t="s">
        <v>10</v>
      </c>
      <c r="D10" s="1513" t="s">
        <v>33</v>
      </c>
      <c r="E10" s="1515" t="s">
        <v>304</v>
      </c>
      <c r="F10" s="1516" t="s">
        <v>305</v>
      </c>
      <c r="G10" s="1512" t="s">
        <v>257</v>
      </c>
      <c r="H10" s="1468" t="s">
        <v>166</v>
      </c>
      <c r="I10" s="1468" t="s">
        <v>366</v>
      </c>
      <c r="J10" s="345"/>
      <c r="K10" s="346"/>
      <c r="L10" s="347"/>
    </row>
    <row r="11" spans="1:28" ht="39.75" customHeight="1">
      <c r="A11" s="1512"/>
      <c r="B11" s="1512"/>
      <c r="C11" s="1512"/>
      <c r="D11" s="1514"/>
      <c r="E11" s="1515"/>
      <c r="F11" s="1516"/>
      <c r="G11" s="1512"/>
      <c r="H11" s="1468"/>
      <c r="I11" s="1468"/>
      <c r="J11" s="348"/>
      <c r="K11" s="346"/>
      <c r="L11" s="347"/>
    </row>
    <row r="12" spans="1:28" ht="20.25" customHeight="1">
      <c r="A12" s="989" t="s">
        <v>71</v>
      </c>
      <c r="B12" s="1498" t="s">
        <v>606</v>
      </c>
      <c r="C12" s="1500"/>
      <c r="D12" s="459">
        <f t="shared" ref="D12:I12" si="0">SUM(D13:D14)</f>
        <v>60</v>
      </c>
      <c r="E12" s="525">
        <f t="shared" si="0"/>
        <v>6000000</v>
      </c>
      <c r="F12" s="525">
        <f t="shared" si="0"/>
        <v>7248727.5314952303</v>
      </c>
      <c r="G12" s="525">
        <f t="shared" si="0"/>
        <v>13248727.53149523</v>
      </c>
      <c r="H12" s="525">
        <f t="shared" si="0"/>
        <v>694872.75314952305</v>
      </c>
      <c r="I12" s="525">
        <f t="shared" si="0"/>
        <v>12553854.778345708</v>
      </c>
      <c r="J12" s="348"/>
      <c r="K12" s="346"/>
      <c r="L12" s="347"/>
    </row>
    <row r="13" spans="1:28" ht="20.25" customHeight="1">
      <c r="A13" s="241">
        <v>1</v>
      </c>
      <c r="B13" s="442" t="str">
        <f>'Bảng ĐP - BV  '!B13</f>
        <v>Thảo Văn Vông</v>
      </c>
      <c r="C13" s="241"/>
      <c r="D13" s="241">
        <f>'Bảng ĐP - BV  '!AI13</f>
        <v>30</v>
      </c>
      <c r="E13" s="523">
        <f>'Tỉ lệ hoàn thành '!J22</f>
        <v>3000000</v>
      </c>
      <c r="F13" s="523">
        <f>'Tỉ lệ hoàn thành '!L22</f>
        <v>3438728.2097560992</v>
      </c>
      <c r="G13" s="526">
        <f>E13+F13</f>
        <v>6438728.2097560987</v>
      </c>
      <c r="H13" s="527">
        <f>IF(G13&gt;65000000,((G13-65000000)*25%+10685000),IF(G13&gt;25000000,((G13-25000000)*20%+2685000),IF(G13&gt;15000000,((G13-15000000)*15%+1185000),IF(G13&gt;5000000,(G13-5000000)*10%+185000,IF(G13&gt;1300000,(G13-1300000)*5%,0)))))</f>
        <v>328872.82097560988</v>
      </c>
      <c r="I13" s="521">
        <f>G13-H13</f>
        <v>6109855.3887804886</v>
      </c>
      <c r="J13" s="348"/>
      <c r="K13" s="346"/>
      <c r="L13" s="347"/>
    </row>
    <row r="14" spans="1:28" ht="20.25" customHeight="1">
      <c r="A14" s="241">
        <v>2</v>
      </c>
      <c r="B14" s="442" t="str">
        <f>'Bảng ĐP - BV  '!B14</f>
        <v>Thảo Phôn Chay</v>
      </c>
      <c r="C14" s="241"/>
      <c r="D14" s="241">
        <f>'Bảng ĐP - BV  '!AI14</f>
        <v>30</v>
      </c>
      <c r="E14" s="523">
        <f>'Tỉ lệ hoàn thành '!J23</f>
        <v>3000000</v>
      </c>
      <c r="F14" s="523">
        <f>'Tỉ lệ hoàn thành '!L23</f>
        <v>3809999.3217391316</v>
      </c>
      <c r="G14" s="526">
        <f>E14+F14</f>
        <v>6809999.3217391316</v>
      </c>
      <c r="H14" s="527">
        <f t="shared" ref="H14:H16" si="1">IF(G14&gt;65000000,((G14-65000000)*25%+10685000),IF(G14&gt;25000000,((G14-25000000)*20%+2685000),IF(G14&gt;15000000,((G14-15000000)*15%+1185000),IF(G14&gt;5000000,(G14-5000000)*10%+185000,IF(G14&gt;1300000,(G14-1300000)*5%,0)))))</f>
        <v>365999.93217391317</v>
      </c>
      <c r="I14" s="521">
        <f>G14-H14</f>
        <v>6443999.3895652182</v>
      </c>
      <c r="J14" s="348"/>
      <c r="K14" s="346"/>
      <c r="L14" s="347"/>
    </row>
    <row r="15" spans="1:28" s="463" customFormat="1" ht="20.25" customHeight="1">
      <c r="A15" s="988" t="s">
        <v>62</v>
      </c>
      <c r="B15" s="1518" t="s">
        <v>408</v>
      </c>
      <c r="C15" s="1519"/>
      <c r="D15" s="519">
        <f>D16</f>
        <v>30</v>
      </c>
      <c r="E15" s="522">
        <f t="shared" ref="E15:I15" si="2">E16</f>
        <v>2000000.0000000002</v>
      </c>
      <c r="F15" s="522"/>
      <c r="G15" s="522">
        <f t="shared" si="2"/>
        <v>2000000.0000000002</v>
      </c>
      <c r="H15" s="522">
        <f t="shared" si="2"/>
        <v>35000.000000000015</v>
      </c>
      <c r="I15" s="522">
        <f t="shared" si="2"/>
        <v>1965000.0000000002</v>
      </c>
      <c r="J15" s="460"/>
      <c r="K15" s="461"/>
      <c r="L15" s="462"/>
    </row>
    <row r="16" spans="1:28" ht="20.25" customHeight="1">
      <c r="A16" s="241">
        <v>1</v>
      </c>
      <c r="B16" s="442" t="str">
        <f>'Bảng ĐP - BV  '!B20</f>
        <v>N. Nhung  ( VP)</v>
      </c>
      <c r="C16" s="241"/>
      <c r="D16" s="241">
        <f>'Bảng ĐP - BV  '!AI20</f>
        <v>30</v>
      </c>
      <c r="E16" s="523">
        <f>(2000000/D16)*30</f>
        <v>2000000.0000000002</v>
      </c>
      <c r="F16" s="523"/>
      <c r="G16" s="524">
        <f>E16</f>
        <v>2000000.0000000002</v>
      </c>
      <c r="H16" s="527">
        <f t="shared" si="1"/>
        <v>35000.000000000015</v>
      </c>
      <c r="I16" s="521">
        <f>G16-H16</f>
        <v>1965000.0000000002</v>
      </c>
      <c r="J16" s="348"/>
      <c r="K16" s="346"/>
      <c r="L16" s="347"/>
    </row>
    <row r="17" spans="1:12" ht="20.25" customHeight="1">
      <c r="A17" s="1498" t="s">
        <v>157</v>
      </c>
      <c r="B17" s="1499"/>
      <c r="C17" s="1500"/>
      <c r="D17" s="990">
        <f>D12+D15</f>
        <v>90</v>
      </c>
      <c r="E17" s="990">
        <f t="shared" ref="E17:I17" si="3">E12+E15</f>
        <v>8000000</v>
      </c>
      <c r="F17" s="990">
        <f t="shared" si="3"/>
        <v>7248727.5314952303</v>
      </c>
      <c r="G17" s="1212">
        <f t="shared" si="3"/>
        <v>15248727.53149523</v>
      </c>
      <c r="H17" s="990">
        <f t="shared" si="3"/>
        <v>729872.75314952305</v>
      </c>
      <c r="I17" s="990">
        <f t="shared" si="3"/>
        <v>14518854.778345708</v>
      </c>
      <c r="J17" s="348"/>
      <c r="K17" s="349"/>
      <c r="L17" s="350"/>
    </row>
    <row r="18" spans="1:12" ht="21.75" customHeight="1">
      <c r="A18" s="1509" t="s">
        <v>859</v>
      </c>
      <c r="B18" s="1510"/>
      <c r="C18" s="1510"/>
      <c r="D18" s="1510"/>
      <c r="E18" s="1510"/>
      <c r="F18" s="1510"/>
      <c r="G18" s="1510"/>
      <c r="H18" s="1510"/>
      <c r="I18" s="1511"/>
    </row>
    <row r="19" spans="1:12" ht="17.25">
      <c r="F19" s="1517" t="s">
        <v>610</v>
      </c>
      <c r="G19" s="1517"/>
      <c r="H19" s="1517"/>
      <c r="I19" s="1517"/>
      <c r="J19" s="992"/>
    </row>
    <row r="20" spans="1:12">
      <c r="A20" s="1505" t="s">
        <v>854</v>
      </c>
      <c r="B20" s="1505"/>
      <c r="C20" s="1505"/>
      <c r="D20" s="1505"/>
      <c r="E20" s="1505"/>
      <c r="F20" s="1505"/>
      <c r="G20" s="1505"/>
      <c r="H20" s="1505"/>
      <c r="I20" s="1505"/>
    </row>
    <row r="26" spans="1:12">
      <c r="B26" s="244"/>
      <c r="C26" s="1508"/>
      <c r="D26" s="1508"/>
      <c r="E26" s="1508"/>
      <c r="F26" s="1507"/>
      <c r="G26" s="1507"/>
      <c r="H26" s="1508"/>
      <c r="I26" s="1508"/>
    </row>
    <row r="27" spans="1:12">
      <c r="D27" s="120" t="s">
        <v>162</v>
      </c>
    </row>
  </sheetData>
  <mergeCells count="24">
    <mergeCell ref="C26:E26"/>
    <mergeCell ref="H10:H11"/>
    <mergeCell ref="I10:I11"/>
    <mergeCell ref="A18:I18"/>
    <mergeCell ref="C10:C11"/>
    <mergeCell ref="D10:D11"/>
    <mergeCell ref="E10:E11"/>
    <mergeCell ref="F10:F11"/>
    <mergeCell ref="G10:G11"/>
    <mergeCell ref="F19:I19"/>
    <mergeCell ref="F26:G26"/>
    <mergeCell ref="H26:I26"/>
    <mergeCell ref="A10:A11"/>
    <mergeCell ref="B10:B11"/>
    <mergeCell ref="B12:C12"/>
    <mergeCell ref="B15:C15"/>
    <mergeCell ref="A17:C17"/>
    <mergeCell ref="A1:I1"/>
    <mergeCell ref="A5:E5"/>
    <mergeCell ref="A8:I8"/>
    <mergeCell ref="A20:I20"/>
    <mergeCell ref="A2:I2"/>
    <mergeCell ref="A3:I3"/>
    <mergeCell ref="A6:E6"/>
  </mergeCells>
  <printOptions horizontalCentered="1"/>
  <pageMargins left="0.35433070866141736" right="0.15748031496062992" top="0.23622047244094491" bottom="0.19685039370078741" header="0.15748031496062992" footer="0.19685039370078741"/>
  <pageSetup paperSize="9" fitToHeight="0" orientation="landscape" r:id="rId1"/>
  <headerFooter>
    <oddFooter>&amp;R&amp;P</oddFooter>
  </headerFooter>
  <colBreaks count="1" manualBreakCount="1">
    <brk id="9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92D050"/>
  </sheetPr>
  <dimension ref="A1:S220"/>
  <sheetViews>
    <sheetView topLeftCell="A10" zoomScale="85" zoomScaleNormal="85" workbookViewId="0">
      <pane ySplit="3" topLeftCell="A183" activePane="bottomLeft" state="frozen"/>
      <selection activeCell="A10" sqref="A10"/>
      <selection pane="bottomLeft" activeCell="L193" sqref="L193:O193"/>
    </sheetView>
  </sheetViews>
  <sheetFormatPr defaultColWidth="9.140625" defaultRowHeight="15"/>
  <cols>
    <col min="1" max="1" width="3.85546875" style="2" customWidth="1"/>
    <col min="2" max="2" width="4.28515625" style="866" customWidth="1"/>
    <col min="3" max="3" width="9.85546875" style="84" customWidth="1"/>
    <col min="4" max="4" width="6.5703125" style="122" hidden="1" customWidth="1"/>
    <col min="5" max="5" width="20.140625" style="2" customWidth="1"/>
    <col min="6" max="6" width="13" style="2" customWidth="1"/>
    <col min="7" max="7" width="13.140625" style="47" customWidth="1"/>
    <col min="8" max="8" width="17.140625" style="2" customWidth="1"/>
    <col min="9" max="9" width="13.5703125" style="2" customWidth="1"/>
    <col min="10" max="10" width="17.85546875" style="2" customWidth="1"/>
    <col min="11" max="11" width="14.28515625" style="2" customWidth="1"/>
    <col min="12" max="12" width="18" style="2" customWidth="1"/>
    <col min="13" max="13" width="9.140625" style="2" hidden="1" customWidth="1"/>
    <col min="14" max="14" width="16.5703125" style="2" customWidth="1"/>
    <col min="15" max="15" width="15" style="12" customWidth="1"/>
    <col min="16" max="16" width="22.7109375" style="2" customWidth="1"/>
    <col min="17" max="17" width="16.5703125" style="2" bestFit="1" customWidth="1"/>
    <col min="18" max="16384" width="9.140625" style="2"/>
  </cols>
  <sheetData>
    <row r="1" spans="1:19" ht="22.5">
      <c r="B1" s="1535" t="s">
        <v>54</v>
      </c>
      <c r="C1" s="1535"/>
      <c r="D1" s="1535"/>
      <c r="E1" s="1535"/>
      <c r="F1" s="1535"/>
      <c r="G1" s="1535"/>
      <c r="H1" s="1535"/>
      <c r="I1" s="1535"/>
      <c r="J1" s="1535"/>
      <c r="K1" s="1535"/>
      <c r="L1" s="1535"/>
      <c r="M1" s="1535"/>
      <c r="N1" s="1535"/>
      <c r="O1" s="1535"/>
      <c r="P1" s="815"/>
      <c r="Q1" s="815"/>
      <c r="R1" s="815"/>
      <c r="S1" s="815"/>
    </row>
    <row r="2" spans="1:19" ht="22.5">
      <c r="B2" s="1535" t="s">
        <v>40</v>
      </c>
      <c r="C2" s="1535"/>
      <c r="D2" s="1535"/>
      <c r="E2" s="1535"/>
      <c r="F2" s="1535"/>
      <c r="G2" s="1535"/>
      <c r="H2" s="1535"/>
      <c r="I2" s="1535"/>
      <c r="J2" s="1535"/>
      <c r="K2" s="1535"/>
      <c r="L2" s="1535"/>
      <c r="M2" s="1535"/>
      <c r="N2" s="1535"/>
      <c r="O2" s="1535"/>
      <c r="P2" s="815"/>
      <c r="Q2" s="815"/>
      <c r="R2" s="815"/>
      <c r="S2" s="815"/>
    </row>
    <row r="3" spans="1:19" ht="22.5">
      <c r="B3" s="1537" t="s">
        <v>292</v>
      </c>
      <c r="C3" s="1537"/>
      <c r="D3" s="1537"/>
      <c r="E3" s="1537"/>
      <c r="F3" s="1537"/>
      <c r="G3" s="1537"/>
      <c r="H3" s="1537"/>
      <c r="I3" s="1537"/>
      <c r="J3" s="1537"/>
      <c r="K3" s="1537"/>
      <c r="L3" s="1537"/>
      <c r="M3" s="1537"/>
      <c r="N3" s="1537"/>
      <c r="O3" s="1537"/>
      <c r="P3" s="815"/>
      <c r="Q3" s="815"/>
      <c r="R3" s="815"/>
      <c r="S3" s="815"/>
    </row>
    <row r="5" spans="1:19" s="155" customFormat="1" ht="16.5">
      <c r="B5" s="1536" t="s">
        <v>598</v>
      </c>
      <c r="C5" s="1536"/>
      <c r="D5" s="1536"/>
      <c r="E5" s="1536"/>
      <c r="F5" s="1536"/>
      <c r="G5" s="1536"/>
      <c r="H5" s="1536"/>
      <c r="I5" s="1536"/>
      <c r="J5" s="1536"/>
      <c r="K5" s="119"/>
      <c r="L5" s="119"/>
      <c r="M5" s="119"/>
      <c r="N5" s="119"/>
      <c r="O5" s="119"/>
    </row>
    <row r="6" spans="1:19" s="155" customFormat="1" ht="16.5">
      <c r="B6" s="1403" t="s">
        <v>583</v>
      </c>
      <c r="C6" s="1403"/>
      <c r="D6" s="1403"/>
      <c r="E6" s="1403"/>
      <c r="F6" s="1403"/>
      <c r="G6" s="1403"/>
      <c r="H6" s="1403"/>
      <c r="I6" s="1403"/>
      <c r="J6" s="1403"/>
      <c r="K6" s="119"/>
      <c r="L6" s="119"/>
      <c r="M6" s="119"/>
      <c r="N6" s="119"/>
      <c r="O6" s="119"/>
    </row>
    <row r="7" spans="1:19" s="155" customFormat="1" ht="16.5">
      <c r="G7" s="162"/>
      <c r="O7" s="12"/>
    </row>
    <row r="8" spans="1:19" s="155" customFormat="1" ht="20.25">
      <c r="B8" s="1538" t="s">
        <v>604</v>
      </c>
      <c r="C8" s="1538"/>
      <c r="D8" s="1538"/>
      <c r="E8" s="1538"/>
      <c r="F8" s="1538"/>
      <c r="G8" s="1538"/>
      <c r="H8" s="1538"/>
      <c r="I8" s="1538"/>
      <c r="J8" s="1538"/>
      <c r="K8" s="1538"/>
      <c r="L8" s="1538"/>
      <c r="M8" s="1538"/>
      <c r="N8" s="1538"/>
      <c r="O8" s="1538"/>
    </row>
    <row r="9" spans="1:19" ht="18.75">
      <c r="B9" s="189"/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89"/>
    </row>
    <row r="10" spans="1:19">
      <c r="B10" s="28"/>
      <c r="C10" s="121"/>
      <c r="E10" s="12"/>
      <c r="F10" s="12"/>
      <c r="G10" s="123"/>
      <c r="H10" s="12"/>
      <c r="I10" s="12"/>
      <c r="J10" s="12"/>
      <c r="K10" s="12"/>
      <c r="L10" s="12"/>
      <c r="M10" s="12"/>
      <c r="N10" s="12"/>
    </row>
    <row r="11" spans="1:19" ht="29.25" customHeight="1">
      <c r="A11" s="1512" t="s">
        <v>4</v>
      </c>
      <c r="B11" s="1512"/>
      <c r="C11" s="1515" t="s">
        <v>95</v>
      </c>
      <c r="D11" s="1512" t="s">
        <v>5</v>
      </c>
      <c r="E11" s="1512"/>
      <c r="F11" s="1512" t="s">
        <v>8</v>
      </c>
      <c r="G11" s="1512" t="s">
        <v>372</v>
      </c>
      <c r="H11" s="1512"/>
      <c r="I11" s="1512"/>
      <c r="J11" s="1515" t="s">
        <v>384</v>
      </c>
      <c r="K11" s="1515" t="s">
        <v>11</v>
      </c>
      <c r="L11" s="1515" t="s">
        <v>366</v>
      </c>
      <c r="M11" s="1515" t="s">
        <v>12</v>
      </c>
      <c r="N11" s="1515" t="s">
        <v>13</v>
      </c>
      <c r="O11" s="1515" t="s">
        <v>67</v>
      </c>
    </row>
    <row r="12" spans="1:19" ht="36.75" customHeight="1">
      <c r="A12" s="1512"/>
      <c r="B12" s="1512"/>
      <c r="C12" s="1515"/>
      <c r="D12" s="477" t="s">
        <v>6</v>
      </c>
      <c r="E12" s="477" t="s">
        <v>7</v>
      </c>
      <c r="F12" s="1512"/>
      <c r="G12" s="816" t="s">
        <v>22</v>
      </c>
      <c r="H12" s="546" t="s">
        <v>23</v>
      </c>
      <c r="I12" s="546" t="s">
        <v>41</v>
      </c>
      <c r="J12" s="1512"/>
      <c r="K12" s="1515"/>
      <c r="L12" s="1515"/>
      <c r="M12" s="1512"/>
      <c r="N12" s="1512"/>
      <c r="O12" s="1512"/>
    </row>
    <row r="13" spans="1:19" ht="24.75" customHeight="1">
      <c r="A13" s="1201"/>
      <c r="B13" s="1512" t="s">
        <v>578</v>
      </c>
      <c r="C13" s="1512"/>
      <c r="D13" s="1512"/>
      <c r="E13" s="1512"/>
      <c r="F13" s="255"/>
      <c r="G13" s="817">
        <f>SUM(G14:G97)</f>
        <v>0</v>
      </c>
      <c r="H13" s="817">
        <f t="shared" ref="H13:N13" si="0">SUM(H14:H97)</f>
        <v>315510212</v>
      </c>
      <c r="I13" s="817">
        <f t="shared" si="0"/>
        <v>68404676</v>
      </c>
      <c r="J13" s="817">
        <f>SUM(J14:J97)</f>
        <v>383914888</v>
      </c>
      <c r="K13" s="817">
        <f t="shared" si="0"/>
        <v>0</v>
      </c>
      <c r="L13" s="817">
        <f t="shared" si="0"/>
        <v>383914888</v>
      </c>
      <c r="M13" s="817">
        <f t="shared" si="0"/>
        <v>0</v>
      </c>
      <c r="N13" s="817">
        <f t="shared" si="0"/>
        <v>383914888</v>
      </c>
      <c r="O13" s="477"/>
    </row>
    <row r="14" spans="1:19" s="126" customFormat="1" ht="21.75" customHeight="1">
      <c r="A14" s="1202">
        <v>1</v>
      </c>
      <c r="B14" s="241">
        <v>1</v>
      </c>
      <c r="C14" s="818" t="str">
        <f>'Chấm công KT'!C13</f>
        <v>03456</v>
      </c>
      <c r="D14" s="819" t="s">
        <v>154</v>
      </c>
      <c r="E14" s="677" t="str">
        <f>'CNKT '!D16</f>
        <v>T. Vôn</v>
      </c>
      <c r="F14" s="677" t="s">
        <v>28</v>
      </c>
      <c r="G14" s="671">
        <f>VLOOKUP(E14,'CNKT '!$D$16:$G$93,4,0)</f>
        <v>0</v>
      </c>
      <c r="H14" s="671">
        <f>VLOOKUP(E14,'CNKT '!$D$16:$M$93,10,0)</f>
        <v>2041726</v>
      </c>
      <c r="I14" s="671">
        <f>VLOOKUP(E14,'CNKT '!$D$16:$X$93,21,0)</f>
        <v>472870</v>
      </c>
      <c r="J14" s="671">
        <f>SUM(G14:I14)</f>
        <v>2514596</v>
      </c>
      <c r="K14" s="671"/>
      <c r="L14" s="671">
        <f>VLOOKUP(E14,'CNKT '!$D$16:$AA$93,24,0)</f>
        <v>2514596</v>
      </c>
      <c r="M14" s="671"/>
      <c r="N14" s="673">
        <f>L14-M14</f>
        <v>2514596</v>
      </c>
      <c r="O14" s="290"/>
      <c r="P14" s="125"/>
    </row>
    <row r="15" spans="1:19" s="126" customFormat="1" ht="21.75" customHeight="1">
      <c r="A15" s="1202">
        <v>2</v>
      </c>
      <c r="B15" s="241">
        <v>2</v>
      </c>
      <c r="C15" s="818" t="str">
        <f>'Chấm công KT'!C14</f>
        <v>04052</v>
      </c>
      <c r="D15" s="819"/>
      <c r="E15" s="677" t="str">
        <f>'CNKT '!D17</f>
        <v>T. Feng</v>
      </c>
      <c r="F15" s="677" t="s">
        <v>28</v>
      </c>
      <c r="G15" s="671">
        <f>VLOOKUP(E15,'CNKT '!$D$16:$G$93,4,0)</f>
        <v>0</v>
      </c>
      <c r="H15" s="671">
        <f>VLOOKUP(E15,'CNKT '!$D$16:$M$93,10,0)</f>
        <v>3698708</v>
      </c>
      <c r="I15" s="671">
        <f>VLOOKUP(E15,'CNKT '!$D$16:$X$93,21,0)</f>
        <v>853239</v>
      </c>
      <c r="J15" s="671">
        <f t="shared" ref="J15:J78" si="1">SUM(G15:I15)</f>
        <v>4551947</v>
      </c>
      <c r="K15" s="671"/>
      <c r="L15" s="671">
        <f>VLOOKUP(E15,'CNKT '!$D$16:$AA$93,24,0)</f>
        <v>4551947</v>
      </c>
      <c r="M15" s="671"/>
      <c r="N15" s="673">
        <f t="shared" ref="N15:N78" si="2">L15-M15</f>
        <v>4551947</v>
      </c>
      <c r="O15" s="290"/>
      <c r="P15" s="125"/>
    </row>
    <row r="16" spans="1:19" s="126" customFormat="1" ht="21.75" customHeight="1">
      <c r="A16" s="1202">
        <v>3</v>
      </c>
      <c r="B16" s="241">
        <v>3</v>
      </c>
      <c r="C16" s="818" t="str">
        <f>'Chấm công KT'!C15</f>
        <v>02725</v>
      </c>
      <c r="D16" s="819"/>
      <c r="E16" s="677" t="str">
        <f>'CNKT '!D18</f>
        <v>T. Sa Văn</v>
      </c>
      <c r="F16" s="677" t="s">
        <v>28</v>
      </c>
      <c r="G16" s="671">
        <f>VLOOKUP(E16,'CNKT '!$D$16:$G$93,4,0)</f>
        <v>0</v>
      </c>
      <c r="H16" s="671">
        <f>VLOOKUP(E16,'CNKT '!$D$16:$M$93,10,0)</f>
        <v>3600329</v>
      </c>
      <c r="I16" s="671">
        <f>VLOOKUP(E16,'CNKT '!$D$16:$X$93,21,0)</f>
        <v>843006</v>
      </c>
      <c r="J16" s="671">
        <f t="shared" si="1"/>
        <v>4443335</v>
      </c>
      <c r="K16" s="671"/>
      <c r="L16" s="671">
        <f>VLOOKUP(E16,'CNKT '!$D$16:$AA$93,24,0)</f>
        <v>4443335</v>
      </c>
      <c r="M16" s="671"/>
      <c r="N16" s="673">
        <f t="shared" si="2"/>
        <v>4443335</v>
      </c>
      <c r="O16" s="290"/>
      <c r="P16" s="125"/>
    </row>
    <row r="17" spans="1:16" s="126" customFormat="1" ht="21.75" customHeight="1">
      <c r="A17" s="1202">
        <v>4</v>
      </c>
      <c r="B17" s="241">
        <v>4</v>
      </c>
      <c r="C17" s="818" t="str">
        <f>'Chấm công KT'!C16</f>
        <v>04053</v>
      </c>
      <c r="D17" s="819"/>
      <c r="E17" s="677" t="str">
        <f>'CNKT '!D19</f>
        <v>Lăm Ma Thu</v>
      </c>
      <c r="F17" s="677" t="s">
        <v>28</v>
      </c>
      <c r="G17" s="671">
        <f>VLOOKUP(E17,'CNKT '!$D$16:$G$93,4,0)</f>
        <v>0</v>
      </c>
      <c r="H17" s="671">
        <f>VLOOKUP(E17,'CNKT '!$D$16:$M$93,10,0)</f>
        <v>3858591</v>
      </c>
      <c r="I17" s="671">
        <f>VLOOKUP(E17,'CNKT '!$D$16:$X$93,21,0)</f>
        <v>873839</v>
      </c>
      <c r="J17" s="671">
        <f t="shared" si="1"/>
        <v>4732430</v>
      </c>
      <c r="K17" s="671"/>
      <c r="L17" s="671">
        <f>VLOOKUP(E17,'CNKT '!$D$16:$AA$93,24,0)</f>
        <v>4732430</v>
      </c>
      <c r="M17" s="671"/>
      <c r="N17" s="673">
        <f t="shared" si="2"/>
        <v>4732430</v>
      </c>
      <c r="O17" s="290"/>
      <c r="P17" s="125"/>
    </row>
    <row r="18" spans="1:16" s="126" customFormat="1" ht="21.75" customHeight="1">
      <c r="A18" s="1202">
        <v>5</v>
      </c>
      <c r="B18" s="241">
        <v>5</v>
      </c>
      <c r="C18" s="818" t="str">
        <f>'Chấm công KT'!C17</f>
        <v>03459</v>
      </c>
      <c r="D18" s="819"/>
      <c r="E18" s="677" t="str">
        <f>'CNKT '!D20</f>
        <v>N. Vạt</v>
      </c>
      <c r="F18" s="677" t="s">
        <v>28</v>
      </c>
      <c r="G18" s="671">
        <f>VLOOKUP(E18,'CNKT '!$D$16:$G$93,4,0)</f>
        <v>0</v>
      </c>
      <c r="H18" s="671">
        <f>VLOOKUP(E18,'CNKT '!$D$16:$M$93,10,0)</f>
        <v>3812224</v>
      </c>
      <c r="I18" s="671">
        <f>VLOOKUP(E18,'CNKT '!$D$16:$X$93,21,0)</f>
        <v>791572</v>
      </c>
      <c r="J18" s="671">
        <f t="shared" si="1"/>
        <v>4603796</v>
      </c>
      <c r="K18" s="671"/>
      <c r="L18" s="671">
        <f>VLOOKUP(E18,'CNKT '!$D$16:$AA$93,24,0)</f>
        <v>4603796</v>
      </c>
      <c r="M18" s="671"/>
      <c r="N18" s="673">
        <f t="shared" si="2"/>
        <v>4603796</v>
      </c>
      <c r="O18" s="290"/>
      <c r="P18" s="125"/>
    </row>
    <row r="19" spans="1:16" s="126" customFormat="1" ht="21.75" customHeight="1">
      <c r="A19" s="1202">
        <v>6</v>
      </c>
      <c r="B19" s="241">
        <v>6</v>
      </c>
      <c r="C19" s="818" t="str">
        <f>'Chấm công KT'!C18</f>
        <v>04054</v>
      </c>
      <c r="D19" s="819"/>
      <c r="E19" s="677" t="str">
        <f>'CNKT '!D21</f>
        <v>N. Kay Son</v>
      </c>
      <c r="F19" s="677" t="s">
        <v>28</v>
      </c>
      <c r="G19" s="671">
        <f>VLOOKUP(E19,'CNKT '!$D$16:$G$93,4,0)</f>
        <v>0</v>
      </c>
      <c r="H19" s="671">
        <f>VLOOKUP(E19,'CNKT '!$D$16:$M$93,10,0)</f>
        <v>4542506</v>
      </c>
      <c r="I19" s="671">
        <f>VLOOKUP(E19,'CNKT '!$D$16:$X$93,21,0)</f>
        <v>822406</v>
      </c>
      <c r="J19" s="671">
        <f t="shared" si="1"/>
        <v>5364912</v>
      </c>
      <c r="K19" s="671"/>
      <c r="L19" s="671">
        <f>VLOOKUP(E19,'CNKT '!$D$16:$AA$93,24,0)</f>
        <v>5364912</v>
      </c>
      <c r="M19" s="671"/>
      <c r="N19" s="673">
        <f t="shared" si="2"/>
        <v>5364912</v>
      </c>
      <c r="O19" s="290"/>
      <c r="P19" s="125"/>
    </row>
    <row r="20" spans="1:16" s="126" customFormat="1" ht="21.75" customHeight="1">
      <c r="A20" s="1202">
        <v>7</v>
      </c>
      <c r="B20" s="241">
        <v>7</v>
      </c>
      <c r="C20" s="818" t="str">
        <f>'Chấm công KT'!C19</f>
        <v>04055</v>
      </c>
      <c r="D20" s="819"/>
      <c r="E20" s="677" t="str">
        <f>'CNKT '!D22</f>
        <v>T. Đèng 1</v>
      </c>
      <c r="F20" s="677" t="s">
        <v>28</v>
      </c>
      <c r="G20" s="671">
        <f>VLOOKUP(E20,'CNKT '!$D$16:$G$93,4,0)</f>
        <v>0</v>
      </c>
      <c r="H20" s="671">
        <f>VLOOKUP(E20,'CNKT '!$D$16:$M$93,10,0)</f>
        <v>3770602</v>
      </c>
      <c r="I20" s="671">
        <f>VLOOKUP(E20,'CNKT '!$D$16:$X$93,21,0)</f>
        <v>966340</v>
      </c>
      <c r="J20" s="671">
        <f t="shared" si="1"/>
        <v>4736942</v>
      </c>
      <c r="K20" s="671"/>
      <c r="L20" s="671">
        <f>VLOOKUP(E20,'CNKT '!$D$16:$AA$93,24,0)</f>
        <v>4736942</v>
      </c>
      <c r="M20" s="671"/>
      <c r="N20" s="673">
        <f t="shared" si="2"/>
        <v>4736942</v>
      </c>
      <c r="O20" s="290"/>
      <c r="P20" s="125"/>
    </row>
    <row r="21" spans="1:16" s="126" customFormat="1" ht="21.75" customHeight="1">
      <c r="A21" s="1202">
        <v>8</v>
      </c>
      <c r="B21" s="241">
        <v>8</v>
      </c>
      <c r="C21" s="818" t="str">
        <f>'Chấm công KT'!C20</f>
        <v>03462</v>
      </c>
      <c r="D21" s="819"/>
      <c r="E21" s="677" t="str">
        <f>'CNKT '!D23</f>
        <v>T . Bua Ngân</v>
      </c>
      <c r="F21" s="677" t="s">
        <v>28</v>
      </c>
      <c r="G21" s="671">
        <f>VLOOKUP(E21,'CNKT '!$D$16:$G$93,4,0)</f>
        <v>0</v>
      </c>
      <c r="H21" s="671">
        <f>VLOOKUP(E21,'CNKT '!$D$16:$M$93,10,0)</f>
        <v>4413855</v>
      </c>
      <c r="I21" s="671">
        <f>VLOOKUP(E21,'CNKT '!$D$16:$X$93,21,0)</f>
        <v>966340</v>
      </c>
      <c r="J21" s="671">
        <f t="shared" si="1"/>
        <v>5380195</v>
      </c>
      <c r="K21" s="671"/>
      <c r="L21" s="671">
        <f>VLOOKUP(E21,'CNKT '!$D$16:$AA$93,24,0)</f>
        <v>5380195</v>
      </c>
      <c r="M21" s="671"/>
      <c r="N21" s="673">
        <f t="shared" si="2"/>
        <v>5380195</v>
      </c>
      <c r="O21" s="290"/>
      <c r="P21" s="125"/>
    </row>
    <row r="22" spans="1:16" s="126" customFormat="1" ht="21.75" customHeight="1">
      <c r="A22" s="1202">
        <v>9</v>
      </c>
      <c r="B22" s="241">
        <v>9</v>
      </c>
      <c r="C22" s="818" t="str">
        <f>'Chấm công KT'!C21</f>
        <v>03463</v>
      </c>
      <c r="D22" s="819"/>
      <c r="E22" s="677" t="str">
        <f>'CNKT '!D24</f>
        <v>T Căng</v>
      </c>
      <c r="F22" s="677" t="s">
        <v>28</v>
      </c>
      <c r="G22" s="671">
        <f>VLOOKUP(E22,'CNKT '!$D$16:$G$93,4,0)</f>
        <v>0</v>
      </c>
      <c r="H22" s="671">
        <f>VLOOKUP(E22,'CNKT '!$D$16:$M$93,10,0)</f>
        <v>5458196</v>
      </c>
      <c r="I22" s="671">
        <f>VLOOKUP(E22,'CNKT '!$D$16:$X$93,21,0)</f>
        <v>966340</v>
      </c>
      <c r="J22" s="671">
        <f t="shared" si="1"/>
        <v>6424536</v>
      </c>
      <c r="K22" s="671"/>
      <c r="L22" s="671">
        <f>VLOOKUP(E22,'CNKT '!$D$16:$AA$93,24,0)</f>
        <v>6424536</v>
      </c>
      <c r="M22" s="671"/>
      <c r="N22" s="673">
        <f t="shared" si="2"/>
        <v>6424536</v>
      </c>
      <c r="O22" s="290"/>
      <c r="P22" s="125"/>
    </row>
    <row r="23" spans="1:16" s="126" customFormat="1" ht="21.75" customHeight="1">
      <c r="A23" s="1202">
        <v>10</v>
      </c>
      <c r="B23" s="241">
        <v>10</v>
      </c>
      <c r="C23" s="818" t="str">
        <f>'Chấm công KT'!C22</f>
        <v>03464</v>
      </c>
      <c r="D23" s="819"/>
      <c r="E23" s="677" t="str">
        <f>'CNKT '!D25</f>
        <v>N. Phôn 1</v>
      </c>
      <c r="F23" s="677" t="s">
        <v>28</v>
      </c>
      <c r="G23" s="671">
        <f>VLOOKUP(E23,'CNKT '!$D$16:$G$93,4,0)</f>
        <v>0</v>
      </c>
      <c r="H23" s="671">
        <f>VLOOKUP(E23,'CNKT '!$D$16:$M$93,10,0)</f>
        <v>5388195</v>
      </c>
      <c r="I23" s="671">
        <f>VLOOKUP(E23,'CNKT '!$D$16:$X$93,21,0)</f>
        <v>966340</v>
      </c>
      <c r="J23" s="671">
        <f t="shared" si="1"/>
        <v>6354535</v>
      </c>
      <c r="K23" s="671"/>
      <c r="L23" s="671">
        <f>VLOOKUP(E23,'CNKT '!$D$16:$AA$93,24,0)</f>
        <v>6354535</v>
      </c>
      <c r="M23" s="671"/>
      <c r="N23" s="673">
        <f t="shared" si="2"/>
        <v>6354535</v>
      </c>
      <c r="O23" s="290"/>
      <c r="P23" s="125"/>
    </row>
    <row r="24" spans="1:16" s="126" customFormat="1" ht="21.75" customHeight="1">
      <c r="A24" s="1202">
        <v>11</v>
      </c>
      <c r="B24" s="241">
        <v>11</v>
      </c>
      <c r="C24" s="818" t="str">
        <f>'Chấm công KT'!C23</f>
        <v>03465</v>
      </c>
      <c r="D24" s="819"/>
      <c r="E24" s="677" t="str">
        <f>'CNKT '!D26</f>
        <v>T. In Păn</v>
      </c>
      <c r="F24" s="677" t="s">
        <v>28</v>
      </c>
      <c r="G24" s="671">
        <f>VLOOKUP(E24,'CNKT '!$D$16:$G$93,4,0)</f>
        <v>0</v>
      </c>
      <c r="H24" s="671">
        <f>VLOOKUP(E24,'CNKT '!$D$16:$M$93,10,0)</f>
        <v>4128175</v>
      </c>
      <c r="I24" s="671">
        <f>VLOOKUP(E24,'CNKT '!$D$16:$X$93,21,0)</f>
        <v>873839</v>
      </c>
      <c r="J24" s="671">
        <f t="shared" si="1"/>
        <v>5002014</v>
      </c>
      <c r="K24" s="671"/>
      <c r="L24" s="671">
        <f>VLOOKUP(E24,'CNKT '!$D$16:$AA$93,24,0)</f>
        <v>5002014</v>
      </c>
      <c r="M24" s="671"/>
      <c r="N24" s="673">
        <f t="shared" si="2"/>
        <v>5002014</v>
      </c>
      <c r="O24" s="290"/>
      <c r="P24" s="125"/>
    </row>
    <row r="25" spans="1:16" s="126" customFormat="1" ht="21.75" customHeight="1">
      <c r="A25" s="1202">
        <v>12</v>
      </c>
      <c r="B25" s="241">
        <v>12</v>
      </c>
      <c r="C25" s="818" t="str">
        <f>'Chấm công KT'!C24</f>
        <v>03466</v>
      </c>
      <c r="D25" s="819"/>
      <c r="E25" s="677" t="str">
        <f>'CNKT '!D27</f>
        <v>N. Keo</v>
      </c>
      <c r="F25" s="677" t="s">
        <v>28</v>
      </c>
      <c r="G25" s="671">
        <f>VLOOKUP(E25,'CNKT '!$D$16:$G$93,4,0)</f>
        <v>0</v>
      </c>
      <c r="H25" s="671">
        <f>VLOOKUP(E25,'CNKT '!$D$16:$M$93,10,0)</f>
        <v>6014422</v>
      </c>
      <c r="I25" s="671">
        <f>VLOOKUP(E25,'CNKT '!$D$16:$X$93,21,0)</f>
        <v>966340</v>
      </c>
      <c r="J25" s="671">
        <f t="shared" si="1"/>
        <v>6980762</v>
      </c>
      <c r="K25" s="671"/>
      <c r="L25" s="671">
        <f>VLOOKUP(E25,'CNKT '!$D$16:$AA$93,24,0)</f>
        <v>6980762</v>
      </c>
      <c r="M25" s="671"/>
      <c r="N25" s="673">
        <f t="shared" si="2"/>
        <v>6980762</v>
      </c>
      <c r="O25" s="290"/>
      <c r="P25" s="125"/>
    </row>
    <row r="26" spans="1:16" s="126" customFormat="1" ht="21.75" customHeight="1">
      <c r="A26" s="1202">
        <v>13</v>
      </c>
      <c r="B26" s="241">
        <v>13</v>
      </c>
      <c r="C26" s="818" t="str">
        <f>'Chấm công KT'!C25</f>
        <v>02727</v>
      </c>
      <c r="D26" s="819"/>
      <c r="E26" s="677" t="str">
        <f>'CNKT '!D28</f>
        <v>T. Thong Đon</v>
      </c>
      <c r="F26" s="677" t="s">
        <v>28</v>
      </c>
      <c r="G26" s="671">
        <f>VLOOKUP(E26,'CNKT '!$D$16:$G$93,4,0)</f>
        <v>0</v>
      </c>
      <c r="H26" s="671">
        <f>VLOOKUP(E26,'CNKT '!$D$16:$M$93,10,0)</f>
        <v>4773320</v>
      </c>
      <c r="I26" s="671">
        <f>VLOOKUP(E26,'CNKT '!$D$16:$X$93,21,0)</f>
        <v>873839</v>
      </c>
      <c r="J26" s="671">
        <f t="shared" si="1"/>
        <v>5647159</v>
      </c>
      <c r="K26" s="671"/>
      <c r="L26" s="671">
        <f>VLOOKUP(E26,'CNKT '!$D$16:$AA$93,24,0)</f>
        <v>5647159</v>
      </c>
      <c r="M26" s="671"/>
      <c r="N26" s="673">
        <f t="shared" si="2"/>
        <v>5647159</v>
      </c>
      <c r="O26" s="290"/>
      <c r="P26" s="125"/>
    </row>
    <row r="27" spans="1:16" s="126" customFormat="1" ht="21.75" customHeight="1">
      <c r="A27" s="1202">
        <v>14</v>
      </c>
      <c r="B27" s="241">
        <v>14</v>
      </c>
      <c r="C27" s="818" t="str">
        <f>'Chấm công KT'!C26</f>
        <v>03467</v>
      </c>
      <c r="D27" s="819"/>
      <c r="E27" s="677" t="str">
        <f>'CNKT '!D29</f>
        <v>T. Hin</v>
      </c>
      <c r="F27" s="677" t="s">
        <v>28</v>
      </c>
      <c r="G27" s="671">
        <f>VLOOKUP(E27,'CNKT '!$D$16:$G$93,4,0)</f>
        <v>0</v>
      </c>
      <c r="H27" s="671">
        <f>VLOOKUP(E27,'CNKT '!$D$16:$M$93,10,0)</f>
        <v>4368449</v>
      </c>
      <c r="I27" s="671">
        <f>VLOOKUP(E27,'CNKT '!$D$16:$X$93,21,0)</f>
        <v>935507</v>
      </c>
      <c r="J27" s="671">
        <f t="shared" si="1"/>
        <v>5303956</v>
      </c>
      <c r="K27" s="671"/>
      <c r="L27" s="671">
        <f>VLOOKUP(E27,'CNKT '!$D$16:$AA$93,24,0)</f>
        <v>5303956</v>
      </c>
      <c r="M27" s="671"/>
      <c r="N27" s="673">
        <f t="shared" si="2"/>
        <v>5303956</v>
      </c>
      <c r="O27" s="290"/>
      <c r="P27" s="125"/>
    </row>
    <row r="28" spans="1:16" s="126" customFormat="1" ht="21.75" customHeight="1">
      <c r="A28" s="1202">
        <v>15</v>
      </c>
      <c r="B28" s="241">
        <v>15</v>
      </c>
      <c r="C28" s="818" t="str">
        <f>'Chấm công KT'!C27</f>
        <v>04056</v>
      </c>
      <c r="D28" s="819"/>
      <c r="E28" s="677" t="str">
        <f>'CNKT '!D30</f>
        <v>N. Ly Phon</v>
      </c>
      <c r="F28" s="677" t="s">
        <v>28</v>
      </c>
      <c r="G28" s="671">
        <f>VLOOKUP(E28,'CNKT '!$D$16:$G$93,4,0)</f>
        <v>0</v>
      </c>
      <c r="H28" s="671">
        <f>VLOOKUP(E28,'CNKT '!$D$16:$M$93,10,0)</f>
        <v>2968147</v>
      </c>
      <c r="I28" s="671">
        <f>VLOOKUP(E28,'CNKT '!$D$16:$X$93,21,0)</f>
        <v>791572</v>
      </c>
      <c r="J28" s="671">
        <f t="shared" si="1"/>
        <v>3759719</v>
      </c>
      <c r="K28" s="671"/>
      <c r="L28" s="671">
        <f>VLOOKUP(E28,'CNKT '!$D$16:$AA$93,24,0)</f>
        <v>3759719</v>
      </c>
      <c r="M28" s="671"/>
      <c r="N28" s="673">
        <f t="shared" si="2"/>
        <v>3759719</v>
      </c>
      <c r="O28" s="290"/>
      <c r="P28" s="125"/>
    </row>
    <row r="29" spans="1:16" s="126" customFormat="1" ht="21.75" customHeight="1">
      <c r="A29" s="1202">
        <v>16</v>
      </c>
      <c r="B29" s="241">
        <v>16</v>
      </c>
      <c r="C29" s="818" t="str">
        <f>'Chấm công KT'!C28</f>
        <v>03469</v>
      </c>
      <c r="D29" s="819"/>
      <c r="E29" s="677" t="str">
        <f>'CNKT '!D31</f>
        <v>T. Xôm Va Nít</v>
      </c>
      <c r="F29" s="677" t="s">
        <v>28</v>
      </c>
      <c r="G29" s="671">
        <f>VLOOKUP(E29,'CNKT '!$D$16:$G$93,4,0)</f>
        <v>0</v>
      </c>
      <c r="H29" s="671">
        <f>VLOOKUP(E29,'CNKT '!$D$16:$M$93,10,0)</f>
        <v>5616094</v>
      </c>
      <c r="I29" s="671">
        <f>VLOOKUP(E29,'CNKT '!$D$16:$X$93,21,0)</f>
        <v>966340</v>
      </c>
      <c r="J29" s="671">
        <f t="shared" si="1"/>
        <v>6582434</v>
      </c>
      <c r="K29" s="671"/>
      <c r="L29" s="671">
        <f>VLOOKUP(E29,'CNKT '!$D$16:$AA$93,24,0)</f>
        <v>6582434</v>
      </c>
      <c r="M29" s="671"/>
      <c r="N29" s="673">
        <f t="shared" si="2"/>
        <v>6582434</v>
      </c>
      <c r="O29" s="290"/>
      <c r="P29" s="125"/>
    </row>
    <row r="30" spans="1:16" s="126" customFormat="1" ht="21.75" customHeight="1">
      <c r="A30" s="1202">
        <v>17</v>
      </c>
      <c r="B30" s="241">
        <v>17</v>
      </c>
      <c r="C30" s="818" t="str">
        <f>'Chấm công KT'!C29</f>
        <v>03470</v>
      </c>
      <c r="D30" s="819"/>
      <c r="E30" s="677" t="str">
        <f>'CNKT '!D32</f>
        <v>T. Lọi</v>
      </c>
      <c r="F30" s="677" t="s">
        <v>28</v>
      </c>
      <c r="G30" s="671">
        <f>VLOOKUP(E30,'CNKT '!$D$16:$G$93,4,0)</f>
        <v>0</v>
      </c>
      <c r="H30" s="671">
        <f>VLOOKUP(E30,'CNKT '!$D$16:$M$93,10,0)</f>
        <v>3799229</v>
      </c>
      <c r="I30" s="671">
        <f>VLOOKUP(E30,'CNKT '!$D$16:$X$93,21,0)</f>
        <v>791572</v>
      </c>
      <c r="J30" s="671">
        <f t="shared" si="1"/>
        <v>4590801</v>
      </c>
      <c r="K30" s="671"/>
      <c r="L30" s="671">
        <f>VLOOKUP(E30,'CNKT '!$D$16:$AA$93,24,0)</f>
        <v>4590801</v>
      </c>
      <c r="M30" s="671"/>
      <c r="N30" s="673">
        <f t="shared" si="2"/>
        <v>4590801</v>
      </c>
      <c r="O30" s="290"/>
      <c r="P30" s="125"/>
    </row>
    <row r="31" spans="1:16" s="126" customFormat="1" ht="21.75" customHeight="1">
      <c r="A31" s="1202">
        <v>18</v>
      </c>
      <c r="B31" s="241">
        <v>18</v>
      </c>
      <c r="C31" s="818" t="str">
        <f>'Chấm công KT'!C30</f>
        <v>03471</v>
      </c>
      <c r="D31" s="819"/>
      <c r="E31" s="677" t="str">
        <f>'CNKT '!D33</f>
        <v>T. Phô Thong</v>
      </c>
      <c r="F31" s="677" t="s">
        <v>28</v>
      </c>
      <c r="G31" s="671">
        <f>VLOOKUP(E31,'CNKT '!$D$16:$G$93,4,0)</f>
        <v>0</v>
      </c>
      <c r="H31" s="671">
        <f>VLOOKUP(E31,'CNKT '!$D$16:$M$93,10,0)</f>
        <v>5163057</v>
      </c>
      <c r="I31" s="671">
        <f>VLOOKUP(E31,'CNKT '!$D$16:$X$93,21,0)</f>
        <v>966340</v>
      </c>
      <c r="J31" s="671">
        <f t="shared" si="1"/>
        <v>6129397</v>
      </c>
      <c r="K31" s="671"/>
      <c r="L31" s="671">
        <f>VLOOKUP(E31,'CNKT '!$D$16:$AA$93,24,0)</f>
        <v>6129397</v>
      </c>
      <c r="M31" s="671"/>
      <c r="N31" s="673">
        <f t="shared" si="2"/>
        <v>6129397</v>
      </c>
      <c r="O31" s="290"/>
      <c r="P31" s="125"/>
    </row>
    <row r="32" spans="1:16" s="126" customFormat="1" ht="21.75" customHeight="1">
      <c r="A32" s="1202">
        <v>19</v>
      </c>
      <c r="B32" s="241">
        <v>19</v>
      </c>
      <c r="C32" s="818" t="str">
        <f>'Chấm công KT'!C31</f>
        <v>03472</v>
      </c>
      <c r="D32" s="819"/>
      <c r="E32" s="677" t="str">
        <f>'CNKT '!D34</f>
        <v>N. Soi</v>
      </c>
      <c r="F32" s="677" t="s">
        <v>28</v>
      </c>
      <c r="G32" s="671">
        <f>VLOOKUP(E32,'CNKT '!$D$16:$G$93,4,0)</f>
        <v>0</v>
      </c>
      <c r="H32" s="671">
        <f>VLOOKUP(E32,'CNKT '!$D$16:$M$93,10,0)</f>
        <v>2784910</v>
      </c>
      <c r="I32" s="671">
        <f>VLOOKUP(E32,'CNKT '!$D$16:$X$93,21,0)</f>
        <v>873839</v>
      </c>
      <c r="J32" s="671">
        <f t="shared" si="1"/>
        <v>3658749</v>
      </c>
      <c r="K32" s="671"/>
      <c r="L32" s="671">
        <f>VLOOKUP(E32,'CNKT '!$D$16:$AA$93,24,0)</f>
        <v>3658749</v>
      </c>
      <c r="M32" s="671"/>
      <c r="N32" s="673">
        <f t="shared" si="2"/>
        <v>3658749</v>
      </c>
      <c r="O32" s="290"/>
      <c r="P32" s="125"/>
    </row>
    <row r="33" spans="1:16" s="126" customFormat="1" ht="21.75" customHeight="1">
      <c r="A33" s="1202">
        <v>20</v>
      </c>
      <c r="B33" s="241">
        <v>20</v>
      </c>
      <c r="C33" s="818" t="str">
        <f>'Chấm công KT'!C32</f>
        <v>03473</v>
      </c>
      <c r="D33" s="819"/>
      <c r="E33" s="677" t="str">
        <f>'CNKT '!D35</f>
        <v>N. Me Kha La</v>
      </c>
      <c r="F33" s="677" t="s">
        <v>28</v>
      </c>
      <c r="G33" s="671">
        <f>VLOOKUP(E33,'CNKT '!$D$16:$G$93,4,0)</f>
        <v>0</v>
      </c>
      <c r="H33" s="671">
        <f>VLOOKUP(E33,'CNKT '!$D$16:$M$93,10,0)</f>
        <v>4275745</v>
      </c>
      <c r="I33" s="671">
        <f>VLOOKUP(E33,'CNKT '!$D$16:$X$93,21,0)</f>
        <v>843006</v>
      </c>
      <c r="J33" s="671">
        <f t="shared" si="1"/>
        <v>5118751</v>
      </c>
      <c r="K33" s="671"/>
      <c r="L33" s="671">
        <f>VLOOKUP(E33,'CNKT '!$D$16:$AA$93,24,0)</f>
        <v>5118751</v>
      </c>
      <c r="M33" s="671"/>
      <c r="N33" s="673">
        <f t="shared" si="2"/>
        <v>5118751</v>
      </c>
      <c r="O33" s="290"/>
      <c r="P33" s="125"/>
    </row>
    <row r="34" spans="1:16" s="126" customFormat="1" ht="21.75" customHeight="1">
      <c r="A34" s="1202">
        <v>21</v>
      </c>
      <c r="B34" s="241">
        <v>21</v>
      </c>
      <c r="C34" s="818" t="str">
        <f>'Chấm công KT'!C33</f>
        <v>03474</v>
      </c>
      <c r="D34" s="819"/>
      <c r="E34" s="677" t="str">
        <f>'CNKT '!D36</f>
        <v>N. Mon Khăm</v>
      </c>
      <c r="F34" s="677" t="s">
        <v>28</v>
      </c>
      <c r="G34" s="671">
        <f>VLOOKUP(E34,'CNKT '!$D$16:$G$93,4,0)</f>
        <v>0</v>
      </c>
      <c r="H34" s="671">
        <f>VLOOKUP(E34,'CNKT '!$D$16:$M$93,10,0)</f>
        <v>4253042</v>
      </c>
      <c r="I34" s="671">
        <f>VLOOKUP(E34,'CNKT '!$D$16:$X$93,21,0)</f>
        <v>935507</v>
      </c>
      <c r="J34" s="671">
        <f t="shared" si="1"/>
        <v>5188549</v>
      </c>
      <c r="K34" s="671"/>
      <c r="L34" s="671">
        <f>VLOOKUP(E34,'CNKT '!$D$16:$AA$93,24,0)</f>
        <v>5188549</v>
      </c>
      <c r="M34" s="671"/>
      <c r="N34" s="673">
        <f t="shared" si="2"/>
        <v>5188549</v>
      </c>
      <c r="O34" s="290"/>
      <c r="P34" s="125"/>
    </row>
    <row r="35" spans="1:16" s="126" customFormat="1" ht="21.75" customHeight="1">
      <c r="A35" s="1202">
        <v>22</v>
      </c>
      <c r="B35" s="241">
        <v>22</v>
      </c>
      <c r="C35" s="818" t="str">
        <f>'Chấm công KT'!C34</f>
        <v>04057</v>
      </c>
      <c r="D35" s="819"/>
      <c r="E35" s="677" t="str">
        <f>'CNKT '!D37</f>
        <v>N. Bua Lay</v>
      </c>
      <c r="F35" s="677" t="s">
        <v>28</v>
      </c>
      <c r="G35" s="671">
        <f>VLOOKUP(E35,'CNKT '!$D$16:$G$93,4,0)</f>
        <v>0</v>
      </c>
      <c r="H35" s="671">
        <f>VLOOKUP(E35,'CNKT '!$D$16:$M$93,10,0)</f>
        <v>3450867</v>
      </c>
      <c r="I35" s="671">
        <f>VLOOKUP(E35,'CNKT '!$D$16:$X$93,21,0)</f>
        <v>966340</v>
      </c>
      <c r="J35" s="671">
        <f t="shared" si="1"/>
        <v>4417207</v>
      </c>
      <c r="K35" s="671"/>
      <c r="L35" s="671">
        <f>VLOOKUP(E35,'CNKT '!$D$16:$AA$93,24,0)</f>
        <v>4417207</v>
      </c>
      <c r="M35" s="671"/>
      <c r="N35" s="673">
        <f t="shared" si="2"/>
        <v>4417207</v>
      </c>
      <c r="O35" s="290"/>
      <c r="P35" s="125"/>
    </row>
    <row r="36" spans="1:16" s="126" customFormat="1" ht="21.75" customHeight="1">
      <c r="A36" s="1202">
        <v>23</v>
      </c>
      <c r="B36" s="241">
        <v>23</v>
      </c>
      <c r="C36" s="818" t="str">
        <f>'Chấm công KT'!C35</f>
        <v>03476</v>
      </c>
      <c r="D36" s="819"/>
      <c r="E36" s="677" t="str">
        <f>'CNKT '!D38</f>
        <v>T. Bin Ly.</v>
      </c>
      <c r="F36" s="677" t="s">
        <v>28</v>
      </c>
      <c r="G36" s="671">
        <f>VLOOKUP(E36,'CNKT '!$D$16:$G$93,4,0)</f>
        <v>0</v>
      </c>
      <c r="H36" s="671">
        <f>VLOOKUP(E36,'CNKT '!$D$16:$M$93,10,0)</f>
        <v>4936026</v>
      </c>
      <c r="I36" s="671">
        <f>VLOOKUP(E36,'CNKT '!$D$16:$X$93,21,0)</f>
        <v>904673</v>
      </c>
      <c r="J36" s="671">
        <f t="shared" si="1"/>
        <v>5840699</v>
      </c>
      <c r="K36" s="671"/>
      <c r="L36" s="671">
        <f>VLOOKUP(E36,'CNKT '!$D$16:$AA$93,24,0)</f>
        <v>5840699</v>
      </c>
      <c r="M36" s="671"/>
      <c r="N36" s="673">
        <f t="shared" si="2"/>
        <v>5840699</v>
      </c>
      <c r="O36" s="290"/>
      <c r="P36" s="125"/>
    </row>
    <row r="37" spans="1:16" s="126" customFormat="1" ht="21.75" customHeight="1">
      <c r="A37" s="1202">
        <v>24</v>
      </c>
      <c r="B37" s="241">
        <v>24</v>
      </c>
      <c r="C37" s="818" t="str">
        <f>'Chấm công KT'!C36</f>
        <v>03477</v>
      </c>
      <c r="D37" s="819"/>
      <c r="E37" s="677" t="str">
        <f>'CNKT '!D39</f>
        <v>N. Phim Phon.</v>
      </c>
      <c r="F37" s="677" t="s">
        <v>28</v>
      </c>
      <c r="G37" s="671">
        <f>VLOOKUP(E37,'CNKT '!$D$16:$G$93,4,0)</f>
        <v>0</v>
      </c>
      <c r="H37" s="671">
        <f>VLOOKUP(E37,'CNKT '!$D$16:$M$93,10,0)</f>
        <v>3461040</v>
      </c>
      <c r="I37" s="671">
        <f>VLOOKUP(E37,'CNKT '!$D$16:$X$93,21,0)</f>
        <v>966340</v>
      </c>
      <c r="J37" s="671">
        <f t="shared" si="1"/>
        <v>4427380</v>
      </c>
      <c r="K37" s="671"/>
      <c r="L37" s="671">
        <f>VLOOKUP(E37,'CNKT '!$D$16:$AA$93,24,0)</f>
        <v>4427380</v>
      </c>
      <c r="M37" s="671"/>
      <c r="N37" s="673">
        <f t="shared" si="2"/>
        <v>4427380</v>
      </c>
      <c r="O37" s="290"/>
      <c r="P37" s="125"/>
    </row>
    <row r="38" spans="1:16" s="126" customFormat="1" ht="21.75" customHeight="1">
      <c r="A38" s="1202">
        <v>25</v>
      </c>
      <c r="B38" s="241">
        <v>25</v>
      </c>
      <c r="C38" s="818" t="str">
        <f>'Chấm công KT'!C37</f>
        <v>03478</v>
      </c>
      <c r="D38" s="819"/>
      <c r="E38" s="677" t="str">
        <f>'CNKT '!D40</f>
        <v>N. Nong</v>
      </c>
      <c r="F38" s="677" t="s">
        <v>28</v>
      </c>
      <c r="G38" s="671">
        <f>VLOOKUP(E38,'CNKT '!$D$16:$G$93,4,0)</f>
        <v>0</v>
      </c>
      <c r="H38" s="671">
        <f>VLOOKUP(E38,'CNKT '!$D$16:$M$93,10,0)</f>
        <v>4405450</v>
      </c>
      <c r="I38" s="671">
        <f>VLOOKUP(E38,'CNKT '!$D$16:$X$93,21,0)</f>
        <v>873839</v>
      </c>
      <c r="J38" s="671">
        <f t="shared" si="1"/>
        <v>5279289</v>
      </c>
      <c r="K38" s="671"/>
      <c r="L38" s="671">
        <f>VLOOKUP(E38,'CNKT '!$D$16:$AA$93,24,0)</f>
        <v>5279289</v>
      </c>
      <c r="M38" s="671"/>
      <c r="N38" s="673">
        <f t="shared" si="2"/>
        <v>5279289</v>
      </c>
      <c r="O38" s="290"/>
      <c r="P38" s="125"/>
    </row>
    <row r="39" spans="1:16" s="126" customFormat="1" ht="21.75" customHeight="1">
      <c r="A39" s="1202">
        <v>26</v>
      </c>
      <c r="B39" s="241">
        <v>26</v>
      </c>
      <c r="C39" s="818" t="str">
        <f>'Chấm công KT'!C38</f>
        <v>03479</v>
      </c>
      <c r="D39" s="819"/>
      <c r="E39" s="677" t="str">
        <f>'CNKT '!D41</f>
        <v>N. Tun 1</v>
      </c>
      <c r="F39" s="677" t="s">
        <v>28</v>
      </c>
      <c r="G39" s="671">
        <f>VLOOKUP(E39,'CNKT '!$D$16:$G$93,4,0)</f>
        <v>0</v>
      </c>
      <c r="H39" s="671">
        <f>VLOOKUP(E39,'CNKT '!$D$16:$M$93,10,0)</f>
        <v>5140353</v>
      </c>
      <c r="I39" s="671">
        <f>VLOOKUP(E39,'CNKT '!$D$16:$X$93,21,0)</f>
        <v>873839</v>
      </c>
      <c r="J39" s="671">
        <f t="shared" si="1"/>
        <v>6014192</v>
      </c>
      <c r="K39" s="671"/>
      <c r="L39" s="671">
        <f>VLOOKUP(E39,'CNKT '!$D$16:$AA$93,24,0)</f>
        <v>6014192</v>
      </c>
      <c r="M39" s="671"/>
      <c r="N39" s="673">
        <f t="shared" si="2"/>
        <v>6014192</v>
      </c>
      <c r="O39" s="290"/>
      <c r="P39" s="125"/>
    </row>
    <row r="40" spans="1:16" s="126" customFormat="1" ht="21.75" customHeight="1">
      <c r="A40" s="1202">
        <v>27</v>
      </c>
      <c r="B40" s="241">
        <v>27</v>
      </c>
      <c r="C40" s="818" t="str">
        <f>'Chấm công KT'!C39</f>
        <v>03480</v>
      </c>
      <c r="D40" s="819"/>
      <c r="E40" s="677" t="str">
        <f>'CNKT '!D42</f>
        <v>T . Lốc</v>
      </c>
      <c r="F40" s="677" t="s">
        <v>28</v>
      </c>
      <c r="G40" s="671">
        <f>VLOOKUP(E40,'CNKT '!$D$16:$G$93,4,0)</f>
        <v>0</v>
      </c>
      <c r="H40" s="671">
        <f>VLOOKUP(E40,'CNKT '!$D$16:$M$93,10,0)</f>
        <v>5111975</v>
      </c>
      <c r="I40" s="671">
        <f>VLOOKUP(E40,'CNKT '!$D$16:$X$93,21,0)</f>
        <v>873839</v>
      </c>
      <c r="J40" s="671">
        <f t="shared" si="1"/>
        <v>5985814</v>
      </c>
      <c r="K40" s="671"/>
      <c r="L40" s="671">
        <f>VLOOKUP(E40,'CNKT '!$D$16:$AA$93,24,0)</f>
        <v>5985814</v>
      </c>
      <c r="M40" s="671"/>
      <c r="N40" s="673">
        <f t="shared" si="2"/>
        <v>5985814</v>
      </c>
      <c r="O40" s="290"/>
      <c r="P40" s="125"/>
    </row>
    <row r="41" spans="1:16" s="126" customFormat="1" ht="21.75" customHeight="1">
      <c r="A41" s="1202">
        <v>28</v>
      </c>
      <c r="B41" s="241">
        <v>28</v>
      </c>
      <c r="C41" s="818" t="str">
        <f>'Chấm công KT'!C40</f>
        <v>03481</v>
      </c>
      <c r="D41" s="819"/>
      <c r="E41" s="677" t="str">
        <f>'CNKT '!D43</f>
        <v>N . Khâm (1)</v>
      </c>
      <c r="F41" s="677" t="s">
        <v>28</v>
      </c>
      <c r="G41" s="671">
        <f>VLOOKUP(E41,'CNKT '!$D$16:$G$93,4,0)</f>
        <v>0</v>
      </c>
      <c r="H41" s="671">
        <f>VLOOKUP(E41,'CNKT '!$D$16:$M$93,10,0)</f>
        <v>5734417</v>
      </c>
      <c r="I41" s="671">
        <f>VLOOKUP(E41,'CNKT '!$D$16:$X$93,21,0)</f>
        <v>935507</v>
      </c>
      <c r="J41" s="671">
        <f t="shared" si="1"/>
        <v>6669924</v>
      </c>
      <c r="K41" s="671"/>
      <c r="L41" s="671">
        <f>VLOOKUP(E41,'CNKT '!$D$16:$AA$93,24,0)</f>
        <v>6669924</v>
      </c>
      <c r="M41" s="671"/>
      <c r="N41" s="673">
        <f t="shared" si="2"/>
        <v>6669924</v>
      </c>
      <c r="O41" s="290"/>
      <c r="P41" s="125"/>
    </row>
    <row r="42" spans="1:16" s="126" customFormat="1" ht="21.75" customHeight="1">
      <c r="A42" s="1202">
        <v>29</v>
      </c>
      <c r="B42" s="241">
        <v>29</v>
      </c>
      <c r="C42" s="818" t="str">
        <f>'Chấm công KT'!C41</f>
        <v>03482</v>
      </c>
      <c r="D42" s="819"/>
      <c r="E42" s="677" t="str">
        <f>'CNKT '!D44</f>
        <v>T . Phết</v>
      </c>
      <c r="F42" s="677" t="s">
        <v>28</v>
      </c>
      <c r="G42" s="671">
        <f>VLOOKUP(E42,'CNKT '!$D$16:$G$93,4,0)</f>
        <v>0</v>
      </c>
      <c r="H42" s="671">
        <f>VLOOKUP(E42,'CNKT '!$D$16:$M$93,10,0)</f>
        <v>5811986</v>
      </c>
      <c r="I42" s="671">
        <f>VLOOKUP(E42,'CNKT '!$D$16:$X$93,21,0)</f>
        <v>935507</v>
      </c>
      <c r="J42" s="671">
        <f t="shared" si="1"/>
        <v>6747493</v>
      </c>
      <c r="K42" s="671"/>
      <c r="L42" s="671">
        <f>VLOOKUP(E42,'CNKT '!$D$16:$AA$93,24,0)</f>
        <v>6747493</v>
      </c>
      <c r="M42" s="671"/>
      <c r="N42" s="673">
        <f t="shared" si="2"/>
        <v>6747493</v>
      </c>
      <c r="O42" s="290"/>
      <c r="P42" s="125"/>
    </row>
    <row r="43" spans="1:16" s="126" customFormat="1" ht="21.75" customHeight="1">
      <c r="A43" s="1202">
        <v>30</v>
      </c>
      <c r="B43" s="241">
        <v>30</v>
      </c>
      <c r="C43" s="818" t="str">
        <f>'Chấm công KT'!C42</f>
        <v>03483</v>
      </c>
      <c r="D43" s="819"/>
      <c r="E43" s="677" t="str">
        <f>'CNKT '!D45</f>
        <v>T. Viêng Sa Văn</v>
      </c>
      <c r="F43" s="677" t="s">
        <v>28</v>
      </c>
      <c r="G43" s="671">
        <f>VLOOKUP(E43,'CNKT '!$D$16:$G$93,4,0)</f>
        <v>0</v>
      </c>
      <c r="H43" s="671">
        <f>VLOOKUP(E43,'CNKT '!$D$16:$M$93,10,0)</f>
        <v>5719282</v>
      </c>
      <c r="I43" s="671">
        <f>VLOOKUP(E43,'CNKT '!$D$16:$X$93,21,0)</f>
        <v>935507</v>
      </c>
      <c r="J43" s="671">
        <f t="shared" si="1"/>
        <v>6654789</v>
      </c>
      <c r="K43" s="671"/>
      <c r="L43" s="671">
        <f>VLOOKUP(E43,'CNKT '!$D$16:$AA$93,24,0)</f>
        <v>6654789</v>
      </c>
      <c r="M43" s="671"/>
      <c r="N43" s="673">
        <f t="shared" si="2"/>
        <v>6654789</v>
      </c>
      <c r="O43" s="290"/>
      <c r="P43" s="125"/>
    </row>
    <row r="44" spans="1:16" s="126" customFormat="1" ht="21.75" customHeight="1">
      <c r="A44" s="1202">
        <v>31</v>
      </c>
      <c r="B44" s="241">
        <v>31</v>
      </c>
      <c r="C44" s="818" t="str">
        <f>'Chấm công KT'!C43</f>
        <v>03484</v>
      </c>
      <c r="D44" s="819"/>
      <c r="E44" s="677" t="str">
        <f>'CNKT '!D46</f>
        <v>T. Ca Te</v>
      </c>
      <c r="F44" s="677" t="s">
        <v>28</v>
      </c>
      <c r="G44" s="671">
        <f>VLOOKUP(E44,'CNKT '!$D$16:$G$93,4,0)</f>
        <v>0</v>
      </c>
      <c r="H44" s="671">
        <f>VLOOKUP(E44,'CNKT '!$D$16:$M$93,10,0)</f>
        <v>5036298</v>
      </c>
      <c r="I44" s="671">
        <f>VLOOKUP(E44,'CNKT '!$D$16:$X$93,21,0)</f>
        <v>760739</v>
      </c>
      <c r="J44" s="671">
        <f t="shared" si="1"/>
        <v>5797037</v>
      </c>
      <c r="K44" s="671"/>
      <c r="L44" s="671">
        <f>VLOOKUP(E44,'CNKT '!$D$16:$AA$93,24,0)</f>
        <v>5797037</v>
      </c>
      <c r="M44" s="671"/>
      <c r="N44" s="673">
        <f t="shared" si="2"/>
        <v>5797037</v>
      </c>
      <c r="O44" s="290"/>
      <c r="P44" s="125"/>
    </row>
    <row r="45" spans="1:16" s="126" customFormat="1" ht="21.75" customHeight="1">
      <c r="A45" s="1202">
        <v>32</v>
      </c>
      <c r="B45" s="241">
        <v>32</v>
      </c>
      <c r="C45" s="818" t="str">
        <f>'Chấm công KT'!C44</f>
        <v>03485</v>
      </c>
      <c r="D45" s="819"/>
      <c r="E45" s="677" t="str">
        <f>'CNKT '!D47</f>
        <v>T. Lâm Phon</v>
      </c>
      <c r="F45" s="677" t="s">
        <v>28</v>
      </c>
      <c r="G45" s="671">
        <f>VLOOKUP(E45,'CNKT '!$D$16:$G$93,4,0)</f>
        <v>0</v>
      </c>
      <c r="H45" s="671">
        <f>VLOOKUP(E45,'CNKT '!$D$16:$M$93,10,0)</f>
        <v>5071035</v>
      </c>
      <c r="I45" s="671">
        <f>VLOOKUP(E45,'CNKT '!$D$16:$X$93,21,0)</f>
        <v>873839</v>
      </c>
      <c r="J45" s="671">
        <f t="shared" si="1"/>
        <v>5944874</v>
      </c>
      <c r="K45" s="671"/>
      <c r="L45" s="671">
        <f>VLOOKUP(E45,'CNKT '!$D$16:$AA$93,24,0)</f>
        <v>5944874</v>
      </c>
      <c r="M45" s="671"/>
      <c r="N45" s="673">
        <f t="shared" si="2"/>
        <v>5944874</v>
      </c>
      <c r="O45" s="290"/>
      <c r="P45" s="125"/>
    </row>
    <row r="46" spans="1:16" s="126" customFormat="1" ht="21.75" customHeight="1">
      <c r="A46" s="1202">
        <v>33</v>
      </c>
      <c r="B46" s="241">
        <v>33</v>
      </c>
      <c r="C46" s="818" t="str">
        <f>'Chấm công KT'!C45</f>
        <v>02712</v>
      </c>
      <c r="D46" s="819"/>
      <c r="E46" s="677" t="str">
        <f>'CNKT '!D48</f>
        <v>T. Sô Đa</v>
      </c>
      <c r="F46" s="677" t="s">
        <v>28</v>
      </c>
      <c r="G46" s="671">
        <f>VLOOKUP(E46,'CNKT '!$D$16:$G$93,4,0)</f>
        <v>0</v>
      </c>
      <c r="H46" s="671">
        <f>VLOOKUP(E46,'CNKT '!$D$16:$M$93,10,0)</f>
        <v>5556576</v>
      </c>
      <c r="I46" s="671">
        <f>VLOOKUP(E46,'CNKT '!$D$16:$X$93,21,0)</f>
        <v>966340</v>
      </c>
      <c r="J46" s="671">
        <f t="shared" si="1"/>
        <v>6522916</v>
      </c>
      <c r="K46" s="671"/>
      <c r="L46" s="671">
        <f>VLOOKUP(E46,'CNKT '!$D$16:$AA$93,24,0)</f>
        <v>6522916</v>
      </c>
      <c r="M46" s="671"/>
      <c r="N46" s="673">
        <f t="shared" si="2"/>
        <v>6522916</v>
      </c>
      <c r="O46" s="290"/>
      <c r="P46" s="125"/>
    </row>
    <row r="47" spans="1:16" s="126" customFormat="1" ht="21.75" customHeight="1">
      <c r="A47" s="1202">
        <v>34</v>
      </c>
      <c r="B47" s="241">
        <v>34</v>
      </c>
      <c r="C47" s="818" t="str">
        <f>'Chấm công KT'!C46</f>
        <v>02722</v>
      </c>
      <c r="D47" s="819"/>
      <c r="E47" s="677" t="str">
        <f>'CNKT '!D49</f>
        <v>T. Phu Ngân</v>
      </c>
      <c r="F47" s="677" t="s">
        <v>28</v>
      </c>
      <c r="G47" s="671">
        <f>VLOOKUP(E47,'CNKT '!$D$16:$G$93,4,0)</f>
        <v>0</v>
      </c>
      <c r="H47" s="671">
        <f>VLOOKUP(E47,'CNKT '!$D$16:$M$93,10,0)</f>
        <v>6093882</v>
      </c>
      <c r="I47" s="671">
        <f>VLOOKUP(E47,'CNKT '!$D$16:$X$93,21,0)</f>
        <v>935507</v>
      </c>
      <c r="J47" s="671">
        <f t="shared" si="1"/>
        <v>7029389</v>
      </c>
      <c r="K47" s="671"/>
      <c r="L47" s="671">
        <f>VLOOKUP(E47,'CNKT '!$D$16:$AA$93,24,0)</f>
        <v>7029389</v>
      </c>
      <c r="M47" s="671"/>
      <c r="N47" s="673">
        <f t="shared" si="2"/>
        <v>7029389</v>
      </c>
      <c r="O47" s="290"/>
      <c r="P47" s="125"/>
    </row>
    <row r="48" spans="1:16" s="126" customFormat="1" ht="21.75" customHeight="1">
      <c r="A48" s="1202">
        <v>35</v>
      </c>
      <c r="B48" s="241">
        <v>35</v>
      </c>
      <c r="C48" s="818" t="str">
        <f>'Chấm công KT'!C47</f>
        <v>02714</v>
      </c>
      <c r="D48" s="819"/>
      <c r="E48" s="677" t="str">
        <f>'CNKT '!D50</f>
        <v>N. Tủn</v>
      </c>
      <c r="F48" s="677" t="s">
        <v>28</v>
      </c>
      <c r="G48" s="671">
        <f>VLOOKUP(E48,'CNKT '!$D$16:$G$93,4,0)</f>
        <v>0</v>
      </c>
      <c r="H48" s="671">
        <f>VLOOKUP(E48,'CNKT '!$D$16:$M$93,10,0)</f>
        <v>3679789</v>
      </c>
      <c r="I48" s="671">
        <f>VLOOKUP(E48,'CNKT '!$D$16:$X$93,21,0)</f>
        <v>904673</v>
      </c>
      <c r="J48" s="671">
        <f t="shared" si="1"/>
        <v>4584462</v>
      </c>
      <c r="K48" s="671"/>
      <c r="L48" s="671">
        <f>VLOOKUP(E48,'CNKT '!$D$16:$AA$93,24,0)</f>
        <v>4584462</v>
      </c>
      <c r="M48" s="671"/>
      <c r="N48" s="673">
        <f t="shared" si="2"/>
        <v>4584462</v>
      </c>
      <c r="O48" s="290"/>
      <c r="P48" s="125"/>
    </row>
    <row r="49" spans="1:16" s="126" customFormat="1" ht="21.75" customHeight="1">
      <c r="A49" s="1202">
        <v>36</v>
      </c>
      <c r="B49" s="241">
        <v>36</v>
      </c>
      <c r="C49" s="818" t="str">
        <f>'Chấm công KT'!C48</f>
        <v>02713</v>
      </c>
      <c r="D49" s="819"/>
      <c r="E49" s="677" t="str">
        <f>'CNKT '!D51</f>
        <v>T. Lung</v>
      </c>
      <c r="F49" s="677" t="s">
        <v>28</v>
      </c>
      <c r="G49" s="671">
        <f>VLOOKUP(E49,'CNKT '!$D$16:$G$93,4,0)</f>
        <v>0</v>
      </c>
      <c r="H49" s="671">
        <f>VLOOKUP(E49,'CNKT '!$D$16:$M$93,10,0)</f>
        <v>3683573</v>
      </c>
      <c r="I49" s="671">
        <f>VLOOKUP(E49,'CNKT '!$D$16:$X$93,21,0)</f>
        <v>904673</v>
      </c>
      <c r="J49" s="671">
        <f t="shared" si="1"/>
        <v>4588246</v>
      </c>
      <c r="K49" s="671"/>
      <c r="L49" s="671">
        <f>VLOOKUP(E49,'CNKT '!$D$16:$AA$93,24,0)</f>
        <v>4588246</v>
      </c>
      <c r="M49" s="671"/>
      <c r="N49" s="673">
        <f t="shared" si="2"/>
        <v>4588246</v>
      </c>
      <c r="O49" s="290"/>
      <c r="P49" s="125"/>
    </row>
    <row r="50" spans="1:16" s="126" customFormat="1" ht="21.75" customHeight="1">
      <c r="A50" s="1202">
        <v>37</v>
      </c>
      <c r="B50" s="241">
        <v>37</v>
      </c>
      <c r="C50" s="818" t="str">
        <f>'Chấm công KT'!C49</f>
        <v>04058</v>
      </c>
      <c r="D50" s="819"/>
      <c r="E50" s="677" t="str">
        <f>'CNKT '!D52</f>
        <v>T. Bi Ly (2)</v>
      </c>
      <c r="F50" s="677" t="s">
        <v>28</v>
      </c>
      <c r="G50" s="671">
        <f>VLOOKUP(E50,'CNKT '!$D$16:$G$93,4,0)</f>
        <v>0</v>
      </c>
      <c r="H50" s="671">
        <f>VLOOKUP(E50,'CNKT '!$D$16:$M$93,10,0)</f>
        <v>3946736</v>
      </c>
      <c r="I50" s="671">
        <f>VLOOKUP(E50,'CNKT '!$D$16:$X$93,21,0)</f>
        <v>904673</v>
      </c>
      <c r="J50" s="671">
        <f t="shared" si="1"/>
        <v>4851409</v>
      </c>
      <c r="K50" s="671"/>
      <c r="L50" s="671">
        <f>VLOOKUP(E50,'CNKT '!$D$16:$AA$93,24,0)</f>
        <v>4851409</v>
      </c>
      <c r="M50" s="671"/>
      <c r="N50" s="673">
        <f t="shared" si="2"/>
        <v>4851409</v>
      </c>
      <c r="O50" s="290"/>
      <c r="P50" s="125"/>
    </row>
    <row r="51" spans="1:16" s="126" customFormat="1" ht="21.75" customHeight="1">
      <c r="A51" s="1202">
        <v>38</v>
      </c>
      <c r="B51" s="241">
        <v>38</v>
      </c>
      <c r="C51" s="818" t="str">
        <f>'Chấm công KT'!C50</f>
        <v>03487</v>
      </c>
      <c r="D51" s="819"/>
      <c r="E51" s="677" t="str">
        <f>'CNKT '!D53</f>
        <v>N. Ba Say</v>
      </c>
      <c r="F51" s="677" t="s">
        <v>28</v>
      </c>
      <c r="G51" s="671">
        <f>VLOOKUP(E51,'CNKT '!$D$16:$G$93,4,0)</f>
        <v>0</v>
      </c>
      <c r="H51" s="671">
        <f>VLOOKUP(E51,'CNKT '!$D$16:$M$93,10,0)</f>
        <v>3194806</v>
      </c>
      <c r="I51" s="671">
        <f>VLOOKUP(E51,'CNKT '!$D$16:$X$93,21,0)</f>
        <v>904673</v>
      </c>
      <c r="J51" s="671">
        <f t="shared" si="1"/>
        <v>4099479</v>
      </c>
      <c r="K51" s="671"/>
      <c r="L51" s="671">
        <f>VLOOKUP(E51,'CNKT '!$D$16:$AA$93,24,0)</f>
        <v>4099479</v>
      </c>
      <c r="M51" s="671"/>
      <c r="N51" s="673">
        <f t="shared" si="2"/>
        <v>4099479</v>
      </c>
      <c r="O51" s="290"/>
      <c r="P51" s="125"/>
    </row>
    <row r="52" spans="1:16" s="126" customFormat="1" ht="21.75" customHeight="1">
      <c r="A52" s="1202">
        <v>39</v>
      </c>
      <c r="B52" s="241">
        <v>39</v>
      </c>
      <c r="C52" s="818" t="str">
        <f>'Chấm công KT'!C51</f>
        <v>03488</v>
      </c>
      <c r="D52" s="819"/>
      <c r="E52" s="677" t="str">
        <f>'CNKT '!D54</f>
        <v>N. Đeng</v>
      </c>
      <c r="F52" s="677" t="s">
        <v>28</v>
      </c>
      <c r="G52" s="671">
        <f>VLOOKUP(E52,'CNKT '!$D$16:$G$93,4,0)</f>
        <v>0</v>
      </c>
      <c r="H52" s="671">
        <f>VLOOKUP(E52,'CNKT '!$D$16:$M$93,10,0)</f>
        <v>4158446</v>
      </c>
      <c r="I52" s="671">
        <f>VLOOKUP(E52,'CNKT '!$D$16:$X$93,21,0)</f>
        <v>873839</v>
      </c>
      <c r="J52" s="671">
        <f t="shared" si="1"/>
        <v>5032285</v>
      </c>
      <c r="K52" s="671"/>
      <c r="L52" s="671">
        <f>VLOOKUP(E52,'CNKT '!$D$16:$AA$93,24,0)</f>
        <v>5032285</v>
      </c>
      <c r="M52" s="671"/>
      <c r="N52" s="673">
        <f t="shared" si="2"/>
        <v>5032285</v>
      </c>
      <c r="O52" s="290"/>
      <c r="P52" s="125"/>
    </row>
    <row r="53" spans="1:16" s="126" customFormat="1" ht="21.75" customHeight="1">
      <c r="A53" s="1202">
        <v>40</v>
      </c>
      <c r="B53" s="241">
        <v>40</v>
      </c>
      <c r="C53" s="818" t="str">
        <f>'Chấm công KT'!C52</f>
        <v>03489</v>
      </c>
      <c r="D53" s="819"/>
      <c r="E53" s="677" t="str">
        <f>'CNKT '!D55</f>
        <v>T. Tinh</v>
      </c>
      <c r="F53" s="677" t="s">
        <v>28</v>
      </c>
      <c r="G53" s="671">
        <f>VLOOKUP(E53,'CNKT '!$D$16:$G$93,4,0)</f>
        <v>0</v>
      </c>
      <c r="H53" s="671">
        <f>VLOOKUP(E53,'CNKT '!$D$16:$M$93,10,0)</f>
        <v>3221944</v>
      </c>
      <c r="I53" s="671">
        <f>VLOOKUP(E53,'CNKT '!$D$16:$X$93,21,0)</f>
        <v>935507</v>
      </c>
      <c r="J53" s="671">
        <f t="shared" si="1"/>
        <v>4157451</v>
      </c>
      <c r="K53" s="671"/>
      <c r="L53" s="671">
        <f>VLOOKUP(E53,'CNKT '!$D$16:$AA$93,24,0)</f>
        <v>4157451</v>
      </c>
      <c r="M53" s="671"/>
      <c r="N53" s="673">
        <f t="shared" si="2"/>
        <v>4157451</v>
      </c>
      <c r="O53" s="290"/>
      <c r="P53" s="125"/>
    </row>
    <row r="54" spans="1:16" s="126" customFormat="1" ht="21.75" customHeight="1">
      <c r="A54" s="1202">
        <v>41</v>
      </c>
      <c r="B54" s="241">
        <v>41</v>
      </c>
      <c r="C54" s="818" t="str">
        <f>'Chấm công KT'!C53</f>
        <v>04059</v>
      </c>
      <c r="D54" s="819"/>
      <c r="E54" s="677" t="str">
        <f>'CNKT '!D56</f>
        <v>T. Khăm Pỏi</v>
      </c>
      <c r="F54" s="677" t="s">
        <v>28</v>
      </c>
      <c r="G54" s="671">
        <f>VLOOKUP(E54,'CNKT '!$D$16:$G$93,4,0)</f>
        <v>0</v>
      </c>
      <c r="H54" s="671">
        <f>VLOOKUP(E54,'CNKT '!$D$16:$M$93,10,0)</f>
        <v>4275745</v>
      </c>
      <c r="I54" s="671">
        <f>VLOOKUP(E54,'CNKT '!$D$16:$X$93,21,0)</f>
        <v>853239</v>
      </c>
      <c r="J54" s="671">
        <f t="shared" si="1"/>
        <v>5128984</v>
      </c>
      <c r="K54" s="671"/>
      <c r="L54" s="671">
        <f>VLOOKUP(E54,'CNKT '!$D$16:$AA$93,24,0)</f>
        <v>5128984</v>
      </c>
      <c r="M54" s="671"/>
      <c r="N54" s="673">
        <f t="shared" si="2"/>
        <v>5128984</v>
      </c>
      <c r="O54" s="290"/>
      <c r="P54" s="125"/>
    </row>
    <row r="55" spans="1:16" s="126" customFormat="1" ht="21.75" customHeight="1">
      <c r="A55" s="1202">
        <v>42</v>
      </c>
      <c r="B55" s="241">
        <v>42</v>
      </c>
      <c r="C55" s="818" t="str">
        <f>'Chấm công KT'!C54</f>
        <v>03491</v>
      </c>
      <c r="D55" s="819"/>
      <c r="E55" s="677" t="str">
        <f>'CNKT '!D57</f>
        <v>Lăm Ngân</v>
      </c>
      <c r="F55" s="677" t="s">
        <v>28</v>
      </c>
      <c r="G55" s="671">
        <f>VLOOKUP(E55,'CNKT '!$D$16:$G$93,4,0)</f>
        <v>0</v>
      </c>
      <c r="H55" s="671">
        <f>VLOOKUP(E55,'CNKT '!$D$16:$M$93,10,0)</f>
        <v>4449802</v>
      </c>
      <c r="I55" s="671">
        <f>VLOOKUP(E55,'CNKT '!$D$16:$X$93,21,0)</f>
        <v>873839</v>
      </c>
      <c r="J55" s="671">
        <f t="shared" si="1"/>
        <v>5323641</v>
      </c>
      <c r="K55" s="671"/>
      <c r="L55" s="671">
        <f>VLOOKUP(E55,'CNKT '!$D$16:$AA$93,24,0)</f>
        <v>5323641</v>
      </c>
      <c r="M55" s="671"/>
      <c r="N55" s="673">
        <f t="shared" si="2"/>
        <v>5323641</v>
      </c>
      <c r="O55" s="290"/>
      <c r="P55" s="125"/>
    </row>
    <row r="56" spans="1:16" s="126" customFormat="1" ht="21.75" customHeight="1">
      <c r="A56" s="1202">
        <v>43</v>
      </c>
      <c r="B56" s="241">
        <v>43</v>
      </c>
      <c r="C56" s="818" t="str">
        <f>'Chấm công KT'!C55</f>
        <v>04060</v>
      </c>
      <c r="D56" s="819"/>
      <c r="E56" s="677" t="str">
        <f>'CNKT '!D58</f>
        <v>T. Không</v>
      </c>
      <c r="F56" s="677" t="s">
        <v>28</v>
      </c>
      <c r="G56" s="671">
        <f>VLOOKUP(E56,'CNKT '!$D$16:$G$93,4,0)</f>
        <v>0</v>
      </c>
      <c r="H56" s="671">
        <f>VLOOKUP(E56,'CNKT '!$D$16:$M$93,10,0)</f>
        <v>3649519</v>
      </c>
      <c r="I56" s="671">
        <f>VLOOKUP(E56,'CNKT '!$D$16:$X$93,21,0)</f>
        <v>966340</v>
      </c>
      <c r="J56" s="671">
        <f t="shared" si="1"/>
        <v>4615859</v>
      </c>
      <c r="K56" s="671"/>
      <c r="L56" s="671">
        <f>VLOOKUP(E56,'CNKT '!$D$16:$AA$93,24,0)</f>
        <v>4615859</v>
      </c>
      <c r="M56" s="671"/>
      <c r="N56" s="673">
        <f t="shared" si="2"/>
        <v>4615859</v>
      </c>
      <c r="O56" s="290"/>
      <c r="P56" s="125"/>
    </row>
    <row r="57" spans="1:16" s="126" customFormat="1" ht="21.75" customHeight="1">
      <c r="A57" s="1202">
        <v>44</v>
      </c>
      <c r="B57" s="241">
        <v>44</v>
      </c>
      <c r="C57" s="818" t="str">
        <f>'Chấm công KT'!C56</f>
        <v>03492</v>
      </c>
      <c r="D57" s="819"/>
      <c r="E57" s="677" t="str">
        <f>'CNKT '!D59</f>
        <v>T. Lem</v>
      </c>
      <c r="F57" s="677" t="s">
        <v>28</v>
      </c>
      <c r="G57" s="671">
        <f>VLOOKUP(E57,'CNKT '!$D$16:$G$93,4,0)</f>
        <v>0</v>
      </c>
      <c r="H57" s="671">
        <f>VLOOKUP(E57,'CNKT '!$D$16:$M$93,10,0)</f>
        <v>4487640</v>
      </c>
      <c r="I57" s="671">
        <f>VLOOKUP(E57,'CNKT '!$D$16:$X$93,21,0)</f>
        <v>935507</v>
      </c>
      <c r="J57" s="671">
        <f t="shared" si="1"/>
        <v>5423147</v>
      </c>
      <c r="K57" s="671"/>
      <c r="L57" s="671">
        <f>VLOOKUP(E57,'CNKT '!$D$16:$AA$93,24,0)</f>
        <v>5423147</v>
      </c>
      <c r="M57" s="671"/>
      <c r="N57" s="673">
        <f t="shared" si="2"/>
        <v>5423147</v>
      </c>
      <c r="O57" s="290"/>
      <c r="P57" s="125"/>
    </row>
    <row r="58" spans="1:16" s="126" customFormat="1" ht="21.75" customHeight="1">
      <c r="A58" s="1202">
        <v>45</v>
      </c>
      <c r="B58" s="241">
        <v>45</v>
      </c>
      <c r="C58" s="818" t="str">
        <f>'Chấm công KT'!C57</f>
        <v>03493</v>
      </c>
      <c r="D58" s="819"/>
      <c r="E58" s="677" t="str">
        <f>'CNKT '!D60</f>
        <v>T. Pông</v>
      </c>
      <c r="F58" s="677" t="s">
        <v>28</v>
      </c>
      <c r="G58" s="671">
        <f>VLOOKUP(E58,'CNKT '!$D$16:$G$93,4,0)</f>
        <v>0</v>
      </c>
      <c r="H58" s="671">
        <f>VLOOKUP(E58,'CNKT '!$D$16:$M$93,10,0)</f>
        <v>6504430</v>
      </c>
      <c r="I58" s="671">
        <f>VLOOKUP(E58,'CNKT '!$D$16:$X$93,21,0)</f>
        <v>935507</v>
      </c>
      <c r="J58" s="671">
        <f t="shared" si="1"/>
        <v>7439937</v>
      </c>
      <c r="K58" s="671"/>
      <c r="L58" s="671">
        <f>VLOOKUP(E58,'CNKT '!$D$16:$AA$93,24,0)</f>
        <v>7439937</v>
      </c>
      <c r="M58" s="671"/>
      <c r="N58" s="673">
        <f t="shared" si="2"/>
        <v>7439937</v>
      </c>
      <c r="O58" s="290"/>
      <c r="P58" s="125"/>
    </row>
    <row r="59" spans="1:16" s="126" customFormat="1" ht="21.75" customHeight="1">
      <c r="A59" s="1202">
        <v>46</v>
      </c>
      <c r="B59" s="241">
        <v>46</v>
      </c>
      <c r="C59" s="818" t="str">
        <f>'Chấm công KT'!C58</f>
        <v>03496</v>
      </c>
      <c r="D59" s="819"/>
      <c r="E59" s="677" t="str">
        <f>'CNKT '!D61</f>
        <v>T. Lốp</v>
      </c>
      <c r="F59" s="677" t="s">
        <v>28</v>
      </c>
      <c r="G59" s="671">
        <f>VLOOKUP(E59,'CNKT '!$D$16:$G$93,4,0)</f>
        <v>0</v>
      </c>
      <c r="H59" s="671">
        <f>VLOOKUP(E59,'CNKT '!$D$16:$M$93,10,0)</f>
        <v>5639821</v>
      </c>
      <c r="I59" s="671">
        <f>VLOOKUP(E59,'CNKT '!$D$16:$X$93,21,0)</f>
        <v>966340</v>
      </c>
      <c r="J59" s="671">
        <f t="shared" si="1"/>
        <v>6606161</v>
      </c>
      <c r="K59" s="671"/>
      <c r="L59" s="671">
        <f>VLOOKUP(E59,'CNKT '!$D$16:$AA$93,24,0)</f>
        <v>6606161</v>
      </c>
      <c r="M59" s="671"/>
      <c r="N59" s="673">
        <f t="shared" si="2"/>
        <v>6606161</v>
      </c>
      <c r="O59" s="290"/>
      <c r="P59" s="125"/>
    </row>
    <row r="60" spans="1:16" s="126" customFormat="1" ht="21.75" customHeight="1">
      <c r="A60" s="1202">
        <v>47</v>
      </c>
      <c r="B60" s="241">
        <v>47</v>
      </c>
      <c r="C60" s="818" t="str">
        <f>'Chấm công KT'!C59</f>
        <v>04061</v>
      </c>
      <c r="D60" s="819"/>
      <c r="E60" s="677" t="str">
        <f>'CNKT '!D62</f>
        <v>N. Nu Ni</v>
      </c>
      <c r="F60" s="677" t="s">
        <v>28</v>
      </c>
      <c r="G60" s="671">
        <f>VLOOKUP(E60,'CNKT '!$D$16:$G$93,4,0)</f>
        <v>0</v>
      </c>
      <c r="H60" s="671">
        <f>VLOOKUP(E60,'CNKT '!$D$16:$M$93,10,0)</f>
        <v>5403827</v>
      </c>
      <c r="I60" s="671">
        <f>VLOOKUP(E60,'CNKT '!$D$16:$X$93,21,0)</f>
        <v>966340</v>
      </c>
      <c r="J60" s="671">
        <f t="shared" si="1"/>
        <v>6370167</v>
      </c>
      <c r="K60" s="671"/>
      <c r="L60" s="671">
        <f>VLOOKUP(E60,'CNKT '!$D$16:$AA$93,24,0)</f>
        <v>6370167</v>
      </c>
      <c r="M60" s="671"/>
      <c r="N60" s="673">
        <f t="shared" si="2"/>
        <v>6370167</v>
      </c>
      <c r="O60" s="290"/>
      <c r="P60" s="125"/>
    </row>
    <row r="61" spans="1:16" s="126" customFormat="1" ht="21.75" customHeight="1">
      <c r="A61" s="1202">
        <v>48</v>
      </c>
      <c r="B61" s="241">
        <v>48</v>
      </c>
      <c r="C61" s="818" t="str">
        <f>'Chấm công KT'!C60</f>
        <v>03494</v>
      </c>
      <c r="D61" s="819"/>
      <c r="E61" s="677" t="str">
        <f>'CNKT '!D63</f>
        <v>T. Đi</v>
      </c>
      <c r="F61" s="677" t="s">
        <v>28</v>
      </c>
      <c r="G61" s="671">
        <f>VLOOKUP(E61,'CNKT '!$D$16:$G$93,4,0)</f>
        <v>0</v>
      </c>
      <c r="H61" s="671">
        <f>VLOOKUP(E61,'CNKT '!$D$16:$M$93,10,0)</f>
        <v>2703557</v>
      </c>
      <c r="I61" s="671">
        <f>VLOOKUP(E61,'CNKT '!$D$16:$X$93,21,0)</f>
        <v>699072</v>
      </c>
      <c r="J61" s="671">
        <f t="shared" si="1"/>
        <v>3402629</v>
      </c>
      <c r="K61" s="671"/>
      <c r="L61" s="671">
        <f>VLOOKUP(E61,'CNKT '!$D$16:$AA$93,24,0)</f>
        <v>3402629</v>
      </c>
      <c r="M61" s="671"/>
      <c r="N61" s="673">
        <f t="shared" si="2"/>
        <v>3402629</v>
      </c>
      <c r="O61" s="290"/>
      <c r="P61" s="125"/>
    </row>
    <row r="62" spans="1:16" s="126" customFormat="1" ht="21.75" customHeight="1">
      <c r="A62" s="1202">
        <v>49</v>
      </c>
      <c r="B62" s="241">
        <v>49</v>
      </c>
      <c r="C62" s="818" t="str">
        <f>'Chấm công KT'!C61</f>
        <v>03495</v>
      </c>
      <c r="D62" s="819"/>
      <c r="E62" s="677" t="str">
        <f>'CNKT '!D64</f>
        <v>N. On Xi</v>
      </c>
      <c r="F62" s="677" t="s">
        <v>28</v>
      </c>
      <c r="G62" s="671">
        <f>VLOOKUP(E62,'CNKT '!$D$16:$G$93,4,0)</f>
        <v>0</v>
      </c>
      <c r="H62" s="671">
        <f>VLOOKUP(E62,'CNKT '!$D$16:$M$93,10,0)</f>
        <v>3453844</v>
      </c>
      <c r="I62" s="671">
        <f>VLOOKUP(E62,'CNKT '!$D$16:$X$93,21,0)</f>
        <v>904673</v>
      </c>
      <c r="J62" s="671">
        <f t="shared" si="1"/>
        <v>4358517</v>
      </c>
      <c r="K62" s="671"/>
      <c r="L62" s="671">
        <f>VLOOKUP(E62,'CNKT '!$D$16:$AA$93,24,0)</f>
        <v>4358517</v>
      </c>
      <c r="M62" s="671"/>
      <c r="N62" s="673">
        <f t="shared" si="2"/>
        <v>4358517</v>
      </c>
      <c r="O62" s="290"/>
      <c r="P62" s="125"/>
    </row>
    <row r="63" spans="1:16" s="126" customFormat="1" ht="21.75" customHeight="1">
      <c r="A63" s="1202">
        <v>50</v>
      </c>
      <c r="B63" s="241">
        <v>50</v>
      </c>
      <c r="C63" s="818" t="str">
        <f>'Chấm công KT'!C62</f>
        <v>04062</v>
      </c>
      <c r="D63" s="819"/>
      <c r="E63" s="677" t="str">
        <f>'CNKT '!D65</f>
        <v>N. Thông La</v>
      </c>
      <c r="F63" s="677" t="s">
        <v>28</v>
      </c>
      <c r="G63" s="671">
        <f>VLOOKUP(E63,'CNKT '!$D$16:$G$93,4,0)</f>
        <v>0</v>
      </c>
      <c r="H63" s="671">
        <f>VLOOKUP(E63,'CNKT '!$D$16:$M$93,10,0)</f>
        <v>4710887</v>
      </c>
      <c r="I63" s="671">
        <f>VLOOKUP(E63,'CNKT '!$D$16:$X$93,21,0)</f>
        <v>966340</v>
      </c>
      <c r="J63" s="671">
        <f t="shared" si="1"/>
        <v>5677227</v>
      </c>
      <c r="K63" s="671"/>
      <c r="L63" s="671">
        <f>VLOOKUP(E63,'CNKT '!$D$16:$AA$93,24,0)</f>
        <v>5677227</v>
      </c>
      <c r="M63" s="671"/>
      <c r="N63" s="673">
        <f t="shared" si="2"/>
        <v>5677227</v>
      </c>
      <c r="O63" s="290"/>
      <c r="P63" s="125"/>
    </row>
    <row r="64" spans="1:16" s="126" customFormat="1" ht="21.75" customHeight="1">
      <c r="A64" s="1202">
        <v>51</v>
      </c>
      <c r="B64" s="241">
        <v>51</v>
      </c>
      <c r="C64" s="818" t="str">
        <f>'Chấm công KT'!C63</f>
        <v>03497</v>
      </c>
      <c r="D64" s="819"/>
      <c r="E64" s="677" t="str">
        <f>'CNKT '!D66</f>
        <v>T. Son Xay</v>
      </c>
      <c r="F64" s="677" t="s">
        <v>28</v>
      </c>
      <c r="G64" s="671">
        <f>VLOOKUP(E64,'CNKT '!$D$16:$G$93,4,0)</f>
        <v>0</v>
      </c>
      <c r="H64" s="671">
        <f>VLOOKUP(E64,'CNKT '!$D$16:$M$93,10,0)</f>
        <v>4866025</v>
      </c>
      <c r="I64" s="671">
        <f>VLOOKUP(E64,'CNKT '!$D$16:$X$93,21,0)</f>
        <v>873839</v>
      </c>
      <c r="J64" s="671">
        <f t="shared" si="1"/>
        <v>5739864</v>
      </c>
      <c r="K64" s="671"/>
      <c r="L64" s="671">
        <f>VLOOKUP(E64,'CNKT '!$D$16:$AA$93,24,0)</f>
        <v>5739864</v>
      </c>
      <c r="M64" s="671"/>
      <c r="N64" s="673">
        <f t="shared" si="2"/>
        <v>5739864</v>
      </c>
      <c r="O64" s="290"/>
      <c r="P64" s="125"/>
    </row>
    <row r="65" spans="1:16" s="126" customFormat="1" ht="21.75" customHeight="1">
      <c r="A65" s="1202">
        <v>52</v>
      </c>
      <c r="B65" s="241">
        <v>52</v>
      </c>
      <c r="C65" s="818" t="str">
        <f>'Chấm công KT'!C64</f>
        <v>03498</v>
      </c>
      <c r="D65" s="819"/>
      <c r="E65" s="677" t="str">
        <f>'CNKT '!D67</f>
        <v>N. Lăm Phay</v>
      </c>
      <c r="F65" s="677" t="s">
        <v>28</v>
      </c>
      <c r="G65" s="671">
        <f>VLOOKUP(E65,'CNKT '!$D$16:$G$93,4,0)</f>
        <v>0</v>
      </c>
      <c r="H65" s="671">
        <f>VLOOKUP(E65,'CNKT '!$D$16:$M$93,10,0)</f>
        <v>4905755</v>
      </c>
      <c r="I65" s="671">
        <f>VLOOKUP(E65,'CNKT '!$D$16:$X$93,21,0)</f>
        <v>904673</v>
      </c>
      <c r="J65" s="671">
        <f t="shared" si="1"/>
        <v>5810428</v>
      </c>
      <c r="K65" s="671"/>
      <c r="L65" s="671">
        <f>VLOOKUP(E65,'CNKT '!$D$16:$AA$93,24,0)</f>
        <v>5810428</v>
      </c>
      <c r="M65" s="671"/>
      <c r="N65" s="673">
        <f t="shared" si="2"/>
        <v>5810428</v>
      </c>
      <c r="O65" s="290"/>
      <c r="P65" s="125"/>
    </row>
    <row r="66" spans="1:16" s="126" customFormat="1" ht="21.75" customHeight="1">
      <c r="A66" s="1202">
        <v>53</v>
      </c>
      <c r="B66" s="241">
        <v>53</v>
      </c>
      <c r="C66" s="818" t="str">
        <f>'Chấm công KT'!C65</f>
        <v>02706</v>
      </c>
      <c r="D66" s="819"/>
      <c r="E66" s="677" t="str">
        <f>'CNKT '!D68</f>
        <v>T. Nhung</v>
      </c>
      <c r="F66" s="677" t="s">
        <v>28</v>
      </c>
      <c r="G66" s="671">
        <f>VLOOKUP(E66,'CNKT '!$D$16:$G$93,4,0)</f>
        <v>0</v>
      </c>
      <c r="H66" s="671">
        <f>VLOOKUP(E66,'CNKT '!$D$16:$M$93,10,0)</f>
        <v>5121434</v>
      </c>
      <c r="I66" s="671">
        <f>VLOOKUP(E66,'CNKT '!$D$16:$X$93,21,0)</f>
        <v>935507</v>
      </c>
      <c r="J66" s="671">
        <f t="shared" si="1"/>
        <v>6056941</v>
      </c>
      <c r="K66" s="671"/>
      <c r="L66" s="671">
        <f>VLOOKUP(E66,'CNKT '!$D$16:$AA$93,24,0)</f>
        <v>6056941</v>
      </c>
      <c r="M66" s="671"/>
      <c r="N66" s="673">
        <f t="shared" si="2"/>
        <v>6056941</v>
      </c>
      <c r="O66" s="290"/>
      <c r="P66" s="125"/>
    </row>
    <row r="67" spans="1:16" s="126" customFormat="1" ht="21.75" customHeight="1">
      <c r="A67" s="1202">
        <v>54</v>
      </c>
      <c r="B67" s="241">
        <v>54</v>
      </c>
      <c r="C67" s="818" t="str">
        <f>'Chấm công KT'!C66</f>
        <v>04063</v>
      </c>
      <c r="D67" s="819"/>
      <c r="E67" s="677" t="str">
        <f>'CNKT '!D69</f>
        <v>T. Khay Khăm</v>
      </c>
      <c r="F67" s="677" t="s">
        <v>28</v>
      </c>
      <c r="G67" s="671">
        <f>VLOOKUP(E67,'CNKT '!$D$16:$G$93,4,0)</f>
        <v>0</v>
      </c>
      <c r="H67" s="671">
        <f>VLOOKUP(E67,'CNKT '!$D$16:$M$93,10,0)</f>
        <v>1966173</v>
      </c>
      <c r="I67" s="671">
        <f>VLOOKUP(E67,'CNKT '!$D$16:$X$93,21,0)</f>
        <v>709305</v>
      </c>
      <c r="J67" s="671">
        <f t="shared" si="1"/>
        <v>2675478</v>
      </c>
      <c r="K67" s="671"/>
      <c r="L67" s="671">
        <f>VLOOKUP(E67,'CNKT '!$D$16:$AA$93,24,0)</f>
        <v>2675478</v>
      </c>
      <c r="M67" s="671"/>
      <c r="N67" s="673">
        <f t="shared" si="2"/>
        <v>2675478</v>
      </c>
      <c r="O67" s="290"/>
      <c r="P67" s="125"/>
    </row>
    <row r="68" spans="1:16" s="126" customFormat="1" ht="21.75" customHeight="1">
      <c r="A68" s="1202">
        <v>55</v>
      </c>
      <c r="B68" s="241">
        <v>55</v>
      </c>
      <c r="C68" s="818" t="str">
        <f>'Chấm công KT'!C67</f>
        <v>04064</v>
      </c>
      <c r="D68" s="819"/>
      <c r="E68" s="677" t="str">
        <f>'CNKT '!D70</f>
        <v>N. Khay Chăn</v>
      </c>
      <c r="F68" s="677" t="s">
        <v>28</v>
      </c>
      <c r="G68" s="671">
        <f>VLOOKUP(E68,'CNKT '!$D$16:$G$93,4,0)</f>
        <v>0</v>
      </c>
      <c r="H68" s="671">
        <f>VLOOKUP(E68,'CNKT '!$D$16:$M$93,10,0)</f>
        <v>5106299</v>
      </c>
      <c r="I68" s="671">
        <f>VLOOKUP(E68,'CNKT '!$D$16:$X$93,21,0)</f>
        <v>966340</v>
      </c>
      <c r="J68" s="671">
        <f t="shared" si="1"/>
        <v>6072639</v>
      </c>
      <c r="K68" s="671"/>
      <c r="L68" s="671">
        <f>VLOOKUP(E68,'CNKT '!$D$16:$AA$93,24,0)</f>
        <v>6072639</v>
      </c>
      <c r="M68" s="671"/>
      <c r="N68" s="673">
        <f t="shared" si="2"/>
        <v>6072639</v>
      </c>
      <c r="O68" s="290"/>
      <c r="P68" s="125"/>
    </row>
    <row r="69" spans="1:16" s="126" customFormat="1" ht="21.75" customHeight="1">
      <c r="A69" s="1202">
        <v>56</v>
      </c>
      <c r="B69" s="241">
        <v>56</v>
      </c>
      <c r="C69" s="818" t="str">
        <f>'Chấm công KT'!C68</f>
        <v>03501</v>
      </c>
      <c r="D69" s="819"/>
      <c r="E69" s="677" t="str">
        <f>'CNKT '!D71</f>
        <v>T Dăn</v>
      </c>
      <c r="F69" s="677" t="s">
        <v>28</v>
      </c>
      <c r="G69" s="671">
        <f>VLOOKUP(E69,'CNKT '!$D$16:$G$93,4,0)</f>
        <v>0</v>
      </c>
      <c r="H69" s="671">
        <f>VLOOKUP(E69,'CNKT '!$D$16:$M$93,10,0)</f>
        <v>4096012</v>
      </c>
      <c r="I69" s="671">
        <f>VLOOKUP(E69,'CNKT '!$D$16:$X$93,21,0)</f>
        <v>935507</v>
      </c>
      <c r="J69" s="671">
        <f t="shared" si="1"/>
        <v>5031519</v>
      </c>
      <c r="K69" s="671"/>
      <c r="L69" s="671">
        <f>VLOOKUP(E69,'CNKT '!$D$16:$AA$93,24,0)</f>
        <v>5031519</v>
      </c>
      <c r="M69" s="671"/>
      <c r="N69" s="673">
        <f t="shared" si="2"/>
        <v>5031519</v>
      </c>
      <c r="O69" s="290"/>
      <c r="P69" s="125"/>
    </row>
    <row r="70" spans="1:16" s="126" customFormat="1" ht="21.75" customHeight="1">
      <c r="A70" s="1202">
        <v>57</v>
      </c>
      <c r="B70" s="241">
        <v>57</v>
      </c>
      <c r="C70" s="818" t="str">
        <f>'Chấm công KT'!C69</f>
        <v>03502</v>
      </c>
      <c r="D70" s="819"/>
      <c r="E70" s="677" t="str">
        <f>'CNKT '!D72</f>
        <v>T. Xợt</v>
      </c>
      <c r="F70" s="677" t="s">
        <v>28</v>
      </c>
      <c r="G70" s="671">
        <f>VLOOKUP(E70,'CNKT '!$D$16:$G$93,4,0)</f>
        <v>0</v>
      </c>
      <c r="H70" s="671">
        <f>VLOOKUP(E70,'CNKT '!$D$16:$M$93,10,0)</f>
        <v>4464937</v>
      </c>
      <c r="I70" s="671">
        <f>VLOOKUP(E70,'CNKT '!$D$16:$X$93,21,0)</f>
        <v>966340</v>
      </c>
      <c r="J70" s="671">
        <f t="shared" si="1"/>
        <v>5431277</v>
      </c>
      <c r="K70" s="671"/>
      <c r="L70" s="671">
        <f>VLOOKUP(E70,'CNKT '!$D$16:$AA$93,24,0)</f>
        <v>5431277</v>
      </c>
      <c r="M70" s="671"/>
      <c r="N70" s="673">
        <f t="shared" si="2"/>
        <v>5431277</v>
      </c>
      <c r="O70" s="290"/>
      <c r="P70" s="125"/>
    </row>
    <row r="71" spans="1:16" s="126" customFormat="1" ht="21.75" customHeight="1">
      <c r="A71" s="1202">
        <v>58</v>
      </c>
      <c r="B71" s="241">
        <v>58</v>
      </c>
      <c r="C71" s="818" t="str">
        <f>'Chấm công KT'!C70</f>
        <v>04065</v>
      </c>
      <c r="D71" s="819"/>
      <c r="E71" s="677" t="str">
        <f>'CNKT '!D73</f>
        <v>N. Phết 2</v>
      </c>
      <c r="F71" s="677" t="s">
        <v>28</v>
      </c>
      <c r="G71" s="671">
        <f>VLOOKUP(E71,'CNKT '!$D$16:$G$93,4,0)</f>
        <v>0</v>
      </c>
      <c r="H71" s="671">
        <f>VLOOKUP(E71,'CNKT '!$D$16:$M$93,10,0)</f>
        <v>4852781</v>
      </c>
      <c r="I71" s="671">
        <f>VLOOKUP(E71,'CNKT '!$D$16:$X$93,21,0)</f>
        <v>853239</v>
      </c>
      <c r="J71" s="671">
        <f t="shared" si="1"/>
        <v>5706020</v>
      </c>
      <c r="K71" s="671"/>
      <c r="L71" s="671">
        <f>VLOOKUP(E71,'CNKT '!$D$16:$AA$93,24,0)</f>
        <v>5706020</v>
      </c>
      <c r="M71" s="671"/>
      <c r="N71" s="673">
        <f t="shared" si="2"/>
        <v>5706020</v>
      </c>
      <c r="O71" s="290"/>
      <c r="P71" s="125"/>
    </row>
    <row r="72" spans="1:16" s="126" customFormat="1" ht="21.75" customHeight="1">
      <c r="A72" s="1202">
        <v>59</v>
      </c>
      <c r="B72" s="241">
        <v>59</v>
      </c>
      <c r="C72" s="818" t="str">
        <f>'Chấm công KT'!C71</f>
        <v>03504</v>
      </c>
      <c r="D72" s="819"/>
      <c r="E72" s="677" t="str">
        <f>'CNKT '!D74</f>
        <v>T. Cạp</v>
      </c>
      <c r="F72" s="677" t="s">
        <v>28</v>
      </c>
      <c r="G72" s="671">
        <f>VLOOKUP(E72,'CNKT '!$D$16:$G$93,4,0)</f>
        <v>0</v>
      </c>
      <c r="H72" s="671">
        <f>VLOOKUP(E72,'CNKT '!$D$16:$M$93,10,0)</f>
        <v>2694098</v>
      </c>
      <c r="I72" s="671">
        <f>VLOOKUP(E72,'CNKT '!$D$16:$X$93,21,0)</f>
        <v>760739</v>
      </c>
      <c r="J72" s="671">
        <f t="shared" si="1"/>
        <v>3454837</v>
      </c>
      <c r="K72" s="671"/>
      <c r="L72" s="671">
        <f>VLOOKUP(E72,'CNKT '!$D$16:$AA$93,24,0)</f>
        <v>3454837</v>
      </c>
      <c r="M72" s="671"/>
      <c r="N72" s="673">
        <f t="shared" si="2"/>
        <v>3454837</v>
      </c>
      <c r="O72" s="290"/>
      <c r="P72" s="125"/>
    </row>
    <row r="73" spans="1:16" s="126" customFormat="1" ht="21.75" customHeight="1">
      <c r="A73" s="1202">
        <v>60</v>
      </c>
      <c r="B73" s="241">
        <v>60</v>
      </c>
      <c r="C73" s="818" t="str">
        <f>'Chấm công KT'!C72</f>
        <v>04066</v>
      </c>
      <c r="D73" s="819"/>
      <c r="E73" s="677" t="str">
        <f>'CNKT '!D75</f>
        <v>T. Toi</v>
      </c>
      <c r="F73" s="677" t="s">
        <v>28</v>
      </c>
      <c r="G73" s="671">
        <f>VLOOKUP(E73,'CNKT '!$D$16:$G$93,4,0)</f>
        <v>0</v>
      </c>
      <c r="H73" s="671">
        <f>VLOOKUP(E73,'CNKT '!$D$16:$M$93,10,0)</f>
        <v>4207636</v>
      </c>
      <c r="I73" s="671">
        <f>VLOOKUP(E73,'CNKT '!$D$16:$X$93,21,0)</f>
        <v>822406</v>
      </c>
      <c r="J73" s="671">
        <f t="shared" si="1"/>
        <v>5030042</v>
      </c>
      <c r="K73" s="671"/>
      <c r="L73" s="671">
        <f>VLOOKUP(E73,'CNKT '!$D$16:$AA$93,24,0)</f>
        <v>5030042</v>
      </c>
      <c r="M73" s="671"/>
      <c r="N73" s="673">
        <f t="shared" si="2"/>
        <v>5030042</v>
      </c>
      <c r="O73" s="290"/>
      <c r="P73" s="125"/>
    </row>
    <row r="74" spans="1:16" s="126" customFormat="1" ht="21.75" customHeight="1">
      <c r="A74" s="1202">
        <v>61</v>
      </c>
      <c r="B74" s="241">
        <v>61</v>
      </c>
      <c r="C74" s="818" t="str">
        <f>'Chấm công KT'!C73</f>
        <v>03506</v>
      </c>
      <c r="D74" s="819"/>
      <c r="E74" s="677" t="str">
        <f>'CNKT '!D76</f>
        <v>N. Bua Hom</v>
      </c>
      <c r="F74" s="677" t="s">
        <v>28</v>
      </c>
      <c r="G74" s="671">
        <f>VLOOKUP(E74,'CNKT '!$D$16:$G$93,4,0)</f>
        <v>0</v>
      </c>
      <c r="H74" s="671">
        <f>VLOOKUP(E74,'CNKT '!$D$16:$M$93,10,0)</f>
        <v>5159273</v>
      </c>
      <c r="I74" s="671">
        <f>VLOOKUP(E74,'CNKT '!$D$16:$X$93,21,0)</f>
        <v>884073</v>
      </c>
      <c r="J74" s="671">
        <f t="shared" si="1"/>
        <v>6043346</v>
      </c>
      <c r="K74" s="671"/>
      <c r="L74" s="671">
        <f>VLOOKUP(E74,'CNKT '!$D$16:$AA$93,24,0)</f>
        <v>6043346</v>
      </c>
      <c r="M74" s="671"/>
      <c r="N74" s="673">
        <f t="shared" si="2"/>
        <v>6043346</v>
      </c>
      <c r="O74" s="290"/>
      <c r="P74" s="125"/>
    </row>
    <row r="75" spans="1:16" s="126" customFormat="1" ht="21.75" customHeight="1">
      <c r="A75" s="1202">
        <v>62</v>
      </c>
      <c r="B75" s="241">
        <v>62</v>
      </c>
      <c r="C75" s="818" t="str">
        <f>'Chấm công KT'!C74</f>
        <v>04067</v>
      </c>
      <c r="D75" s="819"/>
      <c r="E75" s="677" t="str">
        <f>'CNKT '!D77</f>
        <v>N. Lăm Phay (2)</v>
      </c>
      <c r="F75" s="677" t="s">
        <v>28</v>
      </c>
      <c r="G75" s="671">
        <f>VLOOKUP(E75,'CNKT '!$D$16:$G$93,4,0)</f>
        <v>0</v>
      </c>
      <c r="H75" s="671">
        <f>VLOOKUP(E75,'CNKT '!$D$16:$M$93,10,0)</f>
        <v>4222771</v>
      </c>
      <c r="I75" s="671">
        <f>VLOOKUP(E75,'CNKT '!$D$16:$X$93,21,0)</f>
        <v>873839</v>
      </c>
      <c r="J75" s="671">
        <f t="shared" si="1"/>
        <v>5096610</v>
      </c>
      <c r="K75" s="671"/>
      <c r="L75" s="671">
        <f>VLOOKUP(E75,'CNKT '!$D$16:$AA$93,24,0)</f>
        <v>5096610</v>
      </c>
      <c r="M75" s="671"/>
      <c r="N75" s="673">
        <f t="shared" si="2"/>
        <v>5096610</v>
      </c>
      <c r="O75" s="290"/>
      <c r="P75" s="125"/>
    </row>
    <row r="76" spans="1:16" s="126" customFormat="1" ht="21.75" customHeight="1">
      <c r="A76" s="1202">
        <v>63</v>
      </c>
      <c r="B76" s="241">
        <v>63</v>
      </c>
      <c r="C76" s="818" t="str">
        <f>'Chấm công KT'!C75</f>
        <v>03508</v>
      </c>
      <c r="D76" s="819"/>
      <c r="E76" s="677" t="str">
        <f>'CNKT '!D78</f>
        <v>T. Đèng</v>
      </c>
      <c r="F76" s="677" t="s">
        <v>28</v>
      </c>
      <c r="G76" s="671">
        <f>VLOOKUP(E76,'CNKT '!$D$16:$G$93,4,0)</f>
        <v>0</v>
      </c>
      <c r="H76" s="671">
        <f>VLOOKUP(E76,'CNKT '!$D$16:$M$93,10,0)</f>
        <v>2376317</v>
      </c>
      <c r="I76" s="671">
        <f>VLOOKUP(E76,'CNKT '!$D$16:$X$93,21,0)</f>
        <v>997174</v>
      </c>
      <c r="J76" s="671">
        <f t="shared" si="1"/>
        <v>3373491</v>
      </c>
      <c r="K76" s="671"/>
      <c r="L76" s="671">
        <f>VLOOKUP(E76,'CNKT '!$D$16:$AA$93,24,0)</f>
        <v>3373491</v>
      </c>
      <c r="M76" s="671"/>
      <c r="N76" s="673">
        <f t="shared" si="2"/>
        <v>3373491</v>
      </c>
      <c r="O76" s="290"/>
      <c r="P76" s="125"/>
    </row>
    <row r="77" spans="1:16" s="126" customFormat="1" ht="21.75" customHeight="1">
      <c r="A77" s="1202">
        <v>64</v>
      </c>
      <c r="B77" s="241">
        <v>64</v>
      </c>
      <c r="C77" s="818" t="str">
        <f>'Chấm công KT'!C76</f>
        <v>03512</v>
      </c>
      <c r="D77" s="819"/>
      <c r="E77" s="677" t="str">
        <f>'CNKT '!D79</f>
        <v>N. Đon</v>
      </c>
      <c r="F77" s="677" t="s">
        <v>28</v>
      </c>
      <c r="G77" s="671">
        <f>VLOOKUP(E77,'CNKT '!$D$16:$G$93,4,0)</f>
        <v>0</v>
      </c>
      <c r="H77" s="671">
        <f>VLOOKUP(E77,'CNKT '!$D$16:$M$93,10,0)</f>
        <v>3471678</v>
      </c>
      <c r="I77" s="671">
        <f>VLOOKUP(E77,'CNKT '!$D$16:$X$93,21,0)</f>
        <v>884073</v>
      </c>
      <c r="J77" s="671">
        <f t="shared" si="1"/>
        <v>4355751</v>
      </c>
      <c r="K77" s="671"/>
      <c r="L77" s="671">
        <f>VLOOKUP(E77,'CNKT '!$D$16:$AA$93,24,0)</f>
        <v>4355751</v>
      </c>
      <c r="M77" s="671"/>
      <c r="N77" s="673">
        <f t="shared" si="2"/>
        <v>4355751</v>
      </c>
      <c r="O77" s="290"/>
      <c r="P77" s="125"/>
    </row>
    <row r="78" spans="1:16" s="126" customFormat="1" ht="21.75" customHeight="1">
      <c r="A78" s="1202">
        <v>65</v>
      </c>
      <c r="B78" s="241">
        <v>65</v>
      </c>
      <c r="C78" s="818" t="str">
        <f>'Chấm công KT'!C77</f>
        <v>04068</v>
      </c>
      <c r="D78" s="819"/>
      <c r="E78" s="677" t="str">
        <f>'CNKT '!D80</f>
        <v xml:space="preserve">T. La </v>
      </c>
      <c r="F78" s="677" t="s">
        <v>28</v>
      </c>
      <c r="G78" s="671">
        <f>VLOOKUP(E78,'CNKT '!$D$16:$G$93,4,0)</f>
        <v>0</v>
      </c>
      <c r="H78" s="671">
        <f>VLOOKUP(E78,'CNKT '!$D$16:$M$93,10,0)</f>
        <v>2311557</v>
      </c>
      <c r="I78" s="671">
        <f>VLOOKUP(E78,'CNKT '!$D$16:$X$93,21,0)</f>
        <v>822406</v>
      </c>
      <c r="J78" s="671">
        <f t="shared" si="1"/>
        <v>3133963</v>
      </c>
      <c r="K78" s="671"/>
      <c r="L78" s="671">
        <f>VLOOKUP(E78,'CNKT '!$D$16:$AA$93,24,0)</f>
        <v>3133963</v>
      </c>
      <c r="M78" s="671"/>
      <c r="N78" s="673">
        <f t="shared" si="2"/>
        <v>3133963</v>
      </c>
      <c r="O78" s="290"/>
      <c r="P78" s="125"/>
    </row>
    <row r="79" spans="1:16" s="126" customFormat="1" ht="21.75" customHeight="1">
      <c r="A79" s="1202">
        <v>66</v>
      </c>
      <c r="B79" s="241">
        <v>66</v>
      </c>
      <c r="C79" s="818" t="str">
        <f>'Chấm công KT'!C78</f>
        <v>04069</v>
      </c>
      <c r="D79" s="819"/>
      <c r="E79" s="677" t="str">
        <f>'CNKT '!D81</f>
        <v>T. Bờm</v>
      </c>
      <c r="F79" s="677" t="s">
        <v>28</v>
      </c>
      <c r="G79" s="671">
        <f>VLOOKUP(E79,'CNKT '!$D$16:$G$93,4,0)</f>
        <v>0</v>
      </c>
      <c r="H79" s="671">
        <f>VLOOKUP(E79,'CNKT '!$D$16:$M$93,10,0)</f>
        <v>3210996</v>
      </c>
      <c r="I79" s="671">
        <f>VLOOKUP(E79,'CNKT '!$D$16:$X$93,21,0)</f>
        <v>884073</v>
      </c>
      <c r="J79" s="671">
        <f t="shared" ref="J79:J85" si="3">SUM(G79:I79)</f>
        <v>4095069</v>
      </c>
      <c r="K79" s="671"/>
      <c r="L79" s="671">
        <f>VLOOKUP(E79,'CNKT '!$D$16:$AA$93,24,0)</f>
        <v>4095069</v>
      </c>
      <c r="M79" s="671"/>
      <c r="N79" s="673">
        <f t="shared" ref="N79:N86" si="4">L79-M79</f>
        <v>4095069</v>
      </c>
      <c r="O79" s="290"/>
      <c r="P79" s="125"/>
    </row>
    <row r="80" spans="1:16" s="126" customFormat="1" ht="21.75" customHeight="1">
      <c r="A80" s="1202">
        <v>67</v>
      </c>
      <c r="B80" s="241">
        <v>67</v>
      </c>
      <c r="C80" s="818" t="str">
        <f>'Chấm công KT'!C79</f>
        <v>03546</v>
      </c>
      <c r="D80" s="819"/>
      <c r="E80" s="677" t="str">
        <f>'CNKT '!D82</f>
        <v>T. Nọi</v>
      </c>
      <c r="F80" s="677" t="s">
        <v>28</v>
      </c>
      <c r="G80" s="671">
        <f>VLOOKUP(E80,'CNKT '!$D$16:$G$93,4,0)</f>
        <v>0</v>
      </c>
      <c r="H80" s="671">
        <f>VLOOKUP(E80,'CNKT '!$D$16:$M$93,10,0)</f>
        <v>3390325</v>
      </c>
      <c r="I80" s="671">
        <f>VLOOKUP(E80,'CNKT '!$D$16:$X$93,21,0)</f>
        <v>966340</v>
      </c>
      <c r="J80" s="671">
        <f t="shared" si="3"/>
        <v>4356665</v>
      </c>
      <c r="K80" s="671"/>
      <c r="L80" s="671">
        <f>VLOOKUP(E80,'CNKT '!$D$16:$AA$93,24,0)</f>
        <v>4356665</v>
      </c>
      <c r="M80" s="671"/>
      <c r="N80" s="673">
        <f t="shared" si="4"/>
        <v>4356665</v>
      </c>
      <c r="O80" s="290"/>
      <c r="P80" s="125"/>
    </row>
    <row r="81" spans="1:16" s="126" customFormat="1" ht="21.75" customHeight="1">
      <c r="A81" s="1202">
        <v>68</v>
      </c>
      <c r="B81" s="241">
        <v>68</v>
      </c>
      <c r="C81" s="818" t="str">
        <f>'Chấm công KT'!C80</f>
        <v>03571</v>
      </c>
      <c r="D81" s="819"/>
      <c r="E81" s="677" t="str">
        <f>'CNKT '!D83</f>
        <v>T. Ê</v>
      </c>
      <c r="F81" s="677" t="s">
        <v>28</v>
      </c>
      <c r="G81" s="671">
        <f>VLOOKUP(E81,'CNKT '!$D$16:$G$93,4,0)</f>
        <v>0</v>
      </c>
      <c r="H81" s="671">
        <f>VLOOKUP(E81,'CNKT '!$D$16:$M$93,10,0)</f>
        <v>2340339</v>
      </c>
      <c r="I81" s="671">
        <f>VLOOKUP(E81,'CNKT '!$D$16:$X$93,21,0)</f>
        <v>935507</v>
      </c>
      <c r="J81" s="671">
        <f t="shared" si="3"/>
        <v>3275846</v>
      </c>
      <c r="K81" s="671"/>
      <c r="L81" s="671">
        <f>VLOOKUP(E81,'CNKT '!$D$16:$AA$93,24,0)</f>
        <v>3275846</v>
      </c>
      <c r="M81" s="671"/>
      <c r="N81" s="673">
        <f t="shared" si="4"/>
        <v>3275846</v>
      </c>
      <c r="O81" s="290"/>
      <c r="P81" s="125"/>
    </row>
    <row r="82" spans="1:16" s="126" customFormat="1" ht="21.75" customHeight="1">
      <c r="A82" s="1202">
        <v>69</v>
      </c>
      <c r="B82" s="241">
        <v>69</v>
      </c>
      <c r="C82" s="818" t="str">
        <f>'Chấm công KT'!C81</f>
        <v>04070</v>
      </c>
      <c r="D82" s="819"/>
      <c r="E82" s="677" t="str">
        <f>'CNKT '!D84</f>
        <v>T Bun</v>
      </c>
      <c r="F82" s="677" t="s">
        <v>28</v>
      </c>
      <c r="G82" s="671">
        <f>VLOOKUP(E82,'CNKT '!$D$16:$G$93,4,0)</f>
        <v>0</v>
      </c>
      <c r="H82" s="671">
        <f>VLOOKUP(E82,'CNKT '!$D$16:$M$93,10,0)</f>
        <v>2966534</v>
      </c>
      <c r="I82" s="671">
        <f>VLOOKUP(E82,'CNKT '!$D$16:$X$93,21,0)</f>
        <v>812172</v>
      </c>
      <c r="J82" s="671">
        <f t="shared" si="3"/>
        <v>3778706</v>
      </c>
      <c r="K82" s="671"/>
      <c r="L82" s="671">
        <f>VLOOKUP(E82,'CNKT '!$D$16:$AA$93,24,0)</f>
        <v>3778706</v>
      </c>
      <c r="M82" s="671"/>
      <c r="N82" s="673">
        <f t="shared" si="4"/>
        <v>3778706</v>
      </c>
      <c r="O82" s="290"/>
      <c r="P82" s="125"/>
    </row>
    <row r="83" spans="1:16" s="126" customFormat="1" ht="21.75" customHeight="1">
      <c r="A83" s="1202">
        <v>70</v>
      </c>
      <c r="B83" s="241">
        <v>70</v>
      </c>
      <c r="C83" s="818" t="str">
        <f>'Chấm công KT'!C82</f>
        <v>03515</v>
      </c>
      <c r="D83" s="819"/>
      <c r="E83" s="677" t="str">
        <f>'CNKT '!D85</f>
        <v>N. Xi</v>
      </c>
      <c r="F83" s="677" t="s">
        <v>28</v>
      </c>
      <c r="G83" s="671">
        <f>VLOOKUP(E83,'CNKT '!$D$16:$G$93,4,0)</f>
        <v>0</v>
      </c>
      <c r="H83" s="671">
        <f>VLOOKUP(E83,'CNKT '!$D$16:$M$93,10,0)</f>
        <v>4591696</v>
      </c>
      <c r="I83" s="671">
        <f>VLOOKUP(E83,'CNKT '!$D$16:$X$93,21,0)</f>
        <v>966340</v>
      </c>
      <c r="J83" s="671">
        <f t="shared" si="3"/>
        <v>5558036</v>
      </c>
      <c r="K83" s="671"/>
      <c r="L83" s="671">
        <f>VLOOKUP(E83,'CNKT '!$D$16:$AA$93,24,0)</f>
        <v>5558036</v>
      </c>
      <c r="M83" s="671"/>
      <c r="N83" s="673">
        <f t="shared" si="4"/>
        <v>5558036</v>
      </c>
      <c r="O83" s="290"/>
      <c r="P83" s="125"/>
    </row>
    <row r="84" spans="1:16" s="126" customFormat="1" ht="21.75" customHeight="1">
      <c r="A84" s="1202">
        <v>71</v>
      </c>
      <c r="B84" s="241">
        <v>71</v>
      </c>
      <c r="C84" s="818" t="str">
        <f>'Chấm công KT'!C83</f>
        <v>03516</v>
      </c>
      <c r="D84" s="819"/>
      <c r="E84" s="677" t="str">
        <f>'CNKT '!D86</f>
        <v>N. Chay</v>
      </c>
      <c r="F84" s="677" t="s">
        <v>28</v>
      </c>
      <c r="G84" s="671">
        <f>VLOOKUP(E84,'CNKT '!$D$16:$G$93,4,0)</f>
        <v>0</v>
      </c>
      <c r="H84" s="671">
        <f>VLOOKUP(E84,'CNKT '!$D$16:$M$93,10,0)</f>
        <v>2760315</v>
      </c>
      <c r="I84" s="671">
        <f>VLOOKUP(E84,'CNKT '!$D$16:$X$93,21,0)</f>
        <v>729905</v>
      </c>
      <c r="J84" s="671">
        <f t="shared" si="3"/>
        <v>3490220</v>
      </c>
      <c r="K84" s="671"/>
      <c r="L84" s="671">
        <f>VLOOKUP(E84,'CNKT '!$D$16:$AA$93,24,0)</f>
        <v>3490220</v>
      </c>
      <c r="M84" s="671"/>
      <c r="N84" s="673">
        <f t="shared" si="4"/>
        <v>3490220</v>
      </c>
      <c r="O84" s="290"/>
      <c r="P84" s="125"/>
    </row>
    <row r="85" spans="1:16" s="126" customFormat="1" ht="21.75" customHeight="1">
      <c r="A85" s="1202">
        <v>72</v>
      </c>
      <c r="B85" s="241">
        <v>72</v>
      </c>
      <c r="C85" s="818" t="str">
        <f>'Chấm công KT'!C84</f>
        <v>03544</v>
      </c>
      <c r="D85" s="819"/>
      <c r="E85" s="677" t="str">
        <f>'CNKT '!D87</f>
        <v>T. Ta</v>
      </c>
      <c r="F85" s="677" t="s">
        <v>28</v>
      </c>
      <c r="G85" s="671">
        <f>VLOOKUP(E85,'CNKT '!$D$16:$G$93,4,0)</f>
        <v>0</v>
      </c>
      <c r="H85" s="671">
        <f>VLOOKUP(E85,'CNKT '!$D$16:$M$93,10,0)</f>
        <v>2993021</v>
      </c>
      <c r="I85" s="671">
        <f>VLOOKUP(E85,'CNKT '!$D$16:$X$93,21,0)</f>
        <v>966340</v>
      </c>
      <c r="J85" s="671">
        <f t="shared" si="3"/>
        <v>3959361</v>
      </c>
      <c r="K85" s="671"/>
      <c r="L85" s="671">
        <f>VLOOKUP(E85,'CNKT '!$D$16:$AA$93,24,0)</f>
        <v>3959361</v>
      </c>
      <c r="M85" s="671"/>
      <c r="N85" s="673">
        <f t="shared" si="4"/>
        <v>3959361</v>
      </c>
      <c r="O85" s="290"/>
      <c r="P85" s="125"/>
    </row>
    <row r="86" spans="1:16" s="126" customFormat="1" ht="21.75" customHeight="1">
      <c r="A86" s="1202">
        <v>73</v>
      </c>
      <c r="B86" s="241">
        <v>73</v>
      </c>
      <c r="C86" s="818" t="str">
        <f>'Chấm công KT'!C85</f>
        <v>04071</v>
      </c>
      <c r="D86" s="819"/>
      <c r="E86" s="677" t="str">
        <f>'CNKT '!D88</f>
        <v>T. Ne</v>
      </c>
      <c r="F86" s="677" t="s">
        <v>28</v>
      </c>
      <c r="G86" s="671">
        <f>VLOOKUP(E86,'CNKT '!$D$16:$G$93,4,0)</f>
        <v>0</v>
      </c>
      <c r="H86" s="671">
        <f>VLOOKUP(E86,'CNKT '!$D$16:$M$99,10,0)</f>
        <v>3004373</v>
      </c>
      <c r="I86" s="671">
        <f>VLOOKUP(E86,'CNKT '!$D$16:$X$93,21,0)</f>
        <v>966340</v>
      </c>
      <c r="J86" s="671">
        <f>SUM(G86:I86)</f>
        <v>3970713</v>
      </c>
      <c r="K86" s="671"/>
      <c r="L86" s="671">
        <f>VLOOKUP(E86,'CNKT '!$D$16:$AA$93,24,0)</f>
        <v>3970713</v>
      </c>
      <c r="M86" s="671"/>
      <c r="N86" s="673">
        <f t="shared" si="4"/>
        <v>3970713</v>
      </c>
      <c r="O86" s="290"/>
      <c r="P86" s="125"/>
    </row>
    <row r="87" spans="1:16" s="126" customFormat="1" ht="21.75" customHeight="1">
      <c r="A87" s="1202">
        <v>74</v>
      </c>
      <c r="B87" s="241">
        <v>74</v>
      </c>
      <c r="C87" s="818">
        <f>'Chấm công KT'!C86</f>
        <v>0</v>
      </c>
      <c r="D87" s="819"/>
      <c r="E87" s="677" t="str">
        <f>'CNKT '!D89</f>
        <v>T. Tý</v>
      </c>
      <c r="F87" s="677" t="s">
        <v>28</v>
      </c>
      <c r="G87" s="671"/>
      <c r="H87" s="671">
        <f>VLOOKUP(E87,'CNKT '!$D$16:$M$99,10,0)</f>
        <v>185936</v>
      </c>
      <c r="I87" s="671">
        <f>VLOOKUP(E87,'CNKT '!$D$16:$X$93,21,0)</f>
        <v>267268</v>
      </c>
      <c r="J87" s="671">
        <f t="shared" ref="J87:J96" si="5">SUM(G87:I87)</f>
        <v>453204</v>
      </c>
      <c r="K87" s="671"/>
      <c r="L87" s="671">
        <f>VLOOKUP(E87,'CNKT '!$D$16:$AA$93,24,0)</f>
        <v>453204</v>
      </c>
      <c r="M87" s="671"/>
      <c r="N87" s="673">
        <f t="shared" ref="N87:N91" si="6">L87-M87</f>
        <v>453204</v>
      </c>
      <c r="O87" s="290"/>
      <c r="P87" s="125"/>
    </row>
    <row r="88" spans="1:16" s="126" customFormat="1" ht="21.75" customHeight="1">
      <c r="A88" s="1202">
        <v>75</v>
      </c>
      <c r="B88" s="241">
        <v>75</v>
      </c>
      <c r="C88" s="818">
        <f>'Chấm công KT'!C87</f>
        <v>0</v>
      </c>
      <c r="D88" s="819"/>
      <c r="E88" s="677" t="str">
        <f>'CNKT '!D90</f>
        <v>T. Lã</v>
      </c>
      <c r="F88" s="677" t="s">
        <v>28</v>
      </c>
      <c r="G88" s="671"/>
      <c r="H88" s="671">
        <f>VLOOKUP(E88,'CNKT '!$D$16:$M$99,10,0)</f>
        <v>1939531</v>
      </c>
      <c r="I88" s="671">
        <f>VLOOKUP(E88,'CNKT '!$D$16:$X$93,21,0)</f>
        <v>832639</v>
      </c>
      <c r="J88" s="671">
        <f t="shared" si="5"/>
        <v>2772170</v>
      </c>
      <c r="K88" s="671"/>
      <c r="L88" s="671">
        <f>VLOOKUP(E88,'CNKT '!$D$16:$AA$93,24,0)</f>
        <v>2772170</v>
      </c>
      <c r="M88" s="671"/>
      <c r="N88" s="673">
        <f t="shared" si="6"/>
        <v>2772170</v>
      </c>
      <c r="O88" s="290"/>
      <c r="P88" s="125"/>
    </row>
    <row r="89" spans="1:16" s="126" customFormat="1" ht="21.75" customHeight="1">
      <c r="A89" s="1202">
        <v>76</v>
      </c>
      <c r="B89" s="241">
        <v>76</v>
      </c>
      <c r="C89" s="818">
        <f>'Chấm công KT'!C88</f>
        <v>0</v>
      </c>
      <c r="D89" s="819"/>
      <c r="E89" s="677" t="str">
        <f>'CNKT '!D91</f>
        <v>N. Veo</v>
      </c>
      <c r="F89" s="677" t="s">
        <v>28</v>
      </c>
      <c r="G89" s="671"/>
      <c r="H89" s="671">
        <f>VLOOKUP(E89,'CNKT '!$D$16:$M$99,10,0)</f>
        <v>2297755</v>
      </c>
      <c r="I89" s="671">
        <f>VLOOKUP(E89,'CNKT '!$D$16:$X$93,21,0)</f>
        <v>770972</v>
      </c>
      <c r="J89" s="671">
        <f t="shared" si="5"/>
        <v>3068727</v>
      </c>
      <c r="K89" s="671"/>
      <c r="L89" s="671">
        <f>VLOOKUP(E89,'CNKT '!$D$16:$AA$93,24,0)</f>
        <v>3068727</v>
      </c>
      <c r="M89" s="671"/>
      <c r="N89" s="673">
        <f t="shared" si="6"/>
        <v>3068727</v>
      </c>
      <c r="O89" s="290"/>
      <c r="P89" s="125"/>
    </row>
    <row r="90" spans="1:16" s="126" customFormat="1" ht="21.75" customHeight="1">
      <c r="A90" s="1202">
        <v>77</v>
      </c>
      <c r="B90" s="241">
        <v>77</v>
      </c>
      <c r="C90" s="818">
        <f>'Chấm công KT'!C89</f>
        <v>0</v>
      </c>
      <c r="D90" s="819"/>
      <c r="E90" s="677" t="str">
        <f>'CNKT '!D92</f>
        <v>T. Pu</v>
      </c>
      <c r="F90" s="677" t="s">
        <v>28</v>
      </c>
      <c r="G90" s="671"/>
      <c r="H90" s="671">
        <f>VLOOKUP(E90,'CNKT '!$D$16:$M$99,10,0)</f>
        <v>1484074</v>
      </c>
      <c r="I90" s="671">
        <f>VLOOKUP(E90,'CNKT '!$D$16:$X$93,21,0)</f>
        <v>565370</v>
      </c>
      <c r="J90" s="671">
        <f t="shared" si="5"/>
        <v>2049444</v>
      </c>
      <c r="K90" s="671"/>
      <c r="L90" s="671">
        <f>VLOOKUP(E90,'CNKT '!$D$16:$AA$93,24,0)</f>
        <v>2049444</v>
      </c>
      <c r="M90" s="671"/>
      <c r="N90" s="673">
        <f t="shared" si="6"/>
        <v>2049444</v>
      </c>
      <c r="O90" s="290"/>
      <c r="P90" s="125"/>
    </row>
    <row r="91" spans="1:16" s="126" customFormat="1" ht="21.75" customHeight="1">
      <c r="A91" s="1202">
        <v>78</v>
      </c>
      <c r="B91" s="241">
        <v>78</v>
      </c>
      <c r="C91" s="818">
        <f>'Chấm công KT'!C90</f>
        <v>0</v>
      </c>
      <c r="D91" s="819"/>
      <c r="E91" s="677" t="str">
        <f>'CNKT '!D93</f>
        <v>T. Ta.</v>
      </c>
      <c r="F91" s="677" t="s">
        <v>28</v>
      </c>
      <c r="G91" s="671"/>
      <c r="H91" s="671">
        <f>VLOOKUP(E91,'CNKT '!$D$16:$M$99,10,0)</f>
        <v>1223081</v>
      </c>
      <c r="I91" s="671">
        <f>VLOOKUP(E91,'CNKT '!$D$16:$X$97,21,0)</f>
        <v>472870</v>
      </c>
      <c r="J91" s="671">
        <f t="shared" si="5"/>
        <v>1695951</v>
      </c>
      <c r="K91" s="671"/>
      <c r="L91" s="671">
        <f>VLOOKUP(E91,'CNKT '!$D$16:$AA$97,24,0)</f>
        <v>1695951</v>
      </c>
      <c r="M91" s="671"/>
      <c r="N91" s="673">
        <f t="shared" si="6"/>
        <v>1695951</v>
      </c>
      <c r="O91" s="290"/>
      <c r="P91" s="125"/>
    </row>
    <row r="92" spans="1:16" s="126" customFormat="1" ht="21.75" customHeight="1">
      <c r="A92" s="1202" t="s">
        <v>852</v>
      </c>
      <c r="B92" s="241">
        <v>79</v>
      </c>
      <c r="C92" s="818">
        <f>'Chấm công KT'!C91</f>
        <v>0</v>
      </c>
      <c r="D92" s="819"/>
      <c r="E92" s="677" t="str">
        <f>'CNKT '!D94</f>
        <v>N. Nang</v>
      </c>
      <c r="F92" s="677" t="s">
        <v>28</v>
      </c>
      <c r="G92" s="671"/>
      <c r="H92" s="671">
        <f>VLOOKUP(E92,'CNKT '!$D$16:$M$99,10,0)</f>
        <v>813682</v>
      </c>
      <c r="I92" s="671">
        <f>VLOOKUP(E92,'CNKT '!$D$16:$X$97,21,0)</f>
        <v>236435</v>
      </c>
      <c r="J92" s="671">
        <f t="shared" si="5"/>
        <v>1050117</v>
      </c>
      <c r="K92" s="671"/>
      <c r="L92" s="671">
        <f>VLOOKUP(E92,'CNKT '!$D$16:$AA$97,24,0)</f>
        <v>1050117</v>
      </c>
      <c r="M92" s="671"/>
      <c r="N92" s="673">
        <f t="shared" ref="N92:N94" si="7">L92-M92</f>
        <v>1050117</v>
      </c>
      <c r="O92" s="290"/>
      <c r="P92" s="125"/>
    </row>
    <row r="93" spans="1:16" s="126" customFormat="1" ht="21.75" customHeight="1">
      <c r="A93" s="1202">
        <v>80</v>
      </c>
      <c r="B93" s="241">
        <v>80</v>
      </c>
      <c r="C93" s="818">
        <f>'Chấm công KT'!C92</f>
        <v>0</v>
      </c>
      <c r="D93" s="819"/>
      <c r="E93" s="677" t="str">
        <f>'CNKT '!D95</f>
        <v>T. Tan</v>
      </c>
      <c r="F93" s="677" t="s">
        <v>28</v>
      </c>
      <c r="G93" s="671"/>
      <c r="H93" s="671">
        <f>VLOOKUP(E93,'CNKT '!$D$16:$M$99,10,0)</f>
        <v>598747</v>
      </c>
      <c r="I93" s="671">
        <f>VLOOKUP(E93,'CNKT '!$D$16:$X$97,21,0)</f>
        <v>143934</v>
      </c>
      <c r="J93" s="671">
        <f t="shared" si="5"/>
        <v>742681</v>
      </c>
      <c r="K93" s="671"/>
      <c r="L93" s="671">
        <f>VLOOKUP(E93,'CNKT '!$D$16:$AA$97,24,0)</f>
        <v>742681</v>
      </c>
      <c r="M93" s="671"/>
      <c r="N93" s="673">
        <f t="shared" si="7"/>
        <v>742681</v>
      </c>
      <c r="O93" s="290"/>
      <c r="P93" s="125"/>
    </row>
    <row r="94" spans="1:16" s="126" customFormat="1" ht="21.75" customHeight="1">
      <c r="A94" s="1202">
        <v>81</v>
      </c>
      <c r="B94" s="241">
        <v>81</v>
      </c>
      <c r="C94" s="818">
        <f>'Chấm công KT'!C94</f>
        <v>0</v>
      </c>
      <c r="D94" s="819"/>
      <c r="E94" s="677" t="str">
        <f>'CNKT '!D96</f>
        <v>T. Tu</v>
      </c>
      <c r="F94" s="677" t="s">
        <v>28</v>
      </c>
      <c r="G94" s="671"/>
      <c r="H94" s="671">
        <f>VLOOKUP(E94,'CNKT '!$D$16:$M$99,10,0)</f>
        <v>463986</v>
      </c>
      <c r="I94" s="671">
        <f>VLOOKUP(E94,'CNKT '!$D$16:$X$97,21,0)</f>
        <v>61667</v>
      </c>
      <c r="J94" s="671">
        <f>SUM(G94:I94)</f>
        <v>525653</v>
      </c>
      <c r="K94" s="671"/>
      <c r="L94" s="671">
        <f>VLOOKUP(E94,'CNKT '!$D$16:$AA$97,24,0)</f>
        <v>525653</v>
      </c>
      <c r="M94" s="671"/>
      <c r="N94" s="673">
        <f t="shared" si="7"/>
        <v>525653</v>
      </c>
      <c r="O94" s="290"/>
      <c r="P94" s="125"/>
    </row>
    <row r="95" spans="1:16" s="126" customFormat="1" ht="21.75" hidden="1" customHeight="1">
      <c r="A95" s="1202">
        <v>82</v>
      </c>
      <c r="B95" s="241">
        <v>82</v>
      </c>
      <c r="C95" s="818" t="str">
        <f>'Chấm công KT'!C95</f>
        <v>04072</v>
      </c>
      <c r="D95" s="819"/>
      <c r="E95" s="677"/>
      <c r="F95" s="677"/>
      <c r="G95" s="671"/>
      <c r="H95" s="671"/>
      <c r="I95" s="671"/>
      <c r="J95" s="671">
        <f t="shared" si="5"/>
        <v>0</v>
      </c>
      <c r="K95" s="671"/>
      <c r="L95" s="671"/>
      <c r="M95" s="671"/>
      <c r="N95" s="673"/>
      <c r="O95" s="290"/>
      <c r="P95" s="125"/>
    </row>
    <row r="96" spans="1:16" s="126" customFormat="1" ht="21.75" hidden="1" customHeight="1">
      <c r="A96" s="1202">
        <v>83</v>
      </c>
      <c r="B96" s="241">
        <v>83</v>
      </c>
      <c r="C96" s="818" t="str">
        <f>'Chấm công KT'!C96</f>
        <v>03466</v>
      </c>
      <c r="D96" s="819"/>
      <c r="E96" s="677"/>
      <c r="F96" s="677"/>
      <c r="G96" s="671"/>
      <c r="H96" s="671"/>
      <c r="I96" s="671"/>
      <c r="J96" s="671">
        <f t="shared" si="5"/>
        <v>0</v>
      </c>
      <c r="K96" s="671"/>
      <c r="L96" s="671"/>
      <c r="M96" s="671"/>
      <c r="N96" s="673"/>
      <c r="O96" s="290"/>
      <c r="P96" s="125"/>
    </row>
    <row r="97" spans="1:17" s="126" customFormat="1" ht="21.75" customHeight="1">
      <c r="A97" s="1202">
        <v>82</v>
      </c>
      <c r="B97" s="241">
        <v>82</v>
      </c>
      <c r="C97" s="818"/>
      <c r="D97" s="819"/>
      <c r="E97" s="677" t="str">
        <f>'CNKT '!D98</f>
        <v>T. Tạch</v>
      </c>
      <c r="F97" s="677" t="s">
        <v>371</v>
      </c>
      <c r="G97" s="671">
        <f>VLOOKUP(E97,'CNKT '!$D$16:$G$98,4,0)</f>
        <v>0</v>
      </c>
      <c r="H97" s="671"/>
      <c r="I97" s="671">
        <f>VLOOKUP(E97,'CNKT '!$D$16:$X$98,21,0)</f>
        <v>0</v>
      </c>
      <c r="J97" s="671">
        <f t="shared" ref="J97" si="8">SUM(G97:I97)</f>
        <v>0</v>
      </c>
      <c r="K97" s="671"/>
      <c r="L97" s="671">
        <f>VLOOKUP(E97,'CNKT '!$D$16:$AA$98,24,0)</f>
        <v>0</v>
      </c>
      <c r="M97" s="671"/>
      <c r="N97" s="673">
        <f t="shared" ref="N97" si="9">L97-M97</f>
        <v>0</v>
      </c>
      <c r="O97" s="290"/>
      <c r="P97" s="125"/>
    </row>
    <row r="98" spans="1:17" s="126" customFormat="1" ht="21.75" hidden="1" customHeight="1">
      <c r="A98" s="1202">
        <v>85</v>
      </c>
      <c r="B98" s="241">
        <v>75</v>
      </c>
      <c r="C98" s="820"/>
      <c r="D98" s="819"/>
      <c r="E98" s="672"/>
      <c r="F98" s="677"/>
      <c r="G98" s="671"/>
      <c r="H98" s="671"/>
      <c r="I98" s="671"/>
      <c r="J98" s="671"/>
      <c r="K98" s="671"/>
      <c r="L98" s="671"/>
      <c r="M98" s="671"/>
      <c r="N98" s="673"/>
      <c r="O98" s="290"/>
      <c r="P98" s="129"/>
      <c r="Q98" s="128"/>
    </row>
    <row r="99" spans="1:17" s="126" customFormat="1" ht="21.75" hidden="1" customHeight="1">
      <c r="A99" s="1202">
        <v>86</v>
      </c>
      <c r="B99" s="241">
        <v>76</v>
      </c>
      <c r="C99" s="820"/>
      <c r="D99" s="819"/>
      <c r="E99" s="672"/>
      <c r="F99" s="677"/>
      <c r="G99" s="671"/>
      <c r="H99" s="671"/>
      <c r="I99" s="671"/>
      <c r="J99" s="671"/>
      <c r="K99" s="671"/>
      <c r="L99" s="671"/>
      <c r="M99" s="671"/>
      <c r="N99" s="673"/>
      <c r="O99" s="290"/>
      <c r="P99" s="129"/>
      <c r="Q99" s="128"/>
    </row>
    <row r="100" spans="1:17" s="126" customFormat="1" ht="21.75" hidden="1" customHeight="1">
      <c r="A100" s="1202">
        <v>87</v>
      </c>
      <c r="B100" s="241">
        <v>77</v>
      </c>
      <c r="C100" s="820"/>
      <c r="D100" s="819"/>
      <c r="E100" s="672"/>
      <c r="F100" s="677"/>
      <c r="G100" s="671"/>
      <c r="H100" s="671"/>
      <c r="I100" s="671"/>
      <c r="J100" s="671"/>
      <c r="K100" s="671"/>
      <c r="L100" s="671"/>
      <c r="M100" s="671"/>
      <c r="N100" s="673"/>
      <c r="O100" s="290"/>
      <c r="P100" s="129"/>
      <c r="Q100" s="128"/>
    </row>
    <row r="101" spans="1:17" s="126" customFormat="1" ht="21.75" hidden="1" customHeight="1">
      <c r="A101" s="1202">
        <v>88</v>
      </c>
      <c r="B101" s="241">
        <v>78</v>
      </c>
      <c r="C101" s="820"/>
      <c r="D101" s="819"/>
      <c r="E101" s="672"/>
      <c r="F101" s="677"/>
      <c r="G101" s="671"/>
      <c r="H101" s="671"/>
      <c r="I101" s="671"/>
      <c r="J101" s="671"/>
      <c r="K101" s="671"/>
      <c r="L101" s="671"/>
      <c r="M101" s="671"/>
      <c r="N101" s="673"/>
      <c r="O101" s="290"/>
      <c r="P101" s="129"/>
      <c r="Q101" s="128"/>
    </row>
    <row r="102" spans="1:17" s="126" customFormat="1" ht="21.75" hidden="1" customHeight="1">
      <c r="A102" s="1202">
        <v>89</v>
      </c>
      <c r="B102" s="241">
        <v>79</v>
      </c>
      <c r="C102" s="820"/>
      <c r="D102" s="819"/>
      <c r="E102" s="672"/>
      <c r="F102" s="677"/>
      <c r="G102" s="671"/>
      <c r="H102" s="671"/>
      <c r="I102" s="671"/>
      <c r="J102" s="671"/>
      <c r="K102" s="671"/>
      <c r="L102" s="671"/>
      <c r="M102" s="671"/>
      <c r="N102" s="673"/>
      <c r="O102" s="290"/>
      <c r="P102" s="129"/>
      <c r="Q102" s="128"/>
    </row>
    <row r="103" spans="1:17" s="126" customFormat="1" ht="21.75" hidden="1" customHeight="1">
      <c r="A103" s="1202">
        <v>90</v>
      </c>
      <c r="B103" s="241">
        <v>80</v>
      </c>
      <c r="C103" s="820"/>
      <c r="D103" s="819"/>
      <c r="E103" s="672"/>
      <c r="F103" s="677"/>
      <c r="G103" s="671"/>
      <c r="H103" s="671"/>
      <c r="I103" s="671"/>
      <c r="J103" s="671"/>
      <c r="K103" s="671"/>
      <c r="L103" s="671"/>
      <c r="M103" s="671"/>
      <c r="N103" s="673"/>
      <c r="O103" s="290"/>
      <c r="P103" s="129"/>
      <c r="Q103" s="128"/>
    </row>
    <row r="104" spans="1:17" s="126" customFormat="1" ht="21.75" hidden="1" customHeight="1">
      <c r="A104" s="1202">
        <v>91</v>
      </c>
      <c r="B104" s="241">
        <v>81</v>
      </c>
      <c r="C104" s="820"/>
      <c r="D104" s="819"/>
      <c r="E104" s="672"/>
      <c r="F104" s="677"/>
      <c r="G104" s="671"/>
      <c r="H104" s="671"/>
      <c r="I104" s="671"/>
      <c r="J104" s="671"/>
      <c r="K104" s="671"/>
      <c r="L104" s="671"/>
      <c r="M104" s="671"/>
      <c r="N104" s="673"/>
      <c r="O104" s="290"/>
      <c r="P104" s="129"/>
      <c r="Q104" s="128"/>
    </row>
    <row r="105" spans="1:17" s="126" customFormat="1" ht="21.75" hidden="1" customHeight="1">
      <c r="A105" s="1202">
        <v>92</v>
      </c>
      <c r="B105" s="241">
        <v>82</v>
      </c>
      <c r="C105" s="820"/>
      <c r="D105" s="819"/>
      <c r="E105" s="672"/>
      <c r="F105" s="677"/>
      <c r="G105" s="671"/>
      <c r="H105" s="671"/>
      <c r="I105" s="671"/>
      <c r="J105" s="671"/>
      <c r="K105" s="671"/>
      <c r="L105" s="671"/>
      <c r="M105" s="671"/>
      <c r="N105" s="673"/>
      <c r="O105" s="290"/>
      <c r="P105" s="129"/>
      <c r="Q105" s="128"/>
    </row>
    <row r="106" spans="1:17" s="126" customFormat="1" ht="21.75" hidden="1" customHeight="1">
      <c r="A106" s="1202">
        <v>93</v>
      </c>
      <c r="B106" s="241">
        <v>83</v>
      </c>
      <c r="C106" s="820"/>
      <c r="D106" s="819"/>
      <c r="E106" s="672"/>
      <c r="F106" s="677"/>
      <c r="G106" s="671"/>
      <c r="H106" s="671"/>
      <c r="I106" s="671"/>
      <c r="J106" s="671"/>
      <c r="K106" s="671"/>
      <c r="L106" s="671"/>
      <c r="M106" s="671"/>
      <c r="N106" s="673"/>
      <c r="O106" s="290"/>
      <c r="P106" s="129"/>
      <c r="Q106" s="128"/>
    </row>
    <row r="107" spans="1:17" s="126" customFormat="1" ht="21.75" hidden="1" customHeight="1">
      <c r="A107" s="1202">
        <v>94</v>
      </c>
      <c r="B107" s="241">
        <v>84</v>
      </c>
      <c r="C107" s="820"/>
      <c r="D107" s="819"/>
      <c r="E107" s="672"/>
      <c r="F107" s="677"/>
      <c r="G107" s="671"/>
      <c r="H107" s="671"/>
      <c r="I107" s="671"/>
      <c r="J107" s="671"/>
      <c r="K107" s="671"/>
      <c r="L107" s="671"/>
      <c r="M107" s="671"/>
      <c r="N107" s="673"/>
      <c r="O107" s="290"/>
      <c r="P107" s="129"/>
      <c r="Q107" s="128"/>
    </row>
    <row r="108" spans="1:17" s="126" customFormat="1" ht="21.75" hidden="1" customHeight="1">
      <c r="A108" s="1202">
        <v>95</v>
      </c>
      <c r="B108" s="241">
        <v>85</v>
      </c>
      <c r="C108" s="820"/>
      <c r="D108" s="819"/>
      <c r="E108" s="672"/>
      <c r="F108" s="677"/>
      <c r="G108" s="671"/>
      <c r="H108" s="671"/>
      <c r="I108" s="671"/>
      <c r="J108" s="671"/>
      <c r="K108" s="671"/>
      <c r="L108" s="671"/>
      <c r="M108" s="671"/>
      <c r="N108" s="673"/>
      <c r="O108" s="290"/>
      <c r="P108" s="129"/>
      <c r="Q108" s="128"/>
    </row>
    <row r="109" spans="1:17" s="126" customFormat="1" ht="21.75" hidden="1" customHeight="1">
      <c r="A109" s="1202">
        <v>96</v>
      </c>
      <c r="B109" s="241">
        <v>86</v>
      </c>
      <c r="C109" s="820"/>
      <c r="D109" s="819"/>
      <c r="E109" s="672"/>
      <c r="F109" s="677"/>
      <c r="G109" s="671"/>
      <c r="H109" s="671"/>
      <c r="I109" s="671"/>
      <c r="J109" s="671"/>
      <c r="K109" s="671"/>
      <c r="L109" s="671"/>
      <c r="M109" s="671"/>
      <c r="N109" s="673"/>
      <c r="O109" s="290"/>
      <c r="P109" s="129"/>
      <c r="Q109" s="128"/>
    </row>
    <row r="110" spans="1:17" s="126" customFormat="1" ht="21.75" hidden="1" customHeight="1">
      <c r="A110" s="1202">
        <v>97</v>
      </c>
      <c r="B110" s="241">
        <v>87</v>
      </c>
      <c r="C110" s="820"/>
      <c r="D110" s="819"/>
      <c r="E110" s="672"/>
      <c r="F110" s="677"/>
      <c r="G110" s="671"/>
      <c r="H110" s="671"/>
      <c r="I110" s="671"/>
      <c r="J110" s="671"/>
      <c r="K110" s="671"/>
      <c r="L110" s="671"/>
      <c r="M110" s="671"/>
      <c r="N110" s="673"/>
      <c r="O110" s="290"/>
      <c r="P110" s="129"/>
      <c r="Q110" s="128"/>
    </row>
    <row r="111" spans="1:17" s="126" customFormat="1" ht="21.75" hidden="1" customHeight="1">
      <c r="A111" s="1202">
        <v>98</v>
      </c>
      <c r="B111" s="241">
        <v>88</v>
      </c>
      <c r="C111" s="820"/>
      <c r="D111" s="819"/>
      <c r="E111" s="672"/>
      <c r="F111" s="677"/>
      <c r="G111" s="671"/>
      <c r="H111" s="671"/>
      <c r="I111" s="671"/>
      <c r="J111" s="671"/>
      <c r="K111" s="671"/>
      <c r="L111" s="671"/>
      <c r="M111" s="671"/>
      <c r="N111" s="673"/>
      <c r="O111" s="290"/>
      <c r="P111" s="129"/>
      <c r="Q111" s="128"/>
    </row>
    <row r="112" spans="1:17" s="1200" customFormat="1" ht="21.75" customHeight="1">
      <c r="A112" s="1533" t="s">
        <v>579</v>
      </c>
      <c r="B112" s="1533"/>
      <c r="C112" s="1533"/>
      <c r="D112" s="1533"/>
      <c r="E112" s="1533"/>
      <c r="F112" s="1533"/>
      <c r="G112" s="825">
        <f>SUM(G113:G177)</f>
        <v>0</v>
      </c>
      <c r="H112" s="825">
        <f t="shared" ref="H112:N112" si="10">SUM(H113:H177)</f>
        <v>292339544</v>
      </c>
      <c r="I112" s="825">
        <f t="shared" si="10"/>
        <v>57507146</v>
      </c>
      <c r="J112" s="825">
        <f t="shared" si="10"/>
        <v>349846690</v>
      </c>
      <c r="K112" s="825">
        <f t="shared" si="10"/>
        <v>0</v>
      </c>
      <c r="L112" s="825">
        <f t="shared" si="10"/>
        <v>349846690</v>
      </c>
      <c r="M112" s="825">
        <f t="shared" si="10"/>
        <v>0</v>
      </c>
      <c r="N112" s="825">
        <f t="shared" si="10"/>
        <v>349846690</v>
      </c>
      <c r="O112" s="1197"/>
      <c r="P112" s="1198" t="e">
        <f>J112-#REF!-#REF!-M112</f>
        <v>#REF!</v>
      </c>
      <c r="Q112" s="1199" t="e">
        <f>#REF!-P112</f>
        <v>#REF!</v>
      </c>
    </row>
    <row r="113" spans="1:15" s="127" customFormat="1" ht="21.75" customHeight="1">
      <c r="A113" s="1202">
        <v>83</v>
      </c>
      <c r="B113" s="241">
        <v>1</v>
      </c>
      <c r="C113" s="818" t="str">
        <f>'Chấm công KT'!C95</f>
        <v>04072</v>
      </c>
      <c r="D113" s="819"/>
      <c r="E113" s="672" t="str">
        <f>'CNKT '!D114</f>
        <v xml:space="preserve">T. Lun </v>
      </c>
      <c r="F113" s="672" t="s">
        <v>28</v>
      </c>
      <c r="G113" s="671">
        <f>VLOOKUP(E113,'CNKT '!$D$114:$G$177,4,0)</f>
        <v>0</v>
      </c>
      <c r="H113" s="671">
        <f>VLOOKUP(E113,'CNKT '!$D$114:$M$177,10,0)</f>
        <v>4900109</v>
      </c>
      <c r="I113" s="671">
        <f>VLOOKUP(E113,'CNKT '!$D$114:$X$177,21,0)</f>
        <v>997174</v>
      </c>
      <c r="J113" s="671">
        <f t="shared" ref="J113" si="11">SUM(G113:I113)</f>
        <v>5897283</v>
      </c>
      <c r="K113" s="671"/>
      <c r="L113" s="671">
        <f>VLOOKUP(E113,'CNKT '!$D$114:$AA$177,24,0)</f>
        <v>5897283</v>
      </c>
      <c r="M113" s="671"/>
      <c r="N113" s="673">
        <f>L113-K113</f>
        <v>5897283</v>
      </c>
      <c r="O113" s="821"/>
    </row>
    <row r="114" spans="1:15" s="127" customFormat="1" ht="21.75" customHeight="1">
      <c r="A114" s="1202">
        <v>84</v>
      </c>
      <c r="B114" s="241">
        <v>2</v>
      </c>
      <c r="C114" s="818" t="str">
        <f>'Chấm công KT'!C96</f>
        <v>03466</v>
      </c>
      <c r="D114" s="819"/>
      <c r="E114" s="672" t="str">
        <f>'CNKT '!D115</f>
        <v>N. Keo</v>
      </c>
      <c r="F114" s="672" t="s">
        <v>28</v>
      </c>
      <c r="G114" s="671">
        <f>VLOOKUP(E114,'CNKT '!$D$114:$G$177,4,0)</f>
        <v>0</v>
      </c>
      <c r="H114" s="671">
        <f>VLOOKUP(E114,'CNKT '!$D$114:$M$177,10,0)</f>
        <v>5128435</v>
      </c>
      <c r="I114" s="671">
        <f>VLOOKUP(E114,'CNKT '!$D$114:$X$177,21,0)</f>
        <v>966340</v>
      </c>
      <c r="J114" s="671">
        <f t="shared" ref="J114:J170" si="12">SUM(G114:I114)</f>
        <v>6094775</v>
      </c>
      <c r="K114" s="671"/>
      <c r="L114" s="671">
        <f>VLOOKUP(E114,'CNKT '!$D$114:$AA$177,24,0)</f>
        <v>6094775</v>
      </c>
      <c r="M114" s="671"/>
      <c r="N114" s="673">
        <f t="shared" ref="N114:N170" si="13">L114-K114</f>
        <v>6094775</v>
      </c>
      <c r="O114" s="821"/>
    </row>
    <row r="115" spans="1:15" s="127" customFormat="1" ht="21.75" customHeight="1">
      <c r="A115" s="1202">
        <v>85</v>
      </c>
      <c r="B115" s="241">
        <v>3</v>
      </c>
      <c r="C115" s="818" t="str">
        <f>'Chấm công KT'!C97</f>
        <v>03590</v>
      </c>
      <c r="D115" s="819"/>
      <c r="E115" s="672" t="str">
        <f>'CNKT '!D116</f>
        <v>T .Nhum</v>
      </c>
      <c r="F115" s="672" t="s">
        <v>28</v>
      </c>
      <c r="G115" s="671">
        <f>VLOOKUP(E115,'CNKT '!$D$114:$G$177,4,0)</f>
        <v>0</v>
      </c>
      <c r="H115" s="671">
        <f>VLOOKUP(E115,'CNKT '!$D$114:$M$177,10,0)</f>
        <v>4798376</v>
      </c>
      <c r="I115" s="671">
        <f>VLOOKUP(E115,'CNKT '!$D$114:$X$177,21,0)</f>
        <v>997174</v>
      </c>
      <c r="J115" s="671">
        <f t="shared" si="12"/>
        <v>5795550</v>
      </c>
      <c r="K115" s="671"/>
      <c r="L115" s="671">
        <f>VLOOKUP(E115,'CNKT '!$D$114:$AA$177,24,0)</f>
        <v>5795550</v>
      </c>
      <c r="M115" s="671"/>
      <c r="N115" s="673">
        <f t="shared" si="13"/>
        <v>5795550</v>
      </c>
      <c r="O115" s="821"/>
    </row>
    <row r="116" spans="1:15" s="127" customFormat="1" ht="21.75" customHeight="1">
      <c r="A116" s="1202">
        <v>86</v>
      </c>
      <c r="B116" s="241">
        <v>4</v>
      </c>
      <c r="C116" s="818" t="str">
        <f>'Chấm công KT'!C98</f>
        <v>03591</v>
      </c>
      <c r="D116" s="819"/>
      <c r="E116" s="672" t="str">
        <f>'CNKT '!D117</f>
        <v>N.Vông Ma Ni</v>
      </c>
      <c r="F116" s="672" t="s">
        <v>28</v>
      </c>
      <c r="G116" s="671">
        <f>VLOOKUP(E116,'CNKT '!$D$114:$G$177,4,0)</f>
        <v>0</v>
      </c>
      <c r="H116" s="671">
        <f>VLOOKUP(E116,'CNKT '!$D$114:$M$177,10,0)</f>
        <v>5459637</v>
      </c>
      <c r="I116" s="671">
        <f>VLOOKUP(E116,'CNKT '!$D$114:$X$177,21,0)</f>
        <v>997174</v>
      </c>
      <c r="J116" s="671">
        <f t="shared" si="12"/>
        <v>6456811</v>
      </c>
      <c r="K116" s="671"/>
      <c r="L116" s="671">
        <f>VLOOKUP(E116,'CNKT '!$D$114:$AA$177,24,0)</f>
        <v>6456811</v>
      </c>
      <c r="M116" s="671"/>
      <c r="N116" s="673">
        <f t="shared" si="13"/>
        <v>6456811</v>
      </c>
      <c r="O116" s="821"/>
    </row>
    <row r="117" spans="1:15" s="127" customFormat="1" ht="21.75" customHeight="1">
      <c r="A117" s="1202">
        <v>87</v>
      </c>
      <c r="B117" s="241">
        <v>5</v>
      </c>
      <c r="C117" s="818" t="str">
        <f>'Chấm công KT'!C99</f>
        <v>03592</v>
      </c>
      <c r="D117" s="819"/>
      <c r="E117" s="672" t="str">
        <f>'CNKT '!D118</f>
        <v>Đao Hương</v>
      </c>
      <c r="F117" s="672" t="s">
        <v>28</v>
      </c>
      <c r="G117" s="671">
        <f>VLOOKUP(E117,'CNKT '!$D$114:$G$177,4,0)</f>
        <v>0</v>
      </c>
      <c r="H117" s="671">
        <f>VLOOKUP(E117,'CNKT '!$D$114:$M$177,10,0)</f>
        <v>5678173</v>
      </c>
      <c r="I117" s="671">
        <f>VLOOKUP(E117,'CNKT '!$D$114:$X$177,21,0)</f>
        <v>997174</v>
      </c>
      <c r="J117" s="671">
        <f t="shared" si="12"/>
        <v>6675347</v>
      </c>
      <c r="K117" s="671"/>
      <c r="L117" s="671">
        <f>VLOOKUP(E117,'CNKT '!$D$114:$AA$177,24,0)</f>
        <v>6675347</v>
      </c>
      <c r="M117" s="671"/>
      <c r="N117" s="673">
        <f t="shared" si="13"/>
        <v>6675347</v>
      </c>
      <c r="O117" s="821"/>
    </row>
    <row r="118" spans="1:15" s="127" customFormat="1" ht="21.75" customHeight="1">
      <c r="A118" s="1202">
        <v>88</v>
      </c>
      <c r="B118" s="241">
        <v>6</v>
      </c>
      <c r="C118" s="818" t="str">
        <f>'Chấm công KT'!C100</f>
        <v>03593</v>
      </c>
      <c r="D118" s="819"/>
      <c r="E118" s="672" t="str">
        <f>'CNKT '!D119</f>
        <v>T. Xi Nun</v>
      </c>
      <c r="F118" s="672" t="s">
        <v>28</v>
      </c>
      <c r="G118" s="671">
        <f>VLOOKUP(E118,'CNKT '!$D$114:$G$177,4,0)</f>
        <v>0</v>
      </c>
      <c r="H118" s="671">
        <f>VLOOKUP(E118,'CNKT '!$D$114:$M$177,10,0)</f>
        <v>4089493</v>
      </c>
      <c r="I118" s="671">
        <f>VLOOKUP(E118,'CNKT '!$D$114:$X$177,21,0)</f>
        <v>627038</v>
      </c>
      <c r="J118" s="671">
        <f t="shared" si="12"/>
        <v>4716531</v>
      </c>
      <c r="K118" s="671"/>
      <c r="L118" s="671">
        <f>VLOOKUP(E118,'CNKT '!$D$114:$AA$177,24,0)</f>
        <v>4716531</v>
      </c>
      <c r="M118" s="671"/>
      <c r="N118" s="673">
        <f t="shared" si="13"/>
        <v>4716531</v>
      </c>
      <c r="O118" s="821"/>
    </row>
    <row r="119" spans="1:15" s="127" customFormat="1" ht="21.75" customHeight="1">
      <c r="A119" s="1202">
        <v>89</v>
      </c>
      <c r="B119" s="241">
        <v>7</v>
      </c>
      <c r="C119" s="818" t="str">
        <f>'Chấm công KT'!C101</f>
        <v>03594</v>
      </c>
      <c r="D119" s="819"/>
      <c r="E119" s="672" t="str">
        <f>'CNKT '!D120</f>
        <v>T. Bun Hinh</v>
      </c>
      <c r="F119" s="672" t="s">
        <v>28</v>
      </c>
      <c r="G119" s="671">
        <f>VLOOKUP(E119,'CNKT '!$D$114:$G$177,4,0)</f>
        <v>0</v>
      </c>
      <c r="H119" s="671">
        <f>VLOOKUP(E119,'CNKT '!$D$114:$M$177,10,0)</f>
        <v>4417822</v>
      </c>
      <c r="I119" s="671">
        <f>VLOOKUP(E119,'CNKT '!$D$114:$X$177,21,0)</f>
        <v>1028007</v>
      </c>
      <c r="J119" s="671">
        <f t="shared" si="12"/>
        <v>5445829</v>
      </c>
      <c r="K119" s="671"/>
      <c r="L119" s="671">
        <f>VLOOKUP(E119,'CNKT '!$D$114:$AA$177,24,0)</f>
        <v>5445829</v>
      </c>
      <c r="M119" s="671"/>
      <c r="N119" s="673">
        <f t="shared" si="13"/>
        <v>5445829</v>
      </c>
      <c r="O119" s="821"/>
    </row>
    <row r="120" spans="1:15" s="127" customFormat="1" ht="21.75" customHeight="1">
      <c r="A120" s="1202">
        <v>90</v>
      </c>
      <c r="B120" s="241">
        <v>8</v>
      </c>
      <c r="C120" s="818" t="str">
        <f>'Chấm công KT'!C102</f>
        <v>04073</v>
      </c>
      <c r="D120" s="819"/>
      <c r="E120" s="672" t="str">
        <f>'CNKT '!D121</f>
        <v>T. Miềng</v>
      </c>
      <c r="F120" s="672" t="s">
        <v>28</v>
      </c>
      <c r="G120" s="671">
        <f>VLOOKUP(E120,'CNKT '!$D$114:$G$177,4,0)</f>
        <v>0</v>
      </c>
      <c r="H120" s="671">
        <f>VLOOKUP(E120,'CNKT '!$D$114:$M$177,10,0)</f>
        <v>4019633</v>
      </c>
      <c r="I120" s="671">
        <f>VLOOKUP(E120,'CNKT '!$D$114:$X$177,21,0)</f>
        <v>822406</v>
      </c>
      <c r="J120" s="671">
        <f t="shared" si="12"/>
        <v>4842039</v>
      </c>
      <c r="K120" s="671"/>
      <c r="L120" s="671">
        <f>VLOOKUP(E120,'CNKT '!$D$114:$AA$177,24,0)</f>
        <v>4842039</v>
      </c>
      <c r="M120" s="671"/>
      <c r="N120" s="673">
        <f t="shared" si="13"/>
        <v>4842039</v>
      </c>
      <c r="O120" s="821"/>
    </row>
    <row r="121" spans="1:15" s="127" customFormat="1" ht="21.75" customHeight="1">
      <c r="A121" s="1202">
        <v>91</v>
      </c>
      <c r="B121" s="241">
        <v>9</v>
      </c>
      <c r="C121" s="818" t="str">
        <f>'Chấm công KT'!C103</f>
        <v>03596</v>
      </c>
      <c r="D121" s="819"/>
      <c r="E121" s="672" t="str">
        <f>'CNKT '!D122</f>
        <v>N. Xúc</v>
      </c>
      <c r="F121" s="672" t="s">
        <v>28</v>
      </c>
      <c r="G121" s="671">
        <f>VLOOKUP(E121,'CNKT '!$D$114:$G$177,4,0)</f>
        <v>0</v>
      </c>
      <c r="H121" s="671">
        <f>VLOOKUP(E121,'CNKT '!$D$114:$M$177,10,0)</f>
        <v>5522517</v>
      </c>
      <c r="I121" s="671">
        <f>VLOOKUP(E121,'CNKT '!$D$114:$X$177,21,0)</f>
        <v>966340</v>
      </c>
      <c r="J121" s="671">
        <f t="shared" si="12"/>
        <v>6488857</v>
      </c>
      <c r="K121" s="671"/>
      <c r="L121" s="671">
        <f>VLOOKUP(E121,'CNKT '!$D$114:$AA$177,24,0)</f>
        <v>6488857</v>
      </c>
      <c r="M121" s="671"/>
      <c r="N121" s="673">
        <f t="shared" si="13"/>
        <v>6488857</v>
      </c>
      <c r="O121" s="821"/>
    </row>
    <row r="122" spans="1:15" s="127" customFormat="1" ht="21.75" customHeight="1">
      <c r="A122" s="1202">
        <v>92</v>
      </c>
      <c r="B122" s="241">
        <v>10</v>
      </c>
      <c r="C122" s="818" t="str">
        <f>'Chấm công KT'!C104</f>
        <v>03597</v>
      </c>
      <c r="D122" s="819"/>
      <c r="E122" s="672" t="str">
        <f>'CNKT '!D123</f>
        <v>N. Lẹ</v>
      </c>
      <c r="F122" s="672" t="s">
        <v>28</v>
      </c>
      <c r="G122" s="671">
        <f>VLOOKUP(E122,'CNKT '!$D$114:$G$177,4,0)</f>
        <v>0</v>
      </c>
      <c r="H122" s="671">
        <f>VLOOKUP(E122,'CNKT '!$D$114:$M$177,10,0)</f>
        <v>4772001</v>
      </c>
      <c r="I122" s="671">
        <f>VLOOKUP(E122,'CNKT '!$D$114:$X$177,21,0)</f>
        <v>997174</v>
      </c>
      <c r="J122" s="671">
        <f t="shared" si="12"/>
        <v>5769175</v>
      </c>
      <c r="K122" s="671"/>
      <c r="L122" s="671">
        <f>VLOOKUP(E122,'CNKT '!$D$114:$AA$177,24,0)</f>
        <v>5769175</v>
      </c>
      <c r="M122" s="671"/>
      <c r="N122" s="673">
        <f t="shared" si="13"/>
        <v>5769175</v>
      </c>
      <c r="O122" s="821"/>
    </row>
    <row r="123" spans="1:15" s="127" customFormat="1" ht="21.75" customHeight="1">
      <c r="A123" s="1202">
        <v>93</v>
      </c>
      <c r="B123" s="241">
        <v>11</v>
      </c>
      <c r="C123" s="818" t="str">
        <f>'Chấm công KT'!C105</f>
        <v>03598</v>
      </c>
      <c r="D123" s="819"/>
      <c r="E123" s="672" t="str">
        <f>'CNKT '!D124</f>
        <v>N . Thích</v>
      </c>
      <c r="F123" s="672" t="s">
        <v>28</v>
      </c>
      <c r="G123" s="671">
        <f>VLOOKUP(E123,'CNKT '!$D$114:$G$177,4,0)</f>
        <v>0</v>
      </c>
      <c r="H123" s="671">
        <f>VLOOKUP(E123,'CNKT '!$D$114:$M$177,10,0)</f>
        <v>5076488</v>
      </c>
      <c r="I123" s="671">
        <f>VLOOKUP(E123,'CNKT '!$D$114:$X$177,21,0)</f>
        <v>997174</v>
      </c>
      <c r="J123" s="671">
        <f t="shared" si="12"/>
        <v>6073662</v>
      </c>
      <c r="K123" s="671"/>
      <c r="L123" s="671">
        <f>VLOOKUP(E123,'CNKT '!$D$114:$AA$177,24,0)</f>
        <v>6073662</v>
      </c>
      <c r="M123" s="671"/>
      <c r="N123" s="673">
        <f t="shared" si="13"/>
        <v>6073662</v>
      </c>
      <c r="O123" s="821"/>
    </row>
    <row r="124" spans="1:15" s="127" customFormat="1" ht="21.75" customHeight="1">
      <c r="A124" s="1202">
        <v>94</v>
      </c>
      <c r="B124" s="241">
        <v>12</v>
      </c>
      <c r="C124" s="818" t="str">
        <f>'Chấm công KT'!C106</f>
        <v>03599</v>
      </c>
      <c r="D124" s="819"/>
      <c r="E124" s="672" t="str">
        <f>'CNKT '!D125</f>
        <v>N. Cong Mi</v>
      </c>
      <c r="F124" s="672" t="s">
        <v>28</v>
      </c>
      <c r="G124" s="671">
        <f>VLOOKUP(E124,'CNKT '!$D$114:$G$177,4,0)</f>
        <v>0</v>
      </c>
      <c r="H124" s="671">
        <f>VLOOKUP(E124,'CNKT '!$D$114:$M$177,10,0)</f>
        <v>4350000</v>
      </c>
      <c r="I124" s="671">
        <f>VLOOKUP(E124,'CNKT '!$D$114:$X$177,21,0)</f>
        <v>997174</v>
      </c>
      <c r="J124" s="671">
        <f t="shared" si="12"/>
        <v>5347174</v>
      </c>
      <c r="K124" s="671"/>
      <c r="L124" s="671">
        <f>VLOOKUP(E124,'CNKT '!$D$114:$AA$177,24,0)</f>
        <v>5347174</v>
      </c>
      <c r="M124" s="671"/>
      <c r="N124" s="673">
        <f t="shared" si="13"/>
        <v>5347174</v>
      </c>
      <c r="O124" s="821"/>
    </row>
    <row r="125" spans="1:15" s="127" customFormat="1" ht="21.75" customHeight="1">
      <c r="A125" s="1202">
        <v>95</v>
      </c>
      <c r="B125" s="241">
        <v>13</v>
      </c>
      <c r="C125" s="818" t="str">
        <f>'Chấm công KT'!C107</f>
        <v>04074</v>
      </c>
      <c r="D125" s="819"/>
      <c r="E125" s="672" t="str">
        <f>'CNKT '!D126</f>
        <v>T. Na</v>
      </c>
      <c r="F125" s="672" t="s">
        <v>28</v>
      </c>
      <c r="G125" s="671">
        <f>VLOOKUP(E125,'CNKT '!$D$114:$G$177,4,0)</f>
        <v>0</v>
      </c>
      <c r="H125" s="671">
        <f>VLOOKUP(E125,'CNKT '!$D$114:$M$177,10,0)</f>
        <v>3743775</v>
      </c>
      <c r="I125" s="671">
        <f>VLOOKUP(E125,'CNKT '!$D$114:$X$177,21,0)</f>
        <v>853239</v>
      </c>
      <c r="J125" s="671">
        <f t="shared" si="12"/>
        <v>4597014</v>
      </c>
      <c r="K125" s="671"/>
      <c r="L125" s="671">
        <f>VLOOKUP(E125,'CNKT '!$D$114:$AA$177,24,0)</f>
        <v>4597014</v>
      </c>
      <c r="M125" s="671"/>
      <c r="N125" s="673">
        <f t="shared" si="13"/>
        <v>4597014</v>
      </c>
      <c r="O125" s="821"/>
    </row>
    <row r="126" spans="1:15" s="127" customFormat="1" ht="21.75" customHeight="1">
      <c r="A126" s="1202">
        <v>96</v>
      </c>
      <c r="B126" s="241">
        <v>14</v>
      </c>
      <c r="C126" s="818" t="str">
        <f>'Chấm công KT'!C108</f>
        <v>03601</v>
      </c>
      <c r="D126" s="819"/>
      <c r="E126" s="672" t="str">
        <f>'CNKT '!D127</f>
        <v>T. Khăm Mặn</v>
      </c>
      <c r="F126" s="672" t="s">
        <v>28</v>
      </c>
      <c r="G126" s="671">
        <f>VLOOKUP(E126,'CNKT '!$D$114:$G$177,4,0)</f>
        <v>0</v>
      </c>
      <c r="H126" s="671">
        <f>VLOOKUP(E126,'CNKT '!$D$114:$M$177,10,0)</f>
        <v>7044024</v>
      </c>
      <c r="I126" s="671">
        <f>VLOOKUP(E126,'CNKT '!$D$114:$X$177,21,0)</f>
        <v>997174</v>
      </c>
      <c r="J126" s="671">
        <f t="shared" si="12"/>
        <v>8041198</v>
      </c>
      <c r="K126" s="671"/>
      <c r="L126" s="671">
        <f>VLOOKUP(E126,'CNKT '!$D$114:$AA$177,24,0)</f>
        <v>8041198</v>
      </c>
      <c r="M126" s="671"/>
      <c r="N126" s="673">
        <f t="shared" si="13"/>
        <v>8041198</v>
      </c>
      <c r="O126" s="821"/>
    </row>
    <row r="127" spans="1:15" s="127" customFormat="1" ht="21.75" customHeight="1">
      <c r="A127" s="1202">
        <v>97</v>
      </c>
      <c r="B127" s="241">
        <v>15</v>
      </c>
      <c r="C127" s="818" t="str">
        <f>'Chấm công KT'!C109</f>
        <v>03602</v>
      </c>
      <c r="D127" s="819"/>
      <c r="E127" s="672" t="str">
        <f>'CNKT '!D128</f>
        <v>T . In Tong</v>
      </c>
      <c r="F127" s="672" t="s">
        <v>28</v>
      </c>
      <c r="G127" s="671">
        <f>VLOOKUP(E127,'CNKT '!$D$114:$G$177,4,0)</f>
        <v>0</v>
      </c>
      <c r="H127" s="671">
        <f>VLOOKUP(E127,'CNKT '!$D$114:$M$177,10,0)</f>
        <v>5148788</v>
      </c>
      <c r="I127" s="671">
        <f>VLOOKUP(E127,'CNKT '!$D$114:$X$177,21,0)</f>
        <v>997174</v>
      </c>
      <c r="J127" s="671">
        <f t="shared" si="12"/>
        <v>6145962</v>
      </c>
      <c r="K127" s="671"/>
      <c r="L127" s="671">
        <f>VLOOKUP(E127,'CNKT '!$D$114:$AA$177,24,0)</f>
        <v>6145962</v>
      </c>
      <c r="M127" s="671"/>
      <c r="N127" s="673">
        <f t="shared" si="13"/>
        <v>6145962</v>
      </c>
      <c r="O127" s="821"/>
    </row>
    <row r="128" spans="1:15" s="127" customFormat="1" ht="21.75" customHeight="1">
      <c r="A128" s="1202">
        <v>98</v>
      </c>
      <c r="B128" s="241">
        <v>16</v>
      </c>
      <c r="C128" s="818" t="str">
        <f>'Chấm công KT'!C110</f>
        <v>03496</v>
      </c>
      <c r="D128" s="819"/>
      <c r="E128" s="672" t="str">
        <f>'CNKT '!D129</f>
        <v>T. Lốp</v>
      </c>
      <c r="F128" s="672" t="s">
        <v>28</v>
      </c>
      <c r="G128" s="671">
        <f>VLOOKUP(E128,'CNKT '!$D$114:$G$177,4,0)</f>
        <v>0</v>
      </c>
      <c r="H128" s="671">
        <f>VLOOKUP(E128,'CNKT '!$D$114:$M$177,10,0)</f>
        <v>4383262</v>
      </c>
      <c r="I128" s="671">
        <f>VLOOKUP(E128,'CNKT '!$D$114:$X$177,21,0)</f>
        <v>832639</v>
      </c>
      <c r="J128" s="671">
        <f t="shared" si="12"/>
        <v>5215901</v>
      </c>
      <c r="K128" s="671"/>
      <c r="L128" s="671">
        <f>VLOOKUP(E128,'CNKT '!$D$114:$AA$177,24,0)</f>
        <v>5215901</v>
      </c>
      <c r="M128" s="671"/>
      <c r="N128" s="673">
        <f t="shared" si="13"/>
        <v>5215901</v>
      </c>
      <c r="O128" s="821"/>
    </row>
    <row r="129" spans="1:15" s="127" customFormat="1" ht="21.75" customHeight="1">
      <c r="A129" s="1202">
        <v>99</v>
      </c>
      <c r="B129" s="241">
        <v>17</v>
      </c>
      <c r="C129" s="818" t="str">
        <f>'Chấm công KT'!C111</f>
        <v>03604</v>
      </c>
      <c r="D129" s="819"/>
      <c r="E129" s="672" t="str">
        <f>'CNKT '!D130</f>
        <v>T. Lăm Phêng</v>
      </c>
      <c r="F129" s="672" t="s">
        <v>28</v>
      </c>
      <c r="G129" s="671">
        <f>VLOOKUP(E129,'CNKT '!$D$114:$G$177,4,0)</f>
        <v>0</v>
      </c>
      <c r="H129" s="671">
        <f>VLOOKUP(E129,'CNKT '!$D$114:$M$177,10,0)</f>
        <v>7767454</v>
      </c>
      <c r="I129" s="671">
        <f>VLOOKUP(E129,'CNKT '!$D$114:$X$177,21,0)</f>
        <v>966340</v>
      </c>
      <c r="J129" s="671">
        <f t="shared" si="12"/>
        <v>8733794</v>
      </c>
      <c r="K129" s="671"/>
      <c r="L129" s="671">
        <f>VLOOKUP(E129,'CNKT '!$D$114:$AA$177,24,0)</f>
        <v>8733794</v>
      </c>
      <c r="M129" s="671"/>
      <c r="N129" s="673">
        <f t="shared" si="13"/>
        <v>8733794</v>
      </c>
      <c r="O129" s="821"/>
    </row>
    <row r="130" spans="1:15" s="127" customFormat="1" ht="21.75" customHeight="1">
      <c r="A130" s="1202">
        <v>100</v>
      </c>
      <c r="B130" s="241">
        <v>18</v>
      </c>
      <c r="C130" s="818" t="str">
        <f>'Chấm công KT'!C112</f>
        <v>04075</v>
      </c>
      <c r="D130" s="819"/>
      <c r="E130" s="672" t="str">
        <f>'CNKT '!D131</f>
        <v>T Xèng</v>
      </c>
      <c r="F130" s="672" t="s">
        <v>28</v>
      </c>
      <c r="G130" s="671">
        <f>VLOOKUP(E130,'CNKT '!$D$114:$G$177,4,0)</f>
        <v>0</v>
      </c>
      <c r="H130" s="671">
        <f>VLOOKUP(E130,'CNKT '!$D$114:$M$177,10,0)</f>
        <v>5862798</v>
      </c>
      <c r="I130" s="671">
        <f>VLOOKUP(E130,'CNKT '!$D$114:$X$177,21,0)</f>
        <v>997174</v>
      </c>
      <c r="J130" s="671">
        <f t="shared" si="12"/>
        <v>6859972</v>
      </c>
      <c r="K130" s="671"/>
      <c r="L130" s="671">
        <f>VLOOKUP(E130,'CNKT '!$D$114:$AA$177,24,0)</f>
        <v>6859972</v>
      </c>
      <c r="M130" s="671"/>
      <c r="N130" s="673">
        <f t="shared" si="13"/>
        <v>6859972</v>
      </c>
      <c r="O130" s="821"/>
    </row>
    <row r="131" spans="1:15" s="127" customFormat="1" ht="21.75" customHeight="1">
      <c r="A131" s="1202">
        <v>101</v>
      </c>
      <c r="B131" s="241">
        <v>19</v>
      </c>
      <c r="C131" s="818" t="str">
        <f>'Chấm công KT'!C113</f>
        <v>03509</v>
      </c>
      <c r="D131" s="819"/>
      <c r="E131" s="672" t="str">
        <f>'CNKT '!D132</f>
        <v>T. May</v>
      </c>
      <c r="F131" s="672" t="s">
        <v>28</v>
      </c>
      <c r="G131" s="671">
        <f>VLOOKUP(E131,'CNKT '!$D$114:$G$177,4,0)</f>
        <v>0</v>
      </c>
      <c r="H131" s="671">
        <f>VLOOKUP(E131,'CNKT '!$D$114:$M$177,10,0)</f>
        <v>5311146</v>
      </c>
      <c r="I131" s="671">
        <f>VLOOKUP(E131,'CNKT '!$D$114:$X$177,21,0)</f>
        <v>1028007</v>
      </c>
      <c r="J131" s="671">
        <f t="shared" si="12"/>
        <v>6339153</v>
      </c>
      <c r="K131" s="671"/>
      <c r="L131" s="671">
        <f>VLOOKUP(E131,'CNKT '!$D$114:$AA$177,24,0)</f>
        <v>6339153</v>
      </c>
      <c r="M131" s="671"/>
      <c r="N131" s="673">
        <f t="shared" si="13"/>
        <v>6339153</v>
      </c>
      <c r="O131" s="821"/>
    </row>
    <row r="132" spans="1:15" s="127" customFormat="1" ht="21.75" customHeight="1">
      <c r="A132" s="1202">
        <v>102</v>
      </c>
      <c r="B132" s="241">
        <v>20</v>
      </c>
      <c r="C132" s="818" t="str">
        <f>'Chấm công KT'!C114</f>
        <v>03607</v>
      </c>
      <c r="D132" s="819"/>
      <c r="E132" s="672" t="str">
        <f>'CNKT '!D133</f>
        <v>T. Huôn</v>
      </c>
      <c r="F132" s="672" t="s">
        <v>28</v>
      </c>
      <c r="G132" s="671">
        <f>VLOOKUP(E132,'CNKT '!$D$114:$G$177,4,0)</f>
        <v>0</v>
      </c>
      <c r="H132" s="671">
        <f>VLOOKUP(E132,'CNKT '!$D$114:$M$177,10,0)</f>
        <v>4570420</v>
      </c>
      <c r="I132" s="671">
        <f>VLOOKUP(E132,'CNKT '!$D$114:$X$177,21,0)</f>
        <v>1028007</v>
      </c>
      <c r="J132" s="671">
        <f t="shared" si="12"/>
        <v>5598427</v>
      </c>
      <c r="K132" s="671"/>
      <c r="L132" s="671">
        <f>VLOOKUP(E132,'CNKT '!$D$114:$AA$177,24,0)</f>
        <v>5598427</v>
      </c>
      <c r="M132" s="671"/>
      <c r="N132" s="673">
        <f t="shared" si="13"/>
        <v>5598427</v>
      </c>
      <c r="O132" s="821"/>
    </row>
    <row r="133" spans="1:15" s="127" customFormat="1" ht="21.75" customHeight="1">
      <c r="A133" s="1202">
        <v>103</v>
      </c>
      <c r="B133" s="241">
        <v>21</v>
      </c>
      <c r="C133" s="818" t="str">
        <f>'Chấm công KT'!C115</f>
        <v>02729</v>
      </c>
      <c r="D133" s="819"/>
      <c r="E133" s="672" t="str">
        <f>'CNKT '!D134</f>
        <v>N. Lay</v>
      </c>
      <c r="F133" s="672" t="s">
        <v>28</v>
      </c>
      <c r="G133" s="671">
        <f>VLOOKUP(E133,'CNKT '!$D$114:$G$177,4,0)</f>
        <v>0</v>
      </c>
      <c r="H133" s="671">
        <f>VLOOKUP(E133,'CNKT '!$D$114:$M$177,10,0)</f>
        <v>4666501</v>
      </c>
      <c r="I133" s="671">
        <f>VLOOKUP(E133,'CNKT '!$D$114:$X$177,21,0)</f>
        <v>1028007</v>
      </c>
      <c r="J133" s="671">
        <f t="shared" si="12"/>
        <v>5694508</v>
      </c>
      <c r="K133" s="671"/>
      <c r="L133" s="671">
        <f>VLOOKUP(E133,'CNKT '!$D$114:$AA$177,24,0)</f>
        <v>5694508</v>
      </c>
      <c r="M133" s="671"/>
      <c r="N133" s="673">
        <f t="shared" si="13"/>
        <v>5694508</v>
      </c>
      <c r="O133" s="821"/>
    </row>
    <row r="134" spans="1:15" s="127" customFormat="1" ht="21.75" customHeight="1">
      <c r="A134" s="1202">
        <v>104</v>
      </c>
      <c r="B134" s="241">
        <v>22</v>
      </c>
      <c r="C134" s="818" t="str">
        <f>'Chấm công KT'!C116</f>
        <v>03608</v>
      </c>
      <c r="D134" s="819"/>
      <c r="E134" s="672" t="str">
        <f>'CNKT '!D135</f>
        <v>N. Pon</v>
      </c>
      <c r="F134" s="672" t="s">
        <v>28</v>
      </c>
      <c r="G134" s="671">
        <f>VLOOKUP(E134,'CNKT '!$D$114:$G$177,4,0)</f>
        <v>0</v>
      </c>
      <c r="H134" s="671">
        <f>VLOOKUP(E134,'CNKT '!$D$114:$M$177,10,0)</f>
        <v>4856778</v>
      </c>
      <c r="I134" s="671">
        <f>VLOOKUP(E134,'CNKT '!$D$114:$X$177,21,0)</f>
        <v>966340</v>
      </c>
      <c r="J134" s="671">
        <f t="shared" si="12"/>
        <v>5823118</v>
      </c>
      <c r="K134" s="671"/>
      <c r="L134" s="671">
        <f>VLOOKUP(E134,'CNKT '!$D$114:$AA$177,24,0)</f>
        <v>5823118</v>
      </c>
      <c r="M134" s="671"/>
      <c r="N134" s="673">
        <f t="shared" si="13"/>
        <v>5823118</v>
      </c>
      <c r="O134" s="821"/>
    </row>
    <row r="135" spans="1:15" s="127" customFormat="1" ht="21.75" customHeight="1">
      <c r="A135" s="1202">
        <v>105</v>
      </c>
      <c r="B135" s="241">
        <v>23</v>
      </c>
      <c r="C135" s="818" t="str">
        <f>'Chấm công KT'!C117</f>
        <v>03609</v>
      </c>
      <c r="D135" s="819"/>
      <c r="E135" s="672" t="str">
        <f>'CNKT '!D136</f>
        <v>N. Bun Đi</v>
      </c>
      <c r="F135" s="672" t="s">
        <v>28</v>
      </c>
      <c r="G135" s="671">
        <f>VLOOKUP(E135,'CNKT '!$D$114:$G$177,4,0)</f>
        <v>0</v>
      </c>
      <c r="H135" s="671">
        <f>VLOOKUP(E135,'CNKT '!$D$114:$M$177,10,0)</f>
        <v>4235080</v>
      </c>
      <c r="I135" s="671">
        <f>VLOOKUP(E135,'CNKT '!$D$114:$X$177,21,0)</f>
        <v>997174</v>
      </c>
      <c r="J135" s="671">
        <f t="shared" si="12"/>
        <v>5232254</v>
      </c>
      <c r="K135" s="671"/>
      <c r="L135" s="671">
        <f>VLOOKUP(E135,'CNKT '!$D$114:$AA$177,24,0)</f>
        <v>5232254</v>
      </c>
      <c r="M135" s="671"/>
      <c r="N135" s="673">
        <f t="shared" si="13"/>
        <v>5232254</v>
      </c>
      <c r="O135" s="821"/>
    </row>
    <row r="136" spans="1:15" s="127" customFormat="1" ht="21.75" customHeight="1">
      <c r="A136" s="1202">
        <v>106</v>
      </c>
      <c r="B136" s="241">
        <v>24</v>
      </c>
      <c r="C136" s="818" t="str">
        <f>'Chấm công KT'!C118</f>
        <v>03610</v>
      </c>
      <c r="D136" s="819"/>
      <c r="E136" s="672" t="str">
        <f>'CNKT '!D137</f>
        <v>N. Phon</v>
      </c>
      <c r="F136" s="672" t="s">
        <v>28</v>
      </c>
      <c r="G136" s="671">
        <f>VLOOKUP(E136,'CNKT '!$D$114:$G$177,4,0)</f>
        <v>0</v>
      </c>
      <c r="H136" s="671">
        <f>VLOOKUP(E136,'CNKT '!$D$114:$M$177,10,0)</f>
        <v>4385795</v>
      </c>
      <c r="I136" s="671">
        <f>VLOOKUP(E136,'CNKT '!$D$114:$X$177,21,0)</f>
        <v>997174</v>
      </c>
      <c r="J136" s="671">
        <f t="shared" si="12"/>
        <v>5382969</v>
      </c>
      <c r="K136" s="671"/>
      <c r="L136" s="671">
        <f>VLOOKUP(E136,'CNKT '!$D$114:$AA$177,24,0)</f>
        <v>5382969</v>
      </c>
      <c r="M136" s="671"/>
      <c r="N136" s="673">
        <f t="shared" si="13"/>
        <v>5382969</v>
      </c>
      <c r="O136" s="821"/>
    </row>
    <row r="137" spans="1:15" s="127" customFormat="1" ht="21.75" customHeight="1">
      <c r="A137" s="1202">
        <v>107</v>
      </c>
      <c r="B137" s="241">
        <v>25</v>
      </c>
      <c r="C137" s="818" t="str">
        <f>'Chấm công KT'!C119</f>
        <v>04076</v>
      </c>
      <c r="D137" s="819"/>
      <c r="E137" s="672" t="str">
        <f>'CNKT '!D138</f>
        <v xml:space="preserve">N. Bun </v>
      </c>
      <c r="F137" s="672" t="s">
        <v>28</v>
      </c>
      <c r="G137" s="671">
        <f>VLOOKUP(E137,'CNKT '!$D$114:$G$177,4,0)</f>
        <v>0</v>
      </c>
      <c r="H137" s="671">
        <f>VLOOKUP(E137,'CNKT '!$D$114:$M$177,10,0)</f>
        <v>5771505</v>
      </c>
      <c r="I137" s="671">
        <f>VLOOKUP(E137,'CNKT '!$D$114:$X$177,21,0)</f>
        <v>945740</v>
      </c>
      <c r="J137" s="671">
        <f t="shared" si="12"/>
        <v>6717245</v>
      </c>
      <c r="K137" s="671"/>
      <c r="L137" s="671">
        <f>VLOOKUP(E137,'CNKT '!$D$114:$AA$177,24,0)</f>
        <v>6717245</v>
      </c>
      <c r="M137" s="671"/>
      <c r="N137" s="673">
        <f t="shared" si="13"/>
        <v>6717245</v>
      </c>
      <c r="O137" s="821"/>
    </row>
    <row r="138" spans="1:15" s="127" customFormat="1" ht="21.75" customHeight="1">
      <c r="A138" s="1202">
        <v>108</v>
      </c>
      <c r="B138" s="241">
        <v>26</v>
      </c>
      <c r="C138" s="818" t="str">
        <f>'Chấm công KT'!C120</f>
        <v>03612</v>
      </c>
      <c r="D138" s="819"/>
      <c r="E138" s="672" t="str">
        <f>'CNKT '!D139</f>
        <v>N. Phu Văn</v>
      </c>
      <c r="F138" s="672" t="s">
        <v>28</v>
      </c>
      <c r="G138" s="671">
        <f>VLOOKUP(E138,'CNKT '!$D$114:$G$177,4,0)</f>
        <v>0</v>
      </c>
      <c r="H138" s="671">
        <f>VLOOKUP(E138,'CNKT '!$D$114:$M$177,10,0)</f>
        <v>5619771</v>
      </c>
      <c r="I138" s="671">
        <f>VLOOKUP(E138,'CNKT '!$D$114:$X$177,21,0)</f>
        <v>997174</v>
      </c>
      <c r="J138" s="671">
        <f t="shared" si="12"/>
        <v>6616945</v>
      </c>
      <c r="K138" s="671"/>
      <c r="L138" s="671">
        <f>VLOOKUP(E138,'CNKT '!$D$114:$AA$177,24,0)</f>
        <v>6616945</v>
      </c>
      <c r="M138" s="671"/>
      <c r="N138" s="673">
        <f t="shared" si="13"/>
        <v>6616945</v>
      </c>
      <c r="O138" s="821"/>
    </row>
    <row r="139" spans="1:15" s="127" customFormat="1" ht="21.75" customHeight="1">
      <c r="A139" s="1202">
        <v>109</v>
      </c>
      <c r="B139" s="241">
        <v>27</v>
      </c>
      <c r="C139" s="818" t="str">
        <f>'Chấm công KT'!C121</f>
        <v>03613</v>
      </c>
      <c r="D139" s="819"/>
      <c r="E139" s="672" t="str">
        <f>'CNKT '!D140</f>
        <v>N. Lỷ</v>
      </c>
      <c r="F139" s="672" t="s">
        <v>28</v>
      </c>
      <c r="G139" s="671">
        <f>VLOOKUP(E139,'CNKT '!$D$114:$G$177,4,0)</f>
        <v>0</v>
      </c>
      <c r="H139" s="671">
        <f>VLOOKUP(E139,'CNKT '!$D$114:$M$177,10,0)</f>
        <v>4504483</v>
      </c>
      <c r="I139" s="671">
        <f>VLOOKUP(E139,'CNKT '!$D$114:$X$177,21,0)</f>
        <v>997174</v>
      </c>
      <c r="J139" s="671">
        <f t="shared" si="12"/>
        <v>5501657</v>
      </c>
      <c r="K139" s="671"/>
      <c r="L139" s="671">
        <f>VLOOKUP(E139,'CNKT '!$D$114:$AA$177,24,0)</f>
        <v>5501657</v>
      </c>
      <c r="M139" s="671"/>
      <c r="N139" s="673">
        <f t="shared" si="13"/>
        <v>5501657</v>
      </c>
      <c r="O139" s="821"/>
    </row>
    <row r="140" spans="1:15" s="127" customFormat="1" ht="21.75" customHeight="1">
      <c r="A140" s="1202">
        <v>110</v>
      </c>
      <c r="B140" s="241">
        <v>28</v>
      </c>
      <c r="C140" s="818" t="str">
        <f>'Chấm công KT'!C122</f>
        <v>04077</v>
      </c>
      <c r="D140" s="819"/>
      <c r="E140" s="672" t="str">
        <f>'CNKT '!D141</f>
        <v>N. Quen</v>
      </c>
      <c r="F140" s="672" t="s">
        <v>28</v>
      </c>
      <c r="G140" s="671">
        <f>VLOOKUP(E140,'CNKT '!$D$114:$G$177,4,0)</f>
        <v>0</v>
      </c>
      <c r="H140" s="671">
        <f>VLOOKUP(E140,'CNKT '!$D$114:$M$177,10,0)</f>
        <v>5583976</v>
      </c>
      <c r="I140" s="671">
        <f>VLOOKUP(E140,'CNKT '!$D$114:$X$177,21,0)</f>
        <v>966340</v>
      </c>
      <c r="J140" s="671">
        <f t="shared" si="12"/>
        <v>6550316</v>
      </c>
      <c r="K140" s="671"/>
      <c r="L140" s="671">
        <f>VLOOKUP(E140,'CNKT '!$D$114:$AA$177,24,0)</f>
        <v>6550316</v>
      </c>
      <c r="M140" s="671"/>
      <c r="N140" s="673">
        <f t="shared" si="13"/>
        <v>6550316</v>
      </c>
      <c r="O140" s="821"/>
    </row>
    <row r="141" spans="1:15" s="127" customFormat="1" ht="21.75" customHeight="1">
      <c r="A141" s="1202">
        <v>111</v>
      </c>
      <c r="B141" s="241">
        <v>29</v>
      </c>
      <c r="C141" s="818" t="str">
        <f>'Chấm công KT'!C123</f>
        <v>03615</v>
      </c>
      <c r="D141" s="819"/>
      <c r="E141" s="672" t="str">
        <f>'CNKT '!D142</f>
        <v>T. Xi Nuôn</v>
      </c>
      <c r="F141" s="672" t="s">
        <v>28</v>
      </c>
      <c r="G141" s="671">
        <f>VLOOKUP(E141,'CNKT '!$D$114:$G$177,4,0)</f>
        <v>0</v>
      </c>
      <c r="H141" s="671">
        <f>VLOOKUP(E141,'CNKT '!$D$114:$M$177,10,0)</f>
        <v>3492996</v>
      </c>
      <c r="I141" s="671">
        <f>VLOOKUP(E141,'CNKT '!$D$114:$X$177,21,0)</f>
        <v>822406</v>
      </c>
      <c r="J141" s="671">
        <f t="shared" si="12"/>
        <v>4315402</v>
      </c>
      <c r="K141" s="671"/>
      <c r="L141" s="671">
        <f>VLOOKUP(E141,'CNKT '!$D$114:$AA$177,24,0)</f>
        <v>4315402</v>
      </c>
      <c r="M141" s="671"/>
      <c r="N141" s="673">
        <f t="shared" si="13"/>
        <v>4315402</v>
      </c>
      <c r="O141" s="821"/>
    </row>
    <row r="142" spans="1:15" s="127" customFormat="1" ht="21.75" customHeight="1">
      <c r="A142" s="1202">
        <v>112</v>
      </c>
      <c r="B142" s="241">
        <v>30</v>
      </c>
      <c r="C142" s="818" t="str">
        <f>'Chấm công KT'!C124</f>
        <v>03616</v>
      </c>
      <c r="D142" s="819"/>
      <c r="E142" s="672" t="str">
        <f>'CNKT '!D143</f>
        <v>N. Ốc</v>
      </c>
      <c r="F142" s="672" t="s">
        <v>28</v>
      </c>
      <c r="G142" s="671">
        <f>VLOOKUP(E142,'CNKT '!$D$114:$G$177,4,0)</f>
        <v>0</v>
      </c>
      <c r="H142" s="671">
        <f>VLOOKUP(E142,'CNKT '!$D$114:$M$177,10,0)</f>
        <v>4500715</v>
      </c>
      <c r="I142" s="671">
        <f>VLOOKUP(E142,'CNKT '!$D$114:$X$177,21,0)</f>
        <v>997174</v>
      </c>
      <c r="J142" s="671">
        <f t="shared" si="12"/>
        <v>5497889</v>
      </c>
      <c r="K142" s="671"/>
      <c r="L142" s="671">
        <f>VLOOKUP(E142,'CNKT '!$D$114:$AA$177,24,0)</f>
        <v>5497889</v>
      </c>
      <c r="M142" s="671"/>
      <c r="N142" s="673">
        <f t="shared" si="13"/>
        <v>5497889</v>
      </c>
      <c r="O142" s="821"/>
    </row>
    <row r="143" spans="1:15" s="127" customFormat="1" ht="21.75" customHeight="1">
      <c r="A143" s="1202">
        <v>113</v>
      </c>
      <c r="B143" s="241">
        <v>31</v>
      </c>
      <c r="C143" s="818" t="str">
        <f>'Chấm công KT'!C125</f>
        <v>03617</v>
      </c>
      <c r="D143" s="819"/>
      <c r="E143" s="672" t="str">
        <f>'CNKT '!D144</f>
        <v>T. Văn Nô</v>
      </c>
      <c r="F143" s="672" t="s">
        <v>28</v>
      </c>
      <c r="G143" s="671">
        <f>VLOOKUP(E143,'CNKT '!$D$114:$G$177,4,0)</f>
        <v>0</v>
      </c>
      <c r="H143" s="671">
        <f>VLOOKUP(E143,'CNKT '!$D$114:$M$177,10,0)</f>
        <v>6235817</v>
      </c>
      <c r="I143" s="671">
        <f>VLOOKUP(E143,'CNKT '!$D$114:$X$177,21,0)</f>
        <v>997174</v>
      </c>
      <c r="J143" s="671">
        <f t="shared" si="12"/>
        <v>7232991</v>
      </c>
      <c r="K143" s="671"/>
      <c r="L143" s="671">
        <f>VLOOKUP(E143,'CNKT '!$D$114:$AA$177,24,0)</f>
        <v>7232991</v>
      </c>
      <c r="M143" s="671"/>
      <c r="N143" s="673">
        <f t="shared" si="13"/>
        <v>7232991</v>
      </c>
      <c r="O143" s="821"/>
    </row>
    <row r="144" spans="1:15" s="127" customFormat="1" ht="21.75" customHeight="1">
      <c r="A144" s="1202">
        <v>114</v>
      </c>
      <c r="B144" s="241">
        <v>32</v>
      </c>
      <c r="C144" s="818" t="str">
        <f>'Chấm công KT'!C126</f>
        <v>03618</v>
      </c>
      <c r="D144" s="819"/>
      <c r="E144" s="672" t="str">
        <f>'CNKT '!D145</f>
        <v>N. Văn Ta</v>
      </c>
      <c r="F144" s="672" t="s">
        <v>28</v>
      </c>
      <c r="G144" s="671">
        <f>VLOOKUP(E144,'CNKT '!$D$114:$G$177,4,0)</f>
        <v>0</v>
      </c>
      <c r="H144" s="671">
        <f>VLOOKUP(E144,'CNKT '!$D$114:$M$177,10,0)</f>
        <v>5357904</v>
      </c>
      <c r="I144" s="671">
        <f>VLOOKUP(E144,'CNKT '!$D$114:$X$177,21,0)</f>
        <v>997174</v>
      </c>
      <c r="J144" s="671">
        <f t="shared" si="12"/>
        <v>6355078</v>
      </c>
      <c r="K144" s="671"/>
      <c r="L144" s="671">
        <f>VLOOKUP(E144,'CNKT '!$D$114:$AA$177,24,0)</f>
        <v>6355078</v>
      </c>
      <c r="M144" s="671"/>
      <c r="N144" s="673">
        <f t="shared" si="13"/>
        <v>6355078</v>
      </c>
      <c r="O144" s="821"/>
    </row>
    <row r="145" spans="1:15" s="127" customFormat="1" ht="21.75" customHeight="1">
      <c r="A145" s="1202">
        <v>115</v>
      </c>
      <c r="B145" s="241">
        <v>33</v>
      </c>
      <c r="C145" s="818" t="str">
        <f>'Chấm công KT'!C127</f>
        <v>03619</v>
      </c>
      <c r="D145" s="819"/>
      <c r="E145" s="672" t="str">
        <f>'CNKT '!D146</f>
        <v>T. Thon</v>
      </c>
      <c r="F145" s="672" t="s">
        <v>28</v>
      </c>
      <c r="G145" s="671">
        <f>VLOOKUP(E145,'CNKT '!$D$114:$G$177,4,0)</f>
        <v>0</v>
      </c>
      <c r="H145" s="671">
        <f>VLOOKUP(E145,'CNKT '!$D$114:$M$177,10,0)</f>
        <v>5405002</v>
      </c>
      <c r="I145" s="671">
        <f>VLOOKUP(E145,'CNKT '!$D$114:$X$177,21,0)</f>
        <v>997174</v>
      </c>
      <c r="J145" s="671">
        <f t="shared" si="12"/>
        <v>6402176</v>
      </c>
      <c r="K145" s="671"/>
      <c r="L145" s="671">
        <f>VLOOKUP(E145,'CNKT '!$D$114:$AA$177,24,0)</f>
        <v>6402176</v>
      </c>
      <c r="M145" s="671"/>
      <c r="N145" s="673">
        <f t="shared" si="13"/>
        <v>6402176</v>
      </c>
      <c r="O145" s="821"/>
    </row>
    <row r="146" spans="1:15" s="127" customFormat="1" ht="21.75" customHeight="1">
      <c r="A146" s="1202">
        <v>116</v>
      </c>
      <c r="B146" s="241">
        <v>34</v>
      </c>
      <c r="C146" s="818" t="str">
        <f>'Chấm công KT'!C128</f>
        <v>03620</v>
      </c>
      <c r="D146" s="819"/>
      <c r="E146" s="672" t="str">
        <f>'CNKT '!D147</f>
        <v>Bun Thon</v>
      </c>
      <c r="F146" s="672" t="s">
        <v>28</v>
      </c>
      <c r="G146" s="671">
        <f>VLOOKUP(E146,'CNKT '!$D$114:$G$177,4,0)</f>
        <v>0</v>
      </c>
      <c r="H146" s="671">
        <f>VLOOKUP(E146,'CNKT '!$D$114:$M$177,10,0)</f>
        <v>3856410</v>
      </c>
      <c r="I146" s="671">
        <f>VLOOKUP(E146,'CNKT '!$D$114:$X$177,21,0)</f>
        <v>822406</v>
      </c>
      <c r="J146" s="671">
        <f t="shared" si="12"/>
        <v>4678816</v>
      </c>
      <c r="K146" s="671"/>
      <c r="L146" s="671">
        <f>VLOOKUP(E146,'CNKT '!$D$114:$AA$177,24,0)</f>
        <v>4678816</v>
      </c>
      <c r="M146" s="671"/>
      <c r="N146" s="673">
        <f t="shared" si="13"/>
        <v>4678816</v>
      </c>
      <c r="O146" s="821"/>
    </row>
    <row r="147" spans="1:15" s="127" customFormat="1" ht="21.75" customHeight="1">
      <c r="A147" s="1202">
        <v>117</v>
      </c>
      <c r="B147" s="241">
        <v>35</v>
      </c>
      <c r="C147" s="818" t="str">
        <f>'Chấm công KT'!C129</f>
        <v>04078</v>
      </c>
      <c r="D147" s="819"/>
      <c r="E147" s="672" t="str">
        <f>'CNKT '!D148</f>
        <v>Lăm Thong</v>
      </c>
      <c r="F147" s="672" t="s">
        <v>28</v>
      </c>
      <c r="G147" s="671">
        <f>VLOOKUP(E147,'CNKT '!$D$114:$G$177,4,0)</f>
        <v>0</v>
      </c>
      <c r="H147" s="671">
        <f>VLOOKUP(E147,'CNKT '!$D$114:$M$177,10,0)</f>
        <v>3784975</v>
      </c>
      <c r="I147" s="671">
        <f>VLOOKUP(E147,'CNKT '!$D$114:$X$177,21,0)</f>
        <v>884073</v>
      </c>
      <c r="J147" s="671">
        <f t="shared" si="12"/>
        <v>4669048</v>
      </c>
      <c r="K147" s="671"/>
      <c r="L147" s="671">
        <f>VLOOKUP(E147,'CNKT '!$D$114:$AA$177,24,0)</f>
        <v>4669048</v>
      </c>
      <c r="M147" s="671"/>
      <c r="N147" s="673">
        <f t="shared" si="13"/>
        <v>4669048</v>
      </c>
      <c r="O147" s="821"/>
    </row>
    <row r="148" spans="1:15" s="127" customFormat="1" ht="21.75" customHeight="1">
      <c r="A148" s="1202">
        <v>118</v>
      </c>
      <c r="B148" s="241">
        <v>36</v>
      </c>
      <c r="C148" s="818" t="str">
        <f>'Chấm công KT'!C130</f>
        <v>03622</v>
      </c>
      <c r="D148" s="819"/>
      <c r="E148" s="672" t="str">
        <f>'CNKT '!D149</f>
        <v>N. Xeo Khăm</v>
      </c>
      <c r="F148" s="672" t="s">
        <v>28</v>
      </c>
      <c r="G148" s="671">
        <f>VLOOKUP(E148,'CNKT '!$D$114:$G$177,4,0)</f>
        <v>0</v>
      </c>
      <c r="H148" s="671">
        <f>VLOOKUP(E148,'CNKT '!$D$114:$M$177,10,0)</f>
        <v>6245236</v>
      </c>
      <c r="I148" s="671">
        <f>VLOOKUP(E148,'CNKT '!$D$114:$X$177,21,0)</f>
        <v>997174</v>
      </c>
      <c r="J148" s="671">
        <f t="shared" si="12"/>
        <v>7242410</v>
      </c>
      <c r="K148" s="671"/>
      <c r="L148" s="671">
        <f>VLOOKUP(E148,'CNKT '!$D$114:$AA$177,24,0)</f>
        <v>7242410</v>
      </c>
      <c r="M148" s="671"/>
      <c r="N148" s="673">
        <f t="shared" si="13"/>
        <v>7242410</v>
      </c>
      <c r="O148" s="821"/>
    </row>
    <row r="149" spans="1:15" s="127" customFormat="1" ht="21.75" customHeight="1">
      <c r="A149" s="1202">
        <v>119</v>
      </c>
      <c r="B149" s="241">
        <v>37</v>
      </c>
      <c r="C149" s="818" t="str">
        <f>'Chấm công KT'!C131</f>
        <v>03623</v>
      </c>
      <c r="D149" s="819"/>
      <c r="E149" s="672" t="str">
        <f>'CNKT '!D150</f>
        <v>T. Khăm...</v>
      </c>
      <c r="F149" s="672" t="s">
        <v>28</v>
      </c>
      <c r="G149" s="671">
        <f>VLOOKUP(E149,'CNKT '!$D$114:$G$177,4,0)</f>
        <v>0</v>
      </c>
      <c r="H149" s="671">
        <f>VLOOKUP(E149,'CNKT '!$D$114:$M$177,10,0)</f>
        <v>6075682</v>
      </c>
      <c r="I149" s="671">
        <f>VLOOKUP(E149,'CNKT '!$D$114:$X$177,21,0)</f>
        <v>997174</v>
      </c>
      <c r="J149" s="671">
        <f t="shared" si="12"/>
        <v>7072856</v>
      </c>
      <c r="K149" s="671"/>
      <c r="L149" s="671">
        <f>VLOOKUP(E149,'CNKT '!$D$114:$AA$177,24,0)</f>
        <v>7072856</v>
      </c>
      <c r="M149" s="671"/>
      <c r="N149" s="673">
        <f t="shared" si="13"/>
        <v>7072856</v>
      </c>
      <c r="O149" s="821"/>
    </row>
    <row r="150" spans="1:15" s="127" customFormat="1" ht="21.75" customHeight="1">
      <c r="A150" s="1202">
        <v>120</v>
      </c>
      <c r="B150" s="241">
        <v>38</v>
      </c>
      <c r="C150" s="818" t="str">
        <f>'Chấm công KT'!C132</f>
        <v>03532</v>
      </c>
      <c r="D150" s="819"/>
      <c r="E150" s="672" t="str">
        <f>'CNKT '!D151</f>
        <v>N. Túc</v>
      </c>
      <c r="F150" s="672" t="s">
        <v>28</v>
      </c>
      <c r="G150" s="671">
        <f>VLOOKUP(E150,'CNKT '!$D$114:$G$177,4,0)</f>
        <v>0</v>
      </c>
      <c r="H150" s="671">
        <f>VLOOKUP(E150,'CNKT '!$D$114:$M$177,10,0)</f>
        <v>5680057</v>
      </c>
      <c r="I150" s="671">
        <f>VLOOKUP(E150,'CNKT '!$D$114:$X$177,21,0)</f>
        <v>997174</v>
      </c>
      <c r="J150" s="671">
        <f t="shared" si="12"/>
        <v>6677231</v>
      </c>
      <c r="K150" s="671"/>
      <c r="L150" s="671">
        <f>VLOOKUP(E150,'CNKT '!$D$114:$AA$177,24,0)</f>
        <v>6677231</v>
      </c>
      <c r="M150" s="671"/>
      <c r="N150" s="673">
        <f t="shared" si="13"/>
        <v>6677231</v>
      </c>
      <c r="O150" s="821"/>
    </row>
    <row r="151" spans="1:15" s="127" customFormat="1" ht="21.75" customHeight="1">
      <c r="A151" s="1202">
        <v>121</v>
      </c>
      <c r="B151" s="241">
        <v>39</v>
      </c>
      <c r="C151" s="818" t="str">
        <f>'Chấm công KT'!C133</f>
        <v>03625</v>
      </c>
      <c r="D151" s="819"/>
      <c r="E151" s="672" t="str">
        <f>'CNKT '!D152</f>
        <v>N. Pheng</v>
      </c>
      <c r="F151" s="672" t="s">
        <v>28</v>
      </c>
      <c r="G151" s="671">
        <f>VLOOKUP(E151,'CNKT '!$D$114:$G$177,4,0)</f>
        <v>0</v>
      </c>
      <c r="H151" s="671">
        <f>VLOOKUP(E151,'CNKT '!$D$114:$M$177,10,0)</f>
        <v>6686077</v>
      </c>
      <c r="I151" s="671">
        <f>VLOOKUP(E151,'CNKT '!$D$114:$X$177,21,0)</f>
        <v>997174</v>
      </c>
      <c r="J151" s="671">
        <f t="shared" si="12"/>
        <v>7683251</v>
      </c>
      <c r="K151" s="671"/>
      <c r="L151" s="671">
        <f>VLOOKUP(E151,'CNKT '!$D$114:$AA$177,24,0)</f>
        <v>7683251</v>
      </c>
      <c r="M151" s="671"/>
      <c r="N151" s="673">
        <f t="shared" si="13"/>
        <v>7683251</v>
      </c>
      <c r="O151" s="821"/>
    </row>
    <row r="152" spans="1:15" s="127" customFormat="1" ht="21.75" customHeight="1">
      <c r="A152" s="1202">
        <v>122</v>
      </c>
      <c r="B152" s="241">
        <v>40</v>
      </c>
      <c r="C152" s="818" t="str">
        <f>'Chấm công KT'!C134</f>
        <v>03587</v>
      </c>
      <c r="D152" s="819"/>
      <c r="E152" s="672" t="str">
        <f>'CNKT '!D153</f>
        <v>N. Mom</v>
      </c>
      <c r="F152" s="672" t="s">
        <v>28</v>
      </c>
      <c r="G152" s="671">
        <f>VLOOKUP(E152,'CNKT '!$D$114:$G$177,4,0)</f>
        <v>0</v>
      </c>
      <c r="H152" s="671">
        <f>VLOOKUP(E152,'CNKT '!$D$114:$M$177,10,0)</f>
        <v>6081334</v>
      </c>
      <c r="I152" s="671">
        <f>VLOOKUP(E152,'CNKT '!$D$114:$X$177,21,0)</f>
        <v>997174</v>
      </c>
      <c r="J152" s="671">
        <f t="shared" si="12"/>
        <v>7078508</v>
      </c>
      <c r="K152" s="671"/>
      <c r="L152" s="671">
        <f>VLOOKUP(E152,'CNKT '!$D$114:$AA$177,24,0)</f>
        <v>7078508</v>
      </c>
      <c r="M152" s="671"/>
      <c r="N152" s="673">
        <f t="shared" si="13"/>
        <v>7078508</v>
      </c>
      <c r="O152" s="821"/>
    </row>
    <row r="153" spans="1:15" s="127" customFormat="1" ht="21.75" customHeight="1">
      <c r="A153" s="1202">
        <v>123</v>
      </c>
      <c r="B153" s="241">
        <v>41</v>
      </c>
      <c r="C153" s="818" t="str">
        <f>'Chấm công KT'!C135</f>
        <v>04079</v>
      </c>
      <c r="D153" s="819"/>
      <c r="E153" s="672" t="str">
        <f>'CNKT '!D154</f>
        <v>T. Môn</v>
      </c>
      <c r="F153" s="672" t="s">
        <v>28</v>
      </c>
      <c r="G153" s="671">
        <f>VLOOKUP(E153,'CNKT '!$D$114:$G$177,4,0)</f>
        <v>0</v>
      </c>
      <c r="H153" s="671">
        <f>VLOOKUP(E153,'CNKT '!$D$114:$M$177,10,0)</f>
        <v>3707950</v>
      </c>
      <c r="I153" s="671">
        <f>VLOOKUP(E153,'CNKT '!$D$114:$X$177,21,0)</f>
        <v>904673</v>
      </c>
      <c r="J153" s="671">
        <f t="shared" si="12"/>
        <v>4612623</v>
      </c>
      <c r="K153" s="671"/>
      <c r="L153" s="671">
        <f>VLOOKUP(E153,'CNKT '!$D$114:$AA$177,24,0)</f>
        <v>4612623</v>
      </c>
      <c r="M153" s="671"/>
      <c r="N153" s="673">
        <f t="shared" si="13"/>
        <v>4612623</v>
      </c>
      <c r="O153" s="821"/>
    </row>
    <row r="154" spans="1:15" s="127" customFormat="1" ht="21.75" customHeight="1">
      <c r="A154" s="1202">
        <v>124</v>
      </c>
      <c r="B154" s="241">
        <v>42</v>
      </c>
      <c r="C154" s="818" t="str">
        <f>'Chấm công KT'!C136</f>
        <v>03628</v>
      </c>
      <c r="D154" s="819"/>
      <c r="E154" s="672" t="str">
        <f>'CNKT '!D155</f>
        <v>Khăn Hạ</v>
      </c>
      <c r="F154" s="672" t="s">
        <v>28</v>
      </c>
      <c r="G154" s="671">
        <f>VLOOKUP(E154,'CNKT '!$D$114:$G$177,4,0)</f>
        <v>0</v>
      </c>
      <c r="H154" s="671">
        <f>VLOOKUP(E154,'CNKT '!$D$114:$M$177,10,0)</f>
        <v>3693620</v>
      </c>
      <c r="I154" s="671">
        <f>VLOOKUP(E154,'CNKT '!$D$114:$X$177,21,0)</f>
        <v>935507</v>
      </c>
      <c r="J154" s="671">
        <f t="shared" si="12"/>
        <v>4629127</v>
      </c>
      <c r="K154" s="671"/>
      <c r="L154" s="671">
        <f>VLOOKUP(E154,'CNKT '!$D$114:$AA$177,24,0)</f>
        <v>4629127</v>
      </c>
      <c r="M154" s="671"/>
      <c r="N154" s="673">
        <f t="shared" si="13"/>
        <v>4629127</v>
      </c>
      <c r="O154" s="821"/>
    </row>
    <row r="155" spans="1:15" s="127" customFormat="1" ht="21.75" customHeight="1">
      <c r="A155" s="1202">
        <v>125</v>
      </c>
      <c r="B155" s="241">
        <v>43</v>
      </c>
      <c r="C155" s="818" t="str">
        <f>'Chấm công KT'!C137</f>
        <v>03629</v>
      </c>
      <c r="D155" s="819"/>
      <c r="E155" s="672" t="str">
        <f>'CNKT '!D156</f>
        <v>T. Chăn La .</v>
      </c>
      <c r="F155" s="672" t="s">
        <v>28</v>
      </c>
      <c r="G155" s="671">
        <f>VLOOKUP(E155,'CNKT '!$D$114:$G$177,4,0)</f>
        <v>0</v>
      </c>
      <c r="H155" s="671">
        <f>VLOOKUP(E155,'CNKT '!$D$114:$M$177,10,0)</f>
        <v>4212473</v>
      </c>
      <c r="I155" s="671">
        <f>VLOOKUP(E155,'CNKT '!$D$114:$X$177,21,0)</f>
        <v>935507</v>
      </c>
      <c r="J155" s="671">
        <f t="shared" si="12"/>
        <v>5147980</v>
      </c>
      <c r="K155" s="671"/>
      <c r="L155" s="671">
        <f>VLOOKUP(E155,'CNKT '!$D$114:$AA$177,24,0)</f>
        <v>5147980</v>
      </c>
      <c r="M155" s="671"/>
      <c r="N155" s="673">
        <f t="shared" si="13"/>
        <v>5147980</v>
      </c>
      <c r="O155" s="821"/>
    </row>
    <row r="156" spans="1:15" s="127" customFormat="1" ht="21.75" customHeight="1">
      <c r="A156" s="1202">
        <v>126</v>
      </c>
      <c r="B156" s="241">
        <v>44</v>
      </c>
      <c r="C156" s="818" t="str">
        <f>'Chấm công KT'!C138</f>
        <v>03630</v>
      </c>
      <c r="D156" s="819"/>
      <c r="E156" s="672" t="str">
        <f>'CNKT '!D157</f>
        <v>T. Nú</v>
      </c>
      <c r="F156" s="672" t="s">
        <v>28</v>
      </c>
      <c r="G156" s="671">
        <f>VLOOKUP(E156,'CNKT '!$D$114:$G$177,4,0)</f>
        <v>0</v>
      </c>
      <c r="H156" s="671">
        <f>VLOOKUP(E156,'CNKT '!$D$114:$M$177,10,0)</f>
        <v>3727654</v>
      </c>
      <c r="I156" s="671">
        <f>VLOOKUP(E156,'CNKT '!$D$114:$X$177,21,0)</f>
        <v>935507</v>
      </c>
      <c r="J156" s="671">
        <f t="shared" si="12"/>
        <v>4663161</v>
      </c>
      <c r="K156" s="671"/>
      <c r="L156" s="671">
        <f>VLOOKUP(E156,'CNKT '!$D$114:$AA$177,24,0)</f>
        <v>4663161</v>
      </c>
      <c r="M156" s="671"/>
      <c r="N156" s="673">
        <f t="shared" si="13"/>
        <v>4663161</v>
      </c>
      <c r="O156" s="821"/>
    </row>
    <row r="157" spans="1:15" s="127" customFormat="1" ht="21.75" customHeight="1">
      <c r="A157" s="1202">
        <v>127</v>
      </c>
      <c r="B157" s="241">
        <v>45</v>
      </c>
      <c r="C157" s="818" t="str">
        <f>'Chấm công KT'!C139</f>
        <v>03631</v>
      </c>
      <c r="D157" s="819"/>
      <c r="E157" s="672" t="str">
        <f>'CNKT '!D158</f>
        <v>T. Xan Nha</v>
      </c>
      <c r="F157" s="672" t="s">
        <v>28</v>
      </c>
      <c r="G157" s="671">
        <f>VLOOKUP(E157,'CNKT '!$D$114:$G$177,4,0)</f>
        <v>0</v>
      </c>
      <c r="H157" s="671">
        <f>VLOOKUP(E157,'CNKT '!$D$114:$M$177,10,0)</f>
        <v>4146536</v>
      </c>
      <c r="I157" s="671">
        <f>VLOOKUP(E157,'CNKT '!$D$114:$X$177,21,0)</f>
        <v>935507</v>
      </c>
      <c r="J157" s="671">
        <f t="shared" si="12"/>
        <v>5082043</v>
      </c>
      <c r="K157" s="671"/>
      <c r="L157" s="671">
        <f>VLOOKUP(E157,'CNKT '!$D$114:$AA$177,24,0)</f>
        <v>5082043</v>
      </c>
      <c r="M157" s="671"/>
      <c r="N157" s="673">
        <f t="shared" si="13"/>
        <v>5082043</v>
      </c>
      <c r="O157" s="821"/>
    </row>
    <row r="158" spans="1:15" s="127" customFormat="1" ht="21.75" customHeight="1">
      <c r="A158" s="1202">
        <v>128</v>
      </c>
      <c r="B158" s="241">
        <v>46</v>
      </c>
      <c r="C158" s="818" t="str">
        <f>'Chấm công KT'!C140</f>
        <v>03632</v>
      </c>
      <c r="D158" s="819"/>
      <c r="E158" s="672" t="str">
        <f>'CNKT '!D159</f>
        <v>T. A lem</v>
      </c>
      <c r="F158" s="672" t="s">
        <v>28</v>
      </c>
      <c r="G158" s="671">
        <f>VLOOKUP(E158,'CNKT '!$D$114:$G$177,4,0)</f>
        <v>0</v>
      </c>
      <c r="H158" s="671">
        <f>VLOOKUP(E158,'CNKT '!$D$114:$M$177,10,0)</f>
        <v>3675707</v>
      </c>
      <c r="I158" s="671">
        <f>VLOOKUP(E158,'CNKT '!$D$114:$X$177,21,0)</f>
        <v>760739</v>
      </c>
      <c r="J158" s="671">
        <f t="shared" si="12"/>
        <v>4436446</v>
      </c>
      <c r="K158" s="671"/>
      <c r="L158" s="671">
        <f>VLOOKUP(E158,'CNKT '!$D$114:$AA$177,24,0)</f>
        <v>4436446</v>
      </c>
      <c r="M158" s="671"/>
      <c r="N158" s="673">
        <f t="shared" si="13"/>
        <v>4436446</v>
      </c>
      <c r="O158" s="821"/>
    </row>
    <row r="159" spans="1:15" s="127" customFormat="1" ht="21.75" customHeight="1">
      <c r="A159" s="1202">
        <v>129</v>
      </c>
      <c r="B159" s="241">
        <v>47</v>
      </c>
      <c r="C159" s="818" t="str">
        <f>'Chấm công KT'!C141</f>
        <v>04080</v>
      </c>
      <c r="D159" s="819"/>
      <c r="E159" s="672" t="str">
        <f>'CNKT '!D160</f>
        <v>T. Phan</v>
      </c>
      <c r="F159" s="672" t="s">
        <v>28</v>
      </c>
      <c r="G159" s="671">
        <f>VLOOKUP(E159,'CNKT '!$D$114:$G$177,4,0)</f>
        <v>0</v>
      </c>
      <c r="H159" s="671">
        <f>VLOOKUP(E159,'CNKT '!$D$114:$M$177,10,0)</f>
        <v>4297281</v>
      </c>
      <c r="I159" s="671">
        <f>VLOOKUP(E159,'CNKT '!$D$114:$X$177,21,0)</f>
        <v>1028007</v>
      </c>
      <c r="J159" s="671">
        <f t="shared" si="12"/>
        <v>5325288</v>
      </c>
      <c r="K159" s="671"/>
      <c r="L159" s="671">
        <f>VLOOKUP(E159,'CNKT '!$D$114:$AA$177,24,0)</f>
        <v>5325288</v>
      </c>
      <c r="M159" s="671"/>
      <c r="N159" s="673">
        <f t="shared" si="13"/>
        <v>5325288</v>
      </c>
      <c r="O159" s="821"/>
    </row>
    <row r="160" spans="1:15" s="127" customFormat="1" ht="21.75" customHeight="1">
      <c r="A160" s="1202">
        <v>130</v>
      </c>
      <c r="B160" s="241">
        <v>48</v>
      </c>
      <c r="C160" s="818" t="str">
        <f>'Chấm công KT'!C142</f>
        <v>03634</v>
      </c>
      <c r="D160" s="819"/>
      <c r="E160" s="672" t="str">
        <f>'CNKT '!D161</f>
        <v>T . Cổ</v>
      </c>
      <c r="F160" s="672" t="s">
        <v>28</v>
      </c>
      <c r="G160" s="671">
        <f>VLOOKUP(E160,'CNKT '!$D$114:$G$177,4,0)</f>
        <v>0</v>
      </c>
      <c r="H160" s="671">
        <f>VLOOKUP(E160,'CNKT '!$D$114:$M$177,10,0)</f>
        <v>4494322</v>
      </c>
      <c r="I160" s="671">
        <f>VLOOKUP(E160,'CNKT '!$D$114:$X$177,21,0)</f>
        <v>565370</v>
      </c>
      <c r="J160" s="671">
        <f t="shared" si="12"/>
        <v>5059692</v>
      </c>
      <c r="K160" s="671"/>
      <c r="L160" s="671">
        <f>VLOOKUP(E160,'CNKT '!$D$114:$AA$177,24,0)</f>
        <v>5059692</v>
      </c>
      <c r="M160" s="671"/>
      <c r="N160" s="673">
        <f t="shared" si="13"/>
        <v>5059692</v>
      </c>
      <c r="O160" s="821"/>
    </row>
    <row r="161" spans="1:15" s="127" customFormat="1" ht="21.75" customHeight="1">
      <c r="A161" s="1202">
        <v>131</v>
      </c>
      <c r="B161" s="241">
        <v>49</v>
      </c>
      <c r="C161" s="818" t="str">
        <f>'Chấm công KT'!C143</f>
        <v>03635</v>
      </c>
      <c r="D161" s="819"/>
      <c r="E161" s="672" t="str">
        <f>'CNKT '!D162</f>
        <v>N. Phim Pha</v>
      </c>
      <c r="F161" s="672" t="s">
        <v>28</v>
      </c>
      <c r="G161" s="671">
        <f>VLOOKUP(E161,'CNKT '!$D$114:$G$177,4,0)</f>
        <v>0</v>
      </c>
      <c r="H161" s="671">
        <f>VLOOKUP(E161,'CNKT '!$D$114:$M$177,10,0)</f>
        <v>3595099</v>
      </c>
      <c r="I161" s="671">
        <f>VLOOKUP(E161,'CNKT '!$D$114:$X$177,21,0)</f>
        <v>812172</v>
      </c>
      <c r="J161" s="671">
        <f t="shared" si="12"/>
        <v>4407271</v>
      </c>
      <c r="K161" s="671"/>
      <c r="L161" s="671">
        <f>VLOOKUP(E161,'CNKT '!$D$114:$AA$177,24,0)</f>
        <v>4407271</v>
      </c>
      <c r="M161" s="671"/>
      <c r="N161" s="673">
        <f t="shared" si="13"/>
        <v>4407271</v>
      </c>
      <c r="O161" s="821"/>
    </row>
    <row r="162" spans="1:15" s="127" customFormat="1" ht="21.75" customHeight="1">
      <c r="A162" s="1202">
        <v>132</v>
      </c>
      <c r="B162" s="241">
        <v>50</v>
      </c>
      <c r="C162" s="818" t="str">
        <f>'Chấm công KT'!C144</f>
        <v>03636</v>
      </c>
      <c r="D162" s="819"/>
      <c r="E162" s="672" t="str">
        <f>'CNKT '!D163</f>
        <v xml:space="preserve">T. Xeng </v>
      </c>
      <c r="F162" s="672" t="s">
        <v>28</v>
      </c>
      <c r="G162" s="671">
        <f>VLOOKUP(E162,'CNKT '!$D$114:$G$177,4,0)</f>
        <v>0</v>
      </c>
      <c r="H162" s="671">
        <f>VLOOKUP(E162,'CNKT '!$D$114:$M$177,10,0)</f>
        <v>5499199</v>
      </c>
      <c r="I162" s="671">
        <f>VLOOKUP(E162,'CNKT '!$D$114:$X$177,21,0)</f>
        <v>935507</v>
      </c>
      <c r="J162" s="671">
        <f t="shared" si="12"/>
        <v>6434706</v>
      </c>
      <c r="K162" s="671"/>
      <c r="L162" s="671">
        <f>VLOOKUP(E162,'CNKT '!$D$114:$AA$177,24,0)</f>
        <v>6434706</v>
      </c>
      <c r="M162" s="671"/>
      <c r="N162" s="673">
        <f t="shared" si="13"/>
        <v>6434706</v>
      </c>
      <c r="O162" s="821"/>
    </row>
    <row r="163" spans="1:15" s="127" customFormat="1" ht="21.75" customHeight="1">
      <c r="A163" s="1202">
        <v>133</v>
      </c>
      <c r="B163" s="241">
        <v>51</v>
      </c>
      <c r="C163" s="818" t="str">
        <f>'Chấm công KT'!C145</f>
        <v>03637</v>
      </c>
      <c r="D163" s="819"/>
      <c r="E163" s="672" t="str">
        <f>'CNKT '!D164</f>
        <v>T. Vạt</v>
      </c>
      <c r="F163" s="672" t="s">
        <v>28</v>
      </c>
      <c r="G163" s="671">
        <f>VLOOKUP(E163,'CNKT '!$D$114:$G$177,4,0)</f>
        <v>0</v>
      </c>
      <c r="H163" s="671">
        <f>VLOOKUP(E163,'CNKT '!$D$114:$M$177,10,0)</f>
        <v>3788557</v>
      </c>
      <c r="I163" s="671">
        <f>VLOOKUP(E163,'CNKT '!$D$114:$X$177,21,0)</f>
        <v>740138</v>
      </c>
      <c r="J163" s="671">
        <f t="shared" si="12"/>
        <v>4528695</v>
      </c>
      <c r="K163" s="671"/>
      <c r="L163" s="671">
        <f>VLOOKUP(E163,'CNKT '!$D$114:$AA$177,24,0)</f>
        <v>4528695</v>
      </c>
      <c r="M163" s="671"/>
      <c r="N163" s="673">
        <f t="shared" si="13"/>
        <v>4528695</v>
      </c>
      <c r="O163" s="821"/>
    </row>
    <row r="164" spans="1:15" s="127" customFormat="1" ht="21.75" customHeight="1">
      <c r="A164" s="1202">
        <v>134</v>
      </c>
      <c r="B164" s="241">
        <v>52</v>
      </c>
      <c r="C164" s="818" t="str">
        <f>'Chấm công KT'!C146</f>
        <v>03638</v>
      </c>
      <c r="D164" s="819"/>
      <c r="E164" s="672" t="str">
        <f>'CNKT '!D165</f>
        <v>T. Lay</v>
      </c>
      <c r="F164" s="672" t="s">
        <v>28</v>
      </c>
      <c r="G164" s="671">
        <f>VLOOKUP(E164,'CNKT '!$D$114:$G$177,4,0)</f>
        <v>0</v>
      </c>
      <c r="H164" s="671">
        <f>VLOOKUP(E164,'CNKT '!$D$114:$M$177,10,0)</f>
        <v>6322478</v>
      </c>
      <c r="I164" s="671">
        <f>VLOOKUP(E164,'CNKT '!$D$114:$X$177,21,0)</f>
        <v>997174</v>
      </c>
      <c r="J164" s="671">
        <f t="shared" si="12"/>
        <v>7319652</v>
      </c>
      <c r="K164" s="671"/>
      <c r="L164" s="671">
        <f>VLOOKUP(E164,'CNKT '!$D$114:$AA$177,24,0)</f>
        <v>7319652</v>
      </c>
      <c r="M164" s="671"/>
      <c r="N164" s="673">
        <f t="shared" si="13"/>
        <v>7319652</v>
      </c>
      <c r="O164" s="821"/>
    </row>
    <row r="165" spans="1:15" s="127" customFormat="1" ht="21.75" customHeight="1">
      <c r="A165" s="1202">
        <v>135</v>
      </c>
      <c r="B165" s="241">
        <v>53</v>
      </c>
      <c r="C165" s="818" t="str">
        <f>'Chấm công KT'!C147</f>
        <v>04081</v>
      </c>
      <c r="D165" s="819"/>
      <c r="E165" s="672" t="str">
        <f>'CNKT '!D166</f>
        <v>N. Nọi</v>
      </c>
      <c r="F165" s="672" t="s">
        <v>28</v>
      </c>
      <c r="G165" s="671">
        <f>VLOOKUP(E165,'CNKT '!$D$114:$G$177,4,0)</f>
        <v>0</v>
      </c>
      <c r="H165" s="671">
        <f>VLOOKUP(E165,'CNKT '!$D$114:$M$177,10,0)</f>
        <v>6062495</v>
      </c>
      <c r="I165" s="671">
        <f>VLOOKUP(E165,'CNKT '!$D$114:$X$177,21,0)</f>
        <v>997174</v>
      </c>
      <c r="J165" s="671">
        <f t="shared" si="12"/>
        <v>7059669</v>
      </c>
      <c r="K165" s="671"/>
      <c r="L165" s="671">
        <f>VLOOKUP(E165,'CNKT '!$D$114:$AA$177,24,0)</f>
        <v>7059669</v>
      </c>
      <c r="M165" s="671"/>
      <c r="N165" s="673">
        <f t="shared" si="13"/>
        <v>7059669</v>
      </c>
      <c r="O165" s="821"/>
    </row>
    <row r="166" spans="1:15" s="127" customFormat="1" ht="21.75" customHeight="1">
      <c r="A166" s="1202">
        <v>136</v>
      </c>
      <c r="B166" s="241">
        <v>54</v>
      </c>
      <c r="C166" s="818" t="str">
        <f>'Chấm công KT'!C148</f>
        <v>04082</v>
      </c>
      <c r="D166" s="819"/>
      <c r="E166" s="672" t="str">
        <f>'CNKT '!D167</f>
        <v>T Bun Xi</v>
      </c>
      <c r="F166" s="672" t="s">
        <v>28</v>
      </c>
      <c r="G166" s="671">
        <f>VLOOKUP(E166,'CNKT '!$D$114:$G$177,4,0)</f>
        <v>0</v>
      </c>
      <c r="H166" s="671">
        <f>VLOOKUP(E166,'CNKT '!$D$114:$M$177,10,0)</f>
        <v>5183965</v>
      </c>
      <c r="I166" s="671">
        <f>VLOOKUP(E166,'CNKT '!$D$114:$X$177,21,0)</f>
        <v>966340</v>
      </c>
      <c r="J166" s="671">
        <f t="shared" si="12"/>
        <v>6150305</v>
      </c>
      <c r="K166" s="671"/>
      <c r="L166" s="671">
        <f>VLOOKUP(E166,'CNKT '!$D$114:$AA$177,24,0)</f>
        <v>6150305</v>
      </c>
      <c r="M166" s="671"/>
      <c r="N166" s="673">
        <f t="shared" si="13"/>
        <v>6150305</v>
      </c>
      <c r="O166" s="821"/>
    </row>
    <row r="167" spans="1:15" s="127" customFormat="1" ht="21.75" customHeight="1">
      <c r="A167" s="1202">
        <v>137</v>
      </c>
      <c r="B167" s="241">
        <v>55</v>
      </c>
      <c r="C167" s="818" t="str">
        <f>'Chấm công KT'!C149</f>
        <v>04083</v>
      </c>
      <c r="D167" s="819"/>
      <c r="E167" s="672" t="str">
        <f>'CNKT '!D168</f>
        <v>N. Bù</v>
      </c>
      <c r="F167" s="672" t="s">
        <v>28</v>
      </c>
      <c r="G167" s="671">
        <f>VLOOKUP(E167,'CNKT '!$D$114:$G$177,4,0)</f>
        <v>0</v>
      </c>
      <c r="H167" s="671">
        <f>VLOOKUP(E167,'CNKT '!$D$114:$M$177,10,0)</f>
        <v>3888869</v>
      </c>
      <c r="I167" s="671">
        <f>VLOOKUP(E167,'CNKT '!$D$114:$X$177,21,0)</f>
        <v>884073</v>
      </c>
      <c r="J167" s="671">
        <f t="shared" si="12"/>
        <v>4772942</v>
      </c>
      <c r="K167" s="671"/>
      <c r="L167" s="671">
        <f>VLOOKUP(E167,'CNKT '!$D$114:$AA$177,24,0)</f>
        <v>4772942</v>
      </c>
      <c r="M167" s="671"/>
      <c r="N167" s="673">
        <f t="shared" si="13"/>
        <v>4772942</v>
      </c>
      <c r="O167" s="821"/>
    </row>
    <row r="168" spans="1:15" s="127" customFormat="1" ht="21.75" customHeight="1">
      <c r="A168" s="1202">
        <v>138</v>
      </c>
      <c r="B168" s="241">
        <v>56</v>
      </c>
      <c r="C168" s="818" t="str">
        <f>'Chấm công KT'!C150</f>
        <v>03642</v>
      </c>
      <c r="D168" s="819"/>
      <c r="E168" s="672" t="str">
        <f>'CNKT '!D169</f>
        <v>T. Xơn</v>
      </c>
      <c r="F168" s="672" t="s">
        <v>28</v>
      </c>
      <c r="G168" s="671">
        <f>VLOOKUP(E168,'CNKT '!$D$114:$G$177,4,0)</f>
        <v>0</v>
      </c>
      <c r="H168" s="671">
        <f>VLOOKUP(E168,'CNKT '!$D$114:$M$177,10,0)</f>
        <v>5117687</v>
      </c>
      <c r="I168" s="671">
        <f>VLOOKUP(E168,'CNKT '!$D$114:$X$177,21,0)</f>
        <v>966340</v>
      </c>
      <c r="J168" s="671">
        <f t="shared" si="12"/>
        <v>6084027</v>
      </c>
      <c r="K168" s="671"/>
      <c r="L168" s="671">
        <f>VLOOKUP(E168,'CNKT '!$D$114:$AA$177,24,0)</f>
        <v>6084027</v>
      </c>
      <c r="M168" s="671"/>
      <c r="N168" s="673">
        <f t="shared" si="13"/>
        <v>6084027</v>
      </c>
      <c r="O168" s="821"/>
    </row>
    <row r="169" spans="1:15" s="127" customFormat="1" ht="21.75" customHeight="1">
      <c r="A169" s="1202">
        <v>139</v>
      </c>
      <c r="B169" s="241">
        <v>57</v>
      </c>
      <c r="C169" s="818" t="str">
        <f>'Chấm công KT'!C151</f>
        <v>04084</v>
      </c>
      <c r="D169" s="819"/>
      <c r="E169" s="672" t="str">
        <f>'CNKT '!D170</f>
        <v>T. Thi</v>
      </c>
      <c r="F169" s="672" t="s">
        <v>28</v>
      </c>
      <c r="G169" s="671">
        <f>VLOOKUP(E169,'CNKT '!$D$114:$G$177,4,0)</f>
        <v>0</v>
      </c>
      <c r="H169" s="671">
        <f>VLOOKUP(E169,'CNKT '!$D$114:$M$177,10,0)</f>
        <v>4824751</v>
      </c>
      <c r="I169" s="671">
        <f>VLOOKUP(E169,'CNKT '!$D$114:$X$177,21,0)</f>
        <v>1028007</v>
      </c>
      <c r="J169" s="671">
        <f t="shared" si="12"/>
        <v>5852758</v>
      </c>
      <c r="K169" s="671"/>
      <c r="L169" s="671">
        <f>VLOOKUP(E169,'CNKT '!$D$114:$AA$177,24,0)</f>
        <v>5852758</v>
      </c>
      <c r="M169" s="671"/>
      <c r="N169" s="673">
        <f t="shared" si="13"/>
        <v>5852758</v>
      </c>
      <c r="O169" s="821"/>
    </row>
    <row r="170" spans="1:15" s="127" customFormat="1" ht="21.75" customHeight="1">
      <c r="A170" s="1202">
        <v>140</v>
      </c>
      <c r="B170" s="241">
        <v>58</v>
      </c>
      <c r="C170" s="818" t="str">
        <f>'Chấm công KT'!C152</f>
        <v>04085</v>
      </c>
      <c r="D170" s="819"/>
      <c r="E170" s="672" t="str">
        <f>'CNKT '!D171</f>
        <v>On chay</v>
      </c>
      <c r="F170" s="672" t="s">
        <v>28</v>
      </c>
      <c r="G170" s="671">
        <f>VLOOKUP(E170,'CNKT '!$D$114:$G$177,4,0)</f>
        <v>0</v>
      </c>
      <c r="H170" s="671">
        <f>VLOOKUP(E170,'CNKT '!$D$114:$M$177,10,0)</f>
        <v>5003725</v>
      </c>
      <c r="I170" s="671">
        <f>VLOOKUP(E170,'CNKT '!$D$114:$X$177,21,0)</f>
        <v>1028007</v>
      </c>
      <c r="J170" s="671">
        <f t="shared" si="12"/>
        <v>6031732</v>
      </c>
      <c r="K170" s="671"/>
      <c r="L170" s="671">
        <f>VLOOKUP(E170,'CNKT '!$D$114:$AA$177,24,0)</f>
        <v>6031732</v>
      </c>
      <c r="M170" s="671"/>
      <c r="N170" s="673">
        <f t="shared" si="13"/>
        <v>6031732</v>
      </c>
      <c r="O170" s="821"/>
    </row>
    <row r="171" spans="1:15" s="127" customFormat="1" ht="21.75" customHeight="1">
      <c r="A171" s="1202">
        <v>141</v>
      </c>
      <c r="B171" s="241">
        <v>59</v>
      </c>
      <c r="C171" s="818"/>
      <c r="D171" s="819"/>
      <c r="E171" s="672" t="str">
        <f>'CNKT '!D172</f>
        <v>T. Thong</v>
      </c>
      <c r="F171" s="672" t="s">
        <v>28</v>
      </c>
      <c r="G171" s="671">
        <f>VLOOKUP(E171,'CNKT '!$D$114:$G$177,4,0)</f>
        <v>0</v>
      </c>
      <c r="H171" s="671">
        <f>VLOOKUP(E171,'CNKT '!$D$114:$M$177,10,0)</f>
        <v>2705914</v>
      </c>
      <c r="I171" s="671">
        <f>VLOOKUP(E171,'CNKT '!$D$114:$X$177,21,0)</f>
        <v>966340</v>
      </c>
      <c r="J171" s="671">
        <f t="shared" ref="J171:J175" si="14">SUM(G171:I171)</f>
        <v>3672254</v>
      </c>
      <c r="K171" s="671"/>
      <c r="L171" s="671">
        <f>VLOOKUP(E171,'CNKT '!$D$114:$AA$177,24,0)</f>
        <v>3672254</v>
      </c>
      <c r="M171" s="671"/>
      <c r="N171" s="673">
        <f t="shared" ref="N171:N175" si="15">L171-K171</f>
        <v>3672254</v>
      </c>
      <c r="O171" s="821"/>
    </row>
    <row r="172" spans="1:15" s="127" customFormat="1" ht="21.75" customHeight="1">
      <c r="A172" s="1202">
        <v>142</v>
      </c>
      <c r="B172" s="241">
        <v>60</v>
      </c>
      <c r="C172" s="818"/>
      <c r="D172" s="819"/>
      <c r="E172" s="672" t="str">
        <f>'CNKT '!D173</f>
        <v>T. Khách</v>
      </c>
      <c r="F172" s="672" t="s">
        <v>28</v>
      </c>
      <c r="G172" s="671">
        <f>VLOOKUP(E172,'CNKT '!$D$114:$G$177,4,0)</f>
        <v>0</v>
      </c>
      <c r="H172" s="671">
        <f>VLOOKUP(E172,'CNKT '!$D$114:$M$177,10,0)</f>
        <v>2238791</v>
      </c>
      <c r="I172" s="671">
        <f>VLOOKUP(E172,'CNKT '!$D$114:$X$177,21,0)</f>
        <v>935507</v>
      </c>
      <c r="J172" s="671">
        <f t="shared" si="14"/>
        <v>3174298</v>
      </c>
      <c r="K172" s="671"/>
      <c r="L172" s="671">
        <f>VLOOKUP(E172,'CNKT '!$D$114:$AA$177,24,0)</f>
        <v>3174298</v>
      </c>
      <c r="M172" s="671"/>
      <c r="N172" s="673">
        <f t="shared" si="15"/>
        <v>3174298</v>
      </c>
      <c r="O172" s="821"/>
    </row>
    <row r="173" spans="1:15" s="127" customFormat="1" ht="21.75" customHeight="1">
      <c r="A173" s="1202">
        <v>143</v>
      </c>
      <c r="B173" s="241">
        <v>61</v>
      </c>
      <c r="C173" s="818"/>
      <c r="D173" s="819"/>
      <c r="E173" s="672" t="str">
        <f>'CNKT '!D174</f>
        <v>Nang On Xi</v>
      </c>
      <c r="F173" s="672" t="s">
        <v>28</v>
      </c>
      <c r="G173" s="671">
        <f>VLOOKUP(E173,'CNKT '!$D$114:$G$177,4,0)</f>
        <v>0</v>
      </c>
      <c r="H173" s="671">
        <f>VLOOKUP(E173,'CNKT '!$D$114:$M$177,10,0)</f>
        <v>881588</v>
      </c>
      <c r="I173" s="671">
        <f>VLOOKUP(E173,'CNKT '!$D$114:$X$177,21,0)</f>
        <v>596338</v>
      </c>
      <c r="J173" s="671">
        <f t="shared" si="14"/>
        <v>1477926</v>
      </c>
      <c r="K173" s="671"/>
      <c r="L173" s="671">
        <f>VLOOKUP(E173,'CNKT '!$D$114:$AA$177,24,0)</f>
        <v>1477926</v>
      </c>
      <c r="M173" s="671"/>
      <c r="N173" s="673">
        <f t="shared" si="15"/>
        <v>1477926</v>
      </c>
      <c r="O173" s="821"/>
    </row>
    <row r="174" spans="1:15" s="127" customFormat="1" ht="21.75" customHeight="1">
      <c r="A174" s="1202">
        <v>144</v>
      </c>
      <c r="B174" s="241">
        <v>62</v>
      </c>
      <c r="C174" s="818"/>
      <c r="D174" s="819"/>
      <c r="E174" s="672" t="str">
        <f>'CNKT '!D175</f>
        <v>Thảo Túc</v>
      </c>
      <c r="F174" s="672" t="s">
        <v>28</v>
      </c>
      <c r="G174" s="671">
        <f>VLOOKUP(E174,'CNKT '!$D$114:$G$177,4,0)</f>
        <v>0</v>
      </c>
      <c r="H174" s="671">
        <f>VLOOKUP(E174,'CNKT '!$D$114:$M$177,10,0)</f>
        <v>200438</v>
      </c>
      <c r="I174" s="671">
        <f>VLOOKUP(E174,'CNKT '!$D$114:$X$177,21,0)</f>
        <v>164535</v>
      </c>
      <c r="J174" s="671">
        <f t="shared" si="14"/>
        <v>364973</v>
      </c>
      <c r="K174" s="671"/>
      <c r="L174" s="671">
        <f>VLOOKUP(E174,'CNKT '!$D$114:$AA$177,24,0)</f>
        <v>364973</v>
      </c>
      <c r="M174" s="671"/>
      <c r="N174" s="673">
        <f t="shared" si="15"/>
        <v>364973</v>
      </c>
      <c r="O174" s="821"/>
    </row>
    <row r="175" spans="1:15" s="127" customFormat="1" ht="21.75" hidden="1" customHeight="1">
      <c r="A175" s="1202">
        <v>145</v>
      </c>
      <c r="B175" s="241">
        <v>63</v>
      </c>
      <c r="C175" s="818"/>
      <c r="D175" s="819"/>
      <c r="E175" s="672" t="str">
        <f>'CNKT '!D176</f>
        <v>Mủ Xi Rum</v>
      </c>
      <c r="F175" s="672" t="s">
        <v>371</v>
      </c>
      <c r="G175" s="671">
        <f>VLOOKUP(E175,'CNKT '!$D$114:$G$177,4,0)</f>
        <v>0</v>
      </c>
      <c r="H175" s="671">
        <f>VLOOKUP(E175,'CNKT '!$D$114:$M$177,10,0)</f>
        <v>0</v>
      </c>
      <c r="I175" s="671">
        <f>VLOOKUP(E175,'CNKT '!$D$114:$X$177,21,0)</f>
        <v>0</v>
      </c>
      <c r="J175" s="671">
        <f t="shared" si="14"/>
        <v>0</v>
      </c>
      <c r="K175" s="671"/>
      <c r="L175" s="671">
        <f>VLOOKUP(E175,'CNKT '!$D$114:$AA$177,24,0)</f>
        <v>0</v>
      </c>
      <c r="M175" s="671"/>
      <c r="N175" s="673">
        <f t="shared" si="15"/>
        <v>0</v>
      </c>
      <c r="O175" s="821"/>
    </row>
    <row r="176" spans="1:15" s="127" customFormat="1" ht="21.75" hidden="1" customHeight="1">
      <c r="A176" s="1202">
        <v>146</v>
      </c>
      <c r="B176" s="241">
        <v>59</v>
      </c>
      <c r="C176" s="818"/>
      <c r="D176" s="819"/>
      <c r="E176" s="672" t="str">
        <f>'CNKT '!D177</f>
        <v>Mon (3)</v>
      </c>
      <c r="F176" s="672" t="s">
        <v>371</v>
      </c>
      <c r="G176" s="671">
        <f>VLOOKUP(E176,'CNKT '!$D$114:$G$177,4,0)</f>
        <v>0</v>
      </c>
      <c r="H176" s="671">
        <f>VLOOKUP(E176,'CNKT '!$D$114:$M$177,10,0)</f>
        <v>0</v>
      </c>
      <c r="I176" s="671">
        <f>VLOOKUP(E176,'CNKT '!$D$114:$X$177,21,0)</f>
        <v>0</v>
      </c>
      <c r="J176" s="671">
        <f t="shared" ref="J176:J177" si="16">SUM(G176:I176)</f>
        <v>0</v>
      </c>
      <c r="K176" s="671"/>
      <c r="L176" s="671">
        <f>VLOOKUP(E176,'CNKT '!$D$114:$AA$177,24,0)</f>
        <v>0</v>
      </c>
      <c r="M176" s="671"/>
      <c r="N176" s="673">
        <f t="shared" ref="N176:N177" si="17">L176-K176</f>
        <v>0</v>
      </c>
      <c r="O176" s="821"/>
    </row>
    <row r="177" spans="1:18" s="127" customFormat="1" ht="21.75" customHeight="1">
      <c r="A177" s="1202">
        <v>145</v>
      </c>
      <c r="B177" s="241">
        <v>63</v>
      </c>
      <c r="C177" s="818"/>
      <c r="D177" s="819"/>
      <c r="E177" s="672" t="str">
        <f>'CNKT '!D178</f>
        <v>T. Huân</v>
      </c>
      <c r="F177" s="672" t="s">
        <v>371</v>
      </c>
      <c r="G177" s="671">
        <f>VLOOKUP(E177,'CNKT '!$D$114:$G$178,4,0)</f>
        <v>0</v>
      </c>
      <c r="H177" s="671">
        <f>VLOOKUP(E177,'CNKT '!$D$114:$M$178,10,0)</f>
        <v>0</v>
      </c>
      <c r="I177" s="671">
        <f>VLOOKUP(E177,'CNKT '!$D$114:$X$178,21,0)</f>
        <v>0</v>
      </c>
      <c r="J177" s="671">
        <f t="shared" si="16"/>
        <v>0</v>
      </c>
      <c r="K177" s="671"/>
      <c r="L177" s="671">
        <f>VLOOKUP(E177,'CNKT '!$D$114:$AA$178,24,0)</f>
        <v>0</v>
      </c>
      <c r="M177" s="671"/>
      <c r="N177" s="673">
        <f t="shared" si="17"/>
        <v>0</v>
      </c>
      <c r="O177" s="821"/>
    </row>
    <row r="178" spans="1:18" s="126" customFormat="1" ht="21.75" customHeight="1">
      <c r="A178" s="1203"/>
      <c r="B178" s="1534" t="s">
        <v>421</v>
      </c>
      <c r="C178" s="1534"/>
      <c r="D178" s="1534"/>
      <c r="E178" s="1534"/>
      <c r="F178" s="1534"/>
      <c r="G178" s="817">
        <f t="shared" ref="G178:N178" si="18">SUM(G179:G181)</f>
        <v>6000000.0000000009</v>
      </c>
      <c r="H178" s="817">
        <f t="shared" si="18"/>
        <v>0</v>
      </c>
      <c r="I178" s="817">
        <f t="shared" si="18"/>
        <v>1800000</v>
      </c>
      <c r="J178" s="817">
        <f t="shared" si="18"/>
        <v>7800000</v>
      </c>
      <c r="K178" s="817">
        <f t="shared" si="18"/>
        <v>65000</v>
      </c>
      <c r="L178" s="817">
        <f t="shared" si="18"/>
        <v>7735000</v>
      </c>
      <c r="M178" s="817">
        <f t="shared" si="18"/>
        <v>0</v>
      </c>
      <c r="N178" s="817">
        <f t="shared" si="18"/>
        <v>7735000</v>
      </c>
      <c r="O178" s="823"/>
      <c r="P178" s="125"/>
      <c r="Q178" s="128"/>
    </row>
    <row r="179" spans="1:18" s="126" customFormat="1" ht="26.25" customHeight="1">
      <c r="A179" s="1204">
        <v>146</v>
      </c>
      <c r="B179" s="313">
        <v>2</v>
      </c>
      <c r="C179" s="361"/>
      <c r="D179" s="819"/>
      <c r="E179" s="290" t="str">
        <f>'Lương bảo vệ '!B13</f>
        <v>N. Tinh</v>
      </c>
      <c r="F179" s="290" t="str">
        <f>'Lương bảo vệ '!C13</f>
        <v>Bảo vệ (T1)</v>
      </c>
      <c r="G179" s="254">
        <f>'Lương bảo vệ '!G13</f>
        <v>2000000.0000000002</v>
      </c>
      <c r="H179" s="671"/>
      <c r="I179" s="671">
        <f>'Lương bảo vệ '!H13</f>
        <v>600000</v>
      </c>
      <c r="J179" s="822">
        <f>G179+I179</f>
        <v>2600000</v>
      </c>
      <c r="K179" s="671"/>
      <c r="L179" s="822">
        <f>J179</f>
        <v>2600000</v>
      </c>
      <c r="M179" s="254"/>
      <c r="N179" s="673">
        <f>L179</f>
        <v>2600000</v>
      </c>
      <c r="O179" s="823"/>
      <c r="P179" s="125"/>
      <c r="Q179" s="128"/>
    </row>
    <row r="180" spans="1:18" s="126" customFormat="1" ht="26.25" customHeight="1">
      <c r="A180" s="1204">
        <v>147</v>
      </c>
      <c r="B180" s="313">
        <v>3</v>
      </c>
      <c r="C180" s="361"/>
      <c r="D180" s="819"/>
      <c r="E180" s="290" t="str">
        <f>'Lương bảo vệ '!B14</f>
        <v>Đô La</v>
      </c>
      <c r="F180" s="290" t="str">
        <f>'Lương bảo vệ '!C14</f>
        <v>Bảo vệ (T2)</v>
      </c>
      <c r="G180" s="254">
        <f>'Lương bảo vệ '!G14</f>
        <v>2000000.0000000002</v>
      </c>
      <c r="H180" s="671"/>
      <c r="I180" s="671">
        <f>'Lương bảo vệ '!H14</f>
        <v>600000</v>
      </c>
      <c r="J180" s="822">
        <f t="shared" ref="J180:J181" si="19">G180+I180</f>
        <v>2600000</v>
      </c>
      <c r="K180" s="671"/>
      <c r="L180" s="822">
        <f>J180</f>
        <v>2600000</v>
      </c>
      <c r="M180" s="254"/>
      <c r="N180" s="673">
        <f t="shared" ref="N180:N181" si="20">L180</f>
        <v>2600000</v>
      </c>
      <c r="O180" s="823"/>
      <c r="P180" s="125"/>
      <c r="Q180" s="128"/>
    </row>
    <row r="181" spans="1:18" s="126" customFormat="1" ht="26.25" customHeight="1">
      <c r="A181" s="1204">
        <v>148</v>
      </c>
      <c r="B181" s="313">
        <v>4</v>
      </c>
      <c r="C181" s="361"/>
      <c r="D181" s="819"/>
      <c r="E181" s="290" t="str">
        <f>'Lương bảo vệ '!B15</f>
        <v xml:space="preserve">Thảo Mét </v>
      </c>
      <c r="F181" s="290" t="str">
        <f>'Lương bảo vệ '!C15</f>
        <v>Bảo vệ (VP)</v>
      </c>
      <c r="G181" s="254">
        <f>'Lương bảo vệ '!G15</f>
        <v>2000000.0000000002</v>
      </c>
      <c r="H181" s="671"/>
      <c r="I181" s="671">
        <f>'Lương bảo vệ '!H15</f>
        <v>600000</v>
      </c>
      <c r="J181" s="822">
        <f t="shared" si="19"/>
        <v>2600000</v>
      </c>
      <c r="K181" s="671">
        <f>'Lương bảo vệ '!J15</f>
        <v>65000</v>
      </c>
      <c r="L181" s="822">
        <f>J181-K181</f>
        <v>2535000</v>
      </c>
      <c r="M181" s="254"/>
      <c r="N181" s="673">
        <f t="shared" si="20"/>
        <v>2535000</v>
      </c>
      <c r="O181" s="823"/>
      <c r="P181" s="125"/>
      <c r="Q181" s="128"/>
    </row>
    <row r="182" spans="1:18" s="126" customFormat="1" ht="21.6" customHeight="1">
      <c r="A182" s="1203"/>
      <c r="B182" s="1534" t="s">
        <v>456</v>
      </c>
      <c r="C182" s="1534"/>
      <c r="D182" s="1534"/>
      <c r="E182" s="1534"/>
      <c r="F182" s="1534"/>
      <c r="G182" s="817">
        <f t="shared" ref="G182:N182" si="21">SUM(G183:G185)</f>
        <v>15248727.53149523</v>
      </c>
      <c r="H182" s="817">
        <f t="shared" si="21"/>
        <v>0</v>
      </c>
      <c r="I182" s="817">
        <f t="shared" si="21"/>
        <v>0</v>
      </c>
      <c r="J182" s="817">
        <f t="shared" si="21"/>
        <v>15248727.53149523</v>
      </c>
      <c r="K182" s="817">
        <f t="shared" si="21"/>
        <v>729872.75314952305</v>
      </c>
      <c r="L182" s="817">
        <f t="shared" si="21"/>
        <v>14518854.778345708</v>
      </c>
      <c r="M182" s="817">
        <f t="shared" si="21"/>
        <v>0</v>
      </c>
      <c r="N182" s="817">
        <f t="shared" si="21"/>
        <v>14518854.778345708</v>
      </c>
      <c r="O182" s="823"/>
      <c r="P182" s="125"/>
      <c r="Q182" s="128"/>
    </row>
    <row r="183" spans="1:18" s="126" customFormat="1" ht="26.25" customHeight="1">
      <c r="A183" s="1204">
        <v>149</v>
      </c>
      <c r="B183" s="313">
        <v>1</v>
      </c>
      <c r="C183" s="361"/>
      <c r="D183" s="819"/>
      <c r="E183" s="290" t="str">
        <f>'lương gián tiếp'!B13</f>
        <v>Thảo Văn Vông</v>
      </c>
      <c r="F183" s="290" t="s">
        <v>452</v>
      </c>
      <c r="G183" s="254">
        <f>VLOOKUP(E183,'lương gián tiếp'!B13:G14,6,0)</f>
        <v>6438728.2097560987</v>
      </c>
      <c r="H183" s="671"/>
      <c r="I183" s="671"/>
      <c r="J183" s="822">
        <f>VLOOKUP(E183,'lương gián tiếp'!B13:G13,6,0)</f>
        <v>6438728.2097560987</v>
      </c>
      <c r="K183" s="671">
        <f>VLOOKUP(E183,'lương gián tiếp'!B13:H14,7,0)</f>
        <v>328872.82097560988</v>
      </c>
      <c r="L183" s="822">
        <f>J183-K183</f>
        <v>6109855.3887804886</v>
      </c>
      <c r="M183" s="254"/>
      <c r="N183" s="673">
        <f>L183</f>
        <v>6109855.3887804886</v>
      </c>
      <c r="O183" s="823"/>
      <c r="P183" s="125"/>
      <c r="Q183" s="128"/>
    </row>
    <row r="184" spans="1:18" s="126" customFormat="1" ht="26.25" customHeight="1">
      <c r="A184" s="1204">
        <v>150</v>
      </c>
      <c r="B184" s="313">
        <v>3</v>
      </c>
      <c r="C184" s="361"/>
      <c r="D184" s="819"/>
      <c r="E184" s="290" t="str">
        <f>'lương gián tiếp'!B14</f>
        <v>Thảo Phôn Chay</v>
      </c>
      <c r="F184" s="290" t="s">
        <v>452</v>
      </c>
      <c r="G184" s="254">
        <f>VLOOKUP(E184,'lương gián tiếp'!B14:G14,6,0)</f>
        <v>6809999.3217391316</v>
      </c>
      <c r="H184" s="671"/>
      <c r="I184" s="671"/>
      <c r="J184" s="822">
        <f>VLOOKUP(E184,'lương gián tiếp'!B14:G14,6,0)</f>
        <v>6809999.3217391316</v>
      </c>
      <c r="K184" s="671">
        <f>VLOOKUP(E184,'lương gián tiếp'!B14:H14,7,0)</f>
        <v>365999.93217391317</v>
      </c>
      <c r="L184" s="822">
        <f t="shared" ref="L184" si="22">J184-K184</f>
        <v>6443999.3895652182</v>
      </c>
      <c r="M184" s="254"/>
      <c r="N184" s="673">
        <f t="shared" ref="N184:N185" si="23">L184</f>
        <v>6443999.3895652182</v>
      </c>
      <c r="O184" s="823"/>
      <c r="P184" s="125"/>
      <c r="Q184" s="128"/>
    </row>
    <row r="185" spans="1:18" s="126" customFormat="1" ht="26.25" customHeight="1">
      <c r="A185" s="1204">
        <v>151</v>
      </c>
      <c r="B185" s="313">
        <v>6</v>
      </c>
      <c r="C185" s="361"/>
      <c r="D185" s="819"/>
      <c r="E185" s="290" t="str">
        <f>'lương gián tiếp'!B16</f>
        <v>N. Nhung  ( VP)</v>
      </c>
      <c r="F185" s="290" t="s">
        <v>173</v>
      </c>
      <c r="G185" s="254">
        <f>'lương gián tiếp'!E16</f>
        <v>2000000.0000000002</v>
      </c>
      <c r="H185" s="671"/>
      <c r="I185" s="671"/>
      <c r="J185" s="822">
        <f>G185</f>
        <v>2000000.0000000002</v>
      </c>
      <c r="K185" s="671">
        <f>'lương gián tiếp'!H16</f>
        <v>35000.000000000015</v>
      </c>
      <c r="L185" s="822">
        <f t="shared" ref="L185" si="24">J185-K185</f>
        <v>1965000.0000000002</v>
      </c>
      <c r="M185" s="254"/>
      <c r="N185" s="673">
        <f t="shared" si="23"/>
        <v>1965000.0000000002</v>
      </c>
      <c r="O185" s="823"/>
      <c r="P185" s="125"/>
      <c r="Q185" s="128"/>
    </row>
    <row r="186" spans="1:18" s="126" customFormat="1" ht="26.25" customHeight="1">
      <c r="A186" s="1203"/>
      <c r="B186" s="1521" t="s">
        <v>290</v>
      </c>
      <c r="C186" s="1521"/>
      <c r="D186" s="1521"/>
      <c r="E186" s="1521"/>
      <c r="F186" s="1521"/>
      <c r="G186" s="817">
        <f t="shared" ref="G186:N186" si="25">G13+G112</f>
        <v>0</v>
      </c>
      <c r="H186" s="817">
        <f t="shared" si="25"/>
        <v>607849756</v>
      </c>
      <c r="I186" s="817">
        <f t="shared" si="25"/>
        <v>125911822</v>
      </c>
      <c r="J186" s="817">
        <f t="shared" si="25"/>
        <v>733761578</v>
      </c>
      <c r="K186" s="817">
        <f t="shared" si="25"/>
        <v>0</v>
      </c>
      <c r="L186" s="817">
        <f t="shared" si="25"/>
        <v>733761578</v>
      </c>
      <c r="M186" s="817">
        <f t="shared" si="25"/>
        <v>0</v>
      </c>
      <c r="N186" s="817">
        <f t="shared" si="25"/>
        <v>733761578</v>
      </c>
      <c r="O186" s="824"/>
      <c r="P186" s="130" t="e">
        <f>N13+#REF!+N112+#REF!</f>
        <v>#REF!</v>
      </c>
    </row>
    <row r="187" spans="1:18" s="126" customFormat="1" ht="29.25" customHeight="1">
      <c r="A187" s="1203"/>
      <c r="B187" s="1532" t="s">
        <v>846</v>
      </c>
      <c r="C187" s="1520"/>
      <c r="D187" s="1520"/>
      <c r="E187" s="1520"/>
      <c r="F187" s="1520"/>
      <c r="G187" s="817">
        <f t="shared" ref="G187:N187" si="26">G178</f>
        <v>6000000.0000000009</v>
      </c>
      <c r="H187" s="817">
        <f t="shared" si="26"/>
        <v>0</v>
      </c>
      <c r="I187" s="817">
        <f t="shared" si="26"/>
        <v>1800000</v>
      </c>
      <c r="J187" s="817">
        <f t="shared" si="26"/>
        <v>7800000</v>
      </c>
      <c r="K187" s="817">
        <f t="shared" si="26"/>
        <v>65000</v>
      </c>
      <c r="L187" s="817">
        <f t="shared" si="26"/>
        <v>7735000</v>
      </c>
      <c r="M187" s="817">
        <f t="shared" si="26"/>
        <v>0</v>
      </c>
      <c r="N187" s="817">
        <f t="shared" si="26"/>
        <v>7735000</v>
      </c>
      <c r="O187" s="824"/>
      <c r="P187" s="130"/>
    </row>
    <row r="188" spans="1:18" s="126" customFormat="1" ht="21.75" customHeight="1">
      <c r="A188" s="1203"/>
      <c r="B188" s="1534" t="s">
        <v>847</v>
      </c>
      <c r="C188" s="1534"/>
      <c r="D188" s="1534"/>
      <c r="E188" s="1534"/>
      <c r="F188" s="1534"/>
      <c r="G188" s="817">
        <f t="shared" ref="G188:N188" si="27">G182</f>
        <v>15248727.53149523</v>
      </c>
      <c r="H188" s="817">
        <f t="shared" si="27"/>
        <v>0</v>
      </c>
      <c r="I188" s="817">
        <f t="shared" si="27"/>
        <v>0</v>
      </c>
      <c r="J188" s="817">
        <f t="shared" si="27"/>
        <v>15248727.53149523</v>
      </c>
      <c r="K188" s="817">
        <f t="shared" si="27"/>
        <v>729872.75314952305</v>
      </c>
      <c r="L188" s="817">
        <f t="shared" si="27"/>
        <v>14518854.778345708</v>
      </c>
      <c r="M188" s="817">
        <f t="shared" si="27"/>
        <v>0</v>
      </c>
      <c r="N188" s="817">
        <f t="shared" si="27"/>
        <v>14518854.778345708</v>
      </c>
      <c r="O188" s="824"/>
      <c r="P188" s="130"/>
    </row>
    <row r="189" spans="1:18" s="126" customFormat="1" ht="21.75" customHeight="1">
      <c r="A189" s="1203"/>
      <c r="B189" s="1520" t="s">
        <v>848</v>
      </c>
      <c r="C189" s="1520"/>
      <c r="D189" s="1520"/>
      <c r="E189" s="1520"/>
      <c r="F189" s="1520"/>
      <c r="G189" s="817">
        <f t="shared" ref="G189:N189" si="28">SUM(G186:G188)</f>
        <v>21248727.531495232</v>
      </c>
      <c r="H189" s="817">
        <f t="shared" si="28"/>
        <v>607849756</v>
      </c>
      <c r="I189" s="817">
        <f t="shared" si="28"/>
        <v>127711822</v>
      </c>
      <c r="J189" s="825">
        <f>SUM(J186:J188)</f>
        <v>756810305.53149521</v>
      </c>
      <c r="K189" s="817">
        <f t="shared" si="28"/>
        <v>794872.75314952305</v>
      </c>
      <c r="L189" s="817">
        <f t="shared" si="28"/>
        <v>756015432.7783457</v>
      </c>
      <c r="M189" s="817">
        <f t="shared" si="28"/>
        <v>0</v>
      </c>
      <c r="N189" s="817">
        <f t="shared" si="28"/>
        <v>756015432.7783457</v>
      </c>
      <c r="O189" s="826"/>
      <c r="P189" s="125">
        <v>2398773484</v>
      </c>
      <c r="Q189" s="128"/>
    </row>
    <row r="190" spans="1:18" s="126" customFormat="1" ht="21.75" customHeight="1">
      <c r="A190" s="1203"/>
      <c r="B190" s="1522" t="s">
        <v>864</v>
      </c>
      <c r="C190" s="1522"/>
      <c r="D190" s="1522"/>
      <c r="E190" s="1522"/>
      <c r="F190" s="1522"/>
      <c r="G190" s="1522"/>
      <c r="H190" s="1522"/>
      <c r="I190" s="1522"/>
      <c r="J190" s="1522"/>
      <c r="K190" s="1522"/>
      <c r="L190" s="1522"/>
      <c r="M190" s="1522"/>
      <c r="N190" s="1522"/>
      <c r="O190" s="1522"/>
      <c r="P190" s="125"/>
      <c r="Q190" s="128"/>
    </row>
    <row r="191" spans="1:18" ht="16.5">
      <c r="B191" s="863"/>
      <c r="C191" s="780"/>
      <c r="D191" s="155"/>
      <c r="E191" s="155"/>
      <c r="F191" s="155"/>
      <c r="G191" s="162"/>
      <c r="H191" s="155"/>
      <c r="I191" s="155"/>
      <c r="J191" s="1530" t="s">
        <v>607</v>
      </c>
      <c r="K191" s="1530"/>
      <c r="L191" s="1530"/>
      <c r="M191" s="1530"/>
      <c r="N191" s="1530"/>
      <c r="O191" s="1530"/>
      <c r="P191" s="48"/>
      <c r="R191" s="50"/>
    </row>
    <row r="192" spans="1:18" s="42" customFormat="1" ht="16.5">
      <c r="B192" s="864"/>
      <c r="C192" s="236"/>
      <c r="D192" s="236"/>
      <c r="E192" s="236"/>
      <c r="F192" s="236"/>
      <c r="G192" s="236"/>
      <c r="H192" s="236"/>
      <c r="I192" s="236"/>
      <c r="J192" s="236"/>
      <c r="K192" s="236"/>
      <c r="L192" s="236"/>
      <c r="M192" s="236"/>
      <c r="N192" s="864"/>
      <c r="O192" s="236"/>
      <c r="P192" s="50"/>
      <c r="Q192" s="132"/>
    </row>
    <row r="193" spans="2:17" s="42" customFormat="1" ht="16.5">
      <c r="B193" s="659"/>
      <c r="C193" s="991" t="s">
        <v>31</v>
      </c>
      <c r="D193" s="991"/>
      <c r="E193" s="991"/>
      <c r="F193" s="1531" t="s">
        <v>30</v>
      </c>
      <c r="G193" s="1531"/>
      <c r="H193" s="1531" t="s">
        <v>29</v>
      </c>
      <c r="I193" s="1531"/>
      <c r="J193" s="1531" t="s">
        <v>608</v>
      </c>
      <c r="K193" s="1531"/>
      <c r="L193" s="1531" t="s">
        <v>609</v>
      </c>
      <c r="M193" s="1531"/>
      <c r="N193" s="1531"/>
      <c r="O193" s="1531"/>
      <c r="P193" s="49"/>
      <c r="Q193" s="132"/>
    </row>
    <row r="194" spans="2:17" s="42" customFormat="1" ht="16.5">
      <c r="B194" s="864"/>
      <c r="C194" s="827"/>
      <c r="D194" s="236"/>
      <c r="E194" s="864"/>
      <c r="F194" s="864"/>
      <c r="G194" s="867"/>
      <c r="H194" s="828"/>
      <c r="I194" s="828"/>
      <c r="J194" s="829"/>
      <c r="K194" s="864"/>
      <c r="L194" s="864"/>
      <c r="M194" s="864"/>
      <c r="N194" s="830"/>
      <c r="O194" s="864"/>
      <c r="P194" s="2"/>
    </row>
    <row r="195" spans="2:17" ht="16.5">
      <c r="B195" s="863"/>
      <c r="C195" s="780"/>
      <c r="D195" s="155"/>
      <c r="E195" s="155"/>
      <c r="F195" s="155"/>
      <c r="G195" s="157"/>
      <c r="H195" s="157"/>
      <c r="I195" s="157"/>
      <c r="J195" s="157"/>
      <c r="K195" s="157"/>
      <c r="L195" s="157"/>
      <c r="M195" s="157"/>
      <c r="N195" s="157"/>
      <c r="O195" s="831"/>
      <c r="P195" s="50"/>
    </row>
    <row r="196" spans="2:17" ht="16.5">
      <c r="B196" s="863"/>
      <c r="C196" s="780"/>
      <c r="D196" s="155"/>
      <c r="E196" s="155"/>
      <c r="F196" s="155"/>
      <c r="G196" s="157"/>
      <c r="H196" s="157"/>
      <c r="I196" s="157"/>
      <c r="J196" s="157"/>
      <c r="K196" s="157"/>
      <c r="L196" s="157"/>
      <c r="M196" s="157"/>
      <c r="N196" s="157"/>
      <c r="O196" s="831"/>
      <c r="P196" s="50"/>
    </row>
    <row r="197" spans="2:17" ht="16.5">
      <c r="B197" s="863"/>
      <c r="C197" s="780"/>
      <c r="D197" s="155"/>
      <c r="E197" s="155"/>
      <c r="F197" s="155"/>
      <c r="G197" s="157"/>
      <c r="H197" s="157"/>
      <c r="I197" s="157"/>
      <c r="J197" s="157"/>
      <c r="K197" s="157"/>
      <c r="L197" s="157"/>
      <c r="M197" s="157"/>
      <c r="N197" s="157"/>
      <c r="O197" s="831"/>
      <c r="P197" s="50"/>
    </row>
    <row r="198" spans="2:17" ht="16.5">
      <c r="B198" s="863"/>
      <c r="C198" s="780"/>
      <c r="D198" s="155"/>
      <c r="E198" s="155"/>
      <c r="F198" s="155"/>
      <c r="G198" s="865"/>
      <c r="H198" s="865"/>
      <c r="I198" s="832"/>
      <c r="J198" s="832"/>
      <c r="K198" s="865"/>
      <c r="L198" s="865"/>
      <c r="M198" s="865"/>
      <c r="N198" s="865"/>
      <c r="O198" s="155"/>
    </row>
    <row r="199" spans="2:17" ht="16.5">
      <c r="B199" s="863"/>
      <c r="C199" s="1507"/>
      <c r="D199" s="1507"/>
      <c r="E199" s="1507"/>
      <c r="F199" s="236"/>
      <c r="G199" s="1529"/>
      <c r="H199" s="1529"/>
      <c r="I199" s="830"/>
      <c r="J199" s="236"/>
      <c r="K199" s="684"/>
      <c r="L199" s="236"/>
      <c r="M199" s="236"/>
      <c r="N199" s="864"/>
      <c r="O199" s="155"/>
    </row>
    <row r="200" spans="2:17" ht="16.5">
      <c r="B200" s="863"/>
      <c r="C200" s="2"/>
      <c r="D200" s="2"/>
      <c r="G200" s="2"/>
      <c r="O200" s="2"/>
      <c r="P200" s="49"/>
    </row>
    <row r="201" spans="2:17" ht="16.5">
      <c r="B201" s="863"/>
      <c r="C201" s="780"/>
      <c r="D201" s="155"/>
      <c r="E201" s="155"/>
      <c r="F201" s="155"/>
      <c r="G201" s="162"/>
      <c r="H201" s="833"/>
      <c r="I201" s="834"/>
      <c r="J201" s="155"/>
      <c r="K201" s="162"/>
      <c r="L201" s="155"/>
      <c r="M201" s="155"/>
      <c r="N201" s="155"/>
      <c r="O201" s="155"/>
    </row>
    <row r="202" spans="2:17" ht="16.5">
      <c r="B202" s="863"/>
      <c r="C202" s="780"/>
      <c r="D202" s="155"/>
      <c r="E202" s="155"/>
      <c r="F202" s="155"/>
      <c r="G202" s="835"/>
      <c r="H202" s="836"/>
      <c r="I202" s="836"/>
      <c r="J202" s="446"/>
      <c r="K202" s="1527"/>
      <c r="L202" s="1527"/>
      <c r="M202" s="155"/>
      <c r="N202" s="157"/>
      <c r="O202" s="155"/>
    </row>
    <row r="203" spans="2:17">
      <c r="G203" s="869"/>
      <c r="H203" s="1395"/>
      <c r="I203" s="1395"/>
      <c r="J203" s="48"/>
      <c r="L203" s="49"/>
      <c r="P203" s="50" t="e">
        <f>+J189-#REF!</f>
        <v>#REF!</v>
      </c>
      <c r="Q203" s="50">
        <f>+J189-K189</f>
        <v>756015432.7783457</v>
      </c>
    </row>
    <row r="204" spans="2:17">
      <c r="G204" s="869"/>
      <c r="H204" s="1528"/>
      <c r="I204" s="1526"/>
      <c r="J204" s="870"/>
      <c r="K204" s="870"/>
    </row>
    <row r="205" spans="2:17" ht="18.75">
      <c r="G205" s="868"/>
      <c r="H205" s="1523"/>
      <c r="I205" s="1524"/>
      <c r="J205" s="86"/>
      <c r="K205" s="48"/>
      <c r="L205" s="44"/>
    </row>
    <row r="206" spans="2:17">
      <c r="H206" s="1525"/>
      <c r="I206" s="1526"/>
      <c r="J206" s="50"/>
      <c r="L206" s="48"/>
    </row>
    <row r="207" spans="2:17">
      <c r="I207" s="49"/>
      <c r="J207" s="86"/>
      <c r="L207" s="85"/>
    </row>
    <row r="208" spans="2:17">
      <c r="I208" s="50"/>
      <c r="J208" s="50"/>
      <c r="K208" s="48"/>
      <c r="L208" s="48"/>
      <c r="N208" s="869"/>
    </row>
    <row r="209" spans="7:14">
      <c r="I209" s="86"/>
      <c r="J209" s="49"/>
      <c r="N209" s="47"/>
    </row>
    <row r="210" spans="7:14">
      <c r="G210" s="869"/>
      <c r="L210" s="50"/>
      <c r="N210" s="49"/>
    </row>
    <row r="211" spans="7:14">
      <c r="G211" s="869"/>
      <c r="H211" s="49"/>
      <c r="L211" s="50"/>
      <c r="N211" s="49"/>
    </row>
    <row r="212" spans="7:14">
      <c r="G212" s="869"/>
      <c r="I212" s="48"/>
      <c r="M212" s="49"/>
    </row>
    <row r="213" spans="7:14">
      <c r="N213" s="202"/>
    </row>
    <row r="220" spans="7:14">
      <c r="G220" s="47" t="s">
        <v>167</v>
      </c>
    </row>
  </sheetData>
  <mergeCells count="38">
    <mergeCell ref="B1:O1"/>
    <mergeCell ref="B2:O2"/>
    <mergeCell ref="B13:E13"/>
    <mergeCell ref="B5:J5"/>
    <mergeCell ref="B6:J6"/>
    <mergeCell ref="B3:O3"/>
    <mergeCell ref="B8:O8"/>
    <mergeCell ref="F11:F12"/>
    <mergeCell ref="G11:I11"/>
    <mergeCell ref="J11:J12"/>
    <mergeCell ref="O11:O12"/>
    <mergeCell ref="N11:N12"/>
    <mergeCell ref="K11:K12"/>
    <mergeCell ref="L11:L12"/>
    <mergeCell ref="M11:M12"/>
    <mergeCell ref="A112:F112"/>
    <mergeCell ref="B188:F188"/>
    <mergeCell ref="B182:F182"/>
    <mergeCell ref="B178:F178"/>
    <mergeCell ref="A11:B12"/>
    <mergeCell ref="C11:C12"/>
    <mergeCell ref="D11:E11"/>
    <mergeCell ref="B189:F189"/>
    <mergeCell ref="B186:F186"/>
    <mergeCell ref="B190:O190"/>
    <mergeCell ref="H205:I205"/>
    <mergeCell ref="H206:I206"/>
    <mergeCell ref="K202:L202"/>
    <mergeCell ref="H203:I203"/>
    <mergeCell ref="H204:I204"/>
    <mergeCell ref="G199:H199"/>
    <mergeCell ref="C199:E199"/>
    <mergeCell ref="J191:O191"/>
    <mergeCell ref="F193:G193"/>
    <mergeCell ref="H193:I193"/>
    <mergeCell ref="J193:K193"/>
    <mergeCell ref="L193:O193"/>
    <mergeCell ref="B187:F187"/>
  </mergeCells>
  <printOptions horizontalCentered="1"/>
  <pageMargins left="0.27559055118110237" right="0.19685039370078741" top="0.19685039370078741" bottom="0.23622047244094491" header="0.19685039370078741" footer="0.19685039370078741"/>
  <pageSetup paperSize="9" scale="83" fitToHeight="0" orientation="landscape" r:id="rId1"/>
  <headerFooter>
    <oddFooter>&amp;R&amp;P</oddFooter>
  </headerFooter>
  <colBreaks count="1" manualBreakCount="1">
    <brk id="15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B42"/>
  <sheetViews>
    <sheetView topLeftCell="A10" zoomScale="70" zoomScaleNormal="70" workbookViewId="0">
      <selection activeCell="J19" sqref="J19"/>
    </sheetView>
  </sheetViews>
  <sheetFormatPr defaultColWidth="9.140625" defaultRowHeight="12.75"/>
  <cols>
    <col min="1" max="1" width="5.28515625" style="257" customWidth="1"/>
    <col min="2" max="2" width="24.42578125" style="257" customWidth="1"/>
    <col min="3" max="3" width="19.28515625" style="257" customWidth="1"/>
    <col min="4" max="4" width="9" style="257" customWidth="1"/>
    <col min="5" max="6" width="10" style="257" customWidth="1"/>
    <col min="7" max="7" width="15.28515625" style="257" customWidth="1"/>
    <col min="8" max="8" width="20" style="266" customWidth="1"/>
    <col min="9" max="9" width="22.42578125" style="266" customWidth="1"/>
    <col min="10" max="11" width="16.140625" style="257" customWidth="1"/>
    <col min="12" max="12" width="21.85546875" style="257" customWidth="1"/>
    <col min="13" max="13" width="21.42578125" style="266" bestFit="1" customWidth="1"/>
    <col min="14" max="14" width="18.7109375" style="266" customWidth="1"/>
    <col min="15" max="15" width="9.28515625" style="274" bestFit="1" customWidth="1"/>
    <col min="16" max="16" width="19.7109375" style="257" customWidth="1"/>
    <col min="17" max="17" width="12.5703125" style="257" customWidth="1"/>
    <col min="18" max="20" width="9.140625" style="257"/>
    <col min="21" max="21" width="9.140625" style="260"/>
    <col min="22" max="16384" width="9.140625" style="257"/>
  </cols>
  <sheetData>
    <row r="1" spans="1:262" ht="18.75">
      <c r="A1" s="1540" t="s">
        <v>54</v>
      </c>
      <c r="B1" s="1540"/>
      <c r="C1" s="1540"/>
      <c r="D1" s="1540"/>
      <c r="E1" s="1540"/>
      <c r="F1" s="1540"/>
      <c r="G1" s="1540"/>
      <c r="H1" s="1540"/>
      <c r="I1" s="1540"/>
      <c r="J1" s="1540"/>
      <c r="K1" s="1540"/>
      <c r="L1" s="1540"/>
      <c r="M1" s="1540"/>
      <c r="N1" s="1540"/>
      <c r="O1" s="275"/>
      <c r="P1" s="275"/>
      <c r="Q1" s="275"/>
      <c r="R1" s="275"/>
      <c r="S1" s="275"/>
      <c r="T1" s="275"/>
      <c r="U1" s="275"/>
      <c r="V1" s="275"/>
    </row>
    <row r="2" spans="1:262" ht="18.75">
      <c r="A2" s="1540" t="s">
        <v>0</v>
      </c>
      <c r="B2" s="1540"/>
      <c r="C2" s="1540"/>
      <c r="D2" s="1540"/>
      <c r="E2" s="1540"/>
      <c r="F2" s="1540"/>
      <c r="G2" s="1540"/>
      <c r="H2" s="1540"/>
      <c r="I2" s="1540"/>
      <c r="J2" s="1540"/>
      <c r="K2" s="1540"/>
      <c r="L2" s="1540"/>
      <c r="M2" s="1540"/>
      <c r="N2" s="1540"/>
      <c r="O2" s="146"/>
      <c r="P2" s="146"/>
      <c r="Q2" s="146"/>
      <c r="R2" s="146"/>
      <c r="S2" s="146"/>
      <c r="T2" s="146"/>
      <c r="U2" s="146"/>
      <c r="V2" s="146"/>
    </row>
    <row r="3" spans="1:262" ht="18.75">
      <c r="A3" s="1541" t="s">
        <v>281</v>
      </c>
      <c r="B3" s="1541"/>
      <c r="C3" s="1541"/>
      <c r="D3" s="1541"/>
      <c r="E3" s="1541"/>
      <c r="F3" s="1541"/>
      <c r="G3" s="1541"/>
      <c r="H3" s="1541"/>
      <c r="I3" s="1541"/>
      <c r="J3" s="1541"/>
      <c r="K3" s="1541"/>
      <c r="L3" s="1541"/>
      <c r="M3" s="1541"/>
      <c r="N3" s="1541"/>
      <c r="O3" s="263"/>
    </row>
    <row r="4" spans="1:262" ht="18.75">
      <c r="A4" s="1542" t="s">
        <v>802</v>
      </c>
      <c r="B4" s="1542"/>
      <c r="C4" s="1542"/>
      <c r="D4" s="1542"/>
      <c r="E4" s="1542"/>
      <c r="F4" s="1542"/>
      <c r="G4" s="1542"/>
      <c r="H4" s="264"/>
      <c r="I4" s="264"/>
      <c r="J4" s="549"/>
      <c r="K4" s="549"/>
      <c r="L4" s="549"/>
      <c r="M4" s="264"/>
      <c r="N4" s="264"/>
      <c r="O4" s="258"/>
      <c r="P4" s="259"/>
      <c r="Q4" s="259"/>
      <c r="R4" s="259"/>
      <c r="S4" s="259"/>
    </row>
    <row r="5" spans="1:262" ht="18.75">
      <c r="A5" s="1540" t="s">
        <v>583</v>
      </c>
      <c r="B5" s="1540"/>
      <c r="C5" s="1540"/>
      <c r="D5" s="1540"/>
      <c r="E5" s="1540"/>
      <c r="F5" s="1540"/>
      <c r="G5" s="1540"/>
      <c r="H5" s="289"/>
      <c r="I5" s="289"/>
      <c r="J5" s="548"/>
      <c r="K5" s="548"/>
      <c r="L5" s="548"/>
      <c r="M5" s="289"/>
      <c r="N5" s="289"/>
      <c r="O5" s="261"/>
      <c r="P5" s="547"/>
      <c r="Q5" s="547"/>
      <c r="R5" s="547"/>
      <c r="S5" s="547"/>
    </row>
    <row r="6" spans="1:262" ht="18.75">
      <c r="A6" s="264"/>
      <c r="B6" s="264"/>
      <c r="C6" s="264"/>
      <c r="D6" s="264"/>
      <c r="E6" s="264"/>
      <c r="F6" s="264"/>
      <c r="G6" s="264"/>
      <c r="H6" s="265"/>
      <c r="I6" s="265"/>
      <c r="J6" s="264"/>
      <c r="K6" s="264"/>
      <c r="L6" s="264"/>
      <c r="M6" s="265"/>
      <c r="N6" s="265"/>
      <c r="O6" s="263"/>
    </row>
    <row r="7" spans="1:262">
      <c r="H7" s="262"/>
      <c r="I7" s="262"/>
      <c r="M7" s="262"/>
      <c r="N7" s="262"/>
      <c r="O7" s="263"/>
    </row>
    <row r="8" spans="1:262" ht="22.5">
      <c r="A8" s="1539" t="s">
        <v>830</v>
      </c>
      <c r="B8" s="1539"/>
      <c r="C8" s="1539"/>
      <c r="D8" s="1539"/>
      <c r="E8" s="1539"/>
      <c r="F8" s="1539"/>
      <c r="G8" s="1539"/>
      <c r="H8" s="1539"/>
      <c r="I8" s="1539"/>
      <c r="J8" s="1539"/>
      <c r="K8" s="1539"/>
      <c r="L8" s="1539"/>
      <c r="M8" s="1539"/>
      <c r="N8" s="1539"/>
      <c r="O8" s="276"/>
      <c r="P8" s="276"/>
      <c r="Q8" s="276"/>
      <c r="R8" s="276"/>
      <c r="S8" s="276"/>
      <c r="T8" s="276"/>
      <c r="U8" s="276"/>
      <c r="V8" s="276"/>
    </row>
    <row r="9" spans="1:262" ht="20.25">
      <c r="A9" s="1544"/>
      <c r="B9" s="1544"/>
      <c r="C9" s="1544"/>
      <c r="D9" s="1544"/>
      <c r="E9" s="1544"/>
      <c r="F9" s="1544"/>
      <c r="G9" s="1544"/>
      <c r="H9" s="1544"/>
      <c r="I9" s="1544"/>
      <c r="J9" s="1544"/>
      <c r="K9" s="1544"/>
      <c r="L9" s="1544"/>
      <c r="M9" s="1544"/>
      <c r="N9" s="1544"/>
      <c r="O9" s="276"/>
      <c r="P9" s="276"/>
      <c r="Q9" s="276"/>
      <c r="R9" s="276"/>
      <c r="S9" s="276"/>
      <c r="T9" s="276"/>
      <c r="U9" s="276"/>
      <c r="V9" s="276"/>
    </row>
    <row r="10" spans="1:262" ht="102.75" customHeight="1">
      <c r="A10" s="400" t="s">
        <v>4</v>
      </c>
      <c r="B10" s="400" t="s">
        <v>15</v>
      </c>
      <c r="C10" s="400" t="s">
        <v>8</v>
      </c>
      <c r="D10" s="400" t="s">
        <v>803</v>
      </c>
      <c r="E10" s="400" t="s">
        <v>1</v>
      </c>
      <c r="F10" s="1056" t="s">
        <v>801</v>
      </c>
      <c r="G10" s="401" t="s">
        <v>287</v>
      </c>
      <c r="H10" s="402" t="s">
        <v>288</v>
      </c>
      <c r="I10" s="403" t="s">
        <v>306</v>
      </c>
      <c r="J10" s="1056" t="s">
        <v>804</v>
      </c>
      <c r="K10" s="401" t="s">
        <v>17</v>
      </c>
      <c r="L10" s="1056" t="s">
        <v>805</v>
      </c>
      <c r="M10" s="403" t="s">
        <v>298</v>
      </c>
      <c r="N10" s="404" t="s">
        <v>67</v>
      </c>
      <c r="O10" s="278"/>
      <c r="P10" s="278">
        <f>5000000*4</f>
        <v>20000000</v>
      </c>
      <c r="Q10" s="278"/>
      <c r="R10" s="278"/>
      <c r="S10" s="278"/>
      <c r="T10" s="278"/>
      <c r="U10" s="278"/>
      <c r="V10" s="278"/>
      <c r="W10" s="279"/>
      <c r="X10" s="161"/>
      <c r="Y10" s="161"/>
      <c r="Z10" s="161"/>
      <c r="AA10" s="161"/>
      <c r="AB10" s="161"/>
      <c r="AC10" s="161"/>
      <c r="AD10" s="161"/>
      <c r="AE10" s="161"/>
      <c r="AF10" s="161"/>
      <c r="AG10" s="161"/>
      <c r="AH10" s="161"/>
      <c r="AI10" s="161"/>
      <c r="AJ10" s="161"/>
      <c r="AK10" s="161"/>
      <c r="AL10" s="161"/>
      <c r="AM10" s="161"/>
      <c r="AN10" s="161"/>
      <c r="AO10" s="161"/>
      <c r="AP10" s="161"/>
      <c r="AQ10" s="161"/>
      <c r="AR10" s="161"/>
      <c r="AS10" s="161"/>
      <c r="AT10" s="161"/>
      <c r="AU10" s="161"/>
      <c r="AV10" s="161"/>
      <c r="AW10" s="161"/>
      <c r="AX10" s="161"/>
      <c r="AY10" s="161"/>
      <c r="AZ10" s="161"/>
      <c r="BA10" s="161"/>
      <c r="BB10" s="161"/>
      <c r="BC10" s="161"/>
      <c r="BD10" s="161"/>
      <c r="BE10" s="161"/>
      <c r="BF10" s="161"/>
      <c r="BG10" s="161"/>
      <c r="BH10" s="161"/>
      <c r="BI10" s="161"/>
      <c r="BJ10" s="161"/>
      <c r="BK10" s="161"/>
      <c r="BL10" s="161"/>
      <c r="BM10" s="161"/>
      <c r="BN10" s="161"/>
      <c r="BO10" s="161"/>
      <c r="BP10" s="161"/>
      <c r="BQ10" s="161"/>
      <c r="BR10" s="161"/>
      <c r="BS10" s="161"/>
      <c r="BT10" s="161"/>
      <c r="BU10" s="161"/>
      <c r="BV10" s="161"/>
      <c r="BW10" s="161"/>
      <c r="BX10" s="161"/>
      <c r="BY10" s="161"/>
      <c r="BZ10" s="161"/>
      <c r="CA10" s="161"/>
      <c r="CB10" s="161"/>
      <c r="CC10" s="161"/>
      <c r="CD10" s="161"/>
      <c r="CE10" s="161"/>
      <c r="CF10" s="161"/>
      <c r="CG10" s="161"/>
      <c r="CH10" s="161"/>
      <c r="CI10" s="161"/>
      <c r="CJ10" s="161"/>
      <c r="CK10" s="161"/>
      <c r="CL10" s="161"/>
      <c r="CM10" s="161"/>
      <c r="CN10" s="161"/>
      <c r="CO10" s="161"/>
      <c r="CP10" s="161"/>
      <c r="CQ10" s="161"/>
      <c r="CR10" s="161"/>
      <c r="CS10" s="161"/>
      <c r="CT10" s="161"/>
      <c r="CU10" s="161"/>
      <c r="CV10" s="161"/>
      <c r="CW10" s="161"/>
      <c r="CX10" s="161"/>
      <c r="CY10" s="161"/>
      <c r="CZ10" s="161"/>
      <c r="DA10" s="161"/>
      <c r="DB10" s="161"/>
      <c r="DC10" s="161"/>
      <c r="DD10" s="161"/>
      <c r="DE10" s="161"/>
      <c r="DF10" s="161"/>
      <c r="DG10" s="161"/>
      <c r="DH10" s="161"/>
      <c r="DI10" s="161"/>
      <c r="DJ10" s="161"/>
      <c r="DK10" s="161"/>
      <c r="DL10" s="161"/>
      <c r="DM10" s="161"/>
      <c r="DN10" s="161"/>
      <c r="DO10" s="161"/>
      <c r="DP10" s="161"/>
      <c r="DQ10" s="161"/>
      <c r="DR10" s="161"/>
      <c r="DS10" s="161"/>
      <c r="DT10" s="161"/>
      <c r="DU10" s="161"/>
      <c r="DV10" s="161"/>
      <c r="DW10" s="161"/>
      <c r="DX10" s="161"/>
      <c r="DY10" s="161"/>
      <c r="DZ10" s="161"/>
      <c r="EA10" s="161"/>
      <c r="EB10" s="161"/>
      <c r="EC10" s="161"/>
      <c r="ED10" s="161"/>
      <c r="EE10" s="161"/>
      <c r="EF10" s="161"/>
      <c r="EG10" s="161"/>
      <c r="EH10" s="161"/>
      <c r="EI10" s="161"/>
      <c r="EJ10" s="161"/>
      <c r="EK10" s="161"/>
      <c r="EL10" s="161"/>
      <c r="EM10" s="161"/>
      <c r="EN10" s="161"/>
      <c r="EO10" s="161"/>
      <c r="EP10" s="161"/>
      <c r="EQ10" s="161"/>
      <c r="ER10" s="161"/>
      <c r="ES10" s="161"/>
      <c r="ET10" s="161"/>
      <c r="EU10" s="161"/>
      <c r="EV10" s="161"/>
      <c r="EW10" s="161"/>
      <c r="EX10" s="161"/>
      <c r="EY10" s="161"/>
      <c r="EZ10" s="161"/>
      <c r="FA10" s="161"/>
      <c r="FB10" s="161"/>
      <c r="FC10" s="161"/>
      <c r="FD10" s="161"/>
      <c r="FE10" s="161"/>
      <c r="FF10" s="161"/>
      <c r="FG10" s="161"/>
      <c r="FH10" s="161"/>
      <c r="FI10" s="161"/>
      <c r="FJ10" s="161"/>
      <c r="FK10" s="161"/>
      <c r="FL10" s="161"/>
      <c r="FM10" s="161"/>
      <c r="FN10" s="161"/>
      <c r="FO10" s="161"/>
      <c r="FP10" s="161"/>
      <c r="FQ10" s="161"/>
      <c r="FR10" s="161"/>
      <c r="FS10" s="161"/>
      <c r="FT10" s="161"/>
      <c r="FU10" s="161"/>
      <c r="FV10" s="161"/>
      <c r="FW10" s="161"/>
      <c r="FX10" s="161"/>
      <c r="FY10" s="161"/>
      <c r="FZ10" s="161"/>
      <c r="GA10" s="161"/>
      <c r="GB10" s="161"/>
      <c r="GC10" s="161"/>
      <c r="GD10" s="161"/>
      <c r="GE10" s="161"/>
      <c r="GF10" s="161"/>
      <c r="GG10" s="161"/>
      <c r="GH10" s="161"/>
      <c r="GI10" s="161"/>
      <c r="GJ10" s="161"/>
      <c r="GK10" s="161"/>
      <c r="GL10" s="161"/>
      <c r="GM10" s="161"/>
      <c r="GN10" s="161"/>
      <c r="GO10" s="161"/>
      <c r="GP10" s="161"/>
      <c r="GQ10" s="161"/>
      <c r="GR10" s="161"/>
      <c r="GS10" s="161"/>
      <c r="GT10" s="161"/>
      <c r="GU10" s="161"/>
      <c r="GV10" s="161"/>
      <c r="GW10" s="161"/>
      <c r="GX10" s="161"/>
      <c r="GY10" s="161"/>
      <c r="GZ10" s="161"/>
      <c r="HA10" s="161"/>
      <c r="HB10" s="161"/>
      <c r="HC10" s="161"/>
      <c r="HD10" s="161"/>
      <c r="HE10" s="161"/>
      <c r="HF10" s="161"/>
      <c r="HG10" s="161"/>
      <c r="HH10" s="161"/>
      <c r="HI10" s="161"/>
      <c r="HJ10" s="161"/>
      <c r="HK10" s="161"/>
      <c r="HL10" s="161"/>
      <c r="HM10" s="161"/>
      <c r="HN10" s="161"/>
      <c r="HO10" s="161"/>
      <c r="HP10" s="161"/>
      <c r="HQ10" s="161"/>
      <c r="HR10" s="161"/>
      <c r="HS10" s="161"/>
      <c r="HT10" s="161"/>
      <c r="HU10" s="161"/>
      <c r="HV10" s="161"/>
      <c r="HW10" s="161"/>
      <c r="HX10" s="161"/>
      <c r="HY10" s="161"/>
      <c r="HZ10" s="161"/>
      <c r="IA10" s="161"/>
      <c r="IB10" s="161"/>
      <c r="IC10" s="161"/>
      <c r="ID10" s="161"/>
      <c r="IE10" s="161"/>
      <c r="IF10" s="161"/>
      <c r="IG10" s="161"/>
      <c r="IH10" s="161"/>
      <c r="II10" s="161"/>
      <c r="IJ10" s="161"/>
      <c r="IK10" s="161"/>
      <c r="IL10" s="161"/>
      <c r="IM10" s="161"/>
      <c r="IN10" s="161"/>
      <c r="IO10" s="161"/>
      <c r="IP10" s="161"/>
      <c r="IQ10" s="161"/>
      <c r="IR10" s="161"/>
      <c r="IS10" s="161"/>
      <c r="IT10" s="161"/>
      <c r="IU10" s="161"/>
      <c r="IV10" s="161"/>
      <c r="IW10" s="161"/>
      <c r="IX10" s="161"/>
      <c r="IY10" s="161"/>
      <c r="IZ10" s="161"/>
      <c r="JA10" s="161"/>
      <c r="JB10" s="161"/>
    </row>
    <row r="11" spans="1:262" ht="39" customHeight="1">
      <c r="A11" s="400"/>
      <c r="B11" s="400"/>
      <c r="C11" s="400"/>
      <c r="D11" s="400"/>
      <c r="E11" s="400"/>
      <c r="F11" s="400"/>
      <c r="G11" s="405" t="s">
        <v>282</v>
      </c>
      <c r="H11" s="405" t="s">
        <v>283</v>
      </c>
      <c r="I11" s="405" t="s">
        <v>315</v>
      </c>
      <c r="J11" s="405" t="s">
        <v>284</v>
      </c>
      <c r="K11" s="405" t="s">
        <v>285</v>
      </c>
      <c r="L11" s="405" t="s">
        <v>286</v>
      </c>
      <c r="M11" s="625" t="s">
        <v>446</v>
      </c>
      <c r="N11" s="404"/>
      <c r="O11" s="278"/>
      <c r="P11" s="278"/>
      <c r="Q11" s="278"/>
      <c r="R11" s="278"/>
      <c r="S11" s="278"/>
      <c r="T11" s="278"/>
      <c r="U11" s="278"/>
      <c r="V11" s="278"/>
      <c r="W11" s="279"/>
      <c r="X11" s="161"/>
      <c r="Y11" s="161"/>
      <c r="Z11" s="161"/>
      <c r="AA11" s="161"/>
      <c r="AB11" s="161"/>
      <c r="AC11" s="161"/>
      <c r="AD11" s="161"/>
      <c r="AE11" s="161"/>
      <c r="AF11" s="161"/>
      <c r="AG11" s="161"/>
      <c r="AH11" s="161"/>
      <c r="AI11" s="161"/>
      <c r="AJ11" s="161"/>
      <c r="AK11" s="161"/>
      <c r="AL11" s="161"/>
      <c r="AM11" s="161"/>
      <c r="AN11" s="161"/>
      <c r="AO11" s="161"/>
      <c r="AP11" s="161"/>
      <c r="AQ11" s="161"/>
      <c r="AR11" s="161"/>
      <c r="AS11" s="161"/>
      <c r="AT11" s="161"/>
      <c r="AU11" s="161"/>
      <c r="AV11" s="161"/>
      <c r="AW11" s="161"/>
      <c r="AX11" s="161"/>
      <c r="AY11" s="161"/>
      <c r="AZ11" s="161"/>
      <c r="BA11" s="161"/>
      <c r="BB11" s="161"/>
      <c r="BC11" s="161"/>
      <c r="BD11" s="161"/>
      <c r="BE11" s="161"/>
      <c r="BF11" s="161"/>
      <c r="BG11" s="161"/>
      <c r="BH11" s="161"/>
      <c r="BI11" s="161"/>
      <c r="BJ11" s="161"/>
      <c r="BK11" s="161"/>
      <c r="BL11" s="161"/>
      <c r="BM11" s="161"/>
      <c r="BN11" s="161"/>
      <c r="BO11" s="161"/>
      <c r="BP11" s="161"/>
      <c r="BQ11" s="161"/>
      <c r="BR11" s="161"/>
      <c r="BS11" s="161"/>
      <c r="BT11" s="161"/>
      <c r="BU11" s="161"/>
      <c r="BV11" s="161"/>
      <c r="BW11" s="161"/>
      <c r="BX11" s="161"/>
      <c r="BY11" s="161"/>
      <c r="BZ11" s="161"/>
      <c r="CA11" s="161"/>
      <c r="CB11" s="161"/>
      <c r="CC11" s="161"/>
      <c r="CD11" s="161"/>
      <c r="CE11" s="161"/>
      <c r="CF11" s="161"/>
      <c r="CG11" s="161"/>
      <c r="CH11" s="161"/>
      <c r="CI11" s="161"/>
      <c r="CJ11" s="161"/>
      <c r="CK11" s="161"/>
      <c r="CL11" s="161"/>
      <c r="CM11" s="161"/>
      <c r="CN11" s="161"/>
      <c r="CO11" s="161"/>
      <c r="CP11" s="161"/>
      <c r="CQ11" s="161"/>
      <c r="CR11" s="161"/>
      <c r="CS11" s="161"/>
      <c r="CT11" s="161"/>
      <c r="CU11" s="161"/>
      <c r="CV11" s="161"/>
      <c r="CW11" s="161"/>
      <c r="CX11" s="161"/>
      <c r="CY11" s="161"/>
      <c r="CZ11" s="161"/>
      <c r="DA11" s="161"/>
      <c r="DB11" s="161"/>
      <c r="DC11" s="161"/>
      <c r="DD11" s="161"/>
      <c r="DE11" s="161"/>
      <c r="DF11" s="161"/>
      <c r="DG11" s="161"/>
      <c r="DH11" s="161"/>
      <c r="DI11" s="161"/>
      <c r="DJ11" s="161"/>
      <c r="DK11" s="161"/>
      <c r="DL11" s="161"/>
      <c r="DM11" s="161"/>
      <c r="DN11" s="161"/>
      <c r="DO11" s="161"/>
      <c r="DP11" s="161"/>
      <c r="DQ11" s="161"/>
      <c r="DR11" s="161"/>
      <c r="DS11" s="161"/>
      <c r="DT11" s="161"/>
      <c r="DU11" s="161"/>
      <c r="DV11" s="161"/>
      <c r="DW11" s="161"/>
      <c r="DX11" s="161"/>
      <c r="DY11" s="161"/>
      <c r="DZ11" s="161"/>
      <c r="EA11" s="161"/>
      <c r="EB11" s="161"/>
      <c r="EC11" s="161"/>
      <c r="ED11" s="161"/>
      <c r="EE11" s="161"/>
      <c r="EF11" s="161"/>
      <c r="EG11" s="161"/>
      <c r="EH11" s="161"/>
      <c r="EI11" s="161"/>
      <c r="EJ11" s="161"/>
      <c r="EK11" s="161"/>
      <c r="EL11" s="161"/>
      <c r="EM11" s="161"/>
      <c r="EN11" s="161"/>
      <c r="EO11" s="161"/>
      <c r="EP11" s="161"/>
      <c r="EQ11" s="161"/>
      <c r="ER11" s="161"/>
      <c r="ES11" s="161"/>
      <c r="ET11" s="161"/>
      <c r="EU11" s="161"/>
      <c r="EV11" s="161"/>
      <c r="EW11" s="161"/>
      <c r="EX11" s="161"/>
      <c r="EY11" s="161"/>
      <c r="EZ11" s="161"/>
      <c r="FA11" s="161"/>
      <c r="FB11" s="161"/>
      <c r="FC11" s="161"/>
      <c r="FD11" s="161"/>
      <c r="FE11" s="161"/>
      <c r="FF11" s="161"/>
      <c r="FG11" s="161"/>
      <c r="FH11" s="161"/>
      <c r="FI11" s="161"/>
      <c r="FJ11" s="161"/>
      <c r="FK11" s="161"/>
      <c r="FL11" s="161"/>
      <c r="FM11" s="161"/>
      <c r="FN11" s="161"/>
      <c r="FO11" s="161"/>
      <c r="FP11" s="161"/>
      <c r="FQ11" s="161"/>
      <c r="FR11" s="161"/>
      <c r="FS11" s="161"/>
      <c r="FT11" s="161"/>
      <c r="FU11" s="161"/>
      <c r="FV11" s="161"/>
      <c r="FW11" s="161"/>
      <c r="FX11" s="161"/>
      <c r="FY11" s="161"/>
      <c r="FZ11" s="161"/>
      <c r="GA11" s="161"/>
      <c r="GB11" s="161"/>
      <c r="GC11" s="161"/>
      <c r="GD11" s="161"/>
      <c r="GE11" s="161"/>
      <c r="GF11" s="161"/>
      <c r="GG11" s="161"/>
      <c r="GH11" s="161"/>
      <c r="GI11" s="161"/>
      <c r="GJ11" s="161"/>
      <c r="GK11" s="161"/>
      <c r="GL11" s="161"/>
      <c r="GM11" s="161"/>
      <c r="GN11" s="161"/>
      <c r="GO11" s="161"/>
      <c r="GP11" s="161"/>
      <c r="GQ11" s="161"/>
      <c r="GR11" s="161"/>
      <c r="GS11" s="161"/>
      <c r="GT11" s="161"/>
      <c r="GU11" s="161"/>
      <c r="GV11" s="161"/>
      <c r="GW11" s="161"/>
      <c r="GX11" s="161"/>
      <c r="GY11" s="161"/>
      <c r="GZ11" s="161"/>
      <c r="HA11" s="161"/>
      <c r="HB11" s="161"/>
      <c r="HC11" s="161"/>
      <c r="HD11" s="161"/>
      <c r="HE11" s="161"/>
      <c r="HF11" s="161"/>
      <c r="HG11" s="161"/>
      <c r="HH11" s="161"/>
      <c r="HI11" s="161"/>
      <c r="HJ11" s="161"/>
      <c r="HK11" s="161"/>
      <c r="HL11" s="161"/>
      <c r="HM11" s="161"/>
      <c r="HN11" s="161"/>
      <c r="HO11" s="161"/>
      <c r="HP11" s="161"/>
      <c r="HQ11" s="161"/>
      <c r="HR11" s="161"/>
      <c r="HS11" s="161"/>
      <c r="HT11" s="161"/>
      <c r="HU11" s="161"/>
      <c r="HV11" s="161"/>
      <c r="HW11" s="161"/>
      <c r="HX11" s="161"/>
      <c r="HY11" s="161"/>
      <c r="HZ11" s="161"/>
      <c r="IA11" s="161"/>
      <c r="IB11" s="161"/>
      <c r="IC11" s="161"/>
      <c r="ID11" s="161"/>
      <c r="IE11" s="161"/>
      <c r="IF11" s="161"/>
      <c r="IG11" s="161"/>
      <c r="IH11" s="161"/>
      <c r="II11" s="161"/>
      <c r="IJ11" s="161"/>
      <c r="IK11" s="161"/>
      <c r="IL11" s="161"/>
      <c r="IM11" s="161"/>
      <c r="IN11" s="161"/>
      <c r="IO11" s="161"/>
      <c r="IP11" s="161"/>
      <c r="IQ11" s="161"/>
      <c r="IR11" s="161"/>
      <c r="IS11" s="161"/>
      <c r="IT11" s="161"/>
      <c r="IU11" s="161"/>
      <c r="IV11" s="161"/>
      <c r="IW11" s="161"/>
      <c r="IX11" s="161"/>
      <c r="IY11" s="161"/>
      <c r="IZ11" s="161"/>
      <c r="JA11" s="161"/>
      <c r="JB11" s="161"/>
    </row>
    <row r="12" spans="1:262" ht="22.5" customHeight="1">
      <c r="A12" s="1205" t="s">
        <v>137</v>
      </c>
      <c r="B12" s="1205"/>
      <c r="C12" s="1205"/>
      <c r="D12" s="400"/>
      <c r="E12" s="400"/>
      <c r="F12" s="400"/>
      <c r="G12" s="617"/>
      <c r="H12" s="624"/>
      <c r="I12" s="632"/>
      <c r="J12" s="617">
        <f>SUM(J13:J20)</f>
        <v>2730</v>
      </c>
      <c r="K12" s="617">
        <f t="shared" ref="K12:L12" si="0">SUM(K13:K20)</f>
        <v>150</v>
      </c>
      <c r="L12" s="623">
        <f t="shared" si="0"/>
        <v>2971.494337580818</v>
      </c>
      <c r="M12" s="623">
        <f>SUM(M13:M20)</f>
        <v>4981.494337580818</v>
      </c>
      <c r="N12" s="404"/>
      <c r="O12" s="278"/>
      <c r="P12" s="278"/>
      <c r="Q12" s="278"/>
      <c r="R12" s="278"/>
      <c r="S12" s="278"/>
      <c r="T12" s="278"/>
      <c r="U12" s="278"/>
      <c r="V12" s="278"/>
      <c r="W12" s="279"/>
      <c r="X12" s="161"/>
      <c r="Y12" s="161"/>
      <c r="Z12" s="161"/>
      <c r="AA12" s="161"/>
      <c r="AB12" s="161"/>
      <c r="AC12" s="161"/>
      <c r="AD12" s="161"/>
      <c r="AE12" s="161"/>
      <c r="AF12" s="161"/>
      <c r="AG12" s="161"/>
      <c r="AH12" s="161"/>
      <c r="AI12" s="161"/>
      <c r="AJ12" s="161"/>
      <c r="AK12" s="161"/>
      <c r="AL12" s="161"/>
      <c r="AM12" s="161"/>
      <c r="AN12" s="161"/>
      <c r="AO12" s="161"/>
      <c r="AP12" s="161"/>
      <c r="AQ12" s="161"/>
      <c r="AR12" s="161"/>
      <c r="AS12" s="161"/>
      <c r="AT12" s="161"/>
      <c r="AU12" s="161"/>
      <c r="AV12" s="161"/>
      <c r="AW12" s="161"/>
      <c r="AX12" s="161"/>
      <c r="AY12" s="161"/>
      <c r="AZ12" s="161"/>
      <c r="BA12" s="161"/>
      <c r="BB12" s="161"/>
      <c r="BC12" s="161"/>
      <c r="BD12" s="161"/>
      <c r="BE12" s="161"/>
      <c r="BF12" s="161"/>
      <c r="BG12" s="161"/>
      <c r="BH12" s="161"/>
      <c r="BI12" s="161"/>
      <c r="BJ12" s="161"/>
      <c r="BK12" s="161"/>
      <c r="BL12" s="161"/>
      <c r="BM12" s="161"/>
      <c r="BN12" s="161"/>
      <c r="BO12" s="161"/>
      <c r="BP12" s="161"/>
      <c r="BQ12" s="161"/>
      <c r="BR12" s="161"/>
      <c r="BS12" s="161"/>
      <c r="BT12" s="161"/>
      <c r="BU12" s="161"/>
      <c r="BV12" s="161"/>
      <c r="BW12" s="161"/>
      <c r="BX12" s="161"/>
      <c r="BY12" s="161"/>
      <c r="BZ12" s="161"/>
      <c r="CA12" s="161"/>
      <c r="CB12" s="161"/>
      <c r="CC12" s="161"/>
      <c r="CD12" s="161"/>
      <c r="CE12" s="161"/>
      <c r="CF12" s="161"/>
      <c r="CG12" s="161"/>
      <c r="CH12" s="161"/>
      <c r="CI12" s="161"/>
      <c r="CJ12" s="161"/>
      <c r="CK12" s="161"/>
      <c r="CL12" s="161"/>
      <c r="CM12" s="161"/>
      <c r="CN12" s="161"/>
      <c r="CO12" s="161"/>
      <c r="CP12" s="161"/>
      <c r="CQ12" s="161"/>
      <c r="CR12" s="161"/>
      <c r="CS12" s="161"/>
      <c r="CT12" s="161"/>
      <c r="CU12" s="161"/>
      <c r="CV12" s="161"/>
      <c r="CW12" s="161"/>
      <c r="CX12" s="161"/>
      <c r="CY12" s="161"/>
      <c r="CZ12" s="161"/>
      <c r="DA12" s="161"/>
      <c r="DB12" s="161"/>
      <c r="DC12" s="161"/>
      <c r="DD12" s="161"/>
      <c r="DE12" s="161"/>
      <c r="DF12" s="161"/>
      <c r="DG12" s="161"/>
      <c r="DH12" s="161"/>
      <c r="DI12" s="161"/>
      <c r="DJ12" s="161"/>
      <c r="DK12" s="161"/>
      <c r="DL12" s="161"/>
      <c r="DM12" s="161"/>
      <c r="DN12" s="161"/>
      <c r="DO12" s="161"/>
      <c r="DP12" s="161"/>
      <c r="DQ12" s="161"/>
      <c r="DR12" s="161"/>
      <c r="DS12" s="161"/>
      <c r="DT12" s="161"/>
      <c r="DU12" s="161"/>
      <c r="DV12" s="161"/>
      <c r="DW12" s="161"/>
      <c r="DX12" s="161"/>
      <c r="DY12" s="161"/>
      <c r="DZ12" s="161"/>
      <c r="EA12" s="161"/>
      <c r="EB12" s="161"/>
      <c r="EC12" s="161"/>
      <c r="ED12" s="161"/>
      <c r="EE12" s="161"/>
      <c r="EF12" s="161"/>
      <c r="EG12" s="161"/>
      <c r="EH12" s="161"/>
      <c r="EI12" s="161"/>
      <c r="EJ12" s="161"/>
      <c r="EK12" s="161"/>
      <c r="EL12" s="161"/>
      <c r="EM12" s="161"/>
      <c r="EN12" s="161"/>
      <c r="EO12" s="161"/>
      <c r="EP12" s="161"/>
      <c r="EQ12" s="161"/>
      <c r="ER12" s="161"/>
      <c r="ES12" s="161"/>
      <c r="ET12" s="161"/>
      <c r="EU12" s="161"/>
      <c r="EV12" s="161"/>
      <c r="EW12" s="161"/>
      <c r="EX12" s="161"/>
      <c r="EY12" s="161"/>
      <c r="EZ12" s="161"/>
      <c r="FA12" s="161"/>
      <c r="FB12" s="161"/>
      <c r="FC12" s="161"/>
      <c r="FD12" s="161"/>
      <c r="FE12" s="161"/>
      <c r="FF12" s="161"/>
      <c r="FG12" s="161"/>
      <c r="FH12" s="161"/>
      <c r="FI12" s="161"/>
      <c r="FJ12" s="161"/>
      <c r="FK12" s="161"/>
      <c r="FL12" s="161"/>
      <c r="FM12" s="161"/>
      <c r="FN12" s="161"/>
      <c r="FO12" s="161"/>
      <c r="FP12" s="161"/>
      <c r="FQ12" s="161"/>
      <c r="FR12" s="161"/>
      <c r="FS12" s="161"/>
      <c r="FT12" s="161"/>
      <c r="FU12" s="161"/>
      <c r="FV12" s="161"/>
      <c r="FW12" s="161"/>
      <c r="FX12" s="161"/>
      <c r="FY12" s="161"/>
      <c r="FZ12" s="161"/>
      <c r="GA12" s="161"/>
      <c r="GB12" s="161"/>
      <c r="GC12" s="161"/>
      <c r="GD12" s="161"/>
      <c r="GE12" s="161"/>
      <c r="GF12" s="161"/>
      <c r="GG12" s="161"/>
      <c r="GH12" s="161"/>
      <c r="GI12" s="161"/>
      <c r="GJ12" s="161"/>
      <c r="GK12" s="161"/>
      <c r="GL12" s="161"/>
      <c r="GM12" s="161"/>
      <c r="GN12" s="161"/>
      <c r="GO12" s="161"/>
      <c r="GP12" s="161"/>
      <c r="GQ12" s="161"/>
      <c r="GR12" s="161"/>
      <c r="GS12" s="161"/>
      <c r="GT12" s="161"/>
      <c r="GU12" s="161"/>
      <c r="GV12" s="161"/>
      <c r="GW12" s="161"/>
      <c r="GX12" s="161"/>
      <c r="GY12" s="161"/>
      <c r="GZ12" s="161"/>
      <c r="HA12" s="161"/>
      <c r="HB12" s="161"/>
      <c r="HC12" s="161"/>
      <c r="HD12" s="161"/>
      <c r="HE12" s="161"/>
      <c r="HF12" s="161"/>
      <c r="HG12" s="161"/>
      <c r="HH12" s="161"/>
      <c r="HI12" s="161"/>
      <c r="HJ12" s="161"/>
      <c r="HK12" s="161"/>
      <c r="HL12" s="161"/>
      <c r="HM12" s="161"/>
      <c r="HN12" s="161"/>
      <c r="HO12" s="161"/>
      <c r="HP12" s="161"/>
      <c r="HQ12" s="161"/>
      <c r="HR12" s="161"/>
      <c r="HS12" s="161"/>
      <c r="HT12" s="161"/>
      <c r="HU12" s="161"/>
      <c r="HV12" s="161"/>
      <c r="HW12" s="161"/>
      <c r="HX12" s="161"/>
      <c r="HY12" s="161"/>
      <c r="HZ12" s="161"/>
      <c r="IA12" s="161"/>
      <c r="IB12" s="161"/>
      <c r="IC12" s="161"/>
      <c r="ID12" s="161"/>
      <c r="IE12" s="161"/>
      <c r="IF12" s="161"/>
      <c r="IG12" s="161"/>
      <c r="IH12" s="161"/>
      <c r="II12" s="161"/>
      <c r="IJ12" s="161"/>
      <c r="IK12" s="161"/>
      <c r="IL12" s="161"/>
      <c r="IM12" s="161"/>
      <c r="IN12" s="161"/>
      <c r="IO12" s="161"/>
      <c r="IP12" s="161"/>
      <c r="IQ12" s="161"/>
      <c r="IR12" s="161"/>
      <c r="IS12" s="161"/>
      <c r="IT12" s="161"/>
      <c r="IU12" s="161"/>
      <c r="IV12" s="161"/>
      <c r="IW12" s="161"/>
      <c r="IX12" s="161"/>
      <c r="IY12" s="161"/>
      <c r="IZ12" s="161"/>
      <c r="JA12" s="161"/>
      <c r="JB12" s="161"/>
    </row>
    <row r="13" spans="1:262" ht="22.5" customHeight="1">
      <c r="A13" s="1281">
        <v>1</v>
      </c>
      <c r="B13" s="1282" t="s">
        <v>866</v>
      </c>
      <c r="C13" s="1282" t="s">
        <v>867</v>
      </c>
      <c r="D13" s="400"/>
      <c r="E13" s="1282" t="s">
        <v>186</v>
      </c>
      <c r="F13" s="400"/>
      <c r="G13" s="979">
        <v>282</v>
      </c>
      <c r="H13" s="1283">
        <f>151.352+115.798</f>
        <v>267.14999999999998</v>
      </c>
      <c r="I13" s="1280">
        <f>H13/G13*100%</f>
        <v>0.94734042553191478</v>
      </c>
      <c r="J13" s="1284">
        <v>820</v>
      </c>
      <c r="K13" s="979">
        <v>50</v>
      </c>
      <c r="L13" s="1285">
        <f>(J13+K13)*I13</f>
        <v>824.18617021276589</v>
      </c>
      <c r="M13" s="1279">
        <f>L13</f>
        <v>824.18617021276589</v>
      </c>
      <c r="N13" s="404"/>
      <c r="O13" s="278"/>
      <c r="P13" s="278"/>
      <c r="Q13" s="278"/>
      <c r="R13" s="278"/>
      <c r="S13" s="278"/>
      <c r="T13" s="278"/>
      <c r="U13" s="278"/>
      <c r="V13" s="278"/>
      <c r="W13" s="279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  <c r="AH13" s="161"/>
      <c r="AI13" s="161"/>
      <c r="AJ13" s="161"/>
      <c r="AK13" s="161"/>
      <c r="AL13" s="161"/>
      <c r="AM13" s="161"/>
      <c r="AN13" s="161"/>
      <c r="AO13" s="161"/>
      <c r="AP13" s="161"/>
      <c r="AQ13" s="161"/>
      <c r="AR13" s="161"/>
      <c r="AS13" s="161"/>
      <c r="AT13" s="161"/>
      <c r="AU13" s="161"/>
      <c r="AV13" s="161"/>
      <c r="AW13" s="161"/>
      <c r="AX13" s="161"/>
      <c r="AY13" s="161"/>
      <c r="AZ13" s="161"/>
      <c r="BA13" s="161"/>
      <c r="BB13" s="161"/>
      <c r="BC13" s="161"/>
      <c r="BD13" s="161"/>
      <c r="BE13" s="161"/>
      <c r="BF13" s="161"/>
      <c r="BG13" s="161"/>
      <c r="BH13" s="161"/>
      <c r="BI13" s="161"/>
      <c r="BJ13" s="161"/>
      <c r="BK13" s="161"/>
      <c r="BL13" s="161"/>
      <c r="BM13" s="161"/>
      <c r="BN13" s="161"/>
      <c r="BO13" s="161"/>
      <c r="BP13" s="161"/>
      <c r="BQ13" s="161"/>
      <c r="BR13" s="161"/>
      <c r="BS13" s="161"/>
      <c r="BT13" s="161"/>
      <c r="BU13" s="161"/>
      <c r="BV13" s="161"/>
      <c r="BW13" s="161"/>
      <c r="BX13" s="161"/>
      <c r="BY13" s="161"/>
      <c r="BZ13" s="161"/>
      <c r="CA13" s="161"/>
      <c r="CB13" s="161"/>
      <c r="CC13" s="161"/>
      <c r="CD13" s="161"/>
      <c r="CE13" s="161"/>
      <c r="CF13" s="161"/>
      <c r="CG13" s="161"/>
      <c r="CH13" s="161"/>
      <c r="CI13" s="161"/>
      <c r="CJ13" s="161"/>
      <c r="CK13" s="161"/>
      <c r="CL13" s="161"/>
      <c r="CM13" s="161"/>
      <c r="CN13" s="161"/>
      <c r="CO13" s="161"/>
      <c r="CP13" s="161"/>
      <c r="CQ13" s="161"/>
      <c r="CR13" s="161"/>
      <c r="CS13" s="161"/>
      <c r="CT13" s="161"/>
      <c r="CU13" s="161"/>
      <c r="CV13" s="161"/>
      <c r="CW13" s="161"/>
      <c r="CX13" s="161"/>
      <c r="CY13" s="161"/>
      <c r="CZ13" s="161"/>
      <c r="DA13" s="161"/>
      <c r="DB13" s="161"/>
      <c r="DC13" s="161"/>
      <c r="DD13" s="161"/>
      <c r="DE13" s="161"/>
      <c r="DF13" s="161"/>
      <c r="DG13" s="161"/>
      <c r="DH13" s="161"/>
      <c r="DI13" s="161"/>
      <c r="DJ13" s="161"/>
      <c r="DK13" s="161"/>
      <c r="DL13" s="161"/>
      <c r="DM13" s="161"/>
      <c r="DN13" s="161"/>
      <c r="DO13" s="161"/>
      <c r="DP13" s="161"/>
      <c r="DQ13" s="161"/>
      <c r="DR13" s="161"/>
      <c r="DS13" s="161"/>
      <c r="DT13" s="161"/>
      <c r="DU13" s="161"/>
      <c r="DV13" s="161"/>
      <c r="DW13" s="161"/>
      <c r="DX13" s="161"/>
      <c r="DY13" s="161"/>
      <c r="DZ13" s="161"/>
      <c r="EA13" s="161"/>
      <c r="EB13" s="161"/>
      <c r="EC13" s="161"/>
      <c r="ED13" s="161"/>
      <c r="EE13" s="161"/>
      <c r="EF13" s="161"/>
      <c r="EG13" s="161"/>
      <c r="EH13" s="161"/>
      <c r="EI13" s="161"/>
      <c r="EJ13" s="161"/>
      <c r="EK13" s="161"/>
      <c r="EL13" s="161"/>
      <c r="EM13" s="161"/>
      <c r="EN13" s="161"/>
      <c r="EO13" s="161"/>
      <c r="EP13" s="161"/>
      <c r="EQ13" s="161"/>
      <c r="ER13" s="161"/>
      <c r="ES13" s="161"/>
      <c r="ET13" s="161"/>
      <c r="EU13" s="161"/>
      <c r="EV13" s="161"/>
      <c r="EW13" s="161"/>
      <c r="EX13" s="161"/>
      <c r="EY13" s="161"/>
      <c r="EZ13" s="161"/>
      <c r="FA13" s="161"/>
      <c r="FB13" s="161"/>
      <c r="FC13" s="161"/>
      <c r="FD13" s="161"/>
      <c r="FE13" s="161"/>
      <c r="FF13" s="161"/>
      <c r="FG13" s="161"/>
      <c r="FH13" s="161"/>
      <c r="FI13" s="161"/>
      <c r="FJ13" s="161"/>
      <c r="FK13" s="161"/>
      <c r="FL13" s="161"/>
      <c r="FM13" s="161"/>
      <c r="FN13" s="161"/>
      <c r="FO13" s="161"/>
      <c r="FP13" s="161"/>
      <c r="FQ13" s="161"/>
      <c r="FR13" s="161"/>
      <c r="FS13" s="161"/>
      <c r="FT13" s="161"/>
      <c r="FU13" s="161"/>
      <c r="FV13" s="161"/>
      <c r="FW13" s="161"/>
      <c r="FX13" s="161"/>
      <c r="FY13" s="161"/>
      <c r="FZ13" s="161"/>
      <c r="GA13" s="161"/>
      <c r="GB13" s="161"/>
      <c r="GC13" s="161"/>
      <c r="GD13" s="161"/>
      <c r="GE13" s="161"/>
      <c r="GF13" s="161"/>
      <c r="GG13" s="161"/>
      <c r="GH13" s="161"/>
      <c r="GI13" s="161"/>
      <c r="GJ13" s="161"/>
      <c r="GK13" s="161"/>
      <c r="GL13" s="161"/>
      <c r="GM13" s="161"/>
      <c r="GN13" s="161"/>
      <c r="GO13" s="161"/>
      <c r="GP13" s="161"/>
      <c r="GQ13" s="161"/>
      <c r="GR13" s="161"/>
      <c r="GS13" s="161"/>
      <c r="GT13" s="161"/>
      <c r="GU13" s="161"/>
      <c r="GV13" s="161"/>
      <c r="GW13" s="161"/>
      <c r="GX13" s="161"/>
      <c r="GY13" s="161"/>
      <c r="GZ13" s="161"/>
      <c r="HA13" s="161"/>
      <c r="HB13" s="161"/>
      <c r="HC13" s="161"/>
      <c r="HD13" s="161"/>
      <c r="HE13" s="161"/>
      <c r="HF13" s="161"/>
      <c r="HG13" s="161"/>
      <c r="HH13" s="161"/>
      <c r="HI13" s="161"/>
      <c r="HJ13" s="161"/>
      <c r="HK13" s="161"/>
      <c r="HL13" s="161"/>
      <c r="HM13" s="161"/>
      <c r="HN13" s="161"/>
      <c r="HO13" s="161"/>
      <c r="HP13" s="161"/>
      <c r="HQ13" s="161"/>
      <c r="HR13" s="161"/>
      <c r="HS13" s="161"/>
      <c r="HT13" s="161"/>
      <c r="HU13" s="161"/>
      <c r="HV13" s="161"/>
      <c r="HW13" s="161"/>
      <c r="HX13" s="161"/>
      <c r="HY13" s="161"/>
      <c r="HZ13" s="161"/>
      <c r="IA13" s="161"/>
      <c r="IB13" s="161"/>
      <c r="IC13" s="161"/>
      <c r="ID13" s="161"/>
      <c r="IE13" s="161"/>
      <c r="IF13" s="161"/>
      <c r="IG13" s="161"/>
      <c r="IH13" s="161"/>
      <c r="II13" s="161"/>
      <c r="IJ13" s="161"/>
      <c r="IK13" s="161"/>
      <c r="IL13" s="161"/>
      <c r="IM13" s="161"/>
      <c r="IN13" s="161"/>
      <c r="IO13" s="161"/>
      <c r="IP13" s="161"/>
      <c r="IQ13" s="161"/>
      <c r="IR13" s="161"/>
      <c r="IS13" s="161"/>
      <c r="IT13" s="161"/>
      <c r="IU13" s="161"/>
      <c r="IV13" s="161"/>
      <c r="IW13" s="161"/>
      <c r="IX13" s="161"/>
      <c r="IY13" s="161"/>
      <c r="IZ13" s="161"/>
      <c r="JA13" s="161"/>
      <c r="JB13" s="161"/>
    </row>
    <row r="14" spans="1:262" ht="22.5" customHeight="1">
      <c r="A14" s="1281">
        <v>2</v>
      </c>
      <c r="B14" s="1281" t="str">
        <f>'Bảng CC - NV'!B13</f>
        <v>Nguyễn Minh Thành</v>
      </c>
      <c r="C14" s="1286" t="s">
        <v>199</v>
      </c>
      <c r="D14" s="1281" t="s">
        <v>121</v>
      </c>
      <c r="E14" s="1282" t="s">
        <v>186</v>
      </c>
      <c r="F14" s="1281">
        <v>1.2</v>
      </c>
      <c r="G14" s="979">
        <f>G16+G15</f>
        <v>151</v>
      </c>
      <c r="H14" s="1283">
        <f>H15+H16</f>
        <v>151.35157400000006</v>
      </c>
      <c r="I14" s="1058">
        <f>H14/G14*100%</f>
        <v>1.0023283046357621</v>
      </c>
      <c r="J14" s="1284">
        <v>360</v>
      </c>
      <c r="K14" s="979">
        <v>100</v>
      </c>
      <c r="L14" s="1287">
        <f>300*I14*F14</f>
        <v>360.83818966887435</v>
      </c>
      <c r="M14" s="1285">
        <f>J14+L14+K14</f>
        <v>820.83818966887429</v>
      </c>
      <c r="N14" s="404"/>
      <c r="O14" s="278"/>
      <c r="P14" s="278"/>
      <c r="Q14" s="278"/>
      <c r="R14" s="278"/>
      <c r="S14" s="278"/>
      <c r="T14" s="278"/>
      <c r="U14" s="278"/>
      <c r="V14" s="278"/>
      <c r="W14" s="279"/>
      <c r="X14" s="161"/>
      <c r="Y14" s="161"/>
      <c r="Z14" s="161"/>
      <c r="AA14" s="161"/>
      <c r="AB14" s="161"/>
      <c r="AC14" s="161"/>
      <c r="AD14" s="161"/>
      <c r="AE14" s="161"/>
      <c r="AF14" s="161"/>
      <c r="AG14" s="161"/>
      <c r="AH14" s="161"/>
      <c r="AI14" s="161"/>
      <c r="AJ14" s="161"/>
      <c r="AK14" s="161"/>
      <c r="AL14" s="161"/>
      <c r="AM14" s="161"/>
      <c r="AN14" s="161"/>
      <c r="AO14" s="161"/>
      <c r="AP14" s="161"/>
      <c r="AQ14" s="161"/>
      <c r="AR14" s="161"/>
      <c r="AS14" s="161"/>
      <c r="AT14" s="161"/>
      <c r="AU14" s="161"/>
      <c r="AV14" s="161"/>
      <c r="AW14" s="161"/>
      <c r="AX14" s="161"/>
      <c r="AY14" s="161"/>
      <c r="AZ14" s="161"/>
      <c r="BA14" s="161"/>
      <c r="BB14" s="161"/>
      <c r="BC14" s="161"/>
      <c r="BD14" s="161"/>
      <c r="BE14" s="161"/>
      <c r="BF14" s="161"/>
      <c r="BG14" s="161"/>
      <c r="BH14" s="161"/>
      <c r="BI14" s="161"/>
      <c r="BJ14" s="161"/>
      <c r="BK14" s="161"/>
      <c r="BL14" s="161"/>
      <c r="BM14" s="161"/>
      <c r="BN14" s="161"/>
      <c r="BO14" s="161"/>
      <c r="BP14" s="161"/>
      <c r="BQ14" s="161"/>
      <c r="BR14" s="161"/>
      <c r="BS14" s="161"/>
      <c r="BT14" s="161"/>
      <c r="BU14" s="161"/>
      <c r="BV14" s="161"/>
      <c r="BW14" s="161"/>
      <c r="BX14" s="161"/>
      <c r="BY14" s="161"/>
      <c r="BZ14" s="161"/>
      <c r="CA14" s="161"/>
      <c r="CB14" s="161"/>
      <c r="CC14" s="161"/>
      <c r="CD14" s="161"/>
      <c r="CE14" s="161"/>
      <c r="CF14" s="161"/>
      <c r="CG14" s="161"/>
      <c r="CH14" s="161"/>
      <c r="CI14" s="161"/>
      <c r="CJ14" s="161"/>
      <c r="CK14" s="161"/>
      <c r="CL14" s="161"/>
      <c r="CM14" s="161"/>
      <c r="CN14" s="161"/>
      <c r="CO14" s="161"/>
      <c r="CP14" s="161"/>
      <c r="CQ14" s="161"/>
      <c r="CR14" s="161"/>
      <c r="CS14" s="161"/>
      <c r="CT14" s="161"/>
      <c r="CU14" s="161"/>
      <c r="CV14" s="161"/>
      <c r="CW14" s="161"/>
      <c r="CX14" s="161"/>
      <c r="CY14" s="161"/>
      <c r="CZ14" s="161"/>
      <c r="DA14" s="161"/>
      <c r="DB14" s="161"/>
      <c r="DC14" s="161"/>
      <c r="DD14" s="161"/>
      <c r="DE14" s="161"/>
      <c r="DF14" s="161"/>
      <c r="DG14" s="161"/>
      <c r="DH14" s="161"/>
      <c r="DI14" s="161"/>
      <c r="DJ14" s="161"/>
      <c r="DK14" s="161"/>
      <c r="DL14" s="161"/>
      <c r="DM14" s="161"/>
      <c r="DN14" s="161"/>
      <c r="DO14" s="161"/>
      <c r="DP14" s="161"/>
      <c r="DQ14" s="161"/>
      <c r="DR14" s="161"/>
      <c r="DS14" s="161"/>
      <c r="DT14" s="161"/>
      <c r="DU14" s="161"/>
      <c r="DV14" s="161"/>
      <c r="DW14" s="161"/>
      <c r="DX14" s="161"/>
      <c r="DY14" s="161"/>
      <c r="DZ14" s="161"/>
      <c r="EA14" s="161"/>
      <c r="EB14" s="161"/>
      <c r="EC14" s="161"/>
      <c r="ED14" s="161"/>
      <c r="EE14" s="161"/>
      <c r="EF14" s="161"/>
      <c r="EG14" s="161"/>
      <c r="EH14" s="161"/>
      <c r="EI14" s="161"/>
      <c r="EJ14" s="161"/>
      <c r="EK14" s="161"/>
      <c r="EL14" s="161"/>
      <c r="EM14" s="161"/>
      <c r="EN14" s="161"/>
      <c r="EO14" s="161"/>
      <c r="EP14" s="161"/>
      <c r="EQ14" s="161"/>
      <c r="ER14" s="161"/>
      <c r="ES14" s="161"/>
      <c r="ET14" s="161"/>
      <c r="EU14" s="161"/>
      <c r="EV14" s="161"/>
      <c r="EW14" s="161"/>
      <c r="EX14" s="161"/>
      <c r="EY14" s="161"/>
      <c r="EZ14" s="161"/>
      <c r="FA14" s="161"/>
      <c r="FB14" s="161"/>
      <c r="FC14" s="161"/>
      <c r="FD14" s="161"/>
      <c r="FE14" s="161"/>
      <c r="FF14" s="161"/>
      <c r="FG14" s="161"/>
      <c r="FH14" s="161"/>
      <c r="FI14" s="161"/>
      <c r="FJ14" s="161"/>
      <c r="FK14" s="161"/>
      <c r="FL14" s="161"/>
      <c r="FM14" s="161"/>
      <c r="FN14" s="161"/>
      <c r="FO14" s="161"/>
      <c r="FP14" s="161"/>
      <c r="FQ14" s="161"/>
      <c r="FR14" s="161"/>
      <c r="FS14" s="161"/>
      <c r="FT14" s="161"/>
      <c r="FU14" s="161"/>
      <c r="FV14" s="161"/>
      <c r="FW14" s="161"/>
      <c r="FX14" s="161"/>
      <c r="FY14" s="161"/>
      <c r="FZ14" s="161"/>
      <c r="GA14" s="161"/>
      <c r="GB14" s="161"/>
      <c r="GC14" s="161"/>
      <c r="GD14" s="161"/>
      <c r="GE14" s="161"/>
      <c r="GF14" s="161"/>
      <c r="GG14" s="161"/>
      <c r="GH14" s="161"/>
      <c r="GI14" s="161"/>
      <c r="GJ14" s="161"/>
      <c r="GK14" s="161"/>
      <c r="GL14" s="161"/>
      <c r="GM14" s="161"/>
      <c r="GN14" s="161"/>
      <c r="GO14" s="161"/>
      <c r="GP14" s="161"/>
      <c r="GQ14" s="161"/>
      <c r="GR14" s="161"/>
      <c r="GS14" s="161"/>
      <c r="GT14" s="161"/>
      <c r="GU14" s="161"/>
      <c r="GV14" s="161"/>
      <c r="GW14" s="161"/>
      <c r="GX14" s="161"/>
      <c r="GY14" s="161"/>
      <c r="GZ14" s="161"/>
      <c r="HA14" s="161"/>
      <c r="HB14" s="161"/>
      <c r="HC14" s="161"/>
      <c r="HD14" s="161"/>
      <c r="HE14" s="161"/>
      <c r="HF14" s="161"/>
      <c r="HG14" s="161"/>
      <c r="HH14" s="161"/>
      <c r="HI14" s="161"/>
      <c r="HJ14" s="161"/>
      <c r="HK14" s="161"/>
      <c r="HL14" s="161"/>
      <c r="HM14" s="161"/>
      <c r="HN14" s="161"/>
      <c r="HO14" s="161"/>
      <c r="HP14" s="161"/>
      <c r="HQ14" s="161"/>
      <c r="HR14" s="161"/>
      <c r="HS14" s="161"/>
      <c r="HT14" s="161"/>
      <c r="HU14" s="161"/>
      <c r="HV14" s="161"/>
      <c r="HW14" s="161"/>
      <c r="HX14" s="161"/>
      <c r="HY14" s="161"/>
      <c r="HZ14" s="161"/>
      <c r="IA14" s="161"/>
      <c r="IB14" s="161"/>
      <c r="IC14" s="161"/>
      <c r="ID14" s="161"/>
      <c r="IE14" s="161"/>
      <c r="IF14" s="161"/>
      <c r="IG14" s="161"/>
      <c r="IH14" s="161"/>
      <c r="II14" s="161"/>
      <c r="IJ14" s="161"/>
      <c r="IK14" s="161"/>
      <c r="IL14" s="161"/>
      <c r="IM14" s="161"/>
      <c r="IN14" s="161"/>
      <c r="IO14" s="161"/>
      <c r="IP14" s="161"/>
      <c r="IQ14" s="161"/>
      <c r="IR14" s="161"/>
      <c r="IS14" s="161"/>
      <c r="IT14" s="161"/>
      <c r="IU14" s="161"/>
      <c r="IV14" s="161"/>
      <c r="IW14" s="161"/>
      <c r="IX14" s="161"/>
      <c r="IY14" s="161"/>
      <c r="IZ14" s="161"/>
      <c r="JA14" s="161"/>
      <c r="JB14" s="161"/>
    </row>
    <row r="15" spans="1:262" ht="22.5" customHeight="1">
      <c r="A15" s="1281">
        <v>3</v>
      </c>
      <c r="B15" s="1286" t="s">
        <v>129</v>
      </c>
      <c r="C15" s="1286" t="s">
        <v>229</v>
      </c>
      <c r="D15" s="1282" t="s">
        <v>578</v>
      </c>
      <c r="E15" s="1282" t="s">
        <v>186</v>
      </c>
      <c r="F15" s="1281">
        <v>1.2</v>
      </c>
      <c r="G15" s="406">
        <v>82</v>
      </c>
      <c r="H15" s="533">
        <f>'Trạm 1'!J99/1000</f>
        <v>78.326587000000032</v>
      </c>
      <c r="I15" s="473">
        <f>H15/G15*100%</f>
        <v>0.95520228048780531</v>
      </c>
      <c r="J15" s="1282">
        <v>310</v>
      </c>
      <c r="K15" s="1282"/>
      <c r="L15" s="1287">
        <f>280*I15*F15</f>
        <v>320.94796624390261</v>
      </c>
      <c r="M15" s="1285">
        <f t="shared" ref="M15:M20" si="1">J15+L15+K15</f>
        <v>630.94796624390256</v>
      </c>
      <c r="N15" s="407"/>
      <c r="O15" s="315" t="e">
        <f>#REF!/#REF!</f>
        <v>#REF!</v>
      </c>
      <c r="P15" s="316" t="e">
        <f>L15*O15</f>
        <v>#REF!</v>
      </c>
      <c r="Q15" s="314" t="e">
        <f>J15+P15</f>
        <v>#REF!</v>
      </c>
    </row>
    <row r="16" spans="1:262" ht="22.5" customHeight="1">
      <c r="A16" s="1281">
        <v>4</v>
      </c>
      <c r="B16" s="1286" t="s">
        <v>45</v>
      </c>
      <c r="C16" s="1286" t="s">
        <v>229</v>
      </c>
      <c r="D16" s="1282" t="s">
        <v>579</v>
      </c>
      <c r="E16" s="1282" t="s">
        <v>186</v>
      </c>
      <c r="F16" s="1281">
        <v>1.2</v>
      </c>
      <c r="G16" s="406">
        <v>69</v>
      </c>
      <c r="H16" s="533">
        <f>'Trạm 2'!J82/1000</f>
        <v>73.024987000000024</v>
      </c>
      <c r="I16" s="473">
        <f t="shared" ref="I16:I20" si="2">H16/G16*100%</f>
        <v>1.0583331449275366</v>
      </c>
      <c r="J16" s="1282">
        <v>310</v>
      </c>
      <c r="K16" s="1282"/>
      <c r="L16" s="1287">
        <f>280*I16*F16</f>
        <v>355.59993669565233</v>
      </c>
      <c r="M16" s="1285">
        <f t="shared" si="1"/>
        <v>665.59993669565233</v>
      </c>
      <c r="N16" s="407"/>
      <c r="O16" s="315" t="e">
        <f>#REF!/#REF!</f>
        <v>#REF!</v>
      </c>
      <c r="P16" s="316" t="e">
        <f>L16*O16</f>
        <v>#REF!</v>
      </c>
      <c r="Q16" s="314" t="e">
        <f>J16+P16</f>
        <v>#REF!</v>
      </c>
    </row>
    <row r="17" spans="1:262" ht="22.5" customHeight="1">
      <c r="A17" s="1281">
        <v>5</v>
      </c>
      <c r="B17" s="1286" t="str">
        <f>'Bảng CC - NV'!B14</f>
        <v>Trần Viết Hùng</v>
      </c>
      <c r="C17" s="1286" t="s">
        <v>628</v>
      </c>
      <c r="D17" s="1282" t="s">
        <v>121</v>
      </c>
      <c r="E17" s="1282" t="s">
        <v>186</v>
      </c>
      <c r="F17" s="1281"/>
      <c r="G17" s="406">
        <f>G14</f>
        <v>151</v>
      </c>
      <c r="H17" s="1057">
        <f>H14</f>
        <v>151.35157400000006</v>
      </c>
      <c r="I17" s="473">
        <f t="shared" si="2"/>
        <v>1.0023283046357621</v>
      </c>
      <c r="J17" s="1282">
        <v>280</v>
      </c>
      <c r="K17" s="1282"/>
      <c r="L17" s="1287">
        <f>280*I17</f>
        <v>280.6519252980134</v>
      </c>
      <c r="M17" s="1285">
        <f t="shared" si="1"/>
        <v>560.65192529801334</v>
      </c>
      <c r="N17" s="407"/>
      <c r="O17" s="315" t="e">
        <f>#REF!/#REF!</f>
        <v>#REF!</v>
      </c>
      <c r="P17" s="316" t="e">
        <f>L17*O17</f>
        <v>#REF!</v>
      </c>
      <c r="Q17" s="314" t="e">
        <f>J17+P17</f>
        <v>#REF!</v>
      </c>
    </row>
    <row r="18" spans="1:262" ht="22.5" customHeight="1">
      <c r="A18" s="1281">
        <v>6</v>
      </c>
      <c r="B18" s="1286" t="str">
        <f>'Bảng CC - NV'!B15</f>
        <v>Trần Thị Kim Ngân</v>
      </c>
      <c r="C18" s="1286" t="s">
        <v>605</v>
      </c>
      <c r="D18" s="1282" t="s">
        <v>579</v>
      </c>
      <c r="E18" s="1282" t="s">
        <v>186</v>
      </c>
      <c r="F18" s="1281">
        <f>F16</f>
        <v>1.2</v>
      </c>
      <c r="G18" s="406">
        <f>G16</f>
        <v>69</v>
      </c>
      <c r="H18" s="533">
        <f>H16</f>
        <v>73.024987000000024</v>
      </c>
      <c r="I18" s="473">
        <f t="shared" si="2"/>
        <v>1.0583331449275366</v>
      </c>
      <c r="J18" s="1282">
        <v>230</v>
      </c>
      <c r="K18" s="1282"/>
      <c r="L18" s="1287">
        <f>280*I18*F18</f>
        <v>355.59993669565233</v>
      </c>
      <c r="M18" s="1285">
        <f t="shared" si="1"/>
        <v>585.59993669565233</v>
      </c>
      <c r="N18" s="407"/>
      <c r="O18" s="315"/>
      <c r="P18" s="316">
        <f>M18-M17</f>
        <v>24.948011397638993</v>
      </c>
      <c r="Q18" s="314"/>
    </row>
    <row r="19" spans="1:262" ht="22.5" customHeight="1">
      <c r="A19" s="1281">
        <v>7</v>
      </c>
      <c r="B19" s="1286" t="str">
        <f>'Bảng CC - NV'!B18</f>
        <v>Lê Minh Trí</v>
      </c>
      <c r="C19" s="1286" t="s">
        <v>140</v>
      </c>
      <c r="D19" s="1282" t="s">
        <v>578</v>
      </c>
      <c r="E19" s="1282" t="s">
        <v>186</v>
      </c>
      <c r="F19" s="400"/>
      <c r="G19" s="406">
        <v>282</v>
      </c>
      <c r="H19" s="533">
        <v>267.14999999999998</v>
      </c>
      <c r="I19" s="473">
        <f t="shared" si="2"/>
        <v>0.94734042553191478</v>
      </c>
      <c r="J19" s="1282">
        <v>210</v>
      </c>
      <c r="K19" s="1282"/>
      <c r="L19" s="1287">
        <f>250*I19</f>
        <v>236.83510638297869</v>
      </c>
      <c r="M19" s="1285">
        <f t="shared" si="1"/>
        <v>446.83510638297867</v>
      </c>
      <c r="N19" s="407"/>
      <c r="O19" s="315"/>
      <c r="P19" s="316"/>
      <c r="Q19" s="314"/>
    </row>
    <row r="20" spans="1:262" ht="22.5" customHeight="1">
      <c r="A20" s="1281">
        <v>8</v>
      </c>
      <c r="B20" s="1286" t="str">
        <f>'Bảng CC - NV'!B19</f>
        <v>Nguyễn Văn Cương</v>
      </c>
      <c r="C20" s="1286" t="s">
        <v>140</v>
      </c>
      <c r="D20" s="1282" t="s">
        <v>579</v>
      </c>
      <c r="E20" s="1282" t="s">
        <v>186</v>
      </c>
      <c r="F20" s="400"/>
      <c r="G20" s="406">
        <v>282</v>
      </c>
      <c r="H20" s="533">
        <v>267.14999999999998</v>
      </c>
      <c r="I20" s="473">
        <f t="shared" si="2"/>
        <v>0.94734042553191478</v>
      </c>
      <c r="J20" s="1282">
        <v>210</v>
      </c>
      <c r="K20" s="1282"/>
      <c r="L20" s="1287">
        <f>250*I20</f>
        <v>236.83510638297869</v>
      </c>
      <c r="M20" s="1285">
        <f t="shared" si="1"/>
        <v>446.83510638297867</v>
      </c>
      <c r="N20" s="407"/>
      <c r="O20" s="315"/>
      <c r="P20" s="316"/>
      <c r="Q20" s="314"/>
    </row>
    <row r="21" spans="1:262" ht="28.5" customHeight="1">
      <c r="A21" s="1205" t="s">
        <v>299</v>
      </c>
      <c r="B21" s="1205"/>
      <c r="C21" s="1205"/>
      <c r="D21" s="1282"/>
      <c r="E21" s="1282"/>
      <c r="F21" s="1282"/>
      <c r="G21" s="617"/>
      <c r="H21" s="624"/>
      <c r="I21" s="632"/>
      <c r="J21" s="617">
        <f t="shared" ref="J21" si="3">SUM(J22:J23)</f>
        <v>6000000</v>
      </c>
      <c r="K21" s="617"/>
      <c r="L21" s="617">
        <f>SUM(L22:L23)</f>
        <v>7248727.5314952303</v>
      </c>
      <c r="M21" s="617">
        <f>SUM(M22:M23)</f>
        <v>13248727</v>
      </c>
      <c r="N21" s="407"/>
      <c r="O21" s="263"/>
    </row>
    <row r="22" spans="1:262" ht="26.25" customHeight="1">
      <c r="A22" s="1281">
        <v>1</v>
      </c>
      <c r="B22" s="1282" t="s">
        <v>2</v>
      </c>
      <c r="C22" s="1286" t="s">
        <v>605</v>
      </c>
      <c r="D22" s="1282" t="s">
        <v>578</v>
      </c>
      <c r="E22" s="1282" t="s">
        <v>114</v>
      </c>
      <c r="F22" s="1282">
        <f t="shared" ref="F22:H23" si="4">F15</f>
        <v>1.2</v>
      </c>
      <c r="G22" s="406">
        <f t="shared" si="4"/>
        <v>82</v>
      </c>
      <c r="H22" s="533">
        <f t="shared" si="4"/>
        <v>78.326587000000032</v>
      </c>
      <c r="I22" s="473">
        <f>H22/G22*100%</f>
        <v>0.95520228048780531</v>
      </c>
      <c r="J22" s="1288">
        <v>3000000</v>
      </c>
      <c r="K22" s="1288"/>
      <c r="L22" s="1289">
        <f>3000000*I22*F22</f>
        <v>3438728.2097560992</v>
      </c>
      <c r="M22" s="407">
        <f>ROUND((J22+L22),0)</f>
        <v>6438728</v>
      </c>
      <c r="N22" s="407"/>
      <c r="O22" s="315" t="e">
        <f>#REF!/#REF!</f>
        <v>#REF!</v>
      </c>
      <c r="P22" s="317" t="e">
        <f>L22*O22</f>
        <v>#REF!</v>
      </c>
      <c r="Q22" s="318" t="e">
        <f>J22+P22</f>
        <v>#REF!</v>
      </c>
    </row>
    <row r="23" spans="1:262" ht="26.25" customHeight="1">
      <c r="A23" s="1281">
        <v>2</v>
      </c>
      <c r="B23" s="1286" t="s">
        <v>168</v>
      </c>
      <c r="C23" s="1286" t="s">
        <v>605</v>
      </c>
      <c r="D23" s="1282" t="s">
        <v>579</v>
      </c>
      <c r="E23" s="1282" t="s">
        <v>114</v>
      </c>
      <c r="F23" s="1282">
        <f t="shared" si="4"/>
        <v>1.2</v>
      </c>
      <c r="G23" s="406">
        <f t="shared" si="4"/>
        <v>69</v>
      </c>
      <c r="H23" s="533">
        <f t="shared" si="4"/>
        <v>73.024987000000024</v>
      </c>
      <c r="I23" s="473">
        <f>H23/G23*100%</f>
        <v>1.0583331449275366</v>
      </c>
      <c r="J23" s="1288">
        <v>3000000</v>
      </c>
      <c r="K23" s="1288"/>
      <c r="L23" s="1289">
        <f>3000000*I23*F23</f>
        <v>3809999.3217391316</v>
      </c>
      <c r="M23" s="407">
        <f>ROUND((J23+L23),0)</f>
        <v>6809999</v>
      </c>
      <c r="N23" s="408"/>
      <c r="O23" s="315" t="e">
        <f>#REF!/#REF!</f>
        <v>#REF!</v>
      </c>
      <c r="P23" s="317" t="e">
        <f>L23*O23</f>
        <v>#REF!</v>
      </c>
      <c r="Q23" s="318" t="e">
        <f>J23+P23</f>
        <v>#REF!</v>
      </c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  <c r="EB23" s="146"/>
      <c r="EC23" s="146"/>
      <c r="ED23" s="146"/>
      <c r="EE23" s="146"/>
      <c r="EF23" s="146"/>
      <c r="EG23" s="146"/>
      <c r="EH23" s="146"/>
      <c r="EI23" s="146"/>
      <c r="EJ23" s="146"/>
      <c r="EK23" s="146"/>
      <c r="EL23" s="146"/>
      <c r="EM23" s="146"/>
      <c r="EN23" s="146"/>
      <c r="EO23" s="146"/>
      <c r="EP23" s="146"/>
      <c r="EQ23" s="146"/>
      <c r="ER23" s="146"/>
      <c r="ES23" s="146"/>
      <c r="ET23" s="146"/>
      <c r="EU23" s="146"/>
      <c r="EV23" s="146"/>
      <c r="EW23" s="146"/>
      <c r="EX23" s="146"/>
      <c r="EY23" s="146"/>
      <c r="EZ23" s="146"/>
      <c r="FA23" s="146"/>
      <c r="FB23" s="146"/>
      <c r="FC23" s="146"/>
      <c r="FD23" s="146"/>
      <c r="FE23" s="146"/>
      <c r="FF23" s="146"/>
      <c r="FG23" s="146"/>
      <c r="FH23" s="146"/>
      <c r="FI23" s="146"/>
      <c r="FJ23" s="146"/>
      <c r="FK23" s="146"/>
      <c r="FL23" s="146"/>
      <c r="FM23" s="146"/>
      <c r="FN23" s="146"/>
      <c r="FO23" s="146"/>
      <c r="FP23" s="146"/>
      <c r="FQ23" s="146"/>
      <c r="FR23" s="146"/>
      <c r="FS23" s="146"/>
      <c r="FT23" s="146"/>
      <c r="FU23" s="146"/>
      <c r="FV23" s="146"/>
      <c r="FW23" s="146"/>
      <c r="FX23" s="146"/>
      <c r="FY23" s="146"/>
      <c r="FZ23" s="146"/>
      <c r="GA23" s="146"/>
      <c r="GB23" s="146"/>
      <c r="GC23" s="146"/>
      <c r="GD23" s="146"/>
      <c r="GE23" s="146"/>
      <c r="GF23" s="146"/>
      <c r="GG23" s="146"/>
      <c r="GH23" s="146"/>
      <c r="GI23" s="146"/>
      <c r="GJ23" s="146"/>
      <c r="GK23" s="146"/>
      <c r="GL23" s="146"/>
      <c r="GM23" s="146"/>
      <c r="GN23" s="146"/>
      <c r="GO23" s="146"/>
      <c r="GP23" s="146"/>
      <c r="GQ23" s="146"/>
      <c r="GR23" s="146"/>
      <c r="GS23" s="146"/>
      <c r="GT23" s="146"/>
      <c r="GU23" s="146"/>
      <c r="GV23" s="146"/>
      <c r="GW23" s="146"/>
      <c r="GX23" s="146"/>
      <c r="GY23" s="146"/>
      <c r="GZ23" s="146"/>
      <c r="HA23" s="146"/>
      <c r="HB23" s="146"/>
      <c r="HC23" s="146"/>
      <c r="HD23" s="146"/>
      <c r="HE23" s="146"/>
      <c r="HF23" s="146"/>
      <c r="HG23" s="146"/>
      <c r="HH23" s="146"/>
      <c r="HI23" s="146"/>
      <c r="HJ23" s="146"/>
      <c r="HK23" s="146"/>
      <c r="HL23" s="146"/>
      <c r="HM23" s="146"/>
      <c r="HN23" s="146"/>
      <c r="HO23" s="146"/>
      <c r="HP23" s="146"/>
      <c r="HQ23" s="146"/>
      <c r="HR23" s="146"/>
      <c r="HS23" s="146"/>
      <c r="HT23" s="146"/>
      <c r="HU23" s="146"/>
      <c r="HV23" s="146"/>
      <c r="HW23" s="146"/>
      <c r="HX23" s="146"/>
      <c r="HY23" s="146"/>
      <c r="HZ23" s="146"/>
      <c r="IA23" s="146"/>
      <c r="IB23" s="146"/>
      <c r="IC23" s="146"/>
      <c r="ID23" s="146"/>
      <c r="IE23" s="146"/>
      <c r="IF23" s="146"/>
      <c r="IG23" s="146"/>
      <c r="IH23" s="146"/>
      <c r="II23" s="146"/>
      <c r="IJ23" s="146"/>
      <c r="IK23" s="146"/>
      <c r="IL23" s="146"/>
      <c r="IM23" s="146"/>
      <c r="IN23" s="146"/>
      <c r="IO23" s="146"/>
      <c r="IP23" s="146"/>
      <c r="IQ23" s="146"/>
      <c r="IR23" s="146"/>
      <c r="IS23" s="146"/>
      <c r="IT23" s="146"/>
      <c r="IU23" s="146"/>
      <c r="IV23" s="146"/>
      <c r="IW23" s="146"/>
      <c r="IX23" s="146"/>
      <c r="IY23" s="146"/>
      <c r="IZ23" s="146"/>
      <c r="JA23" s="146"/>
      <c r="JB23" s="146"/>
    </row>
    <row r="24" spans="1:262" ht="29.25" customHeight="1">
      <c r="A24" s="398"/>
      <c r="B24" s="398"/>
      <c r="C24" s="398"/>
      <c r="D24" s="1545" t="s">
        <v>620</v>
      </c>
      <c r="E24" s="1545"/>
      <c r="F24" s="1545"/>
      <c r="G24" s="1545"/>
      <c r="H24" s="1545"/>
      <c r="I24" s="1545"/>
      <c r="J24" s="1545"/>
      <c r="K24" s="1545"/>
      <c r="L24" s="1545"/>
      <c r="M24" s="1545"/>
      <c r="N24" s="1545"/>
      <c r="O24" s="280"/>
      <c r="P24" s="145"/>
      <c r="Q24" s="285"/>
      <c r="R24" s="145"/>
      <c r="S24" s="145"/>
      <c r="T24" s="145"/>
      <c r="U24" s="281"/>
      <c r="V24" s="145"/>
      <c r="W24" s="145"/>
      <c r="X24" s="145"/>
      <c r="Y24" s="145"/>
      <c r="Z24" s="145"/>
      <c r="AA24" s="145"/>
      <c r="AB24" s="145"/>
      <c r="AC24" s="145"/>
      <c r="AD24" s="145"/>
      <c r="AE24" s="145"/>
      <c r="AF24" s="145"/>
      <c r="AG24" s="145"/>
      <c r="AH24" s="145"/>
      <c r="AI24" s="145"/>
      <c r="AJ24" s="145"/>
      <c r="AK24" s="145"/>
      <c r="AL24" s="145"/>
      <c r="AM24" s="145"/>
      <c r="AN24" s="145"/>
      <c r="AO24" s="145"/>
      <c r="AP24" s="145"/>
      <c r="AQ24" s="145"/>
      <c r="AR24" s="145"/>
      <c r="AS24" s="145"/>
      <c r="AT24" s="145"/>
      <c r="AU24" s="145"/>
      <c r="AV24" s="145"/>
      <c r="AW24" s="145"/>
      <c r="AX24" s="145"/>
      <c r="AY24" s="145"/>
      <c r="AZ24" s="145"/>
      <c r="BA24" s="145"/>
      <c r="BB24" s="145"/>
      <c r="BC24" s="145"/>
      <c r="BD24" s="145"/>
      <c r="BE24" s="145"/>
      <c r="BF24" s="145"/>
      <c r="BG24" s="145"/>
      <c r="BH24" s="145"/>
      <c r="BI24" s="145"/>
      <c r="BJ24" s="145"/>
      <c r="BK24" s="145"/>
      <c r="BL24" s="145"/>
      <c r="BM24" s="145"/>
      <c r="BN24" s="145"/>
      <c r="BO24" s="145"/>
      <c r="BP24" s="145"/>
      <c r="BQ24" s="145"/>
      <c r="BR24" s="145"/>
      <c r="BS24" s="145"/>
      <c r="BT24" s="145"/>
      <c r="BU24" s="145"/>
      <c r="BV24" s="145"/>
      <c r="BW24" s="145"/>
      <c r="BX24" s="145"/>
      <c r="BY24" s="145"/>
      <c r="BZ24" s="145"/>
      <c r="CA24" s="145"/>
      <c r="CB24" s="145"/>
      <c r="CC24" s="145"/>
      <c r="CD24" s="145"/>
      <c r="CE24" s="145"/>
      <c r="CF24" s="145"/>
      <c r="CG24" s="145"/>
      <c r="CH24" s="145"/>
      <c r="CI24" s="145"/>
      <c r="CJ24" s="145"/>
      <c r="CK24" s="145"/>
      <c r="CL24" s="145"/>
      <c r="CM24" s="145"/>
      <c r="CN24" s="145"/>
      <c r="CO24" s="145"/>
      <c r="CP24" s="145"/>
      <c r="CQ24" s="145"/>
      <c r="CR24" s="145"/>
      <c r="CS24" s="145"/>
      <c r="CT24" s="145"/>
      <c r="CU24" s="145"/>
      <c r="CV24" s="145"/>
      <c r="CW24" s="145"/>
      <c r="CX24" s="145"/>
      <c r="CY24" s="145"/>
      <c r="CZ24" s="145"/>
      <c r="DA24" s="145"/>
      <c r="DB24" s="145"/>
      <c r="DC24" s="145"/>
      <c r="DD24" s="145"/>
      <c r="DE24" s="145"/>
      <c r="DF24" s="145"/>
      <c r="DG24" s="145"/>
      <c r="DH24" s="145"/>
      <c r="DI24" s="145"/>
      <c r="DJ24" s="145"/>
      <c r="DK24" s="145"/>
      <c r="DL24" s="145"/>
      <c r="DM24" s="145"/>
      <c r="DN24" s="145"/>
      <c r="DO24" s="145"/>
      <c r="DP24" s="145"/>
      <c r="DQ24" s="145"/>
      <c r="DR24" s="145"/>
      <c r="DS24" s="145"/>
      <c r="DT24" s="145"/>
      <c r="DU24" s="145"/>
      <c r="DV24" s="145"/>
      <c r="DW24" s="145"/>
      <c r="DX24" s="145"/>
      <c r="DY24" s="145"/>
      <c r="DZ24" s="145"/>
      <c r="EA24" s="145"/>
      <c r="EB24" s="145"/>
      <c r="EC24" s="145"/>
      <c r="ED24" s="145"/>
      <c r="EE24" s="145"/>
      <c r="EF24" s="145"/>
      <c r="EG24" s="145"/>
      <c r="EH24" s="145"/>
      <c r="EI24" s="145"/>
      <c r="EJ24" s="145"/>
      <c r="EK24" s="145"/>
      <c r="EL24" s="145"/>
      <c r="EM24" s="145"/>
      <c r="EN24" s="145"/>
      <c r="EO24" s="145"/>
      <c r="EP24" s="145"/>
      <c r="EQ24" s="145"/>
      <c r="ER24" s="145"/>
      <c r="ES24" s="145"/>
      <c r="ET24" s="145"/>
      <c r="EU24" s="145"/>
      <c r="EV24" s="145"/>
      <c r="EW24" s="145"/>
      <c r="EX24" s="145"/>
      <c r="EY24" s="145"/>
      <c r="EZ24" s="145"/>
      <c r="FA24" s="145"/>
      <c r="FB24" s="145"/>
      <c r="FC24" s="145"/>
      <c r="FD24" s="145"/>
      <c r="FE24" s="145"/>
      <c r="FF24" s="145"/>
      <c r="FG24" s="145"/>
      <c r="FH24" s="145"/>
      <c r="FI24" s="145"/>
      <c r="FJ24" s="145"/>
      <c r="FK24" s="145"/>
      <c r="FL24" s="145"/>
      <c r="FM24" s="145"/>
      <c r="FN24" s="145"/>
      <c r="FO24" s="145"/>
      <c r="FP24" s="145"/>
      <c r="FQ24" s="145"/>
      <c r="FR24" s="145"/>
      <c r="FS24" s="145"/>
      <c r="FT24" s="145"/>
      <c r="FU24" s="145"/>
      <c r="FV24" s="145"/>
      <c r="FW24" s="145"/>
      <c r="FX24" s="145"/>
      <c r="FY24" s="145"/>
      <c r="FZ24" s="145"/>
      <c r="GA24" s="145"/>
      <c r="GB24" s="145"/>
      <c r="GC24" s="145"/>
      <c r="GD24" s="145"/>
      <c r="GE24" s="145"/>
      <c r="GF24" s="145"/>
      <c r="GG24" s="145"/>
      <c r="GH24" s="145"/>
      <c r="GI24" s="145"/>
      <c r="GJ24" s="145"/>
      <c r="GK24" s="145"/>
      <c r="GL24" s="145"/>
      <c r="GM24" s="145"/>
      <c r="GN24" s="145"/>
      <c r="GO24" s="145"/>
      <c r="GP24" s="145"/>
      <c r="GQ24" s="145"/>
      <c r="GR24" s="145"/>
      <c r="GS24" s="145"/>
      <c r="GT24" s="145"/>
      <c r="GU24" s="145"/>
      <c r="GV24" s="145"/>
      <c r="GW24" s="145"/>
      <c r="GX24" s="145"/>
      <c r="GY24" s="145"/>
      <c r="GZ24" s="145"/>
      <c r="HA24" s="145"/>
      <c r="HB24" s="145"/>
      <c r="HC24" s="145"/>
      <c r="HD24" s="145"/>
      <c r="HE24" s="145"/>
      <c r="HF24" s="145"/>
      <c r="HG24" s="145"/>
      <c r="HH24" s="145"/>
      <c r="HI24" s="145"/>
      <c r="HJ24" s="145"/>
      <c r="HK24" s="145"/>
      <c r="HL24" s="145"/>
      <c r="HM24" s="145"/>
      <c r="HN24" s="145"/>
      <c r="HO24" s="145"/>
      <c r="HP24" s="145"/>
      <c r="HQ24" s="145"/>
      <c r="HR24" s="145"/>
      <c r="HS24" s="145"/>
      <c r="HT24" s="145"/>
      <c r="HU24" s="145"/>
      <c r="HV24" s="145"/>
      <c r="HW24" s="145"/>
      <c r="HX24" s="145"/>
      <c r="HY24" s="145"/>
      <c r="HZ24" s="145"/>
      <c r="IA24" s="145"/>
      <c r="IB24" s="145"/>
      <c r="IC24" s="145"/>
      <c r="ID24" s="145"/>
      <c r="IE24" s="145"/>
      <c r="IF24" s="145"/>
      <c r="IG24" s="145"/>
      <c r="IH24" s="145"/>
      <c r="II24" s="145"/>
      <c r="IJ24" s="145"/>
      <c r="IK24" s="145"/>
      <c r="IL24" s="145"/>
      <c r="IM24" s="145"/>
      <c r="IN24" s="145"/>
      <c r="IO24" s="145"/>
      <c r="IP24" s="145"/>
      <c r="IQ24" s="145"/>
      <c r="IR24" s="145"/>
      <c r="IS24" s="145"/>
      <c r="IT24" s="145"/>
      <c r="IU24" s="145"/>
      <c r="IV24" s="145"/>
      <c r="IW24" s="145"/>
      <c r="IX24" s="145"/>
      <c r="IY24" s="145"/>
      <c r="IZ24" s="145"/>
      <c r="JA24" s="145"/>
      <c r="JB24" s="145"/>
    </row>
    <row r="25" spans="1:262" ht="12" customHeight="1">
      <c r="A25" s="264"/>
      <c r="B25" s="264"/>
      <c r="C25" s="264"/>
      <c r="D25" s="264"/>
      <c r="E25" s="264"/>
      <c r="F25" s="264"/>
      <c r="G25" s="264"/>
      <c r="H25" s="265"/>
      <c r="I25" s="265"/>
      <c r="J25" s="264"/>
      <c r="K25" s="264"/>
      <c r="L25" s="264"/>
      <c r="M25" s="265"/>
      <c r="N25" s="265"/>
      <c r="O25" s="280"/>
      <c r="P25" s="145"/>
      <c r="Q25" s="145"/>
      <c r="R25" s="145" t="s">
        <v>289</v>
      </c>
      <c r="S25" s="145"/>
      <c r="T25" s="145"/>
      <c r="U25" s="286"/>
      <c r="V25" s="282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45"/>
      <c r="BG25" s="145"/>
      <c r="BH25" s="145"/>
      <c r="BI25" s="145"/>
      <c r="BJ25" s="145"/>
      <c r="BK25" s="145"/>
      <c r="BL25" s="145"/>
      <c r="BM25" s="145"/>
      <c r="BN25" s="145"/>
      <c r="BO25" s="145"/>
      <c r="BP25" s="145"/>
      <c r="BQ25" s="145"/>
      <c r="BR25" s="145"/>
      <c r="BS25" s="145"/>
      <c r="BT25" s="145"/>
      <c r="BU25" s="145"/>
      <c r="BV25" s="145"/>
      <c r="BW25" s="145"/>
      <c r="BX25" s="145"/>
      <c r="BY25" s="145"/>
      <c r="BZ25" s="145"/>
      <c r="CA25" s="145"/>
      <c r="CB25" s="145"/>
      <c r="CC25" s="145"/>
      <c r="CD25" s="145"/>
      <c r="CE25" s="145"/>
      <c r="CF25" s="145"/>
      <c r="CG25" s="145"/>
      <c r="CH25" s="145"/>
      <c r="CI25" s="145"/>
      <c r="CJ25" s="145"/>
      <c r="CK25" s="145"/>
      <c r="CL25" s="145"/>
      <c r="CM25" s="145"/>
      <c r="CN25" s="145"/>
      <c r="CO25" s="145"/>
      <c r="CP25" s="145"/>
      <c r="CQ25" s="145"/>
      <c r="CR25" s="145"/>
      <c r="CS25" s="145"/>
      <c r="CT25" s="145"/>
      <c r="CU25" s="145"/>
      <c r="CV25" s="145"/>
      <c r="CW25" s="145"/>
      <c r="CX25" s="145"/>
      <c r="CY25" s="145"/>
      <c r="CZ25" s="145"/>
      <c r="DA25" s="145"/>
      <c r="DB25" s="145"/>
      <c r="DC25" s="145"/>
      <c r="DD25" s="145"/>
      <c r="DE25" s="145"/>
      <c r="DF25" s="145"/>
      <c r="DG25" s="145"/>
      <c r="DH25" s="145"/>
      <c r="DI25" s="145"/>
      <c r="DJ25" s="145"/>
      <c r="DK25" s="145"/>
      <c r="DL25" s="145"/>
      <c r="DM25" s="145"/>
      <c r="DN25" s="145"/>
      <c r="DO25" s="145"/>
      <c r="DP25" s="145"/>
      <c r="DQ25" s="145"/>
      <c r="DR25" s="145"/>
      <c r="DS25" s="145"/>
      <c r="DT25" s="145"/>
      <c r="DU25" s="145"/>
      <c r="DV25" s="145"/>
      <c r="DW25" s="145"/>
      <c r="DX25" s="145"/>
      <c r="DY25" s="145"/>
      <c r="DZ25" s="145"/>
      <c r="EA25" s="145"/>
      <c r="EB25" s="145"/>
      <c r="EC25" s="145"/>
      <c r="ED25" s="145"/>
      <c r="EE25" s="145"/>
      <c r="EF25" s="145"/>
      <c r="EG25" s="145"/>
      <c r="EH25" s="145"/>
      <c r="EI25" s="145"/>
      <c r="EJ25" s="145"/>
      <c r="EK25" s="145"/>
      <c r="EL25" s="145"/>
      <c r="EM25" s="145"/>
      <c r="EN25" s="145"/>
      <c r="EO25" s="145"/>
      <c r="EP25" s="145"/>
      <c r="EQ25" s="145"/>
      <c r="ER25" s="145"/>
      <c r="ES25" s="145"/>
      <c r="ET25" s="145"/>
      <c r="EU25" s="145"/>
      <c r="EV25" s="145"/>
      <c r="EW25" s="145"/>
      <c r="EX25" s="145"/>
      <c r="EY25" s="145"/>
      <c r="EZ25" s="145"/>
      <c r="FA25" s="145"/>
      <c r="FB25" s="145"/>
      <c r="FC25" s="145"/>
      <c r="FD25" s="145"/>
      <c r="FE25" s="145"/>
      <c r="FF25" s="145"/>
      <c r="FG25" s="145"/>
      <c r="FH25" s="145"/>
      <c r="FI25" s="145"/>
      <c r="FJ25" s="145"/>
      <c r="FK25" s="145"/>
      <c r="FL25" s="145"/>
      <c r="FM25" s="145"/>
      <c r="FN25" s="145"/>
      <c r="FO25" s="145"/>
      <c r="FP25" s="145"/>
      <c r="FQ25" s="145"/>
      <c r="FR25" s="145"/>
      <c r="FS25" s="145"/>
      <c r="FT25" s="145"/>
      <c r="FU25" s="145"/>
      <c r="FV25" s="145"/>
      <c r="FW25" s="145"/>
      <c r="FX25" s="145"/>
      <c r="FY25" s="145"/>
      <c r="FZ25" s="145"/>
      <c r="GA25" s="145"/>
      <c r="GB25" s="145"/>
      <c r="GC25" s="145"/>
      <c r="GD25" s="145"/>
      <c r="GE25" s="145"/>
      <c r="GF25" s="145"/>
      <c r="GG25" s="145"/>
      <c r="GH25" s="145"/>
      <c r="GI25" s="145"/>
      <c r="GJ25" s="145"/>
      <c r="GK25" s="145"/>
      <c r="GL25" s="145"/>
      <c r="GM25" s="145"/>
      <c r="GN25" s="145"/>
      <c r="GO25" s="145"/>
      <c r="GP25" s="145"/>
      <c r="GQ25" s="145"/>
      <c r="GR25" s="145"/>
      <c r="GS25" s="145"/>
      <c r="GT25" s="145"/>
      <c r="GU25" s="145"/>
      <c r="GV25" s="145"/>
      <c r="GW25" s="145"/>
      <c r="GX25" s="145"/>
      <c r="GY25" s="145"/>
      <c r="GZ25" s="145"/>
      <c r="HA25" s="145"/>
      <c r="HB25" s="145"/>
      <c r="HC25" s="145"/>
      <c r="HD25" s="145"/>
      <c r="HE25" s="145"/>
      <c r="HF25" s="145"/>
      <c r="HG25" s="145"/>
      <c r="HH25" s="145"/>
      <c r="HI25" s="145"/>
      <c r="HJ25" s="145"/>
      <c r="HK25" s="145"/>
      <c r="HL25" s="145"/>
      <c r="HM25" s="145"/>
      <c r="HN25" s="145"/>
      <c r="HO25" s="145"/>
      <c r="HP25" s="145"/>
      <c r="HQ25" s="145"/>
      <c r="HR25" s="145"/>
      <c r="HS25" s="145"/>
      <c r="HT25" s="145"/>
      <c r="HU25" s="145"/>
      <c r="HV25" s="145"/>
      <c r="HW25" s="145"/>
      <c r="HX25" s="145"/>
      <c r="HY25" s="145"/>
      <c r="HZ25" s="145"/>
      <c r="IA25" s="145"/>
      <c r="IB25" s="145"/>
      <c r="IC25" s="145"/>
      <c r="ID25" s="145"/>
      <c r="IE25" s="145"/>
      <c r="IF25" s="145"/>
      <c r="IG25" s="145"/>
      <c r="IH25" s="145"/>
      <c r="II25" s="145"/>
      <c r="IJ25" s="145"/>
      <c r="IK25" s="145"/>
      <c r="IL25" s="145"/>
      <c r="IM25" s="145"/>
      <c r="IN25" s="145"/>
      <c r="IO25" s="145"/>
      <c r="IP25" s="145"/>
      <c r="IQ25" s="145"/>
      <c r="IR25" s="145"/>
      <c r="IS25" s="145"/>
      <c r="IT25" s="145"/>
      <c r="IU25" s="145"/>
      <c r="IV25" s="145"/>
      <c r="IW25" s="145"/>
      <c r="IX25" s="145"/>
      <c r="IY25" s="145"/>
      <c r="IZ25" s="145"/>
      <c r="JA25" s="145"/>
      <c r="JB25" s="145"/>
    </row>
    <row r="26" spans="1:262" ht="19.5">
      <c r="A26" s="1543" t="s">
        <v>424</v>
      </c>
      <c r="B26" s="1543"/>
      <c r="C26" s="1543"/>
      <c r="D26" s="1543"/>
      <c r="E26" s="1543"/>
      <c r="F26" s="1543"/>
      <c r="G26" s="1543"/>
      <c r="H26" s="1543"/>
      <c r="I26" s="1543"/>
      <c r="J26" s="1543"/>
      <c r="K26" s="1543"/>
      <c r="L26" s="1543"/>
      <c r="M26" s="1543"/>
      <c r="N26" s="1543"/>
      <c r="O26" s="283"/>
      <c r="P26" s="428">
        <f>SUM(H15:H17)</f>
        <v>302.70314800000011</v>
      </c>
      <c r="Q26" s="287"/>
      <c r="R26" s="146"/>
      <c r="S26" s="146"/>
      <c r="T26" s="146"/>
      <c r="U26" s="284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146"/>
      <c r="BH26" s="146"/>
      <c r="BI26" s="146"/>
      <c r="BJ26" s="146"/>
      <c r="BK26" s="146"/>
      <c r="BL26" s="146"/>
      <c r="BM26" s="146"/>
      <c r="BN26" s="146"/>
      <c r="BO26" s="146"/>
      <c r="BP26" s="146"/>
      <c r="BQ26" s="146"/>
      <c r="BR26" s="146"/>
      <c r="BS26" s="146"/>
      <c r="BT26" s="146"/>
      <c r="BU26" s="146"/>
      <c r="BV26" s="146"/>
      <c r="BW26" s="146"/>
      <c r="BX26" s="146"/>
      <c r="BY26" s="146"/>
      <c r="BZ26" s="146"/>
      <c r="CA26" s="146"/>
      <c r="CB26" s="146"/>
      <c r="CC26" s="146"/>
      <c r="CD26" s="146"/>
      <c r="CE26" s="146"/>
      <c r="CF26" s="146"/>
      <c r="CG26" s="146"/>
      <c r="CH26" s="146"/>
      <c r="CI26" s="146"/>
      <c r="CJ26" s="146"/>
      <c r="CK26" s="146"/>
      <c r="CL26" s="146"/>
      <c r="CM26" s="146"/>
      <c r="CN26" s="146"/>
      <c r="CO26" s="146"/>
      <c r="CP26" s="146"/>
      <c r="CQ26" s="146"/>
      <c r="CR26" s="146"/>
      <c r="CS26" s="146"/>
      <c r="CT26" s="146"/>
      <c r="CU26" s="146"/>
      <c r="CV26" s="146"/>
      <c r="CW26" s="146"/>
      <c r="CX26" s="146"/>
      <c r="CY26" s="146"/>
      <c r="CZ26" s="146"/>
      <c r="DA26" s="146"/>
      <c r="DB26" s="146"/>
      <c r="DC26" s="146"/>
      <c r="DD26" s="146"/>
      <c r="DE26" s="146"/>
      <c r="DF26" s="146"/>
      <c r="DG26" s="146"/>
      <c r="DH26" s="146"/>
      <c r="DI26" s="146"/>
      <c r="DJ26" s="146"/>
      <c r="DK26" s="146"/>
      <c r="DL26" s="146"/>
      <c r="DM26" s="146"/>
      <c r="DN26" s="146"/>
      <c r="DO26" s="146"/>
      <c r="DP26" s="146"/>
      <c r="DQ26" s="146"/>
      <c r="DR26" s="146"/>
      <c r="DS26" s="146"/>
      <c r="DT26" s="146"/>
      <c r="DU26" s="146"/>
      <c r="DV26" s="146"/>
      <c r="DW26" s="146"/>
      <c r="DX26" s="146"/>
      <c r="DY26" s="146"/>
      <c r="DZ26" s="146"/>
      <c r="EA26" s="146"/>
      <c r="EB26" s="146"/>
      <c r="EC26" s="146"/>
      <c r="ED26" s="146"/>
      <c r="EE26" s="146"/>
      <c r="EF26" s="146"/>
      <c r="EG26" s="146"/>
      <c r="EH26" s="146"/>
      <c r="EI26" s="146"/>
      <c r="EJ26" s="146"/>
      <c r="EK26" s="146"/>
      <c r="EL26" s="146"/>
      <c r="EM26" s="146"/>
      <c r="EN26" s="146"/>
      <c r="EO26" s="146"/>
      <c r="EP26" s="146"/>
      <c r="EQ26" s="146"/>
      <c r="ER26" s="146"/>
      <c r="ES26" s="146"/>
      <c r="ET26" s="146"/>
      <c r="EU26" s="146"/>
      <c r="EV26" s="146"/>
      <c r="EW26" s="146"/>
      <c r="EX26" s="146"/>
      <c r="EY26" s="146"/>
      <c r="EZ26" s="146"/>
      <c r="FA26" s="146"/>
      <c r="FB26" s="146"/>
      <c r="FC26" s="146"/>
      <c r="FD26" s="146"/>
      <c r="FE26" s="146"/>
      <c r="FF26" s="146"/>
      <c r="FG26" s="146"/>
      <c r="FH26" s="146"/>
      <c r="FI26" s="146"/>
      <c r="FJ26" s="146"/>
      <c r="FK26" s="146"/>
      <c r="FL26" s="146"/>
      <c r="FM26" s="146"/>
      <c r="FN26" s="146"/>
      <c r="FO26" s="146"/>
      <c r="FP26" s="146"/>
      <c r="FQ26" s="146"/>
      <c r="FR26" s="146"/>
      <c r="FS26" s="146"/>
      <c r="FT26" s="146"/>
      <c r="FU26" s="146"/>
      <c r="FV26" s="146"/>
      <c r="FW26" s="146"/>
      <c r="FX26" s="146"/>
      <c r="FY26" s="146"/>
      <c r="FZ26" s="146"/>
      <c r="GA26" s="146"/>
      <c r="GB26" s="146"/>
      <c r="GC26" s="146"/>
      <c r="GD26" s="146"/>
      <c r="GE26" s="146"/>
      <c r="GF26" s="146"/>
      <c r="GG26" s="146"/>
      <c r="GH26" s="146"/>
      <c r="GI26" s="146"/>
      <c r="GJ26" s="146"/>
      <c r="GK26" s="146"/>
      <c r="GL26" s="146"/>
      <c r="GM26" s="146"/>
      <c r="GN26" s="146"/>
      <c r="GO26" s="146"/>
      <c r="GP26" s="146"/>
      <c r="GQ26" s="146"/>
      <c r="GR26" s="146"/>
      <c r="GS26" s="146"/>
      <c r="GT26" s="146"/>
      <c r="GU26" s="146"/>
      <c r="GV26" s="146"/>
      <c r="GW26" s="146"/>
      <c r="GX26" s="146"/>
      <c r="GY26" s="146"/>
      <c r="GZ26" s="146"/>
      <c r="HA26" s="146"/>
      <c r="HB26" s="146"/>
      <c r="HC26" s="146"/>
      <c r="HD26" s="146"/>
      <c r="HE26" s="146"/>
      <c r="HF26" s="146"/>
      <c r="HG26" s="146"/>
      <c r="HH26" s="146"/>
      <c r="HI26" s="146"/>
      <c r="HJ26" s="146"/>
      <c r="HK26" s="146"/>
      <c r="HL26" s="146"/>
      <c r="HM26" s="146"/>
      <c r="HN26" s="146"/>
      <c r="HO26" s="146"/>
      <c r="HP26" s="146"/>
      <c r="HQ26" s="146"/>
      <c r="HR26" s="146"/>
      <c r="HS26" s="146"/>
      <c r="HT26" s="146"/>
      <c r="HU26" s="146"/>
      <c r="HV26" s="146"/>
      <c r="HW26" s="146"/>
      <c r="HX26" s="146"/>
      <c r="HY26" s="146"/>
      <c r="HZ26" s="146"/>
      <c r="IA26" s="146"/>
      <c r="IB26" s="146"/>
      <c r="IC26" s="146"/>
      <c r="ID26" s="146"/>
      <c r="IE26" s="146"/>
      <c r="IF26" s="146"/>
      <c r="IG26" s="146"/>
      <c r="IH26" s="146"/>
      <c r="II26" s="146"/>
      <c r="IJ26" s="146"/>
      <c r="IK26" s="146"/>
      <c r="IL26" s="146"/>
      <c r="IM26" s="146"/>
      <c r="IN26" s="146"/>
      <c r="IO26" s="146"/>
      <c r="IP26" s="146"/>
      <c r="IQ26" s="146"/>
      <c r="IR26" s="146"/>
      <c r="IS26" s="146"/>
      <c r="IT26" s="146"/>
      <c r="IU26" s="146"/>
      <c r="IV26" s="146"/>
      <c r="IW26" s="146"/>
      <c r="IX26" s="146"/>
      <c r="IY26" s="146"/>
      <c r="IZ26" s="146"/>
      <c r="JA26" s="146"/>
      <c r="JB26" s="146"/>
    </row>
    <row r="27" spans="1:262" ht="19.5">
      <c r="A27" s="398"/>
      <c r="B27" s="398"/>
      <c r="C27" s="398"/>
      <c r="D27" s="398"/>
      <c r="E27" s="398"/>
      <c r="F27" s="398"/>
      <c r="G27" s="398"/>
      <c r="H27" s="399"/>
      <c r="I27" s="399"/>
      <c r="J27" s="398"/>
      <c r="K27" s="398"/>
      <c r="L27" s="398"/>
      <c r="M27" s="399"/>
      <c r="N27" s="399"/>
      <c r="O27" s="280"/>
      <c r="P27" s="145"/>
      <c r="Q27" s="145"/>
      <c r="R27" s="145"/>
      <c r="S27" s="145"/>
      <c r="T27" s="145"/>
      <c r="U27" s="281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45"/>
      <c r="CF27" s="145"/>
      <c r="CG27" s="145"/>
      <c r="CH27" s="145"/>
      <c r="CI27" s="145"/>
      <c r="CJ27" s="145"/>
      <c r="CK27" s="145"/>
      <c r="CL27" s="145"/>
      <c r="CM27" s="145"/>
      <c r="CN27" s="145"/>
      <c r="CO27" s="145"/>
      <c r="CP27" s="145"/>
      <c r="CQ27" s="145"/>
      <c r="CR27" s="145"/>
      <c r="CS27" s="145"/>
      <c r="CT27" s="145"/>
      <c r="CU27" s="145"/>
      <c r="CV27" s="145"/>
      <c r="CW27" s="145"/>
      <c r="CX27" s="145"/>
      <c r="CY27" s="145"/>
      <c r="CZ27" s="145"/>
      <c r="DA27" s="145"/>
      <c r="DB27" s="145"/>
      <c r="DC27" s="145"/>
      <c r="DD27" s="145"/>
      <c r="DE27" s="145"/>
      <c r="DF27" s="145"/>
      <c r="DG27" s="145"/>
      <c r="DH27" s="145"/>
      <c r="DI27" s="145"/>
      <c r="DJ27" s="145"/>
      <c r="DK27" s="145"/>
      <c r="DL27" s="145"/>
      <c r="DM27" s="145"/>
      <c r="DN27" s="145"/>
      <c r="DO27" s="145"/>
      <c r="DP27" s="145"/>
      <c r="DQ27" s="145"/>
      <c r="DR27" s="145"/>
      <c r="DS27" s="145"/>
      <c r="DT27" s="145"/>
      <c r="DU27" s="145"/>
      <c r="DV27" s="145"/>
      <c r="DW27" s="145"/>
      <c r="DX27" s="145"/>
      <c r="DY27" s="145"/>
      <c r="DZ27" s="145"/>
      <c r="EA27" s="145"/>
      <c r="EB27" s="145"/>
      <c r="EC27" s="145"/>
      <c r="ED27" s="145"/>
      <c r="EE27" s="145"/>
      <c r="EF27" s="145"/>
      <c r="EG27" s="145"/>
      <c r="EH27" s="145"/>
      <c r="EI27" s="145"/>
      <c r="EJ27" s="145"/>
      <c r="EK27" s="145"/>
      <c r="EL27" s="145"/>
      <c r="EM27" s="145"/>
      <c r="EN27" s="145"/>
      <c r="EO27" s="145"/>
      <c r="EP27" s="145"/>
      <c r="EQ27" s="145"/>
      <c r="ER27" s="145"/>
      <c r="ES27" s="145"/>
      <c r="ET27" s="145"/>
      <c r="EU27" s="145"/>
      <c r="EV27" s="145"/>
      <c r="EW27" s="145"/>
      <c r="EX27" s="145"/>
      <c r="EY27" s="145"/>
      <c r="EZ27" s="145"/>
      <c r="FA27" s="145"/>
      <c r="FB27" s="145"/>
      <c r="FC27" s="145"/>
      <c r="FD27" s="145"/>
      <c r="FE27" s="145"/>
      <c r="FF27" s="145"/>
      <c r="FG27" s="145"/>
      <c r="FH27" s="145"/>
      <c r="FI27" s="145"/>
      <c r="FJ27" s="145"/>
      <c r="FK27" s="145"/>
      <c r="FL27" s="145"/>
      <c r="FM27" s="145"/>
      <c r="FN27" s="145"/>
      <c r="FO27" s="145"/>
      <c r="FP27" s="145"/>
      <c r="FQ27" s="145"/>
      <c r="FR27" s="145"/>
      <c r="FS27" s="145"/>
      <c r="FT27" s="145"/>
      <c r="FU27" s="145"/>
      <c r="FV27" s="145"/>
      <c r="FW27" s="145"/>
      <c r="FX27" s="145"/>
      <c r="FY27" s="145"/>
      <c r="FZ27" s="145"/>
      <c r="GA27" s="145"/>
      <c r="GB27" s="145"/>
      <c r="GC27" s="145"/>
      <c r="GD27" s="145"/>
      <c r="GE27" s="145"/>
      <c r="GF27" s="145"/>
      <c r="GG27" s="145"/>
      <c r="GH27" s="145"/>
      <c r="GI27" s="145"/>
      <c r="GJ27" s="145"/>
      <c r="GK27" s="145"/>
      <c r="GL27" s="145"/>
      <c r="GM27" s="145"/>
      <c r="GN27" s="145"/>
      <c r="GO27" s="145"/>
      <c r="GP27" s="145"/>
      <c r="GQ27" s="145"/>
      <c r="GR27" s="145"/>
      <c r="GS27" s="145"/>
      <c r="GT27" s="145"/>
      <c r="GU27" s="145"/>
      <c r="GV27" s="145"/>
      <c r="GW27" s="145"/>
      <c r="GX27" s="145"/>
      <c r="GY27" s="145"/>
      <c r="GZ27" s="145"/>
      <c r="HA27" s="145"/>
      <c r="HB27" s="145"/>
      <c r="HC27" s="145"/>
      <c r="HD27" s="145"/>
      <c r="HE27" s="145"/>
      <c r="HF27" s="145"/>
      <c r="HG27" s="145"/>
      <c r="HH27" s="145"/>
      <c r="HI27" s="145"/>
      <c r="HJ27" s="145"/>
      <c r="HK27" s="145"/>
      <c r="HL27" s="145"/>
      <c r="HM27" s="145"/>
      <c r="HN27" s="145"/>
      <c r="HO27" s="145"/>
      <c r="HP27" s="145"/>
      <c r="HQ27" s="145"/>
      <c r="HR27" s="145"/>
      <c r="HS27" s="145"/>
      <c r="HT27" s="145"/>
      <c r="HU27" s="145"/>
      <c r="HV27" s="145"/>
      <c r="HW27" s="145"/>
      <c r="HX27" s="145"/>
      <c r="HY27" s="145"/>
      <c r="HZ27" s="145"/>
      <c r="IA27" s="145"/>
      <c r="IB27" s="145"/>
      <c r="IC27" s="145"/>
      <c r="ID27" s="145"/>
      <c r="IE27" s="145"/>
      <c r="IF27" s="145"/>
      <c r="IG27" s="145"/>
      <c r="IH27" s="145"/>
      <c r="II27" s="145"/>
      <c r="IJ27" s="145"/>
      <c r="IK27" s="145"/>
      <c r="IL27" s="145"/>
      <c r="IM27" s="145"/>
      <c r="IN27" s="145"/>
      <c r="IO27" s="145"/>
      <c r="IP27" s="145"/>
      <c r="IQ27" s="145"/>
      <c r="IR27" s="145"/>
      <c r="IS27" s="145"/>
      <c r="IT27" s="145"/>
      <c r="IU27" s="145"/>
      <c r="IV27" s="145"/>
      <c r="IW27" s="145"/>
      <c r="IX27" s="145"/>
      <c r="IY27" s="145"/>
      <c r="IZ27" s="145"/>
      <c r="JA27" s="145"/>
      <c r="JB27" s="145"/>
    </row>
    <row r="28" spans="1:262" ht="19.5">
      <c r="A28" s="398"/>
      <c r="B28" s="398"/>
      <c r="C28" s="398"/>
      <c r="D28" s="398"/>
      <c r="E28" s="398"/>
      <c r="F28" s="398"/>
      <c r="G28" s="398"/>
      <c r="H28" s="399"/>
      <c r="I28" s="399"/>
      <c r="J28" s="398"/>
      <c r="K28" s="398"/>
      <c r="L28" s="398"/>
      <c r="M28" s="399"/>
      <c r="N28" s="399"/>
      <c r="O28" s="280"/>
      <c r="P28" s="145"/>
      <c r="Q28" s="145"/>
      <c r="R28" s="145"/>
      <c r="S28" s="145"/>
      <c r="T28" s="145"/>
      <c r="U28" s="281"/>
      <c r="V28" s="282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  <c r="CR28" s="145"/>
      <c r="CS28" s="145"/>
      <c r="CT28" s="145"/>
      <c r="CU28" s="145"/>
      <c r="CV28" s="145"/>
      <c r="CW28" s="145"/>
      <c r="CX28" s="145"/>
      <c r="CY28" s="145"/>
      <c r="CZ28" s="145"/>
      <c r="DA28" s="145"/>
      <c r="DB28" s="145"/>
      <c r="DC28" s="145"/>
      <c r="DD28" s="145"/>
      <c r="DE28" s="145"/>
      <c r="DF28" s="145"/>
      <c r="DG28" s="145"/>
      <c r="DH28" s="145"/>
      <c r="DI28" s="145"/>
      <c r="DJ28" s="145"/>
      <c r="DK28" s="145"/>
      <c r="DL28" s="145"/>
      <c r="DM28" s="145"/>
      <c r="DN28" s="145"/>
      <c r="DO28" s="145"/>
      <c r="DP28" s="145"/>
      <c r="DQ28" s="145"/>
      <c r="DR28" s="145"/>
      <c r="DS28" s="145"/>
      <c r="DT28" s="145"/>
      <c r="DU28" s="145"/>
      <c r="DV28" s="145"/>
      <c r="DW28" s="145"/>
      <c r="DX28" s="145"/>
      <c r="DY28" s="145"/>
      <c r="DZ28" s="145"/>
      <c r="EA28" s="145"/>
      <c r="EB28" s="145"/>
      <c r="EC28" s="145"/>
      <c r="ED28" s="145"/>
      <c r="EE28" s="145"/>
      <c r="EF28" s="145"/>
      <c r="EG28" s="145"/>
      <c r="EH28" s="145"/>
      <c r="EI28" s="145"/>
      <c r="EJ28" s="145"/>
      <c r="EK28" s="145"/>
      <c r="EL28" s="145"/>
      <c r="EM28" s="145"/>
      <c r="EN28" s="145"/>
      <c r="EO28" s="145"/>
      <c r="EP28" s="145"/>
      <c r="EQ28" s="145"/>
      <c r="ER28" s="145"/>
      <c r="ES28" s="145"/>
      <c r="ET28" s="145"/>
      <c r="EU28" s="145"/>
      <c r="EV28" s="145"/>
      <c r="EW28" s="145"/>
      <c r="EX28" s="145"/>
      <c r="EY28" s="145"/>
      <c r="EZ28" s="145"/>
      <c r="FA28" s="145"/>
      <c r="FB28" s="145"/>
      <c r="FC28" s="145"/>
      <c r="FD28" s="145"/>
      <c r="FE28" s="145"/>
      <c r="FF28" s="145"/>
      <c r="FG28" s="145"/>
      <c r="FH28" s="145"/>
      <c r="FI28" s="145"/>
      <c r="FJ28" s="145"/>
      <c r="FK28" s="145"/>
      <c r="FL28" s="145"/>
      <c r="FM28" s="145"/>
      <c r="FN28" s="145"/>
      <c r="FO28" s="145"/>
      <c r="FP28" s="145"/>
      <c r="FQ28" s="145"/>
      <c r="FR28" s="145"/>
      <c r="FS28" s="145"/>
      <c r="FT28" s="145"/>
      <c r="FU28" s="145"/>
      <c r="FV28" s="145"/>
      <c r="FW28" s="145"/>
      <c r="FX28" s="145"/>
      <c r="FY28" s="145"/>
      <c r="FZ28" s="145"/>
      <c r="GA28" s="145"/>
      <c r="GB28" s="145"/>
      <c r="GC28" s="145"/>
      <c r="GD28" s="145"/>
      <c r="GE28" s="145"/>
      <c r="GF28" s="145"/>
      <c r="GG28" s="145"/>
      <c r="GH28" s="145"/>
      <c r="GI28" s="145"/>
      <c r="GJ28" s="145"/>
      <c r="GK28" s="145"/>
      <c r="GL28" s="145"/>
      <c r="GM28" s="145"/>
      <c r="GN28" s="145"/>
      <c r="GO28" s="145"/>
      <c r="GP28" s="145"/>
      <c r="GQ28" s="145"/>
      <c r="GR28" s="145"/>
      <c r="GS28" s="145"/>
      <c r="GT28" s="145"/>
      <c r="GU28" s="145"/>
      <c r="GV28" s="145"/>
      <c r="GW28" s="145"/>
      <c r="GX28" s="145"/>
      <c r="GY28" s="145"/>
      <c r="GZ28" s="145"/>
      <c r="HA28" s="145"/>
      <c r="HB28" s="145"/>
      <c r="HC28" s="145"/>
      <c r="HD28" s="145"/>
      <c r="HE28" s="145"/>
      <c r="HF28" s="145"/>
      <c r="HG28" s="145"/>
      <c r="HH28" s="145"/>
      <c r="HI28" s="145"/>
      <c r="HJ28" s="145"/>
      <c r="HK28" s="145"/>
      <c r="HL28" s="145"/>
      <c r="HM28" s="145"/>
      <c r="HN28" s="145"/>
      <c r="HO28" s="145"/>
      <c r="HP28" s="145"/>
      <c r="HQ28" s="145"/>
      <c r="HR28" s="145"/>
      <c r="HS28" s="145"/>
      <c r="HT28" s="145"/>
      <c r="HU28" s="145"/>
      <c r="HV28" s="145"/>
      <c r="HW28" s="145"/>
      <c r="HX28" s="145"/>
      <c r="HY28" s="145"/>
      <c r="HZ28" s="145"/>
      <c r="IA28" s="145"/>
      <c r="IB28" s="145"/>
      <c r="IC28" s="145"/>
      <c r="ID28" s="145"/>
      <c r="IE28" s="145"/>
      <c r="IF28" s="145"/>
      <c r="IG28" s="145"/>
      <c r="IH28" s="145"/>
      <c r="II28" s="145"/>
      <c r="IJ28" s="145"/>
      <c r="IK28" s="145"/>
      <c r="IL28" s="145"/>
      <c r="IM28" s="145"/>
      <c r="IN28" s="145"/>
      <c r="IO28" s="145"/>
      <c r="IP28" s="145"/>
      <c r="IQ28" s="145"/>
      <c r="IR28" s="145"/>
      <c r="IS28" s="145"/>
      <c r="IT28" s="145"/>
      <c r="IU28" s="145"/>
      <c r="IV28" s="145"/>
      <c r="IW28" s="145"/>
      <c r="IX28" s="145"/>
      <c r="IY28" s="145"/>
      <c r="IZ28" s="145"/>
      <c r="JA28" s="145"/>
      <c r="JB28" s="145"/>
    </row>
    <row r="29" spans="1:262" ht="19.5">
      <c r="A29" s="398"/>
      <c r="B29" s="398"/>
      <c r="C29" s="398"/>
      <c r="D29" s="398"/>
      <c r="E29" s="398"/>
      <c r="F29" s="398"/>
      <c r="G29" s="398"/>
      <c r="H29" s="399"/>
      <c r="I29" s="399"/>
      <c r="J29" s="398"/>
      <c r="K29" s="398"/>
      <c r="L29" s="398"/>
      <c r="M29" s="399"/>
      <c r="N29" s="399"/>
      <c r="O29" s="280"/>
      <c r="P29" s="288"/>
      <c r="Q29" s="288"/>
      <c r="R29" s="288"/>
      <c r="S29" s="288"/>
      <c r="T29" s="145"/>
      <c r="U29" s="281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  <c r="CR29" s="145"/>
      <c r="CS29" s="145"/>
      <c r="CT29" s="145"/>
      <c r="CU29" s="145"/>
      <c r="CV29" s="145"/>
      <c r="CW29" s="145"/>
      <c r="CX29" s="145"/>
      <c r="CY29" s="145"/>
      <c r="CZ29" s="145"/>
      <c r="DA29" s="145"/>
      <c r="DB29" s="145"/>
      <c r="DC29" s="145"/>
      <c r="DD29" s="145"/>
      <c r="DE29" s="145"/>
      <c r="DF29" s="145"/>
      <c r="DG29" s="145"/>
      <c r="DH29" s="145"/>
      <c r="DI29" s="145"/>
      <c r="DJ29" s="145"/>
      <c r="DK29" s="145"/>
      <c r="DL29" s="145"/>
      <c r="DM29" s="145"/>
      <c r="DN29" s="145"/>
      <c r="DO29" s="145"/>
      <c r="DP29" s="145"/>
      <c r="DQ29" s="145"/>
      <c r="DR29" s="145"/>
      <c r="DS29" s="145"/>
      <c r="DT29" s="145"/>
      <c r="DU29" s="145"/>
      <c r="DV29" s="145"/>
      <c r="DW29" s="145"/>
      <c r="DX29" s="145"/>
      <c r="DY29" s="145"/>
      <c r="DZ29" s="145"/>
      <c r="EA29" s="145"/>
      <c r="EB29" s="145"/>
      <c r="EC29" s="145"/>
      <c r="ED29" s="145"/>
      <c r="EE29" s="145"/>
      <c r="EF29" s="145"/>
      <c r="EG29" s="145"/>
      <c r="EH29" s="145"/>
      <c r="EI29" s="145"/>
      <c r="EJ29" s="145"/>
      <c r="EK29" s="145"/>
      <c r="EL29" s="145"/>
      <c r="EM29" s="145"/>
      <c r="EN29" s="145"/>
      <c r="EO29" s="145"/>
      <c r="EP29" s="145"/>
      <c r="EQ29" s="145"/>
      <c r="ER29" s="145"/>
      <c r="ES29" s="145"/>
      <c r="ET29" s="145"/>
      <c r="EU29" s="145"/>
      <c r="EV29" s="145"/>
      <c r="EW29" s="145"/>
      <c r="EX29" s="145"/>
      <c r="EY29" s="145"/>
      <c r="EZ29" s="145"/>
      <c r="FA29" s="145"/>
      <c r="FB29" s="145"/>
      <c r="FC29" s="145"/>
      <c r="FD29" s="145"/>
      <c r="FE29" s="145"/>
      <c r="FF29" s="145"/>
      <c r="FG29" s="145"/>
      <c r="FH29" s="145"/>
      <c r="FI29" s="145"/>
      <c r="FJ29" s="145"/>
      <c r="FK29" s="145"/>
      <c r="FL29" s="145"/>
      <c r="FM29" s="145"/>
      <c r="FN29" s="145"/>
      <c r="FO29" s="145"/>
      <c r="FP29" s="145"/>
      <c r="FQ29" s="145"/>
      <c r="FR29" s="145"/>
      <c r="FS29" s="145"/>
      <c r="FT29" s="145"/>
      <c r="FU29" s="145"/>
      <c r="FV29" s="145"/>
      <c r="FW29" s="145"/>
      <c r="FX29" s="145"/>
      <c r="FY29" s="145"/>
      <c r="FZ29" s="145"/>
      <c r="GA29" s="145"/>
      <c r="GB29" s="145"/>
      <c r="GC29" s="145"/>
      <c r="GD29" s="145"/>
      <c r="GE29" s="145"/>
      <c r="GF29" s="145"/>
      <c r="GG29" s="145"/>
      <c r="GH29" s="145"/>
      <c r="GI29" s="145"/>
      <c r="GJ29" s="145"/>
      <c r="GK29" s="145"/>
      <c r="GL29" s="145"/>
      <c r="GM29" s="145"/>
      <c r="GN29" s="145"/>
      <c r="GO29" s="145"/>
      <c r="GP29" s="145"/>
      <c r="GQ29" s="145"/>
      <c r="GR29" s="145"/>
      <c r="GS29" s="145"/>
      <c r="GT29" s="145"/>
      <c r="GU29" s="145"/>
      <c r="GV29" s="145"/>
      <c r="GW29" s="145"/>
      <c r="GX29" s="145"/>
      <c r="GY29" s="145"/>
      <c r="GZ29" s="145"/>
      <c r="HA29" s="145"/>
      <c r="HB29" s="145"/>
      <c r="HC29" s="145"/>
      <c r="HD29" s="145"/>
      <c r="HE29" s="145"/>
      <c r="HF29" s="145"/>
      <c r="HG29" s="145"/>
      <c r="HH29" s="145"/>
      <c r="HI29" s="145"/>
      <c r="HJ29" s="145"/>
      <c r="HK29" s="145"/>
      <c r="HL29" s="145"/>
      <c r="HM29" s="145"/>
      <c r="HN29" s="145"/>
      <c r="HO29" s="145"/>
      <c r="HP29" s="145"/>
      <c r="HQ29" s="145"/>
      <c r="HR29" s="145"/>
      <c r="HS29" s="145"/>
      <c r="HT29" s="145"/>
      <c r="HU29" s="145"/>
      <c r="HV29" s="145"/>
      <c r="HW29" s="145"/>
      <c r="HX29" s="145"/>
      <c r="HY29" s="145"/>
      <c r="HZ29" s="145"/>
      <c r="IA29" s="145"/>
      <c r="IB29" s="145"/>
      <c r="IC29" s="145"/>
      <c r="ID29" s="145"/>
      <c r="IE29" s="145"/>
      <c r="IF29" s="145"/>
      <c r="IG29" s="145"/>
      <c r="IH29" s="145"/>
      <c r="II29" s="145"/>
      <c r="IJ29" s="145"/>
      <c r="IK29" s="145"/>
      <c r="IL29" s="145"/>
      <c r="IM29" s="145"/>
      <c r="IN29" s="145"/>
      <c r="IO29" s="145"/>
      <c r="IP29" s="145"/>
      <c r="IQ29" s="145"/>
      <c r="IR29" s="145"/>
      <c r="IS29" s="145"/>
      <c r="IT29" s="145"/>
      <c r="IU29" s="145"/>
      <c r="IV29" s="145"/>
      <c r="IW29" s="145"/>
      <c r="IX29" s="145"/>
      <c r="IY29" s="145"/>
      <c r="IZ29" s="145"/>
      <c r="JA29" s="145"/>
      <c r="JB29" s="145"/>
    </row>
    <row r="30" spans="1:262" ht="19.5">
      <c r="A30" s="398"/>
      <c r="B30" s="398"/>
      <c r="C30" s="398"/>
      <c r="D30" s="398"/>
      <c r="E30" s="398"/>
      <c r="F30" s="398"/>
      <c r="G30" s="398"/>
      <c r="H30" s="399"/>
      <c r="I30" s="399"/>
      <c r="J30" s="398"/>
      <c r="K30" s="398"/>
      <c r="L30" s="398"/>
      <c r="M30" s="399"/>
      <c r="N30" s="399"/>
      <c r="O30" s="280"/>
      <c r="P30" s="145"/>
      <c r="Q30" s="145"/>
      <c r="R30" s="145"/>
      <c r="S30" s="145"/>
      <c r="T30" s="145"/>
      <c r="U30" s="286"/>
      <c r="V30" s="145"/>
      <c r="W30" s="145"/>
      <c r="Y30" s="264"/>
      <c r="Z30" s="264"/>
      <c r="AA30" s="264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  <c r="CR30" s="145"/>
      <c r="CS30" s="145"/>
      <c r="CT30" s="145"/>
      <c r="CU30" s="145"/>
      <c r="CV30" s="145"/>
      <c r="CW30" s="145"/>
      <c r="CX30" s="145"/>
      <c r="CY30" s="145"/>
      <c r="CZ30" s="145"/>
      <c r="DA30" s="145"/>
      <c r="DB30" s="145"/>
      <c r="DC30" s="145"/>
      <c r="DD30" s="145"/>
      <c r="DE30" s="145"/>
      <c r="DF30" s="145"/>
      <c r="DG30" s="145"/>
      <c r="DH30" s="145"/>
      <c r="DI30" s="145"/>
      <c r="DJ30" s="145"/>
      <c r="DK30" s="145"/>
      <c r="DL30" s="145"/>
      <c r="DM30" s="145"/>
      <c r="DN30" s="145"/>
      <c r="DO30" s="145"/>
      <c r="DP30" s="145"/>
      <c r="DQ30" s="145"/>
      <c r="DR30" s="145"/>
      <c r="DS30" s="145"/>
      <c r="DT30" s="145"/>
      <c r="DU30" s="145"/>
      <c r="DV30" s="145"/>
      <c r="DW30" s="145"/>
      <c r="DX30" s="145"/>
      <c r="DY30" s="145"/>
      <c r="DZ30" s="145"/>
      <c r="EA30" s="145"/>
      <c r="EB30" s="145"/>
      <c r="EC30" s="145"/>
      <c r="ED30" s="145"/>
      <c r="EE30" s="145"/>
      <c r="EF30" s="145"/>
      <c r="EG30" s="145"/>
      <c r="EH30" s="145"/>
      <c r="EI30" s="145"/>
      <c r="EJ30" s="145"/>
      <c r="EK30" s="145"/>
      <c r="EL30" s="145"/>
      <c r="EM30" s="145"/>
      <c r="EN30" s="145"/>
      <c r="EO30" s="145"/>
      <c r="EP30" s="145"/>
      <c r="EQ30" s="145"/>
      <c r="ER30" s="145"/>
      <c r="ES30" s="145"/>
      <c r="ET30" s="145"/>
      <c r="EU30" s="145"/>
      <c r="EV30" s="145"/>
      <c r="EW30" s="145"/>
      <c r="EX30" s="145"/>
      <c r="EY30" s="145"/>
      <c r="EZ30" s="145"/>
      <c r="FA30" s="145"/>
      <c r="FB30" s="145"/>
      <c r="FC30" s="145"/>
      <c r="FD30" s="145"/>
      <c r="FE30" s="145"/>
      <c r="FF30" s="145"/>
      <c r="FG30" s="145"/>
      <c r="FH30" s="145"/>
      <c r="FI30" s="145"/>
      <c r="FJ30" s="145"/>
      <c r="FK30" s="145"/>
      <c r="FL30" s="145"/>
      <c r="FM30" s="145"/>
      <c r="FN30" s="145"/>
      <c r="FO30" s="145"/>
      <c r="FP30" s="145"/>
      <c r="FQ30" s="145"/>
      <c r="FR30" s="145"/>
      <c r="FS30" s="145"/>
      <c r="FT30" s="145"/>
      <c r="FU30" s="145"/>
      <c r="FV30" s="145"/>
      <c r="FW30" s="145"/>
      <c r="FX30" s="145"/>
      <c r="FY30" s="145"/>
      <c r="FZ30" s="145"/>
      <c r="GA30" s="145"/>
      <c r="GB30" s="145"/>
      <c r="GC30" s="145"/>
      <c r="GD30" s="145"/>
      <c r="GE30" s="145"/>
      <c r="GF30" s="145"/>
      <c r="GG30" s="145"/>
      <c r="GH30" s="145"/>
      <c r="GI30" s="145"/>
      <c r="GJ30" s="145"/>
      <c r="GK30" s="145"/>
      <c r="GL30" s="145"/>
      <c r="GM30" s="145"/>
      <c r="GN30" s="145"/>
      <c r="GO30" s="145"/>
      <c r="GP30" s="145"/>
      <c r="GQ30" s="145"/>
      <c r="GR30" s="145"/>
      <c r="GS30" s="145"/>
      <c r="GT30" s="145"/>
      <c r="GU30" s="145"/>
      <c r="GV30" s="145"/>
      <c r="GW30" s="145"/>
      <c r="GX30" s="145"/>
      <c r="GY30" s="145"/>
      <c r="GZ30" s="145"/>
      <c r="HA30" s="145"/>
      <c r="HB30" s="145"/>
      <c r="HC30" s="145"/>
      <c r="HD30" s="145"/>
      <c r="HE30" s="145"/>
      <c r="HF30" s="145"/>
      <c r="HG30" s="145"/>
      <c r="HH30" s="145"/>
      <c r="HI30" s="145"/>
      <c r="HJ30" s="145"/>
      <c r="HK30" s="145"/>
      <c r="HL30" s="145"/>
      <c r="HM30" s="145"/>
      <c r="HN30" s="145"/>
      <c r="HO30" s="145"/>
      <c r="HP30" s="145"/>
      <c r="HQ30" s="145"/>
      <c r="HR30" s="145"/>
      <c r="HS30" s="145"/>
      <c r="HT30" s="145"/>
      <c r="HU30" s="145"/>
      <c r="HV30" s="145"/>
      <c r="HW30" s="145"/>
      <c r="HX30" s="145"/>
      <c r="HY30" s="145"/>
      <c r="HZ30" s="145"/>
      <c r="IA30" s="145"/>
      <c r="IB30" s="145"/>
      <c r="IC30" s="145"/>
      <c r="ID30" s="145"/>
      <c r="IE30" s="145"/>
      <c r="IF30" s="145"/>
      <c r="IG30" s="145"/>
      <c r="IH30" s="145"/>
      <c r="II30" s="145"/>
      <c r="IJ30" s="145"/>
      <c r="IK30" s="145"/>
      <c r="IL30" s="145"/>
      <c r="IM30" s="145"/>
      <c r="IN30" s="145"/>
      <c r="IO30" s="145"/>
      <c r="IP30" s="145"/>
      <c r="IQ30" s="145"/>
      <c r="IR30" s="145"/>
      <c r="IS30" s="145"/>
      <c r="IT30" s="145"/>
      <c r="IU30" s="145"/>
      <c r="IV30" s="145"/>
      <c r="IW30" s="145"/>
      <c r="IX30" s="145"/>
      <c r="IY30" s="145"/>
      <c r="IZ30" s="145"/>
      <c r="JA30" s="145"/>
      <c r="JB30" s="145"/>
    </row>
    <row r="31" spans="1:262" ht="19.5">
      <c r="A31" s="398"/>
      <c r="B31" s="398"/>
      <c r="C31" s="398"/>
      <c r="D31" s="398"/>
      <c r="E31" s="398"/>
      <c r="F31" s="398"/>
      <c r="G31" s="398"/>
      <c r="H31" s="399"/>
      <c r="I31" s="399"/>
      <c r="J31" s="398"/>
      <c r="K31" s="398"/>
      <c r="L31" s="398"/>
      <c r="M31" s="399"/>
      <c r="N31" s="399"/>
      <c r="O31" s="280"/>
      <c r="P31" s="145"/>
      <c r="Q31" s="145"/>
      <c r="R31" s="145"/>
      <c r="S31" s="145"/>
      <c r="T31" s="145"/>
      <c r="U31" s="281"/>
      <c r="V31" s="145"/>
      <c r="W31" s="145"/>
      <c r="Y31" s="264"/>
      <c r="Z31" s="264"/>
      <c r="AA31" s="264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  <c r="CR31" s="145"/>
      <c r="CS31" s="145"/>
      <c r="CT31" s="145"/>
      <c r="CU31" s="145"/>
      <c r="CV31" s="145"/>
      <c r="CW31" s="145"/>
      <c r="CX31" s="145"/>
      <c r="CY31" s="145"/>
      <c r="CZ31" s="145"/>
      <c r="DA31" s="145"/>
      <c r="DB31" s="145"/>
      <c r="DC31" s="145"/>
      <c r="DD31" s="145"/>
      <c r="DE31" s="145"/>
      <c r="DF31" s="145"/>
      <c r="DG31" s="145"/>
      <c r="DH31" s="145"/>
      <c r="DI31" s="145"/>
      <c r="DJ31" s="145"/>
      <c r="DK31" s="145"/>
      <c r="DL31" s="145"/>
      <c r="DM31" s="145"/>
      <c r="DN31" s="145"/>
      <c r="DO31" s="145"/>
      <c r="DP31" s="145"/>
      <c r="DQ31" s="145"/>
      <c r="DR31" s="145"/>
      <c r="DS31" s="145"/>
      <c r="DT31" s="145"/>
      <c r="DU31" s="145"/>
      <c r="DV31" s="145"/>
      <c r="DW31" s="145"/>
      <c r="DX31" s="145"/>
      <c r="DY31" s="145"/>
      <c r="DZ31" s="145"/>
      <c r="EA31" s="145"/>
      <c r="EB31" s="145"/>
      <c r="EC31" s="145"/>
      <c r="ED31" s="145"/>
      <c r="EE31" s="145"/>
      <c r="EF31" s="145"/>
      <c r="EG31" s="145"/>
      <c r="EH31" s="145"/>
      <c r="EI31" s="145"/>
      <c r="EJ31" s="145"/>
      <c r="EK31" s="145"/>
      <c r="EL31" s="145"/>
      <c r="EM31" s="145"/>
      <c r="EN31" s="145"/>
      <c r="EO31" s="145"/>
      <c r="EP31" s="145"/>
      <c r="EQ31" s="145"/>
      <c r="ER31" s="145"/>
      <c r="ES31" s="145"/>
      <c r="ET31" s="145"/>
      <c r="EU31" s="145"/>
      <c r="EV31" s="145"/>
      <c r="EW31" s="145"/>
      <c r="EX31" s="145"/>
      <c r="EY31" s="145"/>
      <c r="EZ31" s="145"/>
      <c r="FA31" s="145"/>
      <c r="FB31" s="145"/>
      <c r="FC31" s="145"/>
      <c r="FD31" s="145"/>
      <c r="FE31" s="145"/>
      <c r="FF31" s="145"/>
      <c r="FG31" s="145"/>
      <c r="FH31" s="145"/>
      <c r="FI31" s="145"/>
      <c r="FJ31" s="145"/>
      <c r="FK31" s="145"/>
      <c r="FL31" s="145"/>
      <c r="FM31" s="145"/>
      <c r="FN31" s="145"/>
      <c r="FO31" s="145"/>
      <c r="FP31" s="145"/>
      <c r="FQ31" s="145"/>
      <c r="FR31" s="145"/>
      <c r="FS31" s="145"/>
      <c r="FT31" s="145"/>
      <c r="FU31" s="145"/>
      <c r="FV31" s="145"/>
      <c r="FW31" s="145"/>
      <c r="FX31" s="145"/>
      <c r="FY31" s="145"/>
      <c r="FZ31" s="145"/>
      <c r="GA31" s="145"/>
      <c r="GB31" s="145"/>
      <c r="GC31" s="145"/>
      <c r="GD31" s="145"/>
      <c r="GE31" s="145"/>
      <c r="GF31" s="145"/>
      <c r="GG31" s="145"/>
      <c r="GH31" s="145"/>
      <c r="GI31" s="145"/>
      <c r="GJ31" s="145"/>
      <c r="GK31" s="145"/>
      <c r="GL31" s="145"/>
      <c r="GM31" s="145"/>
      <c r="GN31" s="145"/>
      <c r="GO31" s="145"/>
      <c r="GP31" s="145"/>
      <c r="GQ31" s="145"/>
      <c r="GR31" s="145"/>
      <c r="GS31" s="145"/>
      <c r="GT31" s="145"/>
      <c r="GU31" s="145"/>
      <c r="GV31" s="145"/>
      <c r="GW31" s="145"/>
      <c r="GX31" s="145"/>
      <c r="GY31" s="145"/>
      <c r="GZ31" s="145"/>
      <c r="HA31" s="145"/>
      <c r="HB31" s="145"/>
      <c r="HC31" s="145"/>
      <c r="HD31" s="145"/>
      <c r="HE31" s="145"/>
      <c r="HF31" s="145"/>
      <c r="HG31" s="145"/>
      <c r="HH31" s="145"/>
      <c r="HI31" s="145"/>
      <c r="HJ31" s="145"/>
      <c r="HK31" s="145"/>
      <c r="HL31" s="145"/>
      <c r="HM31" s="145"/>
      <c r="HN31" s="145"/>
      <c r="HO31" s="145"/>
      <c r="HP31" s="145"/>
      <c r="HQ31" s="145"/>
      <c r="HR31" s="145"/>
      <c r="HS31" s="145"/>
      <c r="HT31" s="145"/>
      <c r="HU31" s="145"/>
      <c r="HV31" s="145"/>
      <c r="HW31" s="145"/>
      <c r="HX31" s="145"/>
      <c r="HY31" s="145"/>
      <c r="HZ31" s="145"/>
      <c r="IA31" s="145"/>
      <c r="IB31" s="145"/>
      <c r="IC31" s="145"/>
      <c r="ID31" s="145"/>
      <c r="IE31" s="145"/>
      <c r="IF31" s="145"/>
      <c r="IG31" s="145"/>
      <c r="IH31" s="145"/>
      <c r="II31" s="145"/>
      <c r="IJ31" s="145"/>
      <c r="IK31" s="145"/>
      <c r="IL31" s="145"/>
      <c r="IM31" s="145"/>
      <c r="IN31" s="145"/>
      <c r="IO31" s="145"/>
      <c r="IP31" s="145"/>
      <c r="IQ31" s="145"/>
      <c r="IR31" s="145"/>
      <c r="IS31" s="145"/>
      <c r="IT31" s="145"/>
      <c r="IU31" s="145"/>
      <c r="IV31" s="145"/>
      <c r="IW31" s="145"/>
      <c r="IX31" s="145"/>
      <c r="IY31" s="145"/>
      <c r="IZ31" s="145"/>
      <c r="JA31" s="145"/>
      <c r="JB31" s="145"/>
    </row>
    <row r="32" spans="1:262" ht="19.5">
      <c r="A32" s="1546"/>
      <c r="B32" s="1546"/>
      <c r="C32" s="398"/>
      <c r="D32" s="398"/>
      <c r="E32" s="398"/>
      <c r="F32" s="398"/>
      <c r="G32" s="398"/>
      <c r="H32" s="399"/>
      <c r="I32" s="399"/>
      <c r="J32" s="398"/>
      <c r="K32" s="398"/>
      <c r="L32" s="398"/>
      <c r="M32" s="399"/>
      <c r="N32" s="399"/>
      <c r="O32" s="280"/>
      <c r="P32" s="145"/>
      <c r="Q32" s="145"/>
      <c r="R32" s="145"/>
      <c r="S32" s="145"/>
      <c r="T32" s="145"/>
      <c r="U32" s="281"/>
      <c r="V32" s="145"/>
      <c r="W32" s="145"/>
      <c r="X32" s="259"/>
      <c r="Y32" s="267"/>
      <c r="Z32" s="267"/>
      <c r="AA32" s="144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  <c r="CR32" s="145"/>
      <c r="CS32" s="145"/>
      <c r="CT32" s="145"/>
      <c r="CU32" s="145"/>
      <c r="CV32" s="145"/>
      <c r="CW32" s="145"/>
      <c r="CX32" s="145"/>
      <c r="CY32" s="145"/>
      <c r="CZ32" s="145"/>
      <c r="DA32" s="145"/>
      <c r="DB32" s="145"/>
      <c r="DC32" s="145"/>
      <c r="DD32" s="145"/>
      <c r="DE32" s="145"/>
      <c r="DF32" s="145"/>
      <c r="DG32" s="145"/>
      <c r="DH32" s="145"/>
      <c r="DI32" s="145"/>
      <c r="DJ32" s="145"/>
      <c r="DK32" s="145"/>
      <c r="DL32" s="145"/>
      <c r="DM32" s="145"/>
      <c r="DN32" s="145"/>
      <c r="DO32" s="145"/>
      <c r="DP32" s="145"/>
      <c r="DQ32" s="145"/>
      <c r="DR32" s="145"/>
      <c r="DS32" s="145"/>
      <c r="DT32" s="145"/>
      <c r="DU32" s="145"/>
      <c r="DV32" s="145"/>
      <c r="DW32" s="145"/>
      <c r="DX32" s="145"/>
      <c r="DY32" s="145"/>
      <c r="DZ32" s="145"/>
      <c r="EA32" s="145"/>
      <c r="EB32" s="145"/>
      <c r="EC32" s="145"/>
      <c r="ED32" s="145"/>
      <c r="EE32" s="145"/>
      <c r="EF32" s="145"/>
      <c r="EG32" s="145"/>
      <c r="EH32" s="145"/>
      <c r="EI32" s="145"/>
      <c r="EJ32" s="145"/>
      <c r="EK32" s="145"/>
      <c r="EL32" s="145"/>
      <c r="EM32" s="145"/>
      <c r="EN32" s="145"/>
      <c r="EO32" s="145"/>
      <c r="EP32" s="145"/>
      <c r="EQ32" s="145"/>
      <c r="ER32" s="145"/>
      <c r="ES32" s="145"/>
      <c r="ET32" s="145"/>
      <c r="EU32" s="145"/>
      <c r="EV32" s="145"/>
      <c r="EW32" s="145"/>
      <c r="EX32" s="145"/>
      <c r="EY32" s="145"/>
      <c r="EZ32" s="145"/>
      <c r="FA32" s="145"/>
      <c r="FB32" s="145"/>
      <c r="FC32" s="145"/>
      <c r="FD32" s="145"/>
      <c r="FE32" s="145"/>
      <c r="FF32" s="145"/>
      <c r="FG32" s="145"/>
      <c r="FH32" s="145"/>
      <c r="FI32" s="145"/>
      <c r="FJ32" s="145"/>
      <c r="FK32" s="145"/>
      <c r="FL32" s="145"/>
      <c r="FM32" s="145"/>
      <c r="FN32" s="145"/>
      <c r="FO32" s="145"/>
      <c r="FP32" s="145"/>
      <c r="FQ32" s="145"/>
      <c r="FR32" s="145"/>
      <c r="FS32" s="145"/>
      <c r="FT32" s="145"/>
      <c r="FU32" s="145"/>
      <c r="FV32" s="145"/>
      <c r="FW32" s="145"/>
      <c r="FX32" s="145"/>
      <c r="FY32" s="145"/>
      <c r="FZ32" s="145"/>
      <c r="GA32" s="145"/>
      <c r="GB32" s="145"/>
      <c r="GC32" s="145"/>
      <c r="GD32" s="145"/>
      <c r="GE32" s="145"/>
      <c r="GF32" s="145"/>
      <c r="GG32" s="145"/>
      <c r="GH32" s="145"/>
      <c r="GI32" s="145"/>
      <c r="GJ32" s="145"/>
      <c r="GK32" s="145"/>
      <c r="GL32" s="145"/>
      <c r="GM32" s="145"/>
      <c r="GN32" s="145"/>
      <c r="GO32" s="145"/>
      <c r="GP32" s="145"/>
      <c r="GQ32" s="145"/>
      <c r="GR32" s="145"/>
      <c r="GS32" s="145"/>
      <c r="GT32" s="145"/>
      <c r="GU32" s="145"/>
      <c r="GV32" s="145"/>
      <c r="GW32" s="145"/>
      <c r="GX32" s="145"/>
      <c r="GY32" s="145"/>
      <c r="GZ32" s="145"/>
      <c r="HA32" s="145"/>
      <c r="HB32" s="145"/>
      <c r="HC32" s="145"/>
      <c r="HD32" s="145"/>
      <c r="HE32" s="145"/>
      <c r="HF32" s="145"/>
      <c r="HG32" s="145"/>
      <c r="HH32" s="145"/>
      <c r="HI32" s="145"/>
      <c r="HJ32" s="145"/>
      <c r="HK32" s="145"/>
      <c r="HL32" s="145"/>
      <c r="HM32" s="145"/>
      <c r="HN32" s="145"/>
      <c r="HO32" s="145"/>
      <c r="HP32" s="145"/>
      <c r="HQ32" s="145"/>
      <c r="HR32" s="145"/>
      <c r="HS32" s="145"/>
      <c r="HT32" s="145"/>
      <c r="HU32" s="145"/>
      <c r="HV32" s="145"/>
      <c r="HW32" s="145"/>
      <c r="HX32" s="145"/>
      <c r="HY32" s="145"/>
      <c r="HZ32" s="145"/>
      <c r="IA32" s="145"/>
      <c r="IB32" s="145"/>
      <c r="IC32" s="145"/>
      <c r="ID32" s="145"/>
      <c r="IE32" s="145"/>
      <c r="IF32" s="145"/>
      <c r="IG32" s="145"/>
      <c r="IH32" s="145"/>
      <c r="II32" s="145"/>
      <c r="IJ32" s="145"/>
      <c r="IK32" s="145"/>
      <c r="IL32" s="145"/>
      <c r="IM32" s="145"/>
      <c r="IN32" s="145"/>
      <c r="IO32" s="145"/>
      <c r="IP32" s="145"/>
      <c r="IQ32" s="145"/>
      <c r="IR32" s="145"/>
      <c r="IS32" s="145"/>
      <c r="IT32" s="145"/>
      <c r="IU32" s="145"/>
      <c r="IV32" s="145"/>
      <c r="IW32" s="145"/>
      <c r="IX32" s="145"/>
      <c r="IY32" s="145"/>
      <c r="IZ32" s="145"/>
      <c r="JA32" s="145"/>
      <c r="JB32" s="145"/>
    </row>
    <row r="33" spans="1:262" ht="19.5">
      <c r="A33" s="1543" t="s">
        <v>351</v>
      </c>
      <c r="B33" s="1543"/>
      <c r="C33" s="1543"/>
      <c r="D33" s="1543"/>
      <c r="E33" s="1543"/>
      <c r="F33" s="1543"/>
      <c r="G33" s="1543"/>
      <c r="H33" s="1543"/>
      <c r="I33" s="1543"/>
      <c r="J33" s="1543"/>
      <c r="K33" s="1543"/>
      <c r="L33" s="1543"/>
      <c r="M33" s="1543"/>
      <c r="N33" s="1543"/>
      <c r="O33" s="280"/>
      <c r="P33" s="145"/>
      <c r="Q33" s="145"/>
      <c r="R33" s="145"/>
      <c r="S33" s="145"/>
      <c r="T33" s="145"/>
      <c r="U33" s="281"/>
      <c r="V33" s="145"/>
      <c r="W33" s="145"/>
      <c r="X33" s="259"/>
      <c r="Y33" s="259"/>
      <c r="Z33" s="259"/>
      <c r="AA33" s="268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  <c r="CR33" s="145"/>
      <c r="CS33" s="145"/>
      <c r="CT33" s="145"/>
      <c r="CU33" s="145"/>
      <c r="CV33" s="145"/>
      <c r="CW33" s="145"/>
      <c r="CX33" s="145"/>
      <c r="CY33" s="145"/>
      <c r="CZ33" s="145"/>
      <c r="DA33" s="145"/>
      <c r="DB33" s="145"/>
      <c r="DC33" s="145"/>
      <c r="DD33" s="145"/>
      <c r="DE33" s="145"/>
      <c r="DF33" s="145"/>
      <c r="DG33" s="145"/>
      <c r="DH33" s="145"/>
      <c r="DI33" s="145"/>
      <c r="DJ33" s="145"/>
      <c r="DK33" s="145"/>
      <c r="DL33" s="145"/>
      <c r="DM33" s="145"/>
      <c r="DN33" s="145"/>
      <c r="DO33" s="145"/>
      <c r="DP33" s="145"/>
      <c r="DQ33" s="145"/>
      <c r="DR33" s="145"/>
      <c r="DS33" s="145"/>
      <c r="DT33" s="145"/>
      <c r="DU33" s="145"/>
      <c r="DV33" s="145"/>
      <c r="DW33" s="145"/>
      <c r="DX33" s="145"/>
      <c r="DY33" s="145"/>
      <c r="DZ33" s="145"/>
      <c r="EA33" s="145"/>
      <c r="EB33" s="145"/>
      <c r="EC33" s="145"/>
      <c r="ED33" s="145"/>
      <c r="EE33" s="145"/>
      <c r="EF33" s="145"/>
      <c r="EG33" s="145"/>
      <c r="EH33" s="145"/>
      <c r="EI33" s="145"/>
      <c r="EJ33" s="145"/>
      <c r="EK33" s="145"/>
      <c r="EL33" s="145"/>
      <c r="EM33" s="145"/>
      <c r="EN33" s="145"/>
      <c r="EO33" s="145"/>
      <c r="EP33" s="145"/>
      <c r="EQ33" s="145"/>
      <c r="ER33" s="145"/>
      <c r="ES33" s="145"/>
      <c r="ET33" s="145"/>
      <c r="EU33" s="145"/>
      <c r="EV33" s="145"/>
      <c r="EW33" s="145"/>
      <c r="EX33" s="145"/>
      <c r="EY33" s="145"/>
      <c r="EZ33" s="145"/>
      <c r="FA33" s="145"/>
      <c r="FB33" s="145"/>
      <c r="FC33" s="145"/>
      <c r="FD33" s="145"/>
      <c r="FE33" s="145"/>
      <c r="FF33" s="145"/>
      <c r="FG33" s="145"/>
      <c r="FH33" s="145"/>
      <c r="FI33" s="145"/>
      <c r="FJ33" s="145"/>
      <c r="FK33" s="145"/>
      <c r="FL33" s="145"/>
      <c r="FM33" s="145"/>
      <c r="FN33" s="145"/>
      <c r="FO33" s="145"/>
      <c r="FP33" s="145"/>
      <c r="FQ33" s="145"/>
      <c r="FR33" s="145"/>
      <c r="FS33" s="145"/>
      <c r="FT33" s="145"/>
      <c r="FU33" s="145"/>
      <c r="FV33" s="145"/>
      <c r="FW33" s="145"/>
      <c r="FX33" s="145"/>
      <c r="FY33" s="145"/>
      <c r="FZ33" s="145"/>
      <c r="GA33" s="145"/>
      <c r="GB33" s="145"/>
      <c r="GC33" s="145"/>
      <c r="GD33" s="145"/>
      <c r="GE33" s="145"/>
      <c r="GF33" s="145"/>
      <c r="GG33" s="145"/>
      <c r="GH33" s="145"/>
      <c r="GI33" s="145"/>
      <c r="GJ33" s="145"/>
      <c r="GK33" s="145"/>
      <c r="GL33" s="145"/>
      <c r="GM33" s="145"/>
      <c r="GN33" s="145"/>
      <c r="GO33" s="145"/>
      <c r="GP33" s="145"/>
      <c r="GQ33" s="145"/>
      <c r="GR33" s="145"/>
      <c r="GS33" s="145"/>
      <c r="GT33" s="145"/>
      <c r="GU33" s="145"/>
      <c r="GV33" s="145"/>
      <c r="GW33" s="145"/>
      <c r="GX33" s="145"/>
      <c r="GY33" s="145"/>
      <c r="GZ33" s="145"/>
      <c r="HA33" s="145"/>
      <c r="HB33" s="145"/>
      <c r="HC33" s="145"/>
      <c r="HD33" s="145"/>
      <c r="HE33" s="145"/>
      <c r="HF33" s="145"/>
      <c r="HG33" s="145"/>
      <c r="HH33" s="145"/>
      <c r="HI33" s="145"/>
      <c r="HJ33" s="145"/>
      <c r="HK33" s="145"/>
      <c r="HL33" s="145"/>
      <c r="HM33" s="145"/>
      <c r="HN33" s="145"/>
      <c r="HO33" s="145"/>
      <c r="HP33" s="145"/>
      <c r="HQ33" s="145"/>
      <c r="HR33" s="145"/>
      <c r="HS33" s="145"/>
      <c r="HT33" s="145"/>
      <c r="HU33" s="145"/>
      <c r="HV33" s="145"/>
      <c r="HW33" s="145"/>
      <c r="HX33" s="145"/>
      <c r="HY33" s="145"/>
      <c r="HZ33" s="145"/>
      <c r="IA33" s="145"/>
      <c r="IB33" s="145"/>
      <c r="IC33" s="145"/>
      <c r="ID33" s="145"/>
      <c r="IE33" s="145"/>
      <c r="IF33" s="145"/>
      <c r="IG33" s="145"/>
      <c r="IH33" s="145"/>
      <c r="II33" s="145"/>
      <c r="IJ33" s="145"/>
      <c r="IK33" s="145"/>
      <c r="IL33" s="145"/>
      <c r="IM33" s="145"/>
      <c r="IN33" s="145"/>
      <c r="IO33" s="145"/>
      <c r="IP33" s="145"/>
      <c r="IQ33" s="145"/>
      <c r="IR33" s="145"/>
      <c r="IS33" s="145"/>
      <c r="IT33" s="145"/>
      <c r="IU33" s="145"/>
      <c r="IV33" s="145"/>
      <c r="IW33" s="145"/>
      <c r="IX33" s="145"/>
      <c r="IY33" s="145"/>
      <c r="IZ33" s="145"/>
      <c r="JA33" s="145"/>
      <c r="JB33" s="145"/>
    </row>
    <row r="34" spans="1:262" ht="19.5">
      <c r="A34" s="398"/>
      <c r="B34" s="398"/>
      <c r="C34" s="398"/>
      <c r="D34" s="398"/>
      <c r="E34" s="398"/>
      <c r="F34" s="398"/>
      <c r="G34" s="398"/>
      <c r="H34" s="399"/>
      <c r="I34" s="399"/>
      <c r="J34" s="398"/>
      <c r="K34" s="398"/>
      <c r="L34" s="398"/>
      <c r="M34" s="399"/>
      <c r="N34" s="399"/>
      <c r="O34" s="280"/>
      <c r="P34" s="145"/>
      <c r="Q34" s="145"/>
      <c r="R34" s="145"/>
      <c r="S34" s="145"/>
      <c r="T34" s="145"/>
      <c r="U34" s="281"/>
      <c r="V34" s="145"/>
      <c r="W34" s="145"/>
      <c r="X34" s="259"/>
      <c r="Y34" s="259"/>
      <c r="Z34" s="259"/>
      <c r="AA34" s="268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  <c r="CR34" s="145"/>
      <c r="CS34" s="145"/>
      <c r="CT34" s="145"/>
      <c r="CU34" s="145"/>
      <c r="CV34" s="145"/>
      <c r="CW34" s="145"/>
      <c r="CX34" s="145"/>
      <c r="CY34" s="145"/>
      <c r="CZ34" s="145"/>
      <c r="DA34" s="145"/>
      <c r="DB34" s="145"/>
      <c r="DC34" s="145"/>
      <c r="DD34" s="145"/>
      <c r="DE34" s="145"/>
      <c r="DF34" s="145"/>
      <c r="DG34" s="145"/>
      <c r="DH34" s="145"/>
      <c r="DI34" s="145"/>
      <c r="DJ34" s="145"/>
      <c r="DK34" s="145"/>
      <c r="DL34" s="145"/>
      <c r="DM34" s="145"/>
      <c r="DN34" s="145"/>
      <c r="DO34" s="145"/>
      <c r="DP34" s="145"/>
      <c r="DQ34" s="145"/>
      <c r="DR34" s="145"/>
      <c r="DS34" s="145"/>
      <c r="DT34" s="145"/>
      <c r="DU34" s="145"/>
      <c r="DV34" s="145"/>
      <c r="DW34" s="145"/>
      <c r="DX34" s="145"/>
      <c r="DY34" s="145"/>
      <c r="DZ34" s="145"/>
      <c r="EA34" s="145"/>
      <c r="EB34" s="145"/>
      <c r="EC34" s="145"/>
      <c r="ED34" s="145"/>
      <c r="EE34" s="145"/>
      <c r="EF34" s="145"/>
      <c r="EG34" s="145"/>
      <c r="EH34" s="145"/>
      <c r="EI34" s="145"/>
      <c r="EJ34" s="145"/>
      <c r="EK34" s="145"/>
      <c r="EL34" s="145"/>
      <c r="EM34" s="145"/>
      <c r="EN34" s="145"/>
      <c r="EO34" s="145"/>
      <c r="EP34" s="145"/>
      <c r="EQ34" s="145"/>
      <c r="ER34" s="145"/>
      <c r="ES34" s="145"/>
      <c r="ET34" s="145"/>
      <c r="EU34" s="145"/>
      <c r="EV34" s="145"/>
      <c r="EW34" s="145"/>
      <c r="EX34" s="145"/>
      <c r="EY34" s="145"/>
      <c r="EZ34" s="145"/>
      <c r="FA34" s="145"/>
      <c r="FB34" s="145"/>
      <c r="FC34" s="145"/>
      <c r="FD34" s="145"/>
      <c r="FE34" s="145"/>
      <c r="FF34" s="145"/>
      <c r="FG34" s="145"/>
      <c r="FH34" s="145"/>
      <c r="FI34" s="145"/>
      <c r="FJ34" s="145"/>
      <c r="FK34" s="145"/>
      <c r="FL34" s="145"/>
      <c r="FM34" s="145"/>
      <c r="FN34" s="145"/>
      <c r="FO34" s="145"/>
      <c r="FP34" s="145"/>
      <c r="FQ34" s="145"/>
      <c r="FR34" s="145"/>
      <c r="FS34" s="145"/>
      <c r="FT34" s="145"/>
      <c r="FU34" s="145"/>
      <c r="FV34" s="145"/>
      <c r="FW34" s="145"/>
      <c r="FX34" s="145"/>
      <c r="FY34" s="145"/>
      <c r="FZ34" s="145"/>
      <c r="GA34" s="145"/>
      <c r="GB34" s="145"/>
      <c r="GC34" s="145"/>
      <c r="GD34" s="145"/>
      <c r="GE34" s="145"/>
      <c r="GF34" s="145"/>
      <c r="GG34" s="145"/>
      <c r="GH34" s="145"/>
      <c r="GI34" s="145"/>
      <c r="GJ34" s="145"/>
      <c r="GK34" s="145"/>
      <c r="GL34" s="145"/>
      <c r="GM34" s="145"/>
      <c r="GN34" s="145"/>
      <c r="GO34" s="145"/>
      <c r="GP34" s="145"/>
      <c r="GQ34" s="145"/>
      <c r="GR34" s="145"/>
      <c r="GS34" s="145"/>
      <c r="GT34" s="145"/>
      <c r="GU34" s="145"/>
      <c r="GV34" s="145"/>
      <c r="GW34" s="145"/>
      <c r="GX34" s="145"/>
      <c r="GY34" s="145"/>
      <c r="GZ34" s="145"/>
      <c r="HA34" s="145"/>
      <c r="HB34" s="145"/>
      <c r="HC34" s="145"/>
      <c r="HD34" s="145"/>
      <c r="HE34" s="145"/>
      <c r="HF34" s="145"/>
      <c r="HG34" s="145"/>
      <c r="HH34" s="145"/>
      <c r="HI34" s="145"/>
      <c r="HJ34" s="145"/>
      <c r="HK34" s="145"/>
      <c r="HL34" s="145"/>
      <c r="HM34" s="145"/>
      <c r="HN34" s="145"/>
      <c r="HO34" s="145"/>
      <c r="HP34" s="145"/>
      <c r="HQ34" s="145"/>
      <c r="HR34" s="145"/>
      <c r="HS34" s="145"/>
      <c r="HT34" s="145"/>
      <c r="HU34" s="145"/>
      <c r="HV34" s="145"/>
      <c r="HW34" s="145"/>
      <c r="HX34" s="145"/>
      <c r="HY34" s="145"/>
      <c r="HZ34" s="145"/>
      <c r="IA34" s="145"/>
      <c r="IB34" s="145"/>
      <c r="IC34" s="145"/>
      <c r="ID34" s="145"/>
      <c r="IE34" s="145"/>
      <c r="IF34" s="145"/>
      <c r="IG34" s="145"/>
      <c r="IH34" s="145"/>
      <c r="II34" s="145"/>
      <c r="IJ34" s="145"/>
      <c r="IK34" s="145"/>
      <c r="IL34" s="145"/>
      <c r="IM34" s="145"/>
      <c r="IN34" s="145"/>
      <c r="IO34" s="145"/>
      <c r="IP34" s="145"/>
      <c r="IQ34" s="145"/>
      <c r="IR34" s="145"/>
      <c r="IS34" s="145"/>
      <c r="IT34" s="145"/>
      <c r="IU34" s="145"/>
      <c r="IV34" s="145"/>
      <c r="IW34" s="145"/>
      <c r="IX34" s="145"/>
      <c r="IY34" s="145"/>
      <c r="IZ34" s="145"/>
      <c r="JA34" s="145"/>
      <c r="JB34" s="145"/>
    </row>
    <row r="35" spans="1:262" ht="16.5">
      <c r="A35" s="145"/>
      <c r="B35" s="145"/>
      <c r="C35" s="145"/>
      <c r="D35" s="145"/>
      <c r="E35" s="145"/>
      <c r="F35" s="145"/>
      <c r="G35" s="145"/>
      <c r="H35" s="277"/>
      <c r="I35" s="277"/>
      <c r="J35" s="145"/>
      <c r="K35" s="145"/>
      <c r="L35" s="145"/>
      <c r="M35" s="277"/>
      <c r="N35" s="277"/>
      <c r="O35" s="280"/>
      <c r="P35" s="145"/>
      <c r="Q35" s="145"/>
      <c r="R35" s="145"/>
      <c r="S35" s="145"/>
      <c r="T35" s="145"/>
      <c r="U35" s="281"/>
      <c r="V35" s="145"/>
      <c r="W35" s="145"/>
      <c r="X35" s="259"/>
      <c r="Y35" s="259"/>
      <c r="Z35" s="259"/>
      <c r="AA35" s="268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  <c r="CR35" s="145"/>
      <c r="CS35" s="145"/>
      <c r="CT35" s="145"/>
      <c r="CU35" s="145"/>
      <c r="CV35" s="145"/>
      <c r="CW35" s="145"/>
      <c r="CX35" s="145"/>
      <c r="CY35" s="145"/>
      <c r="CZ35" s="145"/>
      <c r="DA35" s="145"/>
      <c r="DB35" s="145"/>
      <c r="DC35" s="145"/>
      <c r="DD35" s="145"/>
      <c r="DE35" s="145"/>
      <c r="DF35" s="145"/>
      <c r="DG35" s="145"/>
      <c r="DH35" s="145"/>
      <c r="DI35" s="145"/>
      <c r="DJ35" s="145"/>
      <c r="DK35" s="145"/>
      <c r="DL35" s="145"/>
      <c r="DM35" s="145"/>
      <c r="DN35" s="145"/>
      <c r="DO35" s="145"/>
      <c r="DP35" s="145"/>
      <c r="DQ35" s="145"/>
      <c r="DR35" s="145"/>
      <c r="DS35" s="145"/>
      <c r="DT35" s="145"/>
      <c r="DU35" s="145"/>
      <c r="DV35" s="145"/>
      <c r="DW35" s="145"/>
      <c r="DX35" s="145"/>
      <c r="DY35" s="145"/>
      <c r="DZ35" s="145"/>
      <c r="EA35" s="145"/>
      <c r="EB35" s="145"/>
      <c r="EC35" s="145"/>
      <c r="ED35" s="145"/>
      <c r="EE35" s="145"/>
      <c r="EF35" s="145"/>
      <c r="EG35" s="145"/>
      <c r="EH35" s="145"/>
      <c r="EI35" s="145"/>
      <c r="EJ35" s="145"/>
      <c r="EK35" s="145"/>
      <c r="EL35" s="145"/>
      <c r="EM35" s="145"/>
      <c r="EN35" s="145"/>
      <c r="EO35" s="145"/>
      <c r="EP35" s="145"/>
      <c r="EQ35" s="145"/>
      <c r="ER35" s="145"/>
      <c r="ES35" s="145"/>
      <c r="ET35" s="145"/>
      <c r="EU35" s="145"/>
      <c r="EV35" s="145"/>
      <c r="EW35" s="145"/>
      <c r="EX35" s="145"/>
      <c r="EY35" s="145"/>
      <c r="EZ35" s="145"/>
      <c r="FA35" s="145"/>
      <c r="FB35" s="145"/>
      <c r="FC35" s="145"/>
      <c r="FD35" s="145"/>
      <c r="FE35" s="145"/>
      <c r="FF35" s="145"/>
      <c r="FG35" s="145"/>
      <c r="FH35" s="145"/>
      <c r="FI35" s="145"/>
      <c r="FJ35" s="145"/>
      <c r="FK35" s="145"/>
      <c r="FL35" s="145"/>
      <c r="FM35" s="145"/>
      <c r="FN35" s="145"/>
      <c r="FO35" s="145"/>
      <c r="FP35" s="145"/>
      <c r="FQ35" s="145"/>
      <c r="FR35" s="145"/>
      <c r="FS35" s="145"/>
      <c r="FT35" s="145"/>
      <c r="FU35" s="145"/>
      <c r="FV35" s="145"/>
      <c r="FW35" s="145"/>
      <c r="FX35" s="145"/>
      <c r="FY35" s="145"/>
      <c r="FZ35" s="145"/>
      <c r="GA35" s="145"/>
      <c r="GB35" s="145"/>
      <c r="GC35" s="145"/>
      <c r="GD35" s="145"/>
      <c r="GE35" s="145"/>
      <c r="GF35" s="145"/>
      <c r="GG35" s="145"/>
      <c r="GH35" s="145"/>
      <c r="GI35" s="145"/>
      <c r="GJ35" s="145"/>
      <c r="GK35" s="145"/>
      <c r="GL35" s="145"/>
      <c r="GM35" s="145"/>
      <c r="GN35" s="145"/>
      <c r="GO35" s="145"/>
      <c r="GP35" s="145"/>
      <c r="GQ35" s="145"/>
      <c r="GR35" s="145"/>
      <c r="GS35" s="145"/>
      <c r="GT35" s="145"/>
      <c r="GU35" s="145"/>
      <c r="GV35" s="145"/>
      <c r="GW35" s="145"/>
      <c r="GX35" s="145"/>
      <c r="GY35" s="145"/>
      <c r="GZ35" s="145"/>
      <c r="HA35" s="145"/>
      <c r="HB35" s="145"/>
      <c r="HC35" s="145"/>
      <c r="HD35" s="145"/>
      <c r="HE35" s="145"/>
      <c r="HF35" s="145"/>
      <c r="HG35" s="145"/>
      <c r="HH35" s="145"/>
      <c r="HI35" s="145"/>
      <c r="HJ35" s="145"/>
      <c r="HK35" s="145"/>
      <c r="HL35" s="145"/>
      <c r="HM35" s="145"/>
      <c r="HN35" s="145"/>
      <c r="HO35" s="145"/>
      <c r="HP35" s="145"/>
      <c r="HQ35" s="145"/>
      <c r="HR35" s="145"/>
      <c r="HS35" s="145"/>
      <c r="HT35" s="145"/>
      <c r="HU35" s="145"/>
      <c r="HV35" s="145"/>
      <c r="HW35" s="145"/>
      <c r="HX35" s="145"/>
      <c r="HY35" s="145"/>
      <c r="HZ35" s="145"/>
      <c r="IA35" s="145"/>
      <c r="IB35" s="145"/>
      <c r="IC35" s="145"/>
      <c r="ID35" s="145"/>
      <c r="IE35" s="145"/>
      <c r="IF35" s="145"/>
      <c r="IG35" s="145"/>
      <c r="IH35" s="145"/>
      <c r="II35" s="145"/>
      <c r="IJ35" s="145"/>
      <c r="IK35" s="145"/>
      <c r="IL35" s="145"/>
      <c r="IM35" s="145"/>
      <c r="IN35" s="145"/>
      <c r="IO35" s="145"/>
      <c r="IP35" s="145"/>
      <c r="IQ35" s="145"/>
      <c r="IR35" s="145"/>
      <c r="IS35" s="145"/>
      <c r="IT35" s="145"/>
      <c r="IU35" s="145"/>
      <c r="IV35" s="145"/>
      <c r="IW35" s="145"/>
      <c r="IX35" s="145"/>
      <c r="IY35" s="145"/>
      <c r="IZ35" s="145"/>
      <c r="JA35" s="145"/>
      <c r="JB35" s="145"/>
    </row>
    <row r="36" spans="1:262" ht="16.5">
      <c r="A36" s="145"/>
      <c r="B36" s="145"/>
      <c r="C36" s="145"/>
      <c r="D36" s="145"/>
      <c r="E36" s="145"/>
      <c r="F36" s="145" t="s">
        <v>809</v>
      </c>
      <c r="G36" s="145"/>
      <c r="H36" s="277"/>
      <c r="I36" s="277"/>
      <c r="J36" s="145"/>
      <c r="K36" s="145"/>
      <c r="L36" s="145"/>
      <c r="M36" s="277"/>
      <c r="N36" s="277"/>
      <c r="O36" s="280"/>
      <c r="P36" s="145"/>
      <c r="Q36" s="145"/>
      <c r="R36" s="145"/>
      <c r="S36" s="145"/>
      <c r="T36" s="145"/>
      <c r="U36" s="281"/>
      <c r="V36" s="145"/>
      <c r="W36" s="145"/>
      <c r="X36" s="259"/>
      <c r="Y36" s="259"/>
      <c r="Z36" s="259"/>
      <c r="AA36" s="268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  <c r="CR36" s="145"/>
      <c r="CS36" s="145"/>
      <c r="CT36" s="145"/>
      <c r="CU36" s="145"/>
      <c r="CV36" s="145"/>
      <c r="CW36" s="145"/>
      <c r="CX36" s="145"/>
      <c r="CY36" s="145"/>
      <c r="CZ36" s="145"/>
      <c r="DA36" s="145"/>
      <c r="DB36" s="145"/>
      <c r="DC36" s="145"/>
      <c r="DD36" s="145"/>
      <c r="DE36" s="145"/>
      <c r="DF36" s="145"/>
      <c r="DG36" s="145"/>
      <c r="DH36" s="145"/>
      <c r="DI36" s="145"/>
      <c r="DJ36" s="145"/>
      <c r="DK36" s="145"/>
      <c r="DL36" s="145"/>
      <c r="DM36" s="145"/>
      <c r="DN36" s="145"/>
      <c r="DO36" s="145"/>
      <c r="DP36" s="145"/>
      <c r="DQ36" s="145"/>
      <c r="DR36" s="145"/>
      <c r="DS36" s="145"/>
      <c r="DT36" s="145"/>
      <c r="DU36" s="145"/>
      <c r="DV36" s="145"/>
      <c r="DW36" s="145"/>
      <c r="DX36" s="145"/>
      <c r="DY36" s="145"/>
      <c r="DZ36" s="145"/>
      <c r="EA36" s="145"/>
      <c r="EB36" s="145"/>
      <c r="EC36" s="145"/>
      <c r="ED36" s="145"/>
      <c r="EE36" s="145"/>
      <c r="EF36" s="145"/>
      <c r="EG36" s="145"/>
      <c r="EH36" s="145"/>
      <c r="EI36" s="145"/>
      <c r="EJ36" s="145"/>
      <c r="EK36" s="145"/>
      <c r="EL36" s="145"/>
      <c r="EM36" s="145"/>
      <c r="EN36" s="145"/>
      <c r="EO36" s="145"/>
      <c r="EP36" s="145"/>
      <c r="EQ36" s="145"/>
      <c r="ER36" s="145"/>
      <c r="ES36" s="145"/>
      <c r="ET36" s="145"/>
      <c r="EU36" s="145"/>
      <c r="EV36" s="145"/>
      <c r="EW36" s="145"/>
      <c r="EX36" s="145"/>
      <c r="EY36" s="145"/>
      <c r="EZ36" s="145"/>
      <c r="FA36" s="145"/>
      <c r="FB36" s="145"/>
      <c r="FC36" s="145"/>
      <c r="FD36" s="145"/>
      <c r="FE36" s="145"/>
      <c r="FF36" s="145"/>
      <c r="FG36" s="145"/>
      <c r="FH36" s="145"/>
      <c r="FI36" s="145"/>
      <c r="FJ36" s="145"/>
      <c r="FK36" s="145"/>
      <c r="FL36" s="145"/>
      <c r="FM36" s="145"/>
      <c r="FN36" s="145"/>
      <c r="FO36" s="145"/>
      <c r="FP36" s="145"/>
      <c r="FQ36" s="145"/>
      <c r="FR36" s="145"/>
      <c r="FS36" s="145"/>
      <c r="FT36" s="145"/>
      <c r="FU36" s="145"/>
      <c r="FV36" s="145"/>
      <c r="FW36" s="145"/>
      <c r="FX36" s="145"/>
      <c r="FY36" s="145"/>
      <c r="FZ36" s="145"/>
      <c r="GA36" s="145"/>
      <c r="GB36" s="145"/>
      <c r="GC36" s="145"/>
      <c r="GD36" s="145"/>
      <c r="GE36" s="145"/>
      <c r="GF36" s="145"/>
      <c r="GG36" s="145"/>
      <c r="GH36" s="145"/>
      <c r="GI36" s="145"/>
      <c r="GJ36" s="145"/>
      <c r="GK36" s="145"/>
      <c r="GL36" s="145"/>
      <c r="GM36" s="145"/>
      <c r="GN36" s="145"/>
      <c r="GO36" s="145"/>
      <c r="GP36" s="145"/>
      <c r="GQ36" s="145"/>
      <c r="GR36" s="145"/>
      <c r="GS36" s="145"/>
      <c r="GT36" s="145"/>
      <c r="GU36" s="145"/>
      <c r="GV36" s="145"/>
      <c r="GW36" s="145"/>
      <c r="GX36" s="145"/>
      <c r="GY36" s="145"/>
      <c r="GZ36" s="145"/>
      <c r="HA36" s="145"/>
      <c r="HB36" s="145"/>
      <c r="HC36" s="145"/>
      <c r="HD36" s="145"/>
      <c r="HE36" s="145"/>
      <c r="HF36" s="145"/>
      <c r="HG36" s="145"/>
      <c r="HH36" s="145"/>
      <c r="HI36" s="145"/>
      <c r="HJ36" s="145"/>
      <c r="HK36" s="145"/>
      <c r="HL36" s="145"/>
      <c r="HM36" s="145"/>
      <c r="HN36" s="145"/>
      <c r="HO36" s="145"/>
      <c r="HP36" s="145"/>
      <c r="HQ36" s="145"/>
      <c r="HR36" s="145"/>
      <c r="HS36" s="145"/>
      <c r="HT36" s="145"/>
      <c r="HU36" s="145"/>
      <c r="HV36" s="145"/>
      <c r="HW36" s="145"/>
      <c r="HX36" s="145"/>
      <c r="HY36" s="145"/>
      <c r="HZ36" s="145"/>
      <c r="IA36" s="145"/>
      <c r="IB36" s="145"/>
      <c r="IC36" s="145"/>
      <c r="ID36" s="145"/>
      <c r="IE36" s="145"/>
      <c r="IF36" s="145"/>
      <c r="IG36" s="145"/>
      <c r="IH36" s="145"/>
      <c r="II36" s="145"/>
      <c r="IJ36" s="145"/>
      <c r="IK36" s="145"/>
      <c r="IL36" s="145"/>
      <c r="IM36" s="145"/>
      <c r="IN36" s="145"/>
      <c r="IO36" s="145"/>
      <c r="IP36" s="145"/>
      <c r="IQ36" s="145"/>
      <c r="IR36" s="145"/>
      <c r="IS36" s="145"/>
      <c r="IT36" s="145"/>
      <c r="IU36" s="145"/>
      <c r="IV36" s="145"/>
      <c r="IW36" s="145"/>
      <c r="IX36" s="145"/>
      <c r="IY36" s="145"/>
      <c r="IZ36" s="145"/>
      <c r="JA36" s="145"/>
      <c r="JB36" s="145"/>
    </row>
    <row r="37" spans="1:262" ht="16.5">
      <c r="A37" s="145"/>
      <c r="B37" s="145"/>
      <c r="C37" s="145"/>
      <c r="D37" s="145"/>
      <c r="E37" s="145"/>
      <c r="F37" s="145"/>
      <c r="G37" s="145"/>
      <c r="H37" s="277"/>
      <c r="I37" s="277"/>
      <c r="J37" s="145"/>
      <c r="K37" s="145"/>
      <c r="L37" s="145"/>
      <c r="M37" s="277"/>
      <c r="N37" s="277"/>
      <c r="O37" s="280"/>
      <c r="P37" s="145"/>
      <c r="Q37" s="145"/>
      <c r="R37" s="145"/>
      <c r="S37" s="145"/>
      <c r="T37" s="145"/>
      <c r="U37" s="281"/>
      <c r="V37" s="145"/>
      <c r="W37" s="145"/>
      <c r="X37" s="269"/>
      <c r="Y37" s="270"/>
      <c r="Z37" s="270"/>
      <c r="AA37" s="270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  <c r="CR37" s="145"/>
      <c r="CS37" s="145"/>
      <c r="CT37" s="145"/>
      <c r="CU37" s="145"/>
      <c r="CV37" s="145"/>
      <c r="CW37" s="145"/>
      <c r="CX37" s="145"/>
      <c r="CY37" s="145"/>
      <c r="CZ37" s="145"/>
      <c r="DA37" s="145"/>
      <c r="DB37" s="145"/>
      <c r="DC37" s="145"/>
      <c r="DD37" s="145"/>
      <c r="DE37" s="145"/>
      <c r="DF37" s="145"/>
      <c r="DG37" s="145"/>
      <c r="DH37" s="145"/>
      <c r="DI37" s="145"/>
      <c r="DJ37" s="145"/>
      <c r="DK37" s="145"/>
      <c r="DL37" s="145"/>
      <c r="DM37" s="145"/>
      <c r="DN37" s="145"/>
      <c r="DO37" s="145"/>
      <c r="DP37" s="145"/>
      <c r="DQ37" s="145"/>
      <c r="DR37" s="145"/>
      <c r="DS37" s="145"/>
      <c r="DT37" s="145"/>
      <c r="DU37" s="145"/>
      <c r="DV37" s="145"/>
      <c r="DW37" s="145"/>
      <c r="DX37" s="145"/>
      <c r="DY37" s="145"/>
      <c r="DZ37" s="145"/>
      <c r="EA37" s="145"/>
      <c r="EB37" s="145"/>
      <c r="EC37" s="145"/>
      <c r="ED37" s="145"/>
      <c r="EE37" s="145"/>
      <c r="EF37" s="145"/>
      <c r="EG37" s="145"/>
      <c r="EH37" s="145"/>
      <c r="EI37" s="145"/>
      <c r="EJ37" s="145"/>
      <c r="EK37" s="145"/>
      <c r="EL37" s="145"/>
      <c r="EM37" s="145"/>
      <c r="EN37" s="145"/>
      <c r="EO37" s="145"/>
      <c r="EP37" s="145"/>
      <c r="EQ37" s="145"/>
      <c r="ER37" s="145"/>
      <c r="ES37" s="145"/>
      <c r="ET37" s="145"/>
      <c r="EU37" s="145"/>
      <c r="EV37" s="145"/>
      <c r="EW37" s="145"/>
      <c r="EX37" s="145"/>
      <c r="EY37" s="145"/>
      <c r="EZ37" s="145"/>
      <c r="FA37" s="145"/>
      <c r="FB37" s="145"/>
      <c r="FC37" s="145"/>
      <c r="FD37" s="145"/>
      <c r="FE37" s="145"/>
      <c r="FF37" s="145"/>
      <c r="FG37" s="145"/>
      <c r="FH37" s="145"/>
      <c r="FI37" s="145"/>
      <c r="FJ37" s="145"/>
      <c r="FK37" s="145"/>
      <c r="FL37" s="145"/>
      <c r="FM37" s="145"/>
      <c r="FN37" s="145"/>
      <c r="FO37" s="145"/>
      <c r="FP37" s="145"/>
      <c r="FQ37" s="145"/>
      <c r="FR37" s="145"/>
      <c r="FS37" s="145"/>
      <c r="FT37" s="145"/>
      <c r="FU37" s="145"/>
      <c r="FV37" s="145"/>
      <c r="FW37" s="145"/>
      <c r="FX37" s="145"/>
      <c r="FY37" s="145"/>
      <c r="FZ37" s="145"/>
      <c r="GA37" s="145"/>
      <c r="GB37" s="145"/>
      <c r="GC37" s="145"/>
      <c r="GD37" s="145"/>
      <c r="GE37" s="145"/>
      <c r="GF37" s="145"/>
      <c r="GG37" s="145"/>
      <c r="GH37" s="145"/>
      <c r="GI37" s="145"/>
      <c r="GJ37" s="145"/>
      <c r="GK37" s="145"/>
      <c r="GL37" s="145"/>
      <c r="GM37" s="145"/>
      <c r="GN37" s="145"/>
      <c r="GO37" s="145"/>
      <c r="GP37" s="145"/>
      <c r="GQ37" s="145"/>
      <c r="GR37" s="145"/>
      <c r="GS37" s="145"/>
      <c r="GT37" s="145"/>
      <c r="GU37" s="145"/>
      <c r="GV37" s="145"/>
      <c r="GW37" s="145"/>
      <c r="GX37" s="145"/>
      <c r="GY37" s="145"/>
      <c r="GZ37" s="145"/>
      <c r="HA37" s="145"/>
      <c r="HB37" s="145"/>
      <c r="HC37" s="145"/>
      <c r="HD37" s="145"/>
      <c r="HE37" s="145"/>
      <c r="HF37" s="145"/>
      <c r="HG37" s="145"/>
      <c r="HH37" s="145"/>
      <c r="HI37" s="145"/>
      <c r="HJ37" s="145"/>
      <c r="HK37" s="145"/>
      <c r="HL37" s="145"/>
      <c r="HM37" s="145"/>
      <c r="HN37" s="145"/>
      <c r="HO37" s="145"/>
      <c r="HP37" s="145"/>
      <c r="HQ37" s="145"/>
      <c r="HR37" s="145"/>
      <c r="HS37" s="145"/>
      <c r="HT37" s="145"/>
      <c r="HU37" s="145"/>
      <c r="HV37" s="145"/>
      <c r="HW37" s="145"/>
      <c r="HX37" s="145"/>
      <c r="HY37" s="145"/>
      <c r="HZ37" s="145"/>
      <c r="IA37" s="145"/>
      <c r="IB37" s="145"/>
      <c r="IC37" s="145"/>
      <c r="ID37" s="145"/>
      <c r="IE37" s="145"/>
      <c r="IF37" s="145"/>
      <c r="IG37" s="145"/>
      <c r="IH37" s="145"/>
      <c r="II37" s="145"/>
      <c r="IJ37" s="145"/>
      <c r="IK37" s="145"/>
      <c r="IL37" s="145"/>
      <c r="IM37" s="145"/>
      <c r="IN37" s="145"/>
      <c r="IO37" s="145"/>
      <c r="IP37" s="145"/>
      <c r="IQ37" s="145"/>
      <c r="IR37" s="145"/>
      <c r="IS37" s="145"/>
      <c r="IT37" s="145"/>
      <c r="IU37" s="145"/>
      <c r="IV37" s="145"/>
      <c r="IW37" s="145"/>
      <c r="IX37" s="145"/>
      <c r="IY37" s="145"/>
      <c r="IZ37" s="145"/>
      <c r="JA37" s="145"/>
      <c r="JB37" s="145"/>
    </row>
    <row r="38" spans="1:262" ht="16.5">
      <c r="A38" s="145"/>
      <c r="B38" s="145"/>
      <c r="C38" s="145"/>
      <c r="D38" s="145"/>
      <c r="E38" s="145"/>
      <c r="F38" s="145"/>
      <c r="G38" s="145"/>
      <c r="H38" s="277"/>
      <c r="I38" s="277"/>
      <c r="J38" s="145"/>
      <c r="K38" s="145"/>
      <c r="L38" s="145"/>
      <c r="M38" s="277"/>
      <c r="N38" s="277"/>
      <c r="O38" s="280"/>
      <c r="P38" s="145"/>
      <c r="Q38" s="145"/>
      <c r="R38" s="145"/>
      <c r="S38" s="145"/>
      <c r="T38" s="145"/>
      <c r="U38" s="281"/>
      <c r="V38" s="145"/>
      <c r="W38" s="145"/>
      <c r="X38" s="271"/>
      <c r="Y38" s="272"/>
      <c r="Z38" s="272"/>
      <c r="AA38" s="272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  <c r="CR38" s="145"/>
      <c r="CS38" s="145"/>
      <c r="CT38" s="145"/>
      <c r="CU38" s="145"/>
      <c r="CV38" s="145"/>
      <c r="CW38" s="145"/>
      <c r="CX38" s="145"/>
      <c r="CY38" s="145"/>
      <c r="CZ38" s="145"/>
      <c r="DA38" s="145"/>
      <c r="DB38" s="145"/>
      <c r="DC38" s="145"/>
      <c r="DD38" s="145"/>
      <c r="DE38" s="145"/>
      <c r="DF38" s="145"/>
      <c r="DG38" s="145"/>
      <c r="DH38" s="145"/>
      <c r="DI38" s="145"/>
      <c r="DJ38" s="145"/>
      <c r="DK38" s="145"/>
      <c r="DL38" s="145"/>
      <c r="DM38" s="145"/>
      <c r="DN38" s="145"/>
      <c r="DO38" s="145"/>
      <c r="DP38" s="145"/>
      <c r="DQ38" s="145"/>
      <c r="DR38" s="145"/>
      <c r="DS38" s="145"/>
      <c r="DT38" s="145"/>
      <c r="DU38" s="145"/>
      <c r="DV38" s="145"/>
      <c r="DW38" s="145"/>
      <c r="DX38" s="145"/>
      <c r="DY38" s="145"/>
      <c r="DZ38" s="145"/>
      <c r="EA38" s="145"/>
      <c r="EB38" s="145"/>
      <c r="EC38" s="145"/>
      <c r="ED38" s="145"/>
      <c r="EE38" s="145"/>
      <c r="EF38" s="145"/>
      <c r="EG38" s="145"/>
      <c r="EH38" s="145"/>
      <c r="EI38" s="145"/>
      <c r="EJ38" s="145"/>
      <c r="EK38" s="145"/>
      <c r="EL38" s="145"/>
      <c r="EM38" s="145"/>
      <c r="EN38" s="145"/>
      <c r="EO38" s="145"/>
      <c r="EP38" s="145"/>
      <c r="EQ38" s="145"/>
      <c r="ER38" s="145"/>
      <c r="ES38" s="145"/>
      <c r="ET38" s="145"/>
      <c r="EU38" s="145"/>
      <c r="EV38" s="145"/>
      <c r="EW38" s="145"/>
      <c r="EX38" s="145"/>
      <c r="EY38" s="145"/>
      <c r="EZ38" s="145"/>
      <c r="FA38" s="145"/>
      <c r="FB38" s="145"/>
      <c r="FC38" s="145"/>
      <c r="FD38" s="145"/>
      <c r="FE38" s="145"/>
      <c r="FF38" s="145"/>
      <c r="FG38" s="145"/>
      <c r="FH38" s="145"/>
      <c r="FI38" s="145"/>
      <c r="FJ38" s="145"/>
      <c r="FK38" s="145"/>
      <c r="FL38" s="145"/>
      <c r="FM38" s="145"/>
      <c r="FN38" s="145"/>
      <c r="FO38" s="145"/>
      <c r="FP38" s="145"/>
      <c r="FQ38" s="145"/>
      <c r="FR38" s="145"/>
      <c r="FS38" s="145"/>
      <c r="FT38" s="145"/>
      <c r="FU38" s="145"/>
      <c r="FV38" s="145"/>
      <c r="FW38" s="145"/>
      <c r="FX38" s="145"/>
      <c r="FY38" s="145"/>
      <c r="FZ38" s="145"/>
      <c r="GA38" s="145"/>
      <c r="GB38" s="145"/>
      <c r="GC38" s="145"/>
      <c r="GD38" s="145"/>
      <c r="GE38" s="145"/>
      <c r="GF38" s="145"/>
      <c r="GG38" s="145"/>
      <c r="GH38" s="145"/>
      <c r="GI38" s="145"/>
      <c r="GJ38" s="145"/>
      <c r="GK38" s="145"/>
      <c r="GL38" s="145"/>
      <c r="GM38" s="145"/>
      <c r="GN38" s="145"/>
      <c r="GO38" s="145"/>
      <c r="GP38" s="145"/>
      <c r="GQ38" s="145"/>
      <c r="GR38" s="145"/>
      <c r="GS38" s="145"/>
      <c r="GT38" s="145"/>
      <c r="GU38" s="145"/>
      <c r="GV38" s="145"/>
      <c r="GW38" s="145"/>
      <c r="GX38" s="145"/>
      <c r="GY38" s="145"/>
      <c r="GZ38" s="145"/>
      <c r="HA38" s="145"/>
      <c r="HB38" s="145"/>
      <c r="HC38" s="145"/>
      <c r="HD38" s="145"/>
      <c r="HE38" s="145"/>
      <c r="HF38" s="145"/>
      <c r="HG38" s="145"/>
      <c r="HH38" s="145"/>
      <c r="HI38" s="145"/>
      <c r="HJ38" s="145"/>
      <c r="HK38" s="145"/>
      <c r="HL38" s="145"/>
      <c r="HM38" s="145"/>
      <c r="HN38" s="145"/>
      <c r="HO38" s="145"/>
      <c r="HP38" s="145"/>
      <c r="HQ38" s="145"/>
      <c r="HR38" s="145"/>
      <c r="HS38" s="145"/>
      <c r="HT38" s="145"/>
      <c r="HU38" s="145"/>
      <c r="HV38" s="145"/>
      <c r="HW38" s="145"/>
      <c r="HX38" s="145"/>
      <c r="HY38" s="145"/>
      <c r="HZ38" s="145"/>
      <c r="IA38" s="145"/>
      <c r="IB38" s="145"/>
      <c r="IC38" s="145"/>
      <c r="ID38" s="145"/>
      <c r="IE38" s="145"/>
      <c r="IF38" s="145"/>
      <c r="IG38" s="145"/>
      <c r="IH38" s="145"/>
      <c r="II38" s="145"/>
      <c r="IJ38" s="145"/>
      <c r="IK38" s="145"/>
      <c r="IL38" s="145"/>
      <c r="IM38" s="145"/>
      <c r="IN38" s="145"/>
      <c r="IO38" s="145"/>
      <c r="IP38" s="145"/>
      <c r="IQ38" s="145"/>
      <c r="IR38" s="145"/>
      <c r="IS38" s="145"/>
      <c r="IT38" s="145"/>
      <c r="IU38" s="145"/>
      <c r="IV38" s="145"/>
      <c r="IW38" s="145"/>
      <c r="IX38" s="145"/>
      <c r="IY38" s="145"/>
      <c r="IZ38" s="145"/>
      <c r="JA38" s="145"/>
      <c r="JB38" s="145"/>
    </row>
    <row r="39" spans="1:262" ht="16.5">
      <c r="A39" s="145"/>
      <c r="B39" s="145"/>
      <c r="C39" s="145"/>
      <c r="D39" s="145"/>
      <c r="E39" s="145"/>
      <c r="F39" s="145"/>
      <c r="G39" s="145"/>
      <c r="H39" s="277"/>
      <c r="I39" s="277"/>
      <c r="J39" s="145"/>
      <c r="K39" s="145"/>
      <c r="L39" s="145"/>
      <c r="M39" s="277"/>
      <c r="N39" s="277"/>
      <c r="O39" s="280"/>
      <c r="P39" s="145"/>
      <c r="Q39" s="145"/>
      <c r="R39" s="145"/>
      <c r="S39" s="145"/>
      <c r="T39" s="145"/>
      <c r="U39" s="281"/>
      <c r="V39" s="145"/>
      <c r="W39" s="145"/>
      <c r="X39" s="259"/>
      <c r="Y39" s="145"/>
      <c r="Z39" s="145"/>
      <c r="AA39" s="273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  <c r="CR39" s="145"/>
      <c r="CS39" s="145"/>
      <c r="CT39" s="145"/>
      <c r="CU39" s="145"/>
      <c r="CV39" s="145"/>
      <c r="CW39" s="145"/>
      <c r="CX39" s="145"/>
      <c r="CY39" s="145"/>
      <c r="CZ39" s="145"/>
      <c r="DA39" s="145"/>
      <c r="DB39" s="145"/>
      <c r="DC39" s="145"/>
      <c r="DD39" s="145"/>
      <c r="DE39" s="145"/>
      <c r="DF39" s="145"/>
      <c r="DG39" s="145"/>
      <c r="DH39" s="145"/>
      <c r="DI39" s="145"/>
      <c r="DJ39" s="145"/>
      <c r="DK39" s="145"/>
      <c r="DL39" s="145"/>
      <c r="DM39" s="145"/>
      <c r="DN39" s="145"/>
      <c r="DO39" s="145"/>
      <c r="DP39" s="145"/>
      <c r="DQ39" s="145"/>
      <c r="DR39" s="145"/>
      <c r="DS39" s="145"/>
      <c r="DT39" s="145"/>
      <c r="DU39" s="145"/>
      <c r="DV39" s="145"/>
      <c r="DW39" s="145"/>
      <c r="DX39" s="145"/>
      <c r="DY39" s="145"/>
      <c r="DZ39" s="145"/>
      <c r="EA39" s="145"/>
      <c r="EB39" s="145"/>
      <c r="EC39" s="145"/>
      <c r="ED39" s="145"/>
      <c r="EE39" s="145"/>
      <c r="EF39" s="145"/>
      <c r="EG39" s="145"/>
      <c r="EH39" s="145"/>
      <c r="EI39" s="145"/>
      <c r="EJ39" s="145"/>
      <c r="EK39" s="145"/>
      <c r="EL39" s="145"/>
      <c r="EM39" s="145"/>
      <c r="EN39" s="145"/>
      <c r="EO39" s="145"/>
      <c r="EP39" s="145"/>
      <c r="EQ39" s="145"/>
      <c r="ER39" s="145"/>
      <c r="ES39" s="145"/>
      <c r="ET39" s="145"/>
      <c r="EU39" s="145"/>
      <c r="EV39" s="145"/>
      <c r="EW39" s="145"/>
      <c r="EX39" s="145"/>
      <c r="EY39" s="145"/>
      <c r="EZ39" s="145"/>
      <c r="FA39" s="145"/>
      <c r="FB39" s="145"/>
      <c r="FC39" s="145"/>
      <c r="FD39" s="145"/>
      <c r="FE39" s="145"/>
      <c r="FF39" s="145"/>
      <c r="FG39" s="145"/>
      <c r="FH39" s="145"/>
      <c r="FI39" s="145"/>
      <c r="FJ39" s="145"/>
      <c r="FK39" s="145"/>
      <c r="FL39" s="145"/>
      <c r="FM39" s="145"/>
      <c r="FN39" s="145"/>
      <c r="FO39" s="145"/>
      <c r="FP39" s="145"/>
      <c r="FQ39" s="145"/>
      <c r="FR39" s="145"/>
      <c r="FS39" s="145"/>
      <c r="FT39" s="145"/>
      <c r="FU39" s="145"/>
      <c r="FV39" s="145"/>
      <c r="FW39" s="145"/>
      <c r="FX39" s="145"/>
      <c r="FY39" s="145"/>
      <c r="FZ39" s="145"/>
      <c r="GA39" s="145"/>
      <c r="GB39" s="145"/>
      <c r="GC39" s="145"/>
      <c r="GD39" s="145"/>
      <c r="GE39" s="145"/>
      <c r="GF39" s="145"/>
      <c r="GG39" s="145"/>
      <c r="GH39" s="145"/>
      <c r="GI39" s="145"/>
      <c r="GJ39" s="145"/>
      <c r="GK39" s="145"/>
      <c r="GL39" s="145"/>
      <c r="GM39" s="145"/>
      <c r="GN39" s="145"/>
      <c r="GO39" s="145"/>
      <c r="GP39" s="145"/>
      <c r="GQ39" s="145"/>
      <c r="GR39" s="145"/>
      <c r="GS39" s="145"/>
      <c r="GT39" s="145"/>
      <c r="GU39" s="145"/>
      <c r="GV39" s="145"/>
      <c r="GW39" s="145"/>
      <c r="GX39" s="145"/>
      <c r="GY39" s="145"/>
      <c r="GZ39" s="145"/>
      <c r="HA39" s="145"/>
      <c r="HB39" s="145"/>
      <c r="HC39" s="145"/>
      <c r="HD39" s="145"/>
      <c r="HE39" s="145"/>
      <c r="HF39" s="145"/>
      <c r="HG39" s="145"/>
      <c r="HH39" s="145"/>
      <c r="HI39" s="145"/>
      <c r="HJ39" s="145"/>
      <c r="HK39" s="145"/>
      <c r="HL39" s="145"/>
      <c r="HM39" s="145"/>
      <c r="HN39" s="145"/>
      <c r="HO39" s="145"/>
      <c r="HP39" s="145"/>
      <c r="HQ39" s="145"/>
      <c r="HR39" s="145"/>
      <c r="HS39" s="145"/>
      <c r="HT39" s="145"/>
      <c r="HU39" s="145"/>
      <c r="HV39" s="145"/>
      <c r="HW39" s="145"/>
      <c r="HX39" s="145"/>
      <c r="HY39" s="145"/>
      <c r="HZ39" s="145"/>
      <c r="IA39" s="145"/>
      <c r="IB39" s="145"/>
      <c r="IC39" s="145"/>
      <c r="ID39" s="145"/>
      <c r="IE39" s="145"/>
      <c r="IF39" s="145"/>
      <c r="IG39" s="145"/>
      <c r="IH39" s="145"/>
      <c r="II39" s="145"/>
      <c r="IJ39" s="145"/>
      <c r="IK39" s="145"/>
      <c r="IL39" s="145"/>
      <c r="IM39" s="145"/>
      <c r="IN39" s="145"/>
      <c r="IO39" s="145"/>
      <c r="IP39" s="145"/>
      <c r="IQ39" s="145"/>
      <c r="IR39" s="145"/>
      <c r="IS39" s="145"/>
      <c r="IT39" s="145"/>
      <c r="IU39" s="145"/>
      <c r="IV39" s="145"/>
      <c r="IW39" s="145"/>
      <c r="IX39" s="145"/>
      <c r="IY39" s="145"/>
      <c r="IZ39" s="145"/>
      <c r="JA39" s="145"/>
      <c r="JB39" s="145"/>
    </row>
    <row r="40" spans="1:262" ht="16.5">
      <c r="A40" s="145"/>
      <c r="B40" s="145"/>
      <c r="C40" s="145"/>
      <c r="D40" s="145"/>
      <c r="E40" s="145"/>
      <c r="F40" s="145"/>
      <c r="G40" s="145"/>
      <c r="H40" s="277"/>
      <c r="I40" s="277"/>
      <c r="J40" s="145"/>
      <c r="K40" s="145"/>
      <c r="L40" s="145"/>
      <c r="M40" s="277"/>
      <c r="N40" s="277"/>
      <c r="O40" s="280"/>
      <c r="P40" s="145"/>
      <c r="Q40" s="145"/>
      <c r="R40" s="145"/>
      <c r="S40" s="145"/>
      <c r="T40" s="145"/>
      <c r="U40" s="281"/>
      <c r="V40" s="145"/>
      <c r="W40" s="145"/>
      <c r="X40" s="259"/>
      <c r="Y40" s="145"/>
      <c r="Z40" s="145"/>
      <c r="AA40" s="273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  <c r="CR40" s="145"/>
      <c r="CS40" s="145"/>
      <c r="CT40" s="145"/>
      <c r="CU40" s="145"/>
      <c r="CV40" s="145"/>
      <c r="CW40" s="145"/>
      <c r="CX40" s="145"/>
      <c r="CY40" s="145"/>
      <c r="CZ40" s="145"/>
      <c r="DA40" s="145"/>
      <c r="DB40" s="145"/>
      <c r="DC40" s="145"/>
      <c r="DD40" s="145"/>
      <c r="DE40" s="145"/>
      <c r="DF40" s="145"/>
      <c r="DG40" s="145"/>
      <c r="DH40" s="145"/>
      <c r="DI40" s="145"/>
      <c r="DJ40" s="145"/>
      <c r="DK40" s="145"/>
      <c r="DL40" s="145"/>
      <c r="DM40" s="145"/>
      <c r="DN40" s="145"/>
      <c r="DO40" s="145"/>
      <c r="DP40" s="145"/>
      <c r="DQ40" s="145"/>
      <c r="DR40" s="145"/>
      <c r="DS40" s="145"/>
      <c r="DT40" s="145"/>
      <c r="DU40" s="145"/>
      <c r="DV40" s="145"/>
      <c r="DW40" s="145"/>
      <c r="DX40" s="145"/>
      <c r="DY40" s="145"/>
      <c r="DZ40" s="145"/>
      <c r="EA40" s="145"/>
      <c r="EB40" s="145"/>
      <c r="EC40" s="145"/>
      <c r="ED40" s="145"/>
      <c r="EE40" s="145"/>
      <c r="EF40" s="145"/>
      <c r="EG40" s="145"/>
      <c r="EH40" s="145"/>
      <c r="EI40" s="145"/>
      <c r="EJ40" s="145"/>
      <c r="EK40" s="145"/>
      <c r="EL40" s="145"/>
      <c r="EM40" s="145"/>
      <c r="EN40" s="145"/>
      <c r="EO40" s="145"/>
      <c r="EP40" s="145"/>
      <c r="EQ40" s="145"/>
      <c r="ER40" s="145"/>
      <c r="ES40" s="145"/>
      <c r="ET40" s="145"/>
      <c r="EU40" s="145"/>
      <c r="EV40" s="145"/>
      <c r="EW40" s="145"/>
      <c r="EX40" s="145"/>
      <c r="EY40" s="145"/>
      <c r="EZ40" s="145"/>
      <c r="FA40" s="145"/>
      <c r="FB40" s="145"/>
      <c r="FC40" s="145"/>
      <c r="FD40" s="145"/>
      <c r="FE40" s="145"/>
      <c r="FF40" s="145"/>
      <c r="FG40" s="145"/>
      <c r="FH40" s="145"/>
      <c r="FI40" s="145"/>
      <c r="FJ40" s="145"/>
      <c r="FK40" s="145"/>
      <c r="FL40" s="145"/>
      <c r="FM40" s="145"/>
      <c r="FN40" s="145"/>
      <c r="FO40" s="145"/>
      <c r="FP40" s="145"/>
      <c r="FQ40" s="145"/>
      <c r="FR40" s="145"/>
      <c r="FS40" s="145"/>
      <c r="FT40" s="145"/>
      <c r="FU40" s="145"/>
      <c r="FV40" s="145"/>
      <c r="FW40" s="145"/>
      <c r="FX40" s="145"/>
      <c r="FY40" s="145"/>
      <c r="FZ40" s="145"/>
      <c r="GA40" s="145"/>
      <c r="GB40" s="145"/>
      <c r="GC40" s="145"/>
      <c r="GD40" s="145"/>
      <c r="GE40" s="145"/>
      <c r="GF40" s="145"/>
      <c r="GG40" s="145"/>
      <c r="GH40" s="145"/>
      <c r="GI40" s="145"/>
      <c r="GJ40" s="145"/>
      <c r="GK40" s="145"/>
      <c r="GL40" s="145"/>
      <c r="GM40" s="145"/>
      <c r="GN40" s="145"/>
      <c r="GO40" s="145"/>
      <c r="GP40" s="145"/>
      <c r="GQ40" s="145"/>
      <c r="GR40" s="145"/>
      <c r="GS40" s="145"/>
      <c r="GT40" s="145"/>
      <c r="GU40" s="145"/>
      <c r="GV40" s="145"/>
      <c r="GW40" s="145"/>
      <c r="GX40" s="145"/>
      <c r="GY40" s="145"/>
      <c r="GZ40" s="145"/>
      <c r="HA40" s="145"/>
      <c r="HB40" s="145"/>
      <c r="HC40" s="145"/>
      <c r="HD40" s="145"/>
      <c r="HE40" s="145"/>
      <c r="HF40" s="145"/>
      <c r="HG40" s="145"/>
      <c r="HH40" s="145"/>
      <c r="HI40" s="145"/>
      <c r="HJ40" s="145"/>
      <c r="HK40" s="145"/>
      <c r="HL40" s="145"/>
      <c r="HM40" s="145"/>
      <c r="HN40" s="145"/>
      <c r="HO40" s="145"/>
      <c r="HP40" s="145"/>
      <c r="HQ40" s="145"/>
      <c r="HR40" s="145"/>
      <c r="HS40" s="145"/>
      <c r="HT40" s="145"/>
      <c r="HU40" s="145"/>
      <c r="HV40" s="145"/>
      <c r="HW40" s="145"/>
      <c r="HX40" s="145"/>
      <c r="HY40" s="145"/>
      <c r="HZ40" s="145"/>
      <c r="IA40" s="145"/>
      <c r="IB40" s="145"/>
      <c r="IC40" s="145"/>
      <c r="ID40" s="145"/>
      <c r="IE40" s="145"/>
      <c r="IF40" s="145"/>
      <c r="IG40" s="145"/>
      <c r="IH40" s="145"/>
      <c r="II40" s="145"/>
      <c r="IJ40" s="145"/>
      <c r="IK40" s="145"/>
      <c r="IL40" s="145"/>
      <c r="IM40" s="145"/>
      <c r="IN40" s="145"/>
      <c r="IO40" s="145"/>
      <c r="IP40" s="145"/>
      <c r="IQ40" s="145"/>
      <c r="IR40" s="145"/>
      <c r="IS40" s="145"/>
      <c r="IT40" s="145"/>
      <c r="IU40" s="145"/>
      <c r="IV40" s="145"/>
      <c r="IW40" s="145"/>
      <c r="IX40" s="145"/>
      <c r="IY40" s="145"/>
      <c r="IZ40" s="145"/>
      <c r="JA40" s="145"/>
      <c r="JB40" s="145"/>
    </row>
    <row r="41" spans="1:262" ht="16.5">
      <c r="A41" s="145"/>
      <c r="B41" s="145"/>
      <c r="C41" s="145"/>
      <c r="D41" s="145"/>
      <c r="E41" s="145"/>
      <c r="F41" s="145"/>
      <c r="G41" s="145"/>
      <c r="H41" s="277"/>
      <c r="I41" s="277"/>
      <c r="J41" s="145"/>
      <c r="K41" s="145"/>
      <c r="L41" s="145"/>
      <c r="M41" s="277"/>
      <c r="N41" s="277"/>
      <c r="O41" s="280"/>
      <c r="P41" s="145"/>
      <c r="Q41" s="145"/>
      <c r="R41" s="145"/>
      <c r="S41" s="145"/>
      <c r="T41" s="145"/>
      <c r="U41" s="281"/>
      <c r="V41" s="145"/>
      <c r="W41" s="145"/>
      <c r="X41" s="259"/>
      <c r="Y41" s="145"/>
      <c r="Z41" s="145"/>
      <c r="AA41" s="273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  <c r="CR41" s="145"/>
      <c r="CS41" s="145"/>
      <c r="CT41" s="145"/>
      <c r="CU41" s="145"/>
      <c r="CV41" s="145"/>
      <c r="CW41" s="145"/>
      <c r="CX41" s="145"/>
      <c r="CY41" s="145"/>
      <c r="CZ41" s="145"/>
      <c r="DA41" s="145"/>
      <c r="DB41" s="145"/>
      <c r="DC41" s="145"/>
      <c r="DD41" s="145"/>
      <c r="DE41" s="145"/>
      <c r="DF41" s="145"/>
      <c r="DG41" s="145"/>
      <c r="DH41" s="145"/>
      <c r="DI41" s="145"/>
      <c r="DJ41" s="145"/>
      <c r="DK41" s="145"/>
      <c r="DL41" s="145"/>
      <c r="DM41" s="145"/>
      <c r="DN41" s="145"/>
      <c r="DO41" s="145"/>
      <c r="DP41" s="145"/>
      <c r="DQ41" s="145"/>
      <c r="DR41" s="145"/>
      <c r="DS41" s="145"/>
      <c r="DT41" s="145"/>
      <c r="DU41" s="145"/>
      <c r="DV41" s="145"/>
      <c r="DW41" s="145"/>
      <c r="DX41" s="145"/>
      <c r="DY41" s="145"/>
      <c r="DZ41" s="145"/>
      <c r="EA41" s="145"/>
      <c r="EB41" s="145"/>
      <c r="EC41" s="145"/>
      <c r="ED41" s="145"/>
      <c r="EE41" s="145"/>
      <c r="EF41" s="145"/>
      <c r="EG41" s="145"/>
      <c r="EH41" s="145"/>
      <c r="EI41" s="145"/>
      <c r="EJ41" s="145"/>
      <c r="EK41" s="145"/>
      <c r="EL41" s="145"/>
      <c r="EM41" s="145"/>
      <c r="EN41" s="145"/>
      <c r="EO41" s="145"/>
      <c r="EP41" s="145"/>
      <c r="EQ41" s="145"/>
      <c r="ER41" s="145"/>
      <c r="ES41" s="145"/>
      <c r="ET41" s="145"/>
      <c r="EU41" s="145"/>
      <c r="EV41" s="145"/>
      <c r="EW41" s="145"/>
      <c r="EX41" s="145"/>
      <c r="EY41" s="145"/>
      <c r="EZ41" s="145"/>
      <c r="FA41" s="145"/>
      <c r="FB41" s="145"/>
      <c r="FC41" s="145"/>
      <c r="FD41" s="145"/>
      <c r="FE41" s="145"/>
      <c r="FF41" s="145"/>
      <c r="FG41" s="145"/>
      <c r="FH41" s="145"/>
      <c r="FI41" s="145"/>
      <c r="FJ41" s="145"/>
      <c r="FK41" s="145"/>
      <c r="FL41" s="145"/>
      <c r="FM41" s="145"/>
      <c r="FN41" s="145"/>
      <c r="FO41" s="145"/>
      <c r="FP41" s="145"/>
      <c r="FQ41" s="145"/>
      <c r="FR41" s="145"/>
      <c r="FS41" s="145"/>
      <c r="FT41" s="145"/>
      <c r="FU41" s="145"/>
      <c r="FV41" s="145"/>
      <c r="FW41" s="145"/>
      <c r="FX41" s="145"/>
      <c r="FY41" s="145"/>
      <c r="FZ41" s="145"/>
      <c r="GA41" s="145"/>
      <c r="GB41" s="145"/>
      <c r="GC41" s="145"/>
      <c r="GD41" s="145"/>
      <c r="GE41" s="145"/>
      <c r="GF41" s="145"/>
      <c r="GG41" s="145"/>
      <c r="GH41" s="145"/>
      <c r="GI41" s="145"/>
      <c r="GJ41" s="145"/>
      <c r="GK41" s="145"/>
      <c r="GL41" s="145"/>
      <c r="GM41" s="145"/>
      <c r="GN41" s="145"/>
      <c r="GO41" s="145"/>
      <c r="GP41" s="145"/>
      <c r="GQ41" s="145"/>
      <c r="GR41" s="145"/>
      <c r="GS41" s="145"/>
      <c r="GT41" s="145"/>
      <c r="GU41" s="145"/>
      <c r="GV41" s="145"/>
      <c r="GW41" s="145"/>
      <c r="GX41" s="145"/>
      <c r="GY41" s="145"/>
      <c r="GZ41" s="145"/>
      <c r="HA41" s="145"/>
      <c r="HB41" s="145"/>
      <c r="HC41" s="145"/>
      <c r="HD41" s="145"/>
      <c r="HE41" s="145"/>
      <c r="HF41" s="145"/>
      <c r="HG41" s="145"/>
      <c r="HH41" s="145"/>
      <c r="HI41" s="145"/>
      <c r="HJ41" s="145"/>
      <c r="HK41" s="145"/>
      <c r="HL41" s="145"/>
      <c r="HM41" s="145"/>
      <c r="HN41" s="145"/>
      <c r="HO41" s="145"/>
      <c r="HP41" s="145"/>
      <c r="HQ41" s="145"/>
      <c r="HR41" s="145"/>
      <c r="HS41" s="145"/>
      <c r="HT41" s="145"/>
      <c r="HU41" s="145"/>
      <c r="HV41" s="145"/>
      <c r="HW41" s="145"/>
      <c r="HX41" s="145"/>
      <c r="HY41" s="145"/>
      <c r="HZ41" s="145"/>
      <c r="IA41" s="145"/>
      <c r="IB41" s="145"/>
      <c r="IC41" s="145"/>
      <c r="ID41" s="145"/>
      <c r="IE41" s="145"/>
      <c r="IF41" s="145"/>
      <c r="IG41" s="145"/>
      <c r="IH41" s="145"/>
      <c r="II41" s="145"/>
      <c r="IJ41" s="145"/>
      <c r="IK41" s="145"/>
      <c r="IL41" s="145"/>
      <c r="IM41" s="145"/>
      <c r="IN41" s="145"/>
      <c r="IO41" s="145"/>
      <c r="IP41" s="145"/>
      <c r="IQ41" s="145"/>
      <c r="IR41" s="145"/>
      <c r="IS41" s="145"/>
      <c r="IT41" s="145"/>
      <c r="IU41" s="145"/>
      <c r="IV41" s="145"/>
      <c r="IW41" s="145"/>
      <c r="IX41" s="145"/>
      <c r="IY41" s="145"/>
      <c r="IZ41" s="145"/>
      <c r="JA41" s="145"/>
      <c r="JB41" s="145"/>
    </row>
    <row r="42" spans="1:262" ht="16.5">
      <c r="A42" s="145"/>
      <c r="B42" s="145"/>
      <c r="C42" s="145"/>
      <c r="D42" s="145"/>
      <c r="E42" s="145"/>
      <c r="F42" s="145"/>
      <c r="G42" s="145"/>
      <c r="H42" s="277"/>
      <c r="I42" s="277"/>
      <c r="J42" s="145"/>
      <c r="K42" s="145"/>
      <c r="L42" s="145"/>
      <c r="M42" s="277"/>
      <c r="N42" s="277"/>
      <c r="O42" s="280"/>
      <c r="P42" s="145"/>
      <c r="Q42" s="145"/>
      <c r="R42" s="145"/>
      <c r="S42" s="145"/>
      <c r="T42" s="145"/>
      <c r="U42" s="281"/>
      <c r="V42" s="145"/>
      <c r="W42" s="145"/>
      <c r="X42" s="259"/>
      <c r="Y42" s="145"/>
      <c r="Z42" s="145"/>
      <c r="AA42" s="273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  <c r="CR42" s="145"/>
      <c r="CS42" s="145"/>
      <c r="CT42" s="145"/>
      <c r="CU42" s="145"/>
      <c r="CV42" s="145"/>
      <c r="CW42" s="145"/>
      <c r="CX42" s="145"/>
      <c r="CY42" s="145"/>
      <c r="CZ42" s="145"/>
      <c r="DA42" s="145"/>
      <c r="DB42" s="145"/>
      <c r="DC42" s="145"/>
      <c r="DD42" s="145"/>
      <c r="DE42" s="145"/>
      <c r="DF42" s="145"/>
      <c r="DG42" s="145"/>
      <c r="DH42" s="145"/>
      <c r="DI42" s="145"/>
      <c r="DJ42" s="145"/>
      <c r="DK42" s="145"/>
      <c r="DL42" s="145"/>
      <c r="DM42" s="145"/>
      <c r="DN42" s="145"/>
      <c r="DO42" s="145"/>
      <c r="DP42" s="145"/>
      <c r="DQ42" s="145"/>
      <c r="DR42" s="145"/>
      <c r="DS42" s="145"/>
      <c r="DT42" s="145"/>
      <c r="DU42" s="145"/>
      <c r="DV42" s="145"/>
      <c r="DW42" s="145"/>
      <c r="DX42" s="145"/>
      <c r="DY42" s="145"/>
      <c r="DZ42" s="145"/>
      <c r="EA42" s="145"/>
      <c r="EB42" s="145"/>
      <c r="EC42" s="145"/>
      <c r="ED42" s="145"/>
      <c r="EE42" s="145"/>
      <c r="EF42" s="145"/>
      <c r="EG42" s="145"/>
      <c r="EH42" s="145"/>
      <c r="EI42" s="145"/>
      <c r="EJ42" s="145"/>
      <c r="EK42" s="145"/>
      <c r="EL42" s="145"/>
      <c r="EM42" s="145"/>
      <c r="EN42" s="145"/>
      <c r="EO42" s="145"/>
      <c r="EP42" s="145"/>
      <c r="EQ42" s="145"/>
      <c r="ER42" s="145"/>
      <c r="ES42" s="145"/>
      <c r="ET42" s="145"/>
      <c r="EU42" s="145"/>
      <c r="EV42" s="145"/>
      <c r="EW42" s="145"/>
      <c r="EX42" s="145"/>
      <c r="EY42" s="145"/>
      <c r="EZ42" s="145"/>
      <c r="FA42" s="145"/>
      <c r="FB42" s="145"/>
      <c r="FC42" s="145"/>
      <c r="FD42" s="145"/>
      <c r="FE42" s="145"/>
      <c r="FF42" s="145"/>
      <c r="FG42" s="145"/>
      <c r="FH42" s="145"/>
      <c r="FI42" s="145"/>
      <c r="FJ42" s="145"/>
      <c r="FK42" s="145"/>
      <c r="FL42" s="145"/>
      <c r="FM42" s="145"/>
      <c r="FN42" s="145"/>
      <c r="FO42" s="145"/>
      <c r="FP42" s="145"/>
      <c r="FQ42" s="145"/>
      <c r="FR42" s="145"/>
      <c r="FS42" s="145"/>
      <c r="FT42" s="145"/>
      <c r="FU42" s="145"/>
      <c r="FV42" s="145"/>
      <c r="FW42" s="145"/>
      <c r="FX42" s="145"/>
      <c r="FY42" s="145"/>
      <c r="FZ42" s="145"/>
      <c r="GA42" s="145"/>
      <c r="GB42" s="145"/>
      <c r="GC42" s="145"/>
      <c r="GD42" s="145"/>
      <c r="GE42" s="145"/>
      <c r="GF42" s="145"/>
      <c r="GG42" s="145"/>
      <c r="GH42" s="145"/>
      <c r="GI42" s="145"/>
      <c r="GJ42" s="145"/>
      <c r="GK42" s="145"/>
      <c r="GL42" s="145"/>
      <c r="GM42" s="145"/>
      <c r="GN42" s="145"/>
      <c r="GO42" s="145"/>
      <c r="GP42" s="145"/>
      <c r="GQ42" s="145"/>
      <c r="GR42" s="145"/>
      <c r="GS42" s="145"/>
      <c r="GT42" s="145"/>
      <c r="GU42" s="145"/>
      <c r="GV42" s="145"/>
      <c r="GW42" s="145"/>
      <c r="GX42" s="145"/>
      <c r="GY42" s="145"/>
      <c r="GZ42" s="145"/>
      <c r="HA42" s="145"/>
      <c r="HB42" s="145"/>
      <c r="HC42" s="145"/>
      <c r="HD42" s="145"/>
      <c r="HE42" s="145"/>
      <c r="HF42" s="145"/>
      <c r="HG42" s="145"/>
      <c r="HH42" s="145"/>
      <c r="HI42" s="145"/>
      <c r="HJ42" s="145"/>
      <c r="HK42" s="145"/>
      <c r="HL42" s="145"/>
      <c r="HM42" s="145"/>
      <c r="HN42" s="145"/>
      <c r="HO42" s="145"/>
      <c r="HP42" s="145"/>
      <c r="HQ42" s="145"/>
      <c r="HR42" s="145"/>
      <c r="HS42" s="145"/>
      <c r="HT42" s="145"/>
      <c r="HU42" s="145"/>
      <c r="HV42" s="145"/>
      <c r="HW42" s="145"/>
      <c r="HX42" s="145"/>
      <c r="HY42" s="145"/>
      <c r="HZ42" s="145"/>
      <c r="IA42" s="145"/>
      <c r="IB42" s="145"/>
      <c r="IC42" s="145"/>
      <c r="ID42" s="145"/>
      <c r="IE42" s="145"/>
      <c r="IF42" s="145"/>
      <c r="IG42" s="145"/>
      <c r="IH42" s="145"/>
      <c r="II42" s="145"/>
      <c r="IJ42" s="145"/>
      <c r="IK42" s="145"/>
      <c r="IL42" s="145"/>
      <c r="IM42" s="145"/>
      <c r="IN42" s="145"/>
      <c r="IO42" s="145"/>
      <c r="IP42" s="145"/>
      <c r="IQ42" s="145"/>
      <c r="IR42" s="145"/>
      <c r="IS42" s="145"/>
      <c r="IT42" s="145"/>
      <c r="IU42" s="145"/>
      <c r="IV42" s="145"/>
      <c r="IW42" s="145"/>
      <c r="IX42" s="145"/>
      <c r="IY42" s="145"/>
      <c r="IZ42" s="145"/>
      <c r="JA42" s="145"/>
      <c r="JB42" s="145"/>
    </row>
  </sheetData>
  <mergeCells count="11">
    <mergeCell ref="A33:N33"/>
    <mergeCell ref="A9:N9"/>
    <mergeCell ref="D24:N24"/>
    <mergeCell ref="A26:N26"/>
    <mergeCell ref="A32:B32"/>
    <mergeCell ref="A8:N8"/>
    <mergeCell ref="A1:N1"/>
    <mergeCell ref="A2:N2"/>
    <mergeCell ref="A3:N3"/>
    <mergeCell ref="A4:G4"/>
    <mergeCell ref="A5:G5"/>
  </mergeCells>
  <printOptions horizontalCentered="1"/>
  <pageMargins left="0.196850393700787" right="0.196850393700787" top="0.34" bottom="0.59055118110236204" header="0.2" footer="0.31496062992126"/>
  <pageSetup paperSize="9" scale="65" fitToHeight="0" orientation="landscape" r:id="rId1"/>
  <colBreaks count="1" manualBreakCount="1">
    <brk id="14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N46"/>
  <sheetViews>
    <sheetView topLeftCell="A15" zoomScale="90" zoomScaleNormal="90" zoomScaleSheetLayoutView="100" workbookViewId="0">
      <selection activeCell="G31" sqref="G31"/>
    </sheetView>
  </sheetViews>
  <sheetFormatPr defaultColWidth="9.140625" defaultRowHeight="15.75"/>
  <cols>
    <col min="1" max="1" width="5.85546875" style="4" customWidth="1"/>
    <col min="2" max="2" width="41.28515625" style="4" customWidth="1"/>
    <col min="3" max="3" width="9.7109375" style="23" customWidth="1"/>
    <col min="4" max="4" width="16.140625" style="211" customWidth="1"/>
    <col min="5" max="5" width="17.7109375" style="898" customWidth="1"/>
    <col min="6" max="6" width="18.42578125" style="131" customWidth="1"/>
    <col min="7" max="7" width="19.28515625" style="131" customWidth="1"/>
    <col min="8" max="8" width="19.42578125" style="131" hidden="1" customWidth="1"/>
    <col min="9" max="9" width="24.42578125" style="221" customWidth="1"/>
    <col min="10" max="10" width="15" style="4" customWidth="1"/>
    <col min="11" max="11" width="18.42578125" style="4" customWidth="1"/>
    <col min="12" max="12" width="21.28515625" style="4" bestFit="1" customWidth="1"/>
    <col min="13" max="13" width="15.5703125" style="4" bestFit="1" customWidth="1"/>
    <col min="14" max="14" width="11.85546875" style="4" customWidth="1"/>
    <col min="15" max="16384" width="9.140625" style="4"/>
  </cols>
  <sheetData>
    <row r="2" spans="1:13">
      <c r="A2" s="1403" t="s">
        <v>54</v>
      </c>
      <c r="B2" s="1403"/>
      <c r="C2" s="1403"/>
      <c r="D2" s="1403"/>
      <c r="E2" s="1403"/>
      <c r="F2" s="1403"/>
      <c r="G2" s="1403"/>
      <c r="H2" s="1403"/>
      <c r="I2" s="1403"/>
    </row>
    <row r="3" spans="1:13">
      <c r="A3" s="1403" t="s">
        <v>0</v>
      </c>
      <c r="B3" s="1403"/>
      <c r="C3" s="1403"/>
      <c r="D3" s="1403"/>
      <c r="E3" s="1403"/>
      <c r="F3" s="1403"/>
      <c r="G3" s="1403"/>
      <c r="H3" s="1403"/>
      <c r="I3" s="1403"/>
    </row>
    <row r="4" spans="1:13">
      <c r="A4" s="1547" t="s">
        <v>293</v>
      </c>
      <c r="B4" s="1403"/>
      <c r="C4" s="1403"/>
      <c r="D4" s="1403"/>
      <c r="E4" s="1403"/>
      <c r="F4" s="1403"/>
      <c r="G4" s="1403"/>
      <c r="H4" s="1403"/>
      <c r="I4" s="1403"/>
    </row>
    <row r="5" spans="1:13" ht="13.5" customHeight="1">
      <c r="H5" s="211"/>
      <c r="I5" s="25"/>
    </row>
    <row r="6" spans="1:13" ht="18" customHeight="1">
      <c r="A6" s="1536" t="s">
        <v>598</v>
      </c>
      <c r="B6" s="1536"/>
      <c r="C6" s="1536"/>
      <c r="H6" s="211"/>
      <c r="I6" s="25"/>
    </row>
    <row r="7" spans="1:13" ht="15" customHeight="1">
      <c r="A7" s="1403" t="s">
        <v>583</v>
      </c>
      <c r="B7" s="1403"/>
      <c r="C7" s="1403"/>
      <c r="H7" s="211"/>
      <c r="I7" s="25"/>
    </row>
    <row r="8" spans="1:13" ht="15" customHeight="1">
      <c r="A8" s="447"/>
      <c r="B8" s="447"/>
      <c r="C8" s="447"/>
      <c r="H8" s="211"/>
      <c r="I8" s="25"/>
    </row>
    <row r="9" spans="1:13" s="3" customFormat="1" ht="20.25" customHeight="1">
      <c r="A9" s="1538" t="s">
        <v>810</v>
      </c>
      <c r="B9" s="1538"/>
      <c r="C9" s="1538"/>
      <c r="D9" s="1538"/>
      <c r="E9" s="1538"/>
      <c r="F9" s="1538"/>
      <c r="G9" s="1538"/>
      <c r="H9" s="1538"/>
      <c r="I9" s="1538"/>
    </row>
    <row r="10" spans="1:13" ht="15.75" customHeight="1">
      <c r="A10" s="1549" t="s">
        <v>811</v>
      </c>
      <c r="B10" s="1550"/>
      <c r="C10" s="1550"/>
      <c r="D10" s="1550"/>
      <c r="E10" s="1550"/>
      <c r="F10" s="1550"/>
      <c r="G10" s="1550"/>
      <c r="H10" s="1550"/>
      <c r="I10" s="1550"/>
    </row>
    <row r="11" spans="1:13" ht="15.75" customHeight="1">
      <c r="A11" s="351"/>
      <c r="B11" s="351"/>
      <c r="F11" s="211"/>
      <c r="G11" s="211"/>
      <c r="H11" s="1551" t="s">
        <v>426</v>
      </c>
      <c r="I11" s="1551"/>
      <c r="J11" s="4">
        <f>'CNKT '!F11</f>
        <v>668.84</v>
      </c>
    </row>
    <row r="12" spans="1:13" s="182" customFormat="1" ht="53.25" customHeight="1">
      <c r="A12" s="352" t="s">
        <v>4</v>
      </c>
      <c r="B12" s="352" t="s">
        <v>176</v>
      </c>
      <c r="C12" s="181" t="s">
        <v>9</v>
      </c>
      <c r="D12" s="212" t="s">
        <v>177</v>
      </c>
      <c r="E12" s="212" t="s">
        <v>178</v>
      </c>
      <c r="F12" s="212" t="s">
        <v>179</v>
      </c>
      <c r="G12" s="212" t="s">
        <v>409</v>
      </c>
      <c r="H12" s="212" t="s">
        <v>410</v>
      </c>
      <c r="I12" s="218" t="s">
        <v>67</v>
      </c>
    </row>
    <row r="13" spans="1:13" ht="20.100000000000001" customHeight="1">
      <c r="A13" s="899" t="s">
        <v>71</v>
      </c>
      <c r="B13" s="900" t="s">
        <v>596</v>
      </c>
      <c r="C13" s="901"/>
      <c r="D13" s="213"/>
      <c r="E13" s="213"/>
      <c r="F13" s="213"/>
      <c r="G13" s="214">
        <f>G14+G31</f>
        <v>741561578</v>
      </c>
      <c r="H13" s="214">
        <f>H14+H31</f>
        <v>741561556.93102443</v>
      </c>
      <c r="I13" s="219"/>
      <c r="K13" s="902"/>
      <c r="L13" s="903"/>
    </row>
    <row r="14" spans="1:13" ht="22.5" customHeight="1">
      <c r="A14" s="904">
        <v>1</v>
      </c>
      <c r="B14" s="200" t="s">
        <v>181</v>
      </c>
      <c r="C14" s="905"/>
      <c r="D14" s="213"/>
      <c r="E14" s="213"/>
      <c r="F14" s="213"/>
      <c r="G14" s="213">
        <f>G15+G21+G30</f>
        <v>733761578</v>
      </c>
      <c r="H14" s="213">
        <f>H15+H21+H30</f>
        <v>733761556.93102443</v>
      </c>
      <c r="I14" s="220"/>
      <c r="K14" s="906"/>
    </row>
    <row r="15" spans="1:13" ht="22.5" customHeight="1">
      <c r="A15" s="183" t="s">
        <v>316</v>
      </c>
      <c r="B15" s="907" t="s">
        <v>182</v>
      </c>
      <c r="C15" s="908"/>
      <c r="D15" s="213"/>
      <c r="E15" s="213">
        <f>SUM(E16:E20)</f>
        <v>151351.57399999999</v>
      </c>
      <c r="F15" s="213"/>
      <c r="G15" s="213">
        <f>SUM(G16:G20)</f>
        <v>607849756</v>
      </c>
      <c r="H15" s="213">
        <f>SUM(H16:H19)</f>
        <v>607849751.57102442</v>
      </c>
      <c r="I15" s="220"/>
      <c r="K15" s="184"/>
      <c r="L15" s="909"/>
      <c r="M15" s="910"/>
    </row>
    <row r="16" spans="1:13" ht="22.5" customHeight="1">
      <c r="A16" s="904"/>
      <c r="B16" s="200" t="s">
        <v>300</v>
      </c>
      <c r="C16" s="911" t="s">
        <v>183</v>
      </c>
      <c r="D16" s="213"/>
      <c r="E16" s="213">
        <f>SUMIF('BTH mủ tạp'!AN17:AN161,"A",'BTH mủ tạp'!AM17:AM161)</f>
        <v>107329.30014897724</v>
      </c>
      <c r="F16" s="912">
        <f>6.1*$J$11</f>
        <v>4079.924</v>
      </c>
      <c r="G16" s="912">
        <f>ROUND((E16*F16),0)+2</f>
        <v>437895390</v>
      </c>
      <c r="H16" s="213">
        <f>E16*F16</f>
        <v>437895387.58101583</v>
      </c>
      <c r="I16" s="220"/>
      <c r="K16" s="654">
        <f>'LƯƠNG CN TRỰC TIẾP '!N186</f>
        <v>733761578</v>
      </c>
      <c r="L16" s="165"/>
    </row>
    <row r="17" spans="1:14" ht="22.5" customHeight="1">
      <c r="A17" s="904"/>
      <c r="B17" s="200" t="s">
        <v>301</v>
      </c>
      <c r="C17" s="908" t="s">
        <v>183</v>
      </c>
      <c r="D17" s="213"/>
      <c r="E17" s="213">
        <f>SUMIF('BTH mủ tạp'!AN17:AN160,"B",'BTH mủ tạp'!AM17:AM160)</f>
        <v>39935.544904408634</v>
      </c>
      <c r="F17" s="912">
        <f>5.8*$J$11</f>
        <v>3879.2719999999999</v>
      </c>
      <c r="G17" s="912">
        <f>ROUND((E17*F17),0)+2</f>
        <v>154920843</v>
      </c>
      <c r="H17" s="213">
        <f>E17*F17</f>
        <v>154920841.1524151</v>
      </c>
      <c r="I17" s="220"/>
      <c r="K17" s="654">
        <f>K16-G14</f>
        <v>0</v>
      </c>
    </row>
    <row r="18" spans="1:14" ht="22.5" customHeight="1">
      <c r="A18" s="904"/>
      <c r="B18" s="200" t="s">
        <v>302</v>
      </c>
      <c r="C18" s="908" t="s">
        <v>183</v>
      </c>
      <c r="D18" s="213"/>
      <c r="E18" s="213">
        <f>SUMIF('BTH mủ tạp'!AN17:AN160,"C",'BTH mủ tạp'!AM17:AM160)+SUMIF('BTH mủ tạp'!AN17:AN160,"C.",'BTH mủ tạp'!AM17:AM160)</f>
        <v>4086.7289466141133</v>
      </c>
      <c r="F18" s="912">
        <f>5.5*$J$11</f>
        <v>3678.6200000000003</v>
      </c>
      <c r="G18" s="912">
        <f>ROUND((E18*F18),0)</f>
        <v>15033523</v>
      </c>
      <c r="H18" s="213">
        <f>E18*F18</f>
        <v>15033522.837593611</v>
      </c>
      <c r="I18" s="220"/>
      <c r="K18" s="213"/>
    </row>
    <row r="19" spans="1:14" ht="22.5" hidden="1" customHeight="1">
      <c r="A19" s="904"/>
      <c r="B19" s="200" t="s">
        <v>303</v>
      </c>
      <c r="C19" s="908" t="s">
        <v>183</v>
      </c>
      <c r="D19" s="213"/>
      <c r="E19" s="213">
        <f>SUMIF('BTH mủ tạp'!AN17:AN160,"D",'BTH mủ tạp'!AM17:AM160)</f>
        <v>0</v>
      </c>
      <c r="F19" s="912">
        <f>5.2*$J$11</f>
        <v>3477.9680000000003</v>
      </c>
      <c r="G19" s="912">
        <f t="shared" ref="G19" si="0">E19*F19</f>
        <v>0</v>
      </c>
      <c r="H19" s="213">
        <f>E19*F19</f>
        <v>0</v>
      </c>
      <c r="I19" s="220"/>
    </row>
    <row r="20" spans="1:14" ht="22.5" hidden="1" customHeight="1">
      <c r="A20" s="904"/>
      <c r="B20" s="200" t="s">
        <v>506</v>
      </c>
      <c r="C20" s="908" t="s">
        <v>183</v>
      </c>
      <c r="D20" s="213"/>
      <c r="E20" s="213">
        <f>'BTH mủ Sỉum'!AJ20</f>
        <v>0</v>
      </c>
      <c r="F20" s="912">
        <f>6.1*$J$11</f>
        <v>4079.924</v>
      </c>
      <c r="G20" s="912">
        <f>ROUND((E20*F20),0)</f>
        <v>0</v>
      </c>
      <c r="H20" s="213"/>
      <c r="I20" s="220"/>
    </row>
    <row r="21" spans="1:14" ht="22.5" customHeight="1">
      <c r="A21" s="183" t="s">
        <v>317</v>
      </c>
      <c r="B21" s="907" t="s">
        <v>184</v>
      </c>
      <c r="C21" s="901" t="s">
        <v>128</v>
      </c>
      <c r="D21" s="213"/>
      <c r="E21" s="913"/>
      <c r="F21" s="912"/>
      <c r="G21" s="213">
        <f>SUM(G22:G29)</f>
        <v>125911822</v>
      </c>
      <c r="H21" s="213">
        <f t="shared" ref="H21" si="1">SUM(H22:H29)</f>
        <v>125911805.36000001</v>
      </c>
      <c r="I21" s="213"/>
      <c r="K21" s="184">
        <f>'LƯƠNG CN TRỰC TIẾP '!I186-G21</f>
        <v>0</v>
      </c>
      <c r="L21" s="903"/>
      <c r="M21" s="165"/>
    </row>
    <row r="22" spans="1:14" ht="22.5" customHeight="1">
      <c r="A22" s="904"/>
      <c r="B22" s="200" t="s">
        <v>444</v>
      </c>
      <c r="C22" s="901" t="s">
        <v>128</v>
      </c>
      <c r="D22" s="912">
        <f>'CNKT '!N179</f>
        <v>3006</v>
      </c>
      <c r="E22" s="913"/>
      <c r="F22" s="912">
        <f>46.1*$J$11</f>
        <v>30833.524000000001</v>
      </c>
      <c r="G22" s="912">
        <f>ROUND((D22*F22),0)+9</f>
        <v>92685582</v>
      </c>
      <c r="H22" s="213">
        <f>D22*F22</f>
        <v>92685573.144000009</v>
      </c>
      <c r="I22" s="213"/>
      <c r="K22" s="906"/>
      <c r="M22" s="906"/>
    </row>
    <row r="23" spans="1:14" ht="22.5" customHeight="1">
      <c r="A23" s="904"/>
      <c r="B23" s="200" t="s">
        <v>266</v>
      </c>
      <c r="C23" s="901" t="s">
        <v>128</v>
      </c>
      <c r="D23" s="912">
        <f>'CNKT '!O179</f>
        <v>646</v>
      </c>
      <c r="E23" s="913"/>
      <c r="F23" s="912">
        <f>76.9*$J$11</f>
        <v>51433.796000000009</v>
      </c>
      <c r="G23" s="912">
        <f>ROUND((D23*F23),0)+8</f>
        <v>33226240</v>
      </c>
      <c r="H23" s="213">
        <f>D23*F23</f>
        <v>33226232.216000006</v>
      </c>
      <c r="I23" s="213"/>
      <c r="K23" s="906"/>
      <c r="L23" s="906"/>
      <c r="M23" s="906"/>
    </row>
    <row r="24" spans="1:14" ht="22.5" hidden="1" customHeight="1">
      <c r="A24" s="904"/>
      <c r="B24" s="200" t="s">
        <v>476</v>
      </c>
      <c r="C24" s="901" t="s">
        <v>128</v>
      </c>
      <c r="D24" s="912">
        <f>'CNKT '!P179</f>
        <v>0</v>
      </c>
      <c r="E24" s="213"/>
      <c r="F24" s="912">
        <f>92.2*$J$11</f>
        <v>61667.048000000003</v>
      </c>
      <c r="G24" s="912">
        <f t="shared" ref="G24:G27" si="2">D24*F24</f>
        <v>0</v>
      </c>
      <c r="H24" s="213">
        <f>D24*F24</f>
        <v>0</v>
      </c>
      <c r="I24" s="213"/>
      <c r="K24" s="323"/>
    </row>
    <row r="25" spans="1:14" ht="21.75" hidden="1" customHeight="1">
      <c r="A25" s="904"/>
      <c r="B25" s="200" t="s">
        <v>445</v>
      </c>
      <c r="C25" s="901" t="s">
        <v>128</v>
      </c>
      <c r="D25" s="912">
        <f>'CNKT '!Q179</f>
        <v>0</v>
      </c>
      <c r="E25" s="213"/>
      <c r="F25" s="912">
        <f>153.8*$J$11</f>
        <v>102867.59200000002</v>
      </c>
      <c r="G25" s="912">
        <f t="shared" si="2"/>
        <v>0</v>
      </c>
      <c r="H25" s="213">
        <f t="shared" ref="H25:H27" si="3">D25*F25</f>
        <v>0</v>
      </c>
      <c r="I25" s="213"/>
      <c r="K25" s="323"/>
    </row>
    <row r="26" spans="1:14" ht="22.5" hidden="1" customHeight="1">
      <c r="A26" s="904"/>
      <c r="B26" s="200" t="s">
        <v>477</v>
      </c>
      <c r="C26" s="901" t="s">
        <v>128</v>
      </c>
      <c r="D26" s="912">
        <f>'CNKT '!R179</f>
        <v>0</v>
      </c>
      <c r="E26" s="213"/>
      <c r="F26" s="912">
        <f>92.2*$J$11</f>
        <v>61667.048000000003</v>
      </c>
      <c r="G26" s="912">
        <f>ROUND((D26*F26),0)</f>
        <v>0</v>
      </c>
      <c r="H26" s="213">
        <f t="shared" si="3"/>
        <v>0</v>
      </c>
      <c r="I26" s="213"/>
      <c r="K26" s="323">
        <v>1793573709</v>
      </c>
    </row>
    <row r="27" spans="1:14" ht="22.5" hidden="1" customHeight="1">
      <c r="A27" s="904"/>
      <c r="B27" s="200" t="s">
        <v>474</v>
      </c>
      <c r="C27" s="901" t="s">
        <v>128</v>
      </c>
      <c r="D27" s="912">
        <f>'CNKT '!S179</f>
        <v>0</v>
      </c>
      <c r="E27" s="213"/>
      <c r="F27" s="912">
        <f>153.8*$J$11</f>
        <v>102867.59200000002</v>
      </c>
      <c r="G27" s="912">
        <f t="shared" si="2"/>
        <v>0</v>
      </c>
      <c r="H27" s="213">
        <f t="shared" si="3"/>
        <v>0</v>
      </c>
      <c r="I27" s="213"/>
      <c r="K27" s="323">
        <v>27159261</v>
      </c>
    </row>
    <row r="28" spans="1:14" ht="20.25" hidden="1" customHeight="1">
      <c r="A28" s="904"/>
      <c r="B28" s="200" t="s">
        <v>546</v>
      </c>
      <c r="C28" s="901" t="s">
        <v>128</v>
      </c>
      <c r="D28" s="912">
        <f>'CNKT '!T179</f>
        <v>0</v>
      </c>
      <c r="E28" s="213"/>
      <c r="F28" s="912">
        <v>25000</v>
      </c>
      <c r="G28" s="912">
        <f>ROUND((D28*F28),0)</f>
        <v>0</v>
      </c>
      <c r="H28" s="213">
        <f>D28*F28</f>
        <v>0</v>
      </c>
      <c r="I28" s="213"/>
      <c r="K28" s="323">
        <v>30253740</v>
      </c>
    </row>
    <row r="29" spans="1:14" ht="20.25" hidden="1" customHeight="1">
      <c r="A29" s="904"/>
      <c r="B29" s="200" t="s">
        <v>540</v>
      </c>
      <c r="C29" s="901" t="s">
        <v>128</v>
      </c>
      <c r="D29" s="912">
        <f>'CNKT '!V179</f>
        <v>0</v>
      </c>
      <c r="E29" s="213"/>
      <c r="F29" s="912">
        <v>30000</v>
      </c>
      <c r="G29" s="912">
        <f>ROUND((D29*F29),0)</f>
        <v>0</v>
      </c>
      <c r="H29" s="213">
        <f>D29*F29</f>
        <v>0</v>
      </c>
      <c r="I29" s="213"/>
      <c r="K29" s="323">
        <v>21672401</v>
      </c>
    </row>
    <row r="30" spans="1:14" ht="22.5" customHeight="1">
      <c r="A30" s="183" t="s">
        <v>318</v>
      </c>
      <c r="B30" s="200" t="s">
        <v>185</v>
      </c>
      <c r="C30" s="901" t="s">
        <v>128</v>
      </c>
      <c r="D30" s="914">
        <f>'CNKT '!F179</f>
        <v>0</v>
      </c>
      <c r="E30" s="213"/>
      <c r="F30" s="912">
        <v>25000</v>
      </c>
      <c r="G30" s="912"/>
      <c r="H30" s="213">
        <f>'CNKT '!G179</f>
        <v>0</v>
      </c>
      <c r="I30" s="213"/>
      <c r="K30" s="906"/>
      <c r="L30" s="915"/>
    </row>
    <row r="31" spans="1:14" s="3" customFormat="1" ht="22.5" customHeight="1">
      <c r="A31" s="904">
        <v>2</v>
      </c>
      <c r="B31" s="200" t="s">
        <v>187</v>
      </c>
      <c r="C31" s="901" t="s">
        <v>128</v>
      </c>
      <c r="D31" s="912">
        <f>H31/F31</f>
        <v>312</v>
      </c>
      <c r="E31" s="213"/>
      <c r="F31" s="912">
        <v>25000</v>
      </c>
      <c r="G31" s="912">
        <f>ROUND((D31*F31),0)</f>
        <v>7800000</v>
      </c>
      <c r="H31" s="213">
        <f>'Lương bảo vệ '!I16</f>
        <v>7800000</v>
      </c>
      <c r="I31" s="213"/>
      <c r="K31" s="131"/>
      <c r="L31" s="916"/>
      <c r="N31" s="916"/>
    </row>
    <row r="32" spans="1:14" s="447" customFormat="1" ht="22.5" customHeight="1">
      <c r="A32" s="917" t="s">
        <v>94</v>
      </c>
      <c r="B32" s="918" t="s">
        <v>455</v>
      </c>
      <c r="C32" s="917"/>
      <c r="D32" s="214"/>
      <c r="E32" s="214"/>
      <c r="F32" s="214"/>
      <c r="G32" s="919">
        <f>SUM(G33:G34)</f>
        <v>15248727.53149523</v>
      </c>
      <c r="H32" s="214">
        <f>SUM(H33:H34)</f>
        <v>14518854.778345708</v>
      </c>
      <c r="I32" s="219"/>
      <c r="J32" s="133"/>
      <c r="K32" s="134"/>
      <c r="L32" s="920"/>
      <c r="N32" s="920"/>
    </row>
    <row r="33" spans="1:14" ht="22.5" customHeight="1">
      <c r="A33" s="107">
        <v>1</v>
      </c>
      <c r="B33" s="256" t="s">
        <v>454</v>
      </c>
      <c r="C33" s="206" t="s">
        <v>114</v>
      </c>
      <c r="D33" s="220"/>
      <c r="E33" s="213"/>
      <c r="F33" s="912"/>
      <c r="G33" s="912">
        <f>'lương gián tiếp'!G12</f>
        <v>13248727.53149523</v>
      </c>
      <c r="H33" s="213">
        <f>'lương gián tiếp'!I12</f>
        <v>12553854.778345708</v>
      </c>
      <c r="I33" s="220"/>
      <c r="M33" s="165"/>
    </row>
    <row r="34" spans="1:14" s="3" customFormat="1" ht="22.5" customHeight="1">
      <c r="A34" s="904">
        <v>2</v>
      </c>
      <c r="B34" s="907" t="s">
        <v>356</v>
      </c>
      <c r="C34" s="206" t="s">
        <v>114</v>
      </c>
      <c r="D34" s="213"/>
      <c r="E34" s="213"/>
      <c r="F34" s="213"/>
      <c r="G34" s="213">
        <f>'lương gián tiếp'!G15</f>
        <v>2000000.0000000002</v>
      </c>
      <c r="H34" s="213">
        <f>'lương gián tiếp'!I16</f>
        <v>1965000.0000000002</v>
      </c>
      <c r="I34" s="220"/>
      <c r="K34" s="921"/>
      <c r="L34" s="916"/>
      <c r="N34" s="916"/>
    </row>
    <row r="35" spans="1:14" ht="16.5" customHeight="1">
      <c r="A35" s="1552" t="s">
        <v>190</v>
      </c>
      <c r="B35" s="1552"/>
      <c r="C35" s="208"/>
      <c r="D35" s="213"/>
      <c r="E35" s="214"/>
      <c r="F35" s="213"/>
      <c r="G35" s="214">
        <f>G13+G32</f>
        <v>756810305.53149521</v>
      </c>
      <c r="H35" s="214">
        <f>H13+H32</f>
        <v>756080411.70937014</v>
      </c>
      <c r="I35" s="927"/>
      <c r="K35" s="184"/>
      <c r="L35" s="131" t="e">
        <f>SUM(#REF!)</f>
        <v>#REF!</v>
      </c>
      <c r="M35" s="165"/>
    </row>
    <row r="36" spans="1:14" ht="21" customHeight="1">
      <c r="A36" s="1553" t="s">
        <v>865</v>
      </c>
      <c r="B36" s="1554"/>
      <c r="C36" s="1554"/>
      <c r="D36" s="1554"/>
      <c r="E36" s="1554"/>
      <c r="F36" s="1554"/>
      <c r="G36" s="1554"/>
      <c r="H36" s="1554"/>
      <c r="I36" s="1555"/>
      <c r="K36" s="165"/>
      <c r="L36" s="324"/>
    </row>
    <row r="37" spans="1:14" s="164" customFormat="1" ht="18.75">
      <c r="A37" s="185"/>
      <c r="B37" s="185"/>
      <c r="C37" s="922"/>
      <c r="D37" s="923"/>
      <c r="E37" s="924"/>
      <c r="F37" s="1556" t="s">
        <v>812</v>
      </c>
      <c r="G37" s="1556"/>
      <c r="H37" s="1556"/>
      <c r="I37" s="1556"/>
      <c r="K37" s="196"/>
      <c r="L37" s="186"/>
      <c r="M37" s="187"/>
    </row>
    <row r="38" spans="1:14" s="164" customFormat="1" ht="18.75">
      <c r="A38" s="197"/>
      <c r="B38" s="197"/>
      <c r="C38" s="209"/>
      <c r="D38" s="215"/>
      <c r="E38" s="924"/>
      <c r="F38" s="1556"/>
      <c r="G38" s="1556"/>
      <c r="H38" s="1556"/>
      <c r="I38" s="1556"/>
      <c r="K38" s="186"/>
      <c r="L38" s="907"/>
    </row>
    <row r="39" spans="1:14" s="189" customFormat="1" ht="18.75">
      <c r="A39" s="1548" t="s">
        <v>613</v>
      </c>
      <c r="B39" s="1548"/>
      <c r="C39" s="1557" t="s">
        <v>614</v>
      </c>
      <c r="D39" s="1557"/>
      <c r="E39" s="1524" t="s">
        <v>615</v>
      </c>
      <c r="F39" s="1524"/>
      <c r="G39" s="1558" t="s">
        <v>616</v>
      </c>
      <c r="H39" s="1558"/>
      <c r="I39" s="1558"/>
      <c r="K39" s="201" t="e">
        <f>H35-#REF!</f>
        <v>#REF!</v>
      </c>
      <c r="L39" s="190"/>
    </row>
    <row r="40" spans="1:14" s="164" customFormat="1" ht="18.75">
      <c r="A40" s="197"/>
      <c r="B40" s="197"/>
      <c r="C40" s="209"/>
      <c r="D40" s="215"/>
      <c r="E40" s="924"/>
      <c r="F40" s="925"/>
      <c r="G40" s="925"/>
      <c r="H40" s="215"/>
      <c r="I40" s="222"/>
      <c r="K40" s="926"/>
    </row>
    <row r="41" spans="1:14" s="164" customFormat="1" ht="18.75">
      <c r="A41" s="197"/>
      <c r="B41" s="197"/>
      <c r="C41" s="209"/>
      <c r="D41" s="215"/>
      <c r="E41" s="924"/>
      <c r="F41" s="925"/>
      <c r="G41" s="925"/>
      <c r="H41" s="215"/>
      <c r="I41" s="222"/>
    </row>
    <row r="42" spans="1:14" s="164" customFormat="1" ht="18.75">
      <c r="A42" s="197"/>
      <c r="B42" s="197"/>
      <c r="C42" s="209"/>
      <c r="D42" s="215"/>
      <c r="E42" s="924"/>
      <c r="F42" s="925"/>
      <c r="G42" s="925"/>
      <c r="H42" s="215"/>
      <c r="I42" s="222"/>
    </row>
    <row r="43" spans="1:14" s="164" customFormat="1" ht="18.75">
      <c r="A43" s="197"/>
      <c r="B43" s="197"/>
      <c r="C43" s="209"/>
      <c r="D43" s="215"/>
      <c r="E43" s="924"/>
      <c r="F43" s="925"/>
      <c r="G43" s="925"/>
      <c r="H43" s="215"/>
      <c r="I43" s="222"/>
    </row>
    <row r="44" spans="1:14" s="164" customFormat="1" ht="18.75">
      <c r="A44" s="197"/>
      <c r="B44" s="197"/>
      <c r="C44" s="209"/>
      <c r="D44" s="215"/>
      <c r="E44" s="924"/>
      <c r="F44" s="1548"/>
      <c r="G44" s="1548"/>
      <c r="H44" s="1548"/>
      <c r="I44" s="1548"/>
    </row>
    <row r="45" spans="1:14">
      <c r="A45" s="198"/>
      <c r="B45" s="198"/>
      <c r="C45" s="210"/>
      <c r="D45" s="216"/>
      <c r="E45" s="216"/>
      <c r="F45" s="216"/>
      <c r="G45" s="216"/>
      <c r="H45" s="216"/>
      <c r="I45" s="223"/>
    </row>
    <row r="46" spans="1:14">
      <c r="A46" s="198"/>
      <c r="B46" s="199"/>
      <c r="C46" s="210"/>
      <c r="D46" s="216"/>
      <c r="E46" s="217"/>
      <c r="F46" s="217"/>
      <c r="G46" s="217"/>
      <c r="H46" s="217"/>
      <c r="I46" s="224"/>
    </row>
  </sheetData>
  <mergeCells count="17">
    <mergeCell ref="F44:I44"/>
    <mergeCell ref="A10:I10"/>
    <mergeCell ref="H11:I11"/>
    <mergeCell ref="A35:B35"/>
    <mergeCell ref="A36:I36"/>
    <mergeCell ref="F38:I38"/>
    <mergeCell ref="A39:B39"/>
    <mergeCell ref="C39:D39"/>
    <mergeCell ref="F37:I37"/>
    <mergeCell ref="E39:F39"/>
    <mergeCell ref="G39:I39"/>
    <mergeCell ref="A9:I9"/>
    <mergeCell ref="A2:I2"/>
    <mergeCell ref="A3:I3"/>
    <mergeCell ref="A4:I4"/>
    <mergeCell ref="A6:C6"/>
    <mergeCell ref="A7:C7"/>
  </mergeCells>
  <printOptions horizontalCentered="1"/>
  <pageMargins left="0.196850393700787" right="0" top="0.196850393700787" bottom="0.196850393700787" header="0.2" footer="0.31496062992126"/>
  <pageSetup paperSize="9" scale="90" fitToHeight="0" orientation="landscape" r:id="rId1"/>
  <colBreaks count="1" manualBreakCount="1">
    <brk id="9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S26"/>
  <sheetViews>
    <sheetView topLeftCell="A5" workbookViewId="0">
      <selection activeCell="F22" sqref="F22"/>
    </sheetView>
  </sheetViews>
  <sheetFormatPr defaultColWidth="9.140625" defaultRowHeight="15"/>
  <cols>
    <col min="1" max="1" width="5.42578125" style="1" customWidth="1"/>
    <col min="2" max="2" width="40.5703125" style="1" customWidth="1"/>
    <col min="3" max="3" width="16.5703125" style="1" customWidth="1"/>
    <col min="4" max="4" width="27.28515625" style="1" customWidth="1"/>
    <col min="5" max="5" width="22.42578125" style="1" customWidth="1"/>
    <col min="6" max="6" width="23.42578125" style="1" customWidth="1"/>
    <col min="7" max="7" width="9.140625" style="1"/>
    <col min="8" max="8" width="21.5703125" style="1" customWidth="1"/>
    <col min="9" max="9" width="12.28515625" style="1" bestFit="1" customWidth="1"/>
    <col min="10" max="11" width="9.140625" style="1"/>
    <col min="12" max="12" width="12.28515625" style="1" bestFit="1" customWidth="1"/>
    <col min="13" max="14" width="9.140625" style="1"/>
    <col min="15" max="15" width="13.42578125" style="1" bestFit="1" customWidth="1"/>
    <col min="16" max="16" width="13.42578125" style="1" customWidth="1"/>
    <col min="17" max="17" width="12.5703125" style="1" customWidth="1"/>
    <col min="18" max="18" width="15.5703125" style="1" customWidth="1"/>
    <col min="19" max="16384" width="9.140625" style="1"/>
  </cols>
  <sheetData>
    <row r="2" spans="1:19" ht="16.5">
      <c r="A2" s="1501" t="s">
        <v>54</v>
      </c>
      <c r="B2" s="1501"/>
      <c r="C2" s="1501"/>
      <c r="D2" s="1501"/>
      <c r="E2" s="1501"/>
      <c r="F2" s="1501"/>
    </row>
    <row r="3" spans="1:19" ht="16.5">
      <c r="A3" s="1501" t="s">
        <v>40</v>
      </c>
      <c r="B3" s="1501"/>
      <c r="C3" s="1501"/>
      <c r="D3" s="1501"/>
      <c r="E3" s="1501"/>
      <c r="F3" s="1501"/>
    </row>
    <row r="4" spans="1:19" ht="17.25" customHeight="1">
      <c r="A4" s="1506" t="s">
        <v>292</v>
      </c>
      <c r="B4" s="1501"/>
      <c r="C4" s="1501"/>
      <c r="D4" s="1501"/>
      <c r="E4" s="1501"/>
      <c r="F4" s="1501"/>
    </row>
    <row r="5" spans="1:19" ht="9.75" customHeight="1">
      <c r="F5" s="82"/>
    </row>
    <row r="6" spans="1:19" ht="15.75">
      <c r="A6" s="1403" t="s">
        <v>598</v>
      </c>
      <c r="B6" s="1403"/>
      <c r="C6" s="1403"/>
      <c r="D6" s="351"/>
      <c r="E6" s="351"/>
      <c r="F6" s="82"/>
    </row>
    <row r="7" spans="1:19" ht="15.75">
      <c r="A7" s="1403" t="s">
        <v>576</v>
      </c>
      <c r="B7" s="1403"/>
      <c r="C7" s="1403"/>
      <c r="D7" s="478"/>
      <c r="E7" s="478"/>
      <c r="F7" s="82"/>
    </row>
    <row r="8" spans="1:19" ht="15.75">
      <c r="A8" s="3"/>
      <c r="B8" s="3"/>
      <c r="C8" s="3"/>
      <c r="D8" s="478"/>
      <c r="E8" s="478"/>
      <c r="F8" s="82"/>
    </row>
    <row r="9" spans="1:19" ht="18" customHeight="1">
      <c r="A9" s="1561" t="s">
        <v>813</v>
      </c>
      <c r="B9" s="1561"/>
      <c r="C9" s="1561"/>
      <c r="D9" s="1561"/>
      <c r="E9" s="1561"/>
      <c r="F9" s="1561"/>
    </row>
    <row r="10" spans="1:19" s="163" customFormat="1" ht="11.25" customHeight="1">
      <c r="A10" s="1562"/>
      <c r="B10" s="1562"/>
      <c r="C10" s="1562"/>
      <c r="D10" s="1562"/>
      <c r="E10" s="1562"/>
      <c r="F10" s="156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40.5" customHeight="1">
      <c r="A11" s="255" t="s">
        <v>4</v>
      </c>
      <c r="B11" s="546" t="s">
        <v>65</v>
      </c>
      <c r="C11" s="295" t="s">
        <v>163</v>
      </c>
      <c r="D11" s="424" t="s">
        <v>164</v>
      </c>
      <c r="E11" s="295" t="s">
        <v>165</v>
      </c>
      <c r="F11" s="253" t="s">
        <v>63</v>
      </c>
    </row>
    <row r="12" spans="1:19" ht="23.25" hidden="1" customHeight="1">
      <c r="A12" s="409">
        <v>1</v>
      </c>
      <c r="B12" s="426" t="s">
        <v>547</v>
      </c>
      <c r="C12" s="414"/>
      <c r="D12" s="414">
        <v>25000</v>
      </c>
      <c r="E12" s="327">
        <f>+C12*D12</f>
        <v>0</v>
      </c>
      <c r="F12" s="410"/>
      <c r="H12" s="534" t="e">
        <f>#REF!+#REF!</f>
        <v>#REF!</v>
      </c>
      <c r="I12" s="22"/>
      <c r="M12" s="1">
        <f>3000/25000</f>
        <v>0.12</v>
      </c>
    </row>
    <row r="13" spans="1:19" ht="23.25" hidden="1" customHeight="1">
      <c r="A13" s="409">
        <v>2</v>
      </c>
      <c r="B13" s="932" t="s">
        <v>548</v>
      </c>
      <c r="C13" s="535"/>
      <c r="D13" s="414">
        <v>25000</v>
      </c>
      <c r="E13" s="327">
        <f>+C13*D13</f>
        <v>0</v>
      </c>
      <c r="F13" s="410"/>
      <c r="H13" s="534" t="e">
        <f>#REF!</f>
        <v>#REF!</v>
      </c>
      <c r="I13" s="22"/>
    </row>
    <row r="14" spans="1:19" ht="41.45" customHeight="1">
      <c r="A14" s="409">
        <v>1</v>
      </c>
      <c r="B14" s="425" t="s">
        <v>538</v>
      </c>
      <c r="C14" s="535">
        <v>20</v>
      </c>
      <c r="D14" s="414">
        <v>25000</v>
      </c>
      <c r="E14" s="327">
        <f t="shared" ref="E14" si="0">C14*D14</f>
        <v>500000</v>
      </c>
      <c r="F14" s="410"/>
      <c r="H14" s="534" t="e">
        <f>SUM(H12:H13)</f>
        <v>#REF!</v>
      </c>
      <c r="I14" s="22"/>
    </row>
    <row r="15" spans="1:19" ht="25.5" hidden="1" customHeight="1">
      <c r="A15" s="409">
        <v>4</v>
      </c>
      <c r="B15" s="931" t="s">
        <v>549</v>
      </c>
      <c r="C15" s="535"/>
      <c r="D15" s="414">
        <v>25000</v>
      </c>
      <c r="E15" s="327">
        <f t="shared" ref="E15" si="1">C15*D15</f>
        <v>0</v>
      </c>
      <c r="F15" s="410"/>
      <c r="H15" s="534"/>
      <c r="I15" s="22"/>
    </row>
    <row r="16" spans="1:19" ht="40.15" customHeight="1">
      <c r="A16" s="1563" t="s">
        <v>58</v>
      </c>
      <c r="B16" s="1564"/>
      <c r="C16" s="410">
        <f>SUM(C12:C14)</f>
        <v>20</v>
      </c>
      <c r="D16" s="415"/>
      <c r="E16" s="653">
        <f>SUM(E12:E15)</f>
        <v>500000</v>
      </c>
      <c r="F16" s="328"/>
      <c r="H16" s="413"/>
    </row>
    <row r="17" spans="1:6" ht="20.25" customHeight="1">
      <c r="A17" s="329"/>
      <c r="B17" s="329"/>
      <c r="C17" s="329"/>
      <c r="D17" s="329"/>
      <c r="E17" s="1565" t="s">
        <v>617</v>
      </c>
      <c r="F17" s="1565"/>
    </row>
    <row r="18" spans="1:6" ht="23.25" customHeight="1">
      <c r="A18" s="1560" t="s">
        <v>618</v>
      </c>
      <c r="B18" s="1560"/>
      <c r="C18" s="1560"/>
      <c r="D18" s="1560"/>
      <c r="E18" s="1560"/>
      <c r="F18" s="1560"/>
    </row>
    <row r="19" spans="1:6" ht="16.5">
      <c r="A19" s="145"/>
      <c r="B19" s="145"/>
      <c r="C19" s="145"/>
      <c r="D19" s="145"/>
      <c r="E19" s="145"/>
      <c r="F19" s="145"/>
    </row>
    <row r="20" spans="1:6" ht="16.5">
      <c r="A20" s="145"/>
      <c r="B20" s="145"/>
      <c r="C20" s="145"/>
      <c r="D20" s="145"/>
      <c r="E20" s="145"/>
      <c r="F20" s="145"/>
    </row>
    <row r="21" spans="1:6" ht="16.5">
      <c r="A21" s="145"/>
      <c r="B21" s="145"/>
      <c r="C21" s="145"/>
      <c r="D21" s="145"/>
      <c r="E21" s="145"/>
      <c r="F21" s="145"/>
    </row>
    <row r="22" spans="1:6" ht="16.5">
      <c r="A22" s="145"/>
      <c r="B22" s="145"/>
      <c r="C22" s="145"/>
      <c r="D22" s="145"/>
      <c r="E22" s="145"/>
      <c r="F22" s="145"/>
    </row>
    <row r="23" spans="1:6" ht="16.5">
      <c r="A23" s="145"/>
      <c r="B23" s="145"/>
      <c r="C23" s="145"/>
      <c r="D23" s="145"/>
      <c r="E23" s="145"/>
      <c r="F23" s="145"/>
    </row>
    <row r="24" spans="1:6" ht="16.5">
      <c r="A24" s="145"/>
      <c r="B24" s="145"/>
      <c r="C24" s="145"/>
      <c r="D24" s="145"/>
      <c r="E24" s="145"/>
      <c r="F24" s="145"/>
    </row>
    <row r="25" spans="1:6" ht="16.5">
      <c r="A25" s="1559"/>
      <c r="B25" s="1559"/>
      <c r="C25" s="145"/>
      <c r="D25" s="145"/>
      <c r="E25" s="145"/>
      <c r="F25" s="145"/>
    </row>
    <row r="26" spans="1:6" ht="16.5">
      <c r="A26" s="1560" t="s">
        <v>619</v>
      </c>
      <c r="B26" s="1560"/>
      <c r="C26" s="1560"/>
      <c r="D26" s="1560"/>
      <c r="E26" s="1560"/>
      <c r="F26" s="1560"/>
    </row>
  </sheetData>
  <mergeCells count="12">
    <mergeCell ref="A25:B25"/>
    <mergeCell ref="A26:F26"/>
    <mergeCell ref="A2:F2"/>
    <mergeCell ref="A3:F3"/>
    <mergeCell ref="A4:F4"/>
    <mergeCell ref="A6:C6"/>
    <mergeCell ref="A7:C7"/>
    <mergeCell ref="A9:F9"/>
    <mergeCell ref="A10:F10"/>
    <mergeCell ref="A16:B16"/>
    <mergeCell ref="E17:F17"/>
    <mergeCell ref="A18:F18"/>
  </mergeCells>
  <printOptions horizontalCentered="1"/>
  <pageMargins left="0.33" right="0.46" top="0.46" bottom="0.43" header="0.3" footer="0.3"/>
  <pageSetup paperSize="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28"/>
  <sheetViews>
    <sheetView topLeftCell="A5" workbookViewId="0">
      <selection activeCell="E25" sqref="E25"/>
    </sheetView>
  </sheetViews>
  <sheetFormatPr defaultColWidth="9.140625" defaultRowHeight="16.5"/>
  <cols>
    <col min="1" max="1" width="7.140625" style="120" customWidth="1"/>
    <col min="2" max="2" width="21.7109375" style="120" customWidth="1"/>
    <col min="3" max="3" width="17.7109375" style="120" customWidth="1"/>
    <col min="4" max="5" width="23" style="120" customWidth="1"/>
    <col min="6" max="6" width="19" style="120" customWidth="1"/>
    <col min="7" max="7" width="23" style="120" customWidth="1"/>
    <col min="8" max="8" width="8.42578125" style="120" customWidth="1"/>
    <col min="9" max="9" width="12.85546875" style="120" customWidth="1"/>
    <col min="10" max="10" width="20.7109375" style="120" customWidth="1"/>
    <col min="11" max="11" width="19.5703125" style="120" customWidth="1"/>
    <col min="12" max="12" width="7.85546875" style="120" customWidth="1"/>
    <col min="13" max="13" width="7.28515625" style="120" customWidth="1"/>
    <col min="14" max="14" width="7.42578125" style="120" customWidth="1"/>
    <col min="15" max="15" width="6.28515625" style="120" customWidth="1"/>
    <col min="16" max="16" width="5.7109375" style="120" customWidth="1"/>
    <col min="17" max="17" width="6" style="120" customWidth="1"/>
    <col min="18" max="18" width="4.85546875" style="120" customWidth="1"/>
    <col min="19" max="19" width="6" style="120" customWidth="1"/>
    <col min="20" max="20" width="6.5703125" style="120" customWidth="1"/>
    <col min="21" max="21" width="8.140625" style="120" customWidth="1"/>
    <col min="22" max="22" width="6" style="120" customWidth="1"/>
    <col min="23" max="23" width="8.140625" style="120" customWidth="1"/>
    <col min="24" max="24" width="15" style="120" bestFit="1" customWidth="1"/>
    <col min="25" max="25" width="17.85546875" style="120" bestFit="1" customWidth="1"/>
    <col min="26" max="26" width="12.85546875" style="120" bestFit="1" customWidth="1"/>
    <col min="27" max="16384" width="9.140625" style="120"/>
  </cols>
  <sheetData>
    <row r="1" spans="1:26" ht="11.25" customHeight="1"/>
    <row r="2" spans="1:26">
      <c r="A2" s="1501" t="s">
        <v>54</v>
      </c>
      <c r="B2" s="1501"/>
      <c r="C2" s="1501"/>
      <c r="D2" s="1501"/>
      <c r="E2" s="1501"/>
      <c r="F2" s="1501"/>
      <c r="G2" s="1501"/>
      <c r="H2" s="14"/>
      <c r="I2" s="14"/>
      <c r="J2" s="14"/>
      <c r="K2" s="330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  <row r="3" spans="1:26">
      <c r="A3" s="1501" t="s">
        <v>40</v>
      </c>
      <c r="B3" s="1501"/>
      <c r="C3" s="1501"/>
      <c r="D3" s="1501"/>
      <c r="E3" s="1501"/>
      <c r="F3" s="1501"/>
      <c r="G3" s="1501"/>
      <c r="H3" s="15"/>
      <c r="I3" s="15"/>
      <c r="J3" s="15"/>
      <c r="K3" s="15"/>
      <c r="L3" s="331"/>
      <c r="N3" s="15"/>
      <c r="O3" s="15"/>
      <c r="P3" s="15"/>
      <c r="Q3" s="15"/>
      <c r="R3" s="15"/>
      <c r="S3" s="15"/>
      <c r="T3" s="15"/>
      <c r="U3" s="15"/>
      <c r="V3" s="15"/>
      <c r="W3" s="331"/>
    </row>
    <row r="4" spans="1:26" ht="19.5" customHeight="1">
      <c r="A4" s="1506" t="s">
        <v>292</v>
      </c>
      <c r="B4" s="1501"/>
      <c r="C4" s="1501"/>
      <c r="D4" s="1501"/>
      <c r="E4" s="1501"/>
      <c r="F4" s="1501"/>
      <c r="G4" s="1501"/>
      <c r="H4" s="15"/>
      <c r="I4" s="15"/>
      <c r="J4" s="15"/>
      <c r="K4" s="15"/>
      <c r="L4" s="331"/>
      <c r="N4" s="15"/>
      <c r="O4" s="15"/>
      <c r="P4" s="15"/>
      <c r="Q4" s="15"/>
      <c r="R4" s="15"/>
      <c r="S4" s="15"/>
      <c r="T4" s="15"/>
      <c r="U4" s="15"/>
      <c r="V4" s="15"/>
      <c r="W4" s="331"/>
    </row>
    <row r="5" spans="1:26" ht="7.5" customHeight="1">
      <c r="F5" s="332"/>
      <c r="G5" s="332"/>
      <c r="H5" s="333"/>
      <c r="I5" s="333"/>
      <c r="J5" s="333"/>
      <c r="K5" s="334"/>
      <c r="L5" s="335"/>
      <c r="M5" s="336"/>
      <c r="N5" s="337"/>
      <c r="O5" s="337"/>
      <c r="P5" s="337"/>
      <c r="Q5" s="337"/>
      <c r="R5" s="337"/>
      <c r="S5" s="337"/>
      <c r="T5" s="337"/>
      <c r="U5" s="337"/>
      <c r="V5" s="337"/>
      <c r="W5" s="331"/>
      <c r="X5" s="338">
        <f>1372+388</f>
        <v>1760</v>
      </c>
      <c r="Y5" s="120">
        <f>X5*30000</f>
        <v>52800000</v>
      </c>
      <c r="Z5" s="120" t="e">
        <f>Y5+#REF!+#REF!</f>
        <v>#REF!</v>
      </c>
    </row>
    <row r="6" spans="1:26">
      <c r="A6" s="236" t="s">
        <v>598</v>
      </c>
      <c r="B6" s="236"/>
      <c r="C6" s="236"/>
      <c r="D6" s="155"/>
      <c r="E6" s="155"/>
      <c r="F6" s="332"/>
      <c r="G6" s="332"/>
      <c r="H6" s="333"/>
      <c r="I6" s="333"/>
      <c r="J6" s="333"/>
      <c r="K6" s="334"/>
      <c r="L6" s="335"/>
      <c r="M6" s="336"/>
      <c r="N6" s="337"/>
      <c r="O6" s="337"/>
      <c r="P6" s="337"/>
      <c r="Q6" s="337"/>
      <c r="R6" s="337"/>
      <c r="S6" s="337"/>
      <c r="T6" s="337"/>
      <c r="U6" s="337"/>
      <c r="V6" s="337"/>
      <c r="W6" s="331"/>
      <c r="X6" s="338"/>
    </row>
    <row r="7" spans="1:26">
      <c r="A7" s="1507" t="s">
        <v>576</v>
      </c>
      <c r="B7" s="1507"/>
      <c r="C7" s="1507"/>
      <c r="D7" s="544"/>
      <c r="E7" s="332"/>
      <c r="F7" s="332"/>
      <c r="G7" s="332"/>
      <c r="H7" s="333"/>
      <c r="I7" s="333"/>
      <c r="J7" s="333"/>
      <c r="K7" s="334"/>
      <c r="L7" s="335"/>
      <c r="M7" s="336"/>
      <c r="N7" s="337"/>
      <c r="O7" s="337"/>
      <c r="P7" s="337"/>
      <c r="Q7" s="337"/>
      <c r="R7" s="337"/>
      <c r="S7" s="337"/>
      <c r="T7" s="337"/>
      <c r="U7" s="337"/>
      <c r="V7" s="337"/>
      <c r="W7" s="331"/>
      <c r="X7" s="338"/>
    </row>
    <row r="8" spans="1:26" ht="28.5" customHeight="1">
      <c r="A8" s="1503" t="s">
        <v>814</v>
      </c>
      <c r="B8" s="1504"/>
      <c r="C8" s="1504"/>
      <c r="D8" s="1504"/>
      <c r="E8" s="1504"/>
      <c r="F8" s="1504"/>
      <c r="G8" s="1504"/>
      <c r="H8" s="339"/>
      <c r="I8" s="339"/>
      <c r="J8" s="339"/>
      <c r="K8" s="339"/>
      <c r="L8" s="340"/>
      <c r="M8" s="340"/>
      <c r="N8" s="340"/>
      <c r="O8" s="340"/>
      <c r="P8" s="340"/>
      <c r="Q8" s="340"/>
      <c r="R8" s="340"/>
      <c r="S8" s="340"/>
      <c r="T8" s="340"/>
      <c r="U8" s="340"/>
      <c r="V8" s="340"/>
      <c r="W8" s="340"/>
    </row>
    <row r="9" spans="1:26" ht="18" customHeight="1">
      <c r="A9" s="550"/>
      <c r="B9" s="341"/>
      <c r="C9" s="550"/>
      <c r="D9" s="550"/>
      <c r="E9" s="550"/>
      <c r="F9" s="341"/>
      <c r="G9" s="341"/>
      <c r="H9" s="342"/>
      <c r="I9" s="343"/>
      <c r="J9" s="344"/>
    </row>
    <row r="10" spans="1:26" ht="15" customHeight="1">
      <c r="A10" s="1512" t="s">
        <v>4</v>
      </c>
      <c r="B10" s="1512" t="s">
        <v>66</v>
      </c>
      <c r="C10" s="1512" t="s">
        <v>33</v>
      </c>
      <c r="D10" s="1516" t="s">
        <v>237</v>
      </c>
      <c r="E10" s="1512" t="s">
        <v>18</v>
      </c>
      <c r="F10" s="1512" t="s">
        <v>10</v>
      </c>
      <c r="G10" s="1512" t="s">
        <v>67</v>
      </c>
      <c r="H10" s="345"/>
      <c r="I10" s="346"/>
      <c r="J10" s="347"/>
    </row>
    <row r="11" spans="1:26" ht="18" customHeight="1">
      <c r="A11" s="1512"/>
      <c r="B11" s="1512"/>
      <c r="C11" s="1512"/>
      <c r="D11" s="1516"/>
      <c r="E11" s="1512"/>
      <c r="F11" s="1512"/>
      <c r="G11" s="1512"/>
      <c r="H11" s="348"/>
      <c r="I11" s="346"/>
      <c r="J11" s="347"/>
    </row>
    <row r="12" spans="1:26" ht="24" hidden="1" customHeight="1">
      <c r="A12" s="241">
        <v>1</v>
      </c>
      <c r="B12" s="442" t="s">
        <v>213</v>
      </c>
      <c r="C12" s="633">
        <f>'BTH CVK'!C12</f>
        <v>0</v>
      </c>
      <c r="D12" s="242">
        <v>25000</v>
      </c>
      <c r="E12" s="243">
        <f t="shared" ref="E12:E14" si="0">+C12*D12</f>
        <v>0</v>
      </c>
      <c r="F12" s="241"/>
      <c r="G12" s="241"/>
      <c r="H12" s="348"/>
      <c r="I12" s="349"/>
      <c r="J12" s="350"/>
    </row>
    <row r="13" spans="1:26" ht="24" hidden="1" customHeight="1">
      <c r="A13" s="241">
        <v>2</v>
      </c>
      <c r="B13" s="442" t="s">
        <v>345</v>
      </c>
      <c r="C13" s="633">
        <f>'BTH CVK'!C13</f>
        <v>0</v>
      </c>
      <c r="D13" s="242">
        <v>25000</v>
      </c>
      <c r="E13" s="243">
        <f t="shared" si="0"/>
        <v>0</v>
      </c>
      <c r="F13" s="241"/>
      <c r="G13" s="241"/>
      <c r="H13" s="348"/>
      <c r="I13" s="349"/>
      <c r="J13" s="350">
        <v>15200000</v>
      </c>
    </row>
    <row r="14" spans="1:26" ht="37.9" customHeight="1">
      <c r="A14" s="241">
        <v>1</v>
      </c>
      <c r="B14" s="442" t="s">
        <v>91</v>
      </c>
      <c r="C14" s="633">
        <f>'BTH CVK'!C14</f>
        <v>20</v>
      </c>
      <c r="D14" s="242">
        <v>25000</v>
      </c>
      <c r="E14" s="243">
        <f t="shared" si="0"/>
        <v>500000</v>
      </c>
      <c r="F14" s="241"/>
      <c r="G14" s="241"/>
      <c r="H14" s="348"/>
      <c r="I14" s="349"/>
      <c r="J14" s="350">
        <v>15532549</v>
      </c>
    </row>
    <row r="15" spans="1:26" ht="15" hidden="1" customHeight="1">
      <c r="A15" s="241">
        <v>4</v>
      </c>
      <c r="B15" s="442" t="s">
        <v>156</v>
      </c>
      <c r="C15" s="633">
        <f>'BTH CVK'!C15</f>
        <v>0</v>
      </c>
      <c r="D15" s="242">
        <v>25000</v>
      </c>
      <c r="E15" s="243">
        <f t="shared" ref="E15" si="1">+C15*D15</f>
        <v>0</v>
      </c>
      <c r="F15" s="241"/>
      <c r="G15" s="241"/>
      <c r="H15" s="348"/>
      <c r="I15" s="349"/>
      <c r="J15" s="350"/>
    </row>
    <row r="16" spans="1:26" ht="24" customHeight="1">
      <c r="A16" s="1512" t="s">
        <v>157</v>
      </c>
      <c r="B16" s="1512"/>
      <c r="C16" s="295">
        <f>SUM(C12:C15)</f>
        <v>20</v>
      </c>
      <c r="D16" s="253"/>
      <c r="E16" s="296">
        <f t="shared" ref="E16" si="2">SUM(E12:E15)</f>
        <v>500000</v>
      </c>
      <c r="F16" s="477"/>
      <c r="G16" s="241"/>
      <c r="H16" s="348"/>
      <c r="I16" s="349"/>
      <c r="J16" s="770">
        <v>129900000</v>
      </c>
    </row>
    <row r="17" spans="1:10" ht="20.25" customHeight="1">
      <c r="A17" s="1509" t="s">
        <v>849</v>
      </c>
      <c r="B17" s="1510"/>
      <c r="C17" s="1510"/>
      <c r="D17" s="1510"/>
      <c r="E17" s="1510"/>
      <c r="F17" s="1510"/>
      <c r="G17" s="1511"/>
      <c r="J17" s="770">
        <v>2651211</v>
      </c>
    </row>
    <row r="18" spans="1:10" ht="23.25" customHeight="1">
      <c r="E18" s="1566" t="s">
        <v>815</v>
      </c>
      <c r="F18" s="1566"/>
      <c r="G18" s="1566"/>
      <c r="J18" s="350" t="e">
        <f>#REF!-#REF!-#REF!-J16-J17</f>
        <v>#REF!</v>
      </c>
    </row>
    <row r="19" spans="1:10" ht="23.25" customHeight="1">
      <c r="E19" s="1214"/>
      <c r="F19" s="1214"/>
      <c r="G19" s="1214"/>
      <c r="J19" s="350"/>
    </row>
    <row r="20" spans="1:10">
      <c r="A20" s="1560" t="s">
        <v>618</v>
      </c>
      <c r="B20" s="1560"/>
      <c r="C20" s="1560"/>
      <c r="D20" s="1560"/>
      <c r="E20" s="1560"/>
      <c r="F20" s="1560"/>
      <c r="G20" s="1560"/>
    </row>
    <row r="21" spans="1:10">
      <c r="A21" s="145"/>
      <c r="B21" s="145"/>
      <c r="C21" s="145"/>
      <c r="D21" s="145"/>
      <c r="E21" s="145"/>
      <c r="F21" s="145"/>
    </row>
    <row r="22" spans="1:10">
      <c r="A22" s="145"/>
      <c r="B22" s="145"/>
      <c r="C22" s="145"/>
      <c r="D22" s="145"/>
      <c r="E22" s="145"/>
      <c r="F22" s="145"/>
    </row>
    <row r="23" spans="1:10">
      <c r="A23" s="145"/>
      <c r="B23" s="145"/>
      <c r="C23" s="145"/>
      <c r="D23" s="145"/>
      <c r="E23" s="145"/>
      <c r="F23" s="145"/>
    </row>
    <row r="24" spans="1:10">
      <c r="A24" s="145"/>
      <c r="B24" s="145"/>
      <c r="C24" s="145"/>
      <c r="D24" s="145"/>
      <c r="E24" s="145"/>
      <c r="F24" s="145"/>
    </row>
    <row r="25" spans="1:10">
      <c r="A25" s="145"/>
      <c r="B25" s="145"/>
      <c r="C25" s="145"/>
      <c r="D25" s="145"/>
      <c r="E25" s="145"/>
      <c r="F25" s="145"/>
    </row>
    <row r="26" spans="1:10">
      <c r="A26" s="145"/>
      <c r="B26" s="145"/>
      <c r="C26" s="145"/>
      <c r="D26" s="145"/>
      <c r="E26" s="145"/>
      <c r="F26" s="145"/>
      <c r="G26" s="329"/>
    </row>
    <row r="27" spans="1:10">
      <c r="A27" s="1559"/>
      <c r="B27" s="1559"/>
      <c r="C27" s="145"/>
      <c r="D27" s="145"/>
      <c r="E27" s="145"/>
      <c r="F27" s="145"/>
    </row>
    <row r="28" spans="1:10">
      <c r="A28" s="1560" t="s">
        <v>858</v>
      </c>
      <c r="B28" s="1560"/>
      <c r="C28" s="1560"/>
      <c r="D28" s="1560"/>
      <c r="E28" s="1560"/>
      <c r="F28" s="1560"/>
      <c r="G28" s="1560"/>
    </row>
  </sheetData>
  <mergeCells count="18">
    <mergeCell ref="E10:E11"/>
    <mergeCell ref="F10:F11"/>
    <mergeCell ref="A27:B27"/>
    <mergeCell ref="A20:G20"/>
    <mergeCell ref="A28:G28"/>
    <mergeCell ref="G10:G11"/>
    <mergeCell ref="A17:G17"/>
    <mergeCell ref="E18:G18"/>
    <mergeCell ref="A16:B16"/>
    <mergeCell ref="A10:A11"/>
    <mergeCell ref="B10:B11"/>
    <mergeCell ref="C10:C11"/>
    <mergeCell ref="D10:D11"/>
    <mergeCell ref="A7:C7"/>
    <mergeCell ref="A2:G2"/>
    <mergeCell ref="A3:G3"/>
    <mergeCell ref="A4:G4"/>
    <mergeCell ref="A8:G8"/>
  </mergeCells>
  <printOptions horizontalCentered="1"/>
  <pageMargins left="0.38" right="0.46" top="0.46" bottom="0.45" header="0.3" footer="0.3"/>
  <pageSetup paperSize="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24"/>
  <sheetViews>
    <sheetView topLeftCell="A2594" zoomScale="70" zoomScaleNormal="70" workbookViewId="0">
      <selection activeCell="A23" sqref="A23:AN23"/>
    </sheetView>
  </sheetViews>
  <sheetFormatPr defaultColWidth="17.85546875" defaultRowHeight="21" customHeight="1"/>
  <cols>
    <col min="1" max="1" width="28.5703125" style="12" customWidth="1"/>
    <col min="2" max="2" width="27.85546875" style="12" customWidth="1"/>
    <col min="3" max="3" width="7.42578125" style="12" customWidth="1"/>
    <col min="4" max="4" width="10.5703125" style="12" customWidth="1"/>
    <col min="5" max="5" width="12.85546875" style="12" customWidth="1"/>
    <col min="6" max="6" width="0.85546875" style="12" customWidth="1"/>
    <col min="7" max="7" width="26.5703125" style="12" customWidth="1"/>
    <col min="8" max="8" width="26.7109375" style="12" customWidth="1"/>
    <col min="9" max="9" width="6.5703125" style="12" customWidth="1"/>
    <col min="10" max="10" width="11.28515625" style="12" customWidth="1"/>
    <col min="11" max="11" width="12.28515625" style="12" customWidth="1"/>
    <col min="12" max="16384" width="17.85546875" style="12"/>
  </cols>
  <sheetData>
    <row r="1" spans="1:12" ht="15.75" customHeight="1"/>
    <row r="2" spans="1:12" ht="15.75" customHeight="1">
      <c r="A2" s="12" t="s">
        <v>398</v>
      </c>
      <c r="B2" s="12">
        <f>'CNKT '!F11</f>
        <v>668.84</v>
      </c>
    </row>
    <row r="3" spans="1:12" ht="6" customHeight="1"/>
    <row r="4" spans="1:12" s="27" customFormat="1" ht="15.75" customHeight="1">
      <c r="A4" s="1567" t="s">
        <v>526</v>
      </c>
      <c r="B4" s="1568"/>
      <c r="C4" s="1568"/>
      <c r="D4" s="1568"/>
      <c r="E4" s="841">
        <v>1</v>
      </c>
      <c r="F4" s="689"/>
      <c r="G4" s="1567" t="str">
        <f>A4</f>
        <v>LƯƠNG THÁNG 01/2025</v>
      </c>
      <c r="H4" s="1568"/>
      <c r="I4" s="1568"/>
      <c r="J4" s="1568"/>
      <c r="K4" s="766">
        <v>2</v>
      </c>
      <c r="L4" s="690"/>
    </row>
    <row r="5" spans="1:12" s="27" customFormat="1" ht="15.75" customHeight="1">
      <c r="A5" s="840" t="s">
        <v>15</v>
      </c>
      <c r="B5" s="840" t="str">
        <f>'CNKT '!D16</f>
        <v>T. Vôn</v>
      </c>
      <c r="C5" s="691"/>
      <c r="D5" s="838" t="s">
        <v>396</v>
      </c>
      <c r="E5" s="838" t="s">
        <v>18</v>
      </c>
      <c r="F5" s="692"/>
      <c r="G5" s="840" t="s">
        <v>15</v>
      </c>
      <c r="H5" s="840" t="str">
        <f>'CNKT '!D17</f>
        <v>T. Feng</v>
      </c>
      <c r="I5" s="691"/>
      <c r="J5" s="838" t="s">
        <v>396</v>
      </c>
      <c r="K5" s="838" t="s">
        <v>18</v>
      </c>
      <c r="L5" s="690"/>
    </row>
    <row r="6" spans="1:12" s="27" customFormat="1" ht="15.75" customHeight="1">
      <c r="A6" s="693" t="s">
        <v>397</v>
      </c>
      <c r="B6" s="842" t="s">
        <v>527</v>
      </c>
      <c r="C6" s="694">
        <f>VLOOKUP(B5,'BTH mủ tạp'!$D$17:$AN$94,36,0)</f>
        <v>526.31667709622218</v>
      </c>
      <c r="D6" s="695"/>
      <c r="E6" s="695"/>
      <c r="F6" s="692"/>
      <c r="G6" s="693" t="s">
        <v>397</v>
      </c>
      <c r="H6" s="842" t="s">
        <v>527</v>
      </c>
      <c r="I6" s="694">
        <f>VLOOKUP(H5,'BTH mủ tạp'!$D$17:$AN$94,36,0)</f>
        <v>906.56308698071746</v>
      </c>
      <c r="J6" s="695"/>
      <c r="K6" s="695"/>
      <c r="L6" s="690"/>
    </row>
    <row r="7" spans="1:12" s="27" customFormat="1" ht="15.75" customHeight="1">
      <c r="A7" s="693" t="s">
        <v>77</v>
      </c>
      <c r="B7" s="843" t="s">
        <v>432</v>
      </c>
      <c r="C7" s="696">
        <f>VLOOKUP(B5,'CNKT '!$D$16:$AA$96,3,0)</f>
        <v>0</v>
      </c>
      <c r="D7" s="697">
        <v>25000</v>
      </c>
      <c r="E7" s="695">
        <f>C7*D7</f>
        <v>0</v>
      </c>
      <c r="F7" s="692"/>
      <c r="G7" s="693" t="s">
        <v>77</v>
      </c>
      <c r="H7" s="843" t="s">
        <v>432</v>
      </c>
      <c r="I7" s="696">
        <f>VLOOKUP(H5,'CNKT '!$D$16:$AA$96,3,0)</f>
        <v>0</v>
      </c>
      <c r="J7" s="697">
        <v>25000</v>
      </c>
      <c r="K7" s="695">
        <f>I7*J7</f>
        <v>0</v>
      </c>
      <c r="L7" s="690"/>
    </row>
    <row r="8" spans="1:12" s="27" customFormat="1" ht="15.75" customHeight="1">
      <c r="A8" s="693" t="s">
        <v>307</v>
      </c>
      <c r="B8" s="844" t="s">
        <v>528</v>
      </c>
      <c r="C8" s="747">
        <f>VLOOKUP(B5,'CNKT '!$D$16:$AA$96,11,0)</f>
        <v>12</v>
      </c>
      <c r="D8" s="698">
        <f>46.1*$B$2</f>
        <v>30833.524000000001</v>
      </c>
      <c r="E8" s="695">
        <f t="shared" ref="E8:E12" si="0">C8*D8</f>
        <v>370002.288</v>
      </c>
      <c r="F8" s="692"/>
      <c r="G8" s="693" t="s">
        <v>307</v>
      </c>
      <c r="H8" s="844" t="s">
        <v>528</v>
      </c>
      <c r="I8" s="747">
        <f>VLOOKUP(H5,'CNKT '!$D$16:$AA$96,11,0)</f>
        <v>21</v>
      </c>
      <c r="J8" s="698">
        <f>46.1*$B$2</f>
        <v>30833.524000000001</v>
      </c>
      <c r="K8" s="695">
        <f t="shared" ref="K8:K12" si="1">I8*J8</f>
        <v>647504.00400000007</v>
      </c>
      <c r="L8" s="690"/>
    </row>
    <row r="9" spans="1:12" s="27" customFormat="1" ht="15.75" customHeight="1">
      <c r="A9" s="693" t="s">
        <v>399</v>
      </c>
      <c r="B9" s="844" t="s">
        <v>529</v>
      </c>
      <c r="C9" s="747">
        <f>VLOOKUP(B5,'CNKT '!$D$16:$AA$96,12,0)</f>
        <v>2</v>
      </c>
      <c r="D9" s="697">
        <f>76.9*$B$2</f>
        <v>51433.796000000009</v>
      </c>
      <c r="E9" s="695">
        <f t="shared" si="0"/>
        <v>102867.59200000002</v>
      </c>
      <c r="F9" s="692"/>
      <c r="G9" s="693" t="s">
        <v>399</v>
      </c>
      <c r="H9" s="844" t="s">
        <v>529</v>
      </c>
      <c r="I9" s="747">
        <f>VLOOKUP(H5,'CNKT '!$D$16:$AA$96,12,0)</f>
        <v>4</v>
      </c>
      <c r="J9" s="697">
        <f>76.9*$B$2</f>
        <v>51433.796000000009</v>
      </c>
      <c r="K9" s="695">
        <f t="shared" si="1"/>
        <v>205735.18400000004</v>
      </c>
      <c r="L9" s="690"/>
    </row>
    <row r="10" spans="1:12" s="27" customFormat="1" ht="15.75" customHeight="1">
      <c r="A10" s="693" t="s">
        <v>78</v>
      </c>
      <c r="B10" s="844" t="s">
        <v>530</v>
      </c>
      <c r="C10" s="747">
        <f>VLOOKUP(B5,'CNKT '!$D$16:$AA$96,8,0)</f>
        <v>526.31667709622229</v>
      </c>
      <c r="D10" s="697">
        <f>IF(C6="A",6.1,IF(C6="B",5.8,IF(C6="C",5.5,IF(C6="C.",5.5,IF(C6="D",5.2)))))*$B$2</f>
        <v>0</v>
      </c>
      <c r="E10" s="695">
        <f t="shared" si="0"/>
        <v>0</v>
      </c>
      <c r="F10" s="692"/>
      <c r="G10" s="693" t="s">
        <v>78</v>
      </c>
      <c r="H10" s="844" t="s">
        <v>530</v>
      </c>
      <c r="I10" s="747">
        <f>VLOOKUP(H5,'CNKT '!$D$16:$AA$96,8,0)</f>
        <v>906.56308698071769</v>
      </c>
      <c r="J10" s="697">
        <f>IF(I6="A",6.1,IF(I6="B",5.8,IF(I6="C",5.5,IF(I6="C.",5.5,IF(I6="D",5.2)))))*$B$2</f>
        <v>0</v>
      </c>
      <c r="K10" s="695">
        <f t="shared" si="1"/>
        <v>0</v>
      </c>
      <c r="L10" s="690"/>
    </row>
    <row r="11" spans="1:12" s="27" customFormat="1" ht="15.75" customHeight="1">
      <c r="A11" s="693" t="s">
        <v>491</v>
      </c>
      <c r="B11" s="844" t="s">
        <v>531</v>
      </c>
      <c r="C11" s="747">
        <f>VLOOKUP(B5,'CNKT '!$D$16:$AA$96,15,0)</f>
        <v>0</v>
      </c>
      <c r="D11" s="698">
        <f>92.2*$B$2</f>
        <v>61667.048000000003</v>
      </c>
      <c r="E11" s="695">
        <f t="shared" si="0"/>
        <v>0</v>
      </c>
      <c r="F11" s="692"/>
      <c r="G11" s="693" t="s">
        <v>491</v>
      </c>
      <c r="H11" s="844" t="s">
        <v>531</v>
      </c>
      <c r="I11" s="747">
        <f>VLOOKUP(H5,'CNKT '!$D$16:$AA$96,15,0)</f>
        <v>0</v>
      </c>
      <c r="J11" s="698">
        <f>92.2*$B$2</f>
        <v>61667.048000000003</v>
      </c>
      <c r="K11" s="695">
        <f t="shared" si="1"/>
        <v>0</v>
      </c>
      <c r="L11" s="690"/>
    </row>
    <row r="12" spans="1:12" s="27" customFormat="1" ht="15.75" customHeight="1">
      <c r="A12" s="693" t="s">
        <v>492</v>
      </c>
      <c r="B12" s="844" t="s">
        <v>496</v>
      </c>
      <c r="C12" s="747">
        <f>VLOOKUP(B5,'CNKT '!$D$16:$AA$96,16,0)</f>
        <v>0</v>
      </c>
      <c r="D12" s="697">
        <f>153.8*$B$2</f>
        <v>102867.59200000002</v>
      </c>
      <c r="E12" s="695">
        <f t="shared" si="0"/>
        <v>0</v>
      </c>
      <c r="F12" s="692"/>
      <c r="G12" s="693" t="s">
        <v>492</v>
      </c>
      <c r="H12" s="844" t="s">
        <v>496</v>
      </c>
      <c r="I12" s="747">
        <f>VLOOKUP(H5,'CNKT '!$D$16:$AA$96,16,0)</f>
        <v>0</v>
      </c>
      <c r="J12" s="697">
        <f>153.8*$B$2</f>
        <v>102867.59200000002</v>
      </c>
      <c r="K12" s="695">
        <f t="shared" si="1"/>
        <v>0</v>
      </c>
      <c r="L12" s="690"/>
    </row>
    <row r="13" spans="1:12" s="27" customFormat="1" ht="15.75" customHeight="1">
      <c r="A13" s="693" t="s">
        <v>453</v>
      </c>
      <c r="B13" s="844" t="s">
        <v>497</v>
      </c>
      <c r="C13" s="747">
        <f>VLOOKUP(B5,'CNKT '!$D$16:$AA$96,18,0)</f>
        <v>0</v>
      </c>
      <c r="D13" s="697">
        <v>10000</v>
      </c>
      <c r="E13" s="695">
        <f>C13*D13</f>
        <v>0</v>
      </c>
      <c r="F13" s="692"/>
      <c r="G13" s="693" t="s">
        <v>453</v>
      </c>
      <c r="H13" s="844" t="s">
        <v>497</v>
      </c>
      <c r="I13" s="747">
        <f>VLOOKUP(H5,'CNKT '!$D$16:$AA$96,18,0)</f>
        <v>0</v>
      </c>
      <c r="J13" s="697">
        <v>10000</v>
      </c>
      <c r="K13" s="695">
        <f>I13*J13</f>
        <v>0</v>
      </c>
      <c r="L13" s="690"/>
    </row>
    <row r="14" spans="1:12" s="27" customFormat="1" ht="15.75" customHeight="1">
      <c r="A14" s="693" t="s">
        <v>453</v>
      </c>
      <c r="B14" s="844" t="s">
        <v>497</v>
      </c>
      <c r="C14" s="747">
        <f>VLOOKUP(B5,'CNKT '!$D$16:$AA$96,19,0)</f>
        <v>0</v>
      </c>
      <c r="D14" s="697">
        <v>20000</v>
      </c>
      <c r="E14" s="695">
        <f>C14*D14</f>
        <v>0</v>
      </c>
      <c r="F14" s="692"/>
      <c r="G14" s="693" t="s">
        <v>453</v>
      </c>
      <c r="H14" s="844" t="s">
        <v>497</v>
      </c>
      <c r="I14" s="747">
        <f>VLOOKUP(H5,'CNKT '!$D$16:$AA$96,19,0)</f>
        <v>0</v>
      </c>
      <c r="J14" s="697">
        <v>20000</v>
      </c>
      <c r="K14" s="695">
        <f>I14*J14</f>
        <v>0</v>
      </c>
      <c r="L14" s="690"/>
    </row>
    <row r="15" spans="1:12" s="27" customFormat="1" ht="15.75" customHeight="1">
      <c r="A15" s="693" t="s">
        <v>512</v>
      </c>
      <c r="B15" s="844" t="s">
        <v>513</v>
      </c>
      <c r="C15" s="747"/>
      <c r="D15" s="697"/>
      <c r="E15" s="695"/>
      <c r="F15" s="692"/>
      <c r="G15" s="693" t="s">
        <v>512</v>
      </c>
      <c r="H15" s="844" t="s">
        <v>513</v>
      </c>
      <c r="I15" s="747"/>
      <c r="J15" s="697"/>
      <c r="K15" s="695"/>
      <c r="L15" s="690"/>
    </row>
    <row r="16" spans="1:12" s="27" customFormat="1" ht="15.75" customHeight="1">
      <c r="A16" s="699" t="s">
        <v>79</v>
      </c>
      <c r="B16" s="845" t="s">
        <v>532</v>
      </c>
      <c r="C16" s="700"/>
      <c r="D16" s="701"/>
      <c r="E16" s="700"/>
      <c r="F16" s="692"/>
      <c r="G16" s="699" t="s">
        <v>79</v>
      </c>
      <c r="H16" s="845" t="s">
        <v>532</v>
      </c>
      <c r="I16" s="700"/>
      <c r="J16" s="701"/>
      <c r="K16" s="700"/>
      <c r="L16" s="690"/>
    </row>
    <row r="17" spans="1:13" s="27" customFormat="1" ht="15.75" customHeight="1">
      <c r="A17" s="702" t="s">
        <v>80</v>
      </c>
      <c r="B17" s="846" t="s">
        <v>533</v>
      </c>
      <c r="C17" s="700"/>
      <c r="D17" s="700"/>
      <c r="E17" s="700"/>
      <c r="F17" s="692"/>
      <c r="G17" s="702" t="s">
        <v>80</v>
      </c>
      <c r="H17" s="846" t="s">
        <v>533</v>
      </c>
      <c r="I17" s="700"/>
      <c r="J17" s="700"/>
      <c r="K17" s="700"/>
      <c r="L17" s="690"/>
    </row>
    <row r="18" spans="1:13" s="27" customFormat="1" ht="15.75" customHeight="1">
      <c r="A18" s="702" t="s">
        <v>81</v>
      </c>
      <c r="B18" s="847" t="s">
        <v>534</v>
      </c>
      <c r="C18" s="700"/>
      <c r="D18" s="700"/>
      <c r="E18" s="695">
        <f>SUM(E17)</f>
        <v>0</v>
      </c>
      <c r="F18" s="692"/>
      <c r="G18" s="702" t="s">
        <v>81</v>
      </c>
      <c r="H18" s="847" t="s">
        <v>534</v>
      </c>
      <c r="I18" s="700"/>
      <c r="J18" s="700"/>
      <c r="K18" s="695">
        <f>SUM(K17)</f>
        <v>0</v>
      </c>
      <c r="L18" s="690"/>
      <c r="M18" s="703">
        <f>E18+K18</f>
        <v>0</v>
      </c>
    </row>
    <row r="19" spans="1:13" s="27" customFormat="1" ht="15.75" customHeight="1">
      <c r="A19" s="704" t="s">
        <v>82</v>
      </c>
      <c r="B19" s="848" t="s">
        <v>438</v>
      </c>
      <c r="C19" s="705"/>
      <c r="D19" s="705"/>
      <c r="E19" s="705">
        <f>(E7+E8+E9+E10+E11+E12+E13+E14+E15)-E18</f>
        <v>472869.88</v>
      </c>
      <c r="F19" s="706"/>
      <c r="G19" s="704" t="s">
        <v>82</v>
      </c>
      <c r="H19" s="848" t="s">
        <v>438</v>
      </c>
      <c r="I19" s="705"/>
      <c r="J19" s="705"/>
      <c r="K19" s="705">
        <f>(K7+K8+K9+K10+K11+K12+K13+K14+K15)-K18</f>
        <v>853239.18800000008</v>
      </c>
      <c r="L19" s="707">
        <f>E19+K19</f>
        <v>1326109.068</v>
      </c>
    </row>
    <row r="20" spans="1:13" s="27" customFormat="1" ht="15.75" customHeight="1">
      <c r="L20" s="690"/>
      <c r="M20" s="674"/>
    </row>
    <row r="21" spans="1:13" s="708" customFormat="1" ht="15.75" customHeight="1">
      <c r="A21" s="1567" t="s">
        <v>526</v>
      </c>
      <c r="B21" s="1568"/>
      <c r="C21" s="1568"/>
      <c r="D21" s="1568"/>
      <c r="E21" s="766">
        <v>3</v>
      </c>
      <c r="F21" s="839"/>
      <c r="G21" s="1567" t="str">
        <f>A21</f>
        <v>LƯƠNG THÁNG 01/2025</v>
      </c>
      <c r="H21" s="1574"/>
      <c r="I21" s="1574"/>
      <c r="J21" s="1575"/>
      <c r="K21" s="849">
        <v>4</v>
      </c>
      <c r="L21" s="690"/>
    </row>
    <row r="22" spans="1:13" s="708" customFormat="1" ht="15.75" customHeight="1">
      <c r="A22" s="709" t="s">
        <v>15</v>
      </c>
      <c r="B22" s="840" t="str">
        <f>'CNKT '!D18</f>
        <v>T. Sa Văn</v>
      </c>
      <c r="C22" s="691"/>
      <c r="D22" s="838" t="s">
        <v>396</v>
      </c>
      <c r="E22" s="838" t="s">
        <v>18</v>
      </c>
      <c r="F22" s="710"/>
      <c r="G22" s="709" t="s">
        <v>15</v>
      </c>
      <c r="H22" s="840" t="str">
        <f>'CNKT '!D19</f>
        <v>Lăm Ma Thu</v>
      </c>
      <c r="I22" s="691"/>
      <c r="J22" s="838" t="s">
        <v>396</v>
      </c>
      <c r="K22" s="838" t="s">
        <v>18</v>
      </c>
      <c r="L22" s="690"/>
    </row>
    <row r="23" spans="1:13" s="708" customFormat="1" ht="15.75" customHeight="1">
      <c r="A23" s="693" t="s">
        <v>397</v>
      </c>
      <c r="B23" s="842" t="s">
        <v>527</v>
      </c>
      <c r="C23" s="694">
        <f>VLOOKUP(B22,'BTH mủ tạp'!$D$17:$AN$94,36,0)</f>
        <v>882.44990001243252</v>
      </c>
      <c r="D23" s="695"/>
      <c r="E23" s="695"/>
      <c r="F23" s="710"/>
      <c r="G23" s="693" t="s">
        <v>397</v>
      </c>
      <c r="H23" s="842" t="s">
        <v>527</v>
      </c>
      <c r="I23" s="694">
        <f>VLOOKUP(H22,'BTH mủ tạp'!$D$17:$AN$94,36,0)</f>
        <v>994.66896244175905</v>
      </c>
      <c r="J23" s="695"/>
      <c r="K23" s="695"/>
      <c r="L23" s="690"/>
    </row>
    <row r="24" spans="1:13" s="708" customFormat="1" ht="15.75" customHeight="1">
      <c r="A24" s="693" t="s">
        <v>77</v>
      </c>
      <c r="B24" s="843" t="s">
        <v>432</v>
      </c>
      <c r="C24" s="696">
        <f>VLOOKUP(B22,'CNKT '!$D$16:$AA$96,3,0)</f>
        <v>0</v>
      </c>
      <c r="D24" s="697">
        <v>25000</v>
      </c>
      <c r="E24" s="695">
        <f>C24*D24</f>
        <v>0</v>
      </c>
      <c r="F24" s="710"/>
      <c r="G24" s="693" t="s">
        <v>77</v>
      </c>
      <c r="H24" s="843" t="s">
        <v>432</v>
      </c>
      <c r="I24" s="696">
        <f>VLOOKUP(H22,'CNKT '!$D$16:$AA$96,3,0)</f>
        <v>0</v>
      </c>
      <c r="J24" s="697">
        <v>25000</v>
      </c>
      <c r="K24" s="695">
        <f>I24*J24</f>
        <v>0</v>
      </c>
      <c r="L24" s="690"/>
    </row>
    <row r="25" spans="1:13" s="27" customFormat="1" ht="15.75" customHeight="1">
      <c r="A25" s="693" t="s">
        <v>307</v>
      </c>
      <c r="B25" s="844" t="s">
        <v>528</v>
      </c>
      <c r="C25" s="747">
        <f>VLOOKUP(B22,'CNKT '!$D$16:$AA$96,11,0)</f>
        <v>19</v>
      </c>
      <c r="D25" s="698">
        <f>46.1*$B$2</f>
        <v>30833.524000000001</v>
      </c>
      <c r="E25" s="695">
        <f t="shared" ref="E25:E29" si="2">C25*D25</f>
        <v>585836.95600000001</v>
      </c>
      <c r="F25" s="839"/>
      <c r="G25" s="693" t="s">
        <v>307</v>
      </c>
      <c r="H25" s="844" t="s">
        <v>528</v>
      </c>
      <c r="I25" s="747">
        <f>VLOOKUP(H22,'CNKT '!$D$16:$AA$96,11,0)</f>
        <v>20</v>
      </c>
      <c r="J25" s="698">
        <f>46.1*$B$2</f>
        <v>30833.524000000001</v>
      </c>
      <c r="K25" s="695">
        <f t="shared" ref="K25:K29" si="3">I25*J25</f>
        <v>616670.48</v>
      </c>
      <c r="L25" s="690"/>
    </row>
    <row r="26" spans="1:13" s="708" customFormat="1" ht="15.75" customHeight="1">
      <c r="A26" s="693" t="s">
        <v>399</v>
      </c>
      <c r="B26" s="844" t="s">
        <v>529</v>
      </c>
      <c r="C26" s="747">
        <f>VLOOKUP(B22,'CNKT '!$D$16:$AA$96,12,0)</f>
        <v>5</v>
      </c>
      <c r="D26" s="697">
        <f>76.9*$B$2</f>
        <v>51433.796000000009</v>
      </c>
      <c r="E26" s="695">
        <f t="shared" si="2"/>
        <v>257168.98000000004</v>
      </c>
      <c r="F26" s="711"/>
      <c r="G26" s="693" t="s">
        <v>399</v>
      </c>
      <c r="H26" s="844" t="s">
        <v>529</v>
      </c>
      <c r="I26" s="747">
        <f>VLOOKUP(H22,'CNKT '!$D$16:$AA$96,12,0)</f>
        <v>5</v>
      </c>
      <c r="J26" s="697">
        <f>76.9*$B$2</f>
        <v>51433.796000000009</v>
      </c>
      <c r="K26" s="695">
        <f t="shared" si="3"/>
        <v>257168.98000000004</v>
      </c>
      <c r="L26" s="690"/>
    </row>
    <row r="27" spans="1:13" s="712" customFormat="1" ht="15.75" customHeight="1">
      <c r="A27" s="693" t="s">
        <v>78</v>
      </c>
      <c r="B27" s="844" t="s">
        <v>530</v>
      </c>
      <c r="C27" s="747">
        <f>VLOOKUP(B22,'CNKT '!$D$16:$AA$96,8,0)</f>
        <v>882.44990001243264</v>
      </c>
      <c r="D27" s="697">
        <f>IF(C23="A",6.1,IF(C23="B",5.8,IF(C23="C",5.5,IF(C23="C.",5.5,IF(C23="D",5.2)))))*$B$2</f>
        <v>0</v>
      </c>
      <c r="E27" s="695">
        <f t="shared" si="2"/>
        <v>0</v>
      </c>
      <c r="F27" s="839"/>
      <c r="G27" s="693" t="s">
        <v>78</v>
      </c>
      <c r="H27" s="844" t="s">
        <v>530</v>
      </c>
      <c r="I27" s="747">
        <f>VLOOKUP(H22,'CNKT '!$D$16:$AA$96,8,0)</f>
        <v>994.66896244175928</v>
      </c>
      <c r="J27" s="697">
        <f>IF(I23="A",6.1,IF(I23="B",5.8,IF(I23="C",5.5,IF(I23="C.",5.5,IF(I23="D",5.2)))))*$B$2</f>
        <v>0</v>
      </c>
      <c r="K27" s="695">
        <f t="shared" si="3"/>
        <v>0</v>
      </c>
      <c r="L27" s="690"/>
    </row>
    <row r="28" spans="1:13" s="712" customFormat="1" ht="15.75" customHeight="1">
      <c r="A28" s="693" t="s">
        <v>491</v>
      </c>
      <c r="B28" s="844" t="s">
        <v>531</v>
      </c>
      <c r="C28" s="747">
        <f>VLOOKUP(B22,'CNKT '!$D$16:$AA$96,15,0)</f>
        <v>0</v>
      </c>
      <c r="D28" s="698">
        <f>92.2*$B$2</f>
        <v>61667.048000000003</v>
      </c>
      <c r="E28" s="695">
        <f t="shared" si="2"/>
        <v>0</v>
      </c>
      <c r="F28" s="839"/>
      <c r="G28" s="693" t="s">
        <v>491</v>
      </c>
      <c r="H28" s="844" t="s">
        <v>531</v>
      </c>
      <c r="I28" s="747">
        <f>VLOOKUP(H22,'CNKT '!$D$16:$AA$96,15,0)</f>
        <v>0</v>
      </c>
      <c r="J28" s="698">
        <f>92.2*$B$2</f>
        <v>61667.048000000003</v>
      </c>
      <c r="K28" s="695">
        <f t="shared" si="3"/>
        <v>0</v>
      </c>
      <c r="L28" s="690"/>
    </row>
    <row r="29" spans="1:13" s="712" customFormat="1" ht="15.75" customHeight="1">
      <c r="A29" s="693" t="s">
        <v>492</v>
      </c>
      <c r="B29" s="844" t="s">
        <v>496</v>
      </c>
      <c r="C29" s="747">
        <f>VLOOKUP(B22,'CNKT '!$D$16:$AA$96,16,0)</f>
        <v>0</v>
      </c>
      <c r="D29" s="697">
        <f>153.8*$B$2</f>
        <v>102867.59200000002</v>
      </c>
      <c r="E29" s="695">
        <f t="shared" si="2"/>
        <v>0</v>
      </c>
      <c r="F29" s="839"/>
      <c r="G29" s="693" t="s">
        <v>492</v>
      </c>
      <c r="H29" s="844" t="s">
        <v>496</v>
      </c>
      <c r="I29" s="747">
        <f>VLOOKUP(H22,'CNKT '!$D$16:$AA$96,16,0)</f>
        <v>0</v>
      </c>
      <c r="J29" s="697">
        <f>153.8*$B$2</f>
        <v>102867.59200000002</v>
      </c>
      <c r="K29" s="695">
        <f t="shared" si="3"/>
        <v>0</v>
      </c>
      <c r="L29" s="690"/>
    </row>
    <row r="30" spans="1:13" s="712" customFormat="1" ht="15.75" customHeight="1">
      <c r="A30" s="693" t="s">
        <v>453</v>
      </c>
      <c r="B30" s="844" t="s">
        <v>497</v>
      </c>
      <c r="C30" s="747">
        <f>VLOOKUP(B22,'CNKT '!$D$16:$AA$96,18,0)</f>
        <v>0</v>
      </c>
      <c r="D30" s="697">
        <v>10000</v>
      </c>
      <c r="E30" s="695">
        <f>C30*D30</f>
        <v>0</v>
      </c>
      <c r="F30" s="839"/>
      <c r="G30" s="693" t="s">
        <v>453</v>
      </c>
      <c r="H30" s="844" t="s">
        <v>497</v>
      </c>
      <c r="I30" s="747">
        <f>VLOOKUP(H22,'CNKT '!$D$16:$AA$96,18,0)</f>
        <v>0</v>
      </c>
      <c r="J30" s="697">
        <v>10000</v>
      </c>
      <c r="K30" s="695">
        <f>I30*J30</f>
        <v>0</v>
      </c>
      <c r="L30" s="690"/>
    </row>
    <row r="31" spans="1:13" s="712" customFormat="1" ht="15.75" customHeight="1">
      <c r="A31" s="693" t="s">
        <v>453</v>
      </c>
      <c r="B31" s="844" t="s">
        <v>497</v>
      </c>
      <c r="C31" s="747">
        <f>VLOOKUP(B22,'CNKT '!$D$16:$AA$96,19,0)</f>
        <v>0</v>
      </c>
      <c r="D31" s="697">
        <v>20000</v>
      </c>
      <c r="E31" s="695">
        <f>C31*D31</f>
        <v>0</v>
      </c>
      <c r="F31" s="839"/>
      <c r="G31" s="693" t="s">
        <v>453</v>
      </c>
      <c r="H31" s="844" t="s">
        <v>497</v>
      </c>
      <c r="I31" s="747">
        <f>VLOOKUP(H22,'CNKT '!$D$16:$AA$96,19,0)</f>
        <v>0</v>
      </c>
      <c r="J31" s="697">
        <v>20000</v>
      </c>
      <c r="K31" s="695">
        <f>I31*J31</f>
        <v>0</v>
      </c>
      <c r="L31" s="690"/>
    </row>
    <row r="32" spans="1:13" s="712" customFormat="1" ht="15.75" customHeight="1">
      <c r="A32" s="693" t="s">
        <v>512</v>
      </c>
      <c r="B32" s="844" t="s">
        <v>513</v>
      </c>
      <c r="C32" s="747"/>
      <c r="D32" s="697"/>
      <c r="E32" s="695"/>
      <c r="F32" s="839"/>
      <c r="G32" s="693" t="s">
        <v>512</v>
      </c>
      <c r="H32" s="844" t="s">
        <v>513</v>
      </c>
      <c r="I32" s="747"/>
      <c r="J32" s="697"/>
      <c r="K32" s="695"/>
      <c r="L32" s="690"/>
    </row>
    <row r="33" spans="1:13" s="708" customFormat="1" ht="15.75" customHeight="1">
      <c r="A33" s="699" t="s">
        <v>79</v>
      </c>
      <c r="B33" s="845" t="s">
        <v>532</v>
      </c>
      <c r="C33" s="700"/>
      <c r="D33" s="701"/>
      <c r="E33" s="700"/>
      <c r="F33" s="710"/>
      <c r="G33" s="699" t="s">
        <v>79</v>
      </c>
      <c r="H33" s="845" t="s">
        <v>532</v>
      </c>
      <c r="I33" s="700"/>
      <c r="J33" s="701"/>
      <c r="K33" s="700"/>
      <c r="L33" s="690"/>
    </row>
    <row r="34" spans="1:13" s="708" customFormat="1" ht="15.75" customHeight="1">
      <c r="A34" s="702" t="s">
        <v>80</v>
      </c>
      <c r="B34" s="846" t="s">
        <v>533</v>
      </c>
      <c r="C34" s="700"/>
      <c r="D34" s="700"/>
      <c r="E34" s="700"/>
      <c r="F34" s="710"/>
      <c r="G34" s="702" t="s">
        <v>80</v>
      </c>
      <c r="H34" s="846" t="s">
        <v>533</v>
      </c>
      <c r="I34" s="700"/>
      <c r="J34" s="700"/>
      <c r="K34" s="700"/>
      <c r="L34" s="690"/>
    </row>
    <row r="35" spans="1:13" s="27" customFormat="1" ht="15.75" customHeight="1">
      <c r="A35" s="702" t="s">
        <v>81</v>
      </c>
      <c r="B35" s="847" t="s">
        <v>534</v>
      </c>
      <c r="C35" s="700"/>
      <c r="D35" s="700"/>
      <c r="E35" s="695">
        <f>SUM(E34)</f>
        <v>0</v>
      </c>
      <c r="F35" s="710"/>
      <c r="G35" s="702" t="s">
        <v>81</v>
      </c>
      <c r="H35" s="847" t="s">
        <v>534</v>
      </c>
      <c r="I35" s="700"/>
      <c r="J35" s="700"/>
      <c r="K35" s="695">
        <f>SUM(K34)</f>
        <v>0</v>
      </c>
      <c r="L35" s="690"/>
      <c r="M35" s="703">
        <f>E35+K35</f>
        <v>0</v>
      </c>
    </row>
    <row r="36" spans="1:13" s="27" customFormat="1" ht="15.75" customHeight="1">
      <c r="A36" s="704" t="s">
        <v>82</v>
      </c>
      <c r="B36" s="848" t="s">
        <v>438</v>
      </c>
      <c r="C36" s="705"/>
      <c r="D36" s="705"/>
      <c r="E36" s="705">
        <f>(E24+E25+E26+E27+E28+E29+E30+E31+E32)-E35</f>
        <v>843005.93599999999</v>
      </c>
      <c r="F36" s="710"/>
      <c r="G36" s="704" t="s">
        <v>82</v>
      </c>
      <c r="H36" s="848" t="s">
        <v>438</v>
      </c>
      <c r="I36" s="705"/>
      <c r="J36" s="705"/>
      <c r="K36" s="705">
        <f>(K24+K25+K26+K27+K28+K29+K30+K31+K32)-K35</f>
        <v>873839.46</v>
      </c>
      <c r="L36" s="707">
        <f>E36+K36</f>
        <v>1716845.3959999999</v>
      </c>
    </row>
    <row r="37" spans="1:13" s="27" customFormat="1" ht="15.75" customHeight="1">
      <c r="A37" s="703"/>
      <c r="B37" s="713"/>
      <c r="C37" s="839"/>
      <c r="D37" s="839"/>
      <c r="E37" s="710"/>
      <c r="F37" s="710"/>
      <c r="G37" s="703"/>
      <c r="H37" s="713"/>
      <c r="I37" s="839"/>
      <c r="J37" s="710"/>
      <c r="K37" s="708"/>
      <c r="L37" s="690"/>
    </row>
    <row r="38" spans="1:13" s="27" customFormat="1" ht="15.75" customHeight="1">
      <c r="A38" s="1567" t="str">
        <f>G21</f>
        <v>LƯƠNG THÁNG 01/2025</v>
      </c>
      <c r="B38" s="1568"/>
      <c r="C38" s="1568"/>
      <c r="D38" s="1568"/>
      <c r="E38" s="766">
        <v>5</v>
      </c>
      <c r="F38" s="710"/>
      <c r="G38" s="1567" t="str">
        <f>G21</f>
        <v>LƯƠNG THÁNG 01/2025</v>
      </c>
      <c r="H38" s="1568"/>
      <c r="I38" s="1568"/>
      <c r="J38" s="1569"/>
      <c r="K38" s="766">
        <v>6</v>
      </c>
      <c r="L38" s="690"/>
    </row>
    <row r="39" spans="1:13" s="27" customFormat="1" ht="15.75" customHeight="1">
      <c r="A39" s="709" t="s">
        <v>15</v>
      </c>
      <c r="B39" s="840" t="str">
        <f>'CNKT '!D20</f>
        <v>N. Vạt</v>
      </c>
      <c r="C39" s="691"/>
      <c r="D39" s="838" t="s">
        <v>396</v>
      </c>
      <c r="E39" s="838" t="s">
        <v>18</v>
      </c>
      <c r="F39" s="710"/>
      <c r="G39" s="709" t="s">
        <v>15</v>
      </c>
      <c r="H39" s="840" t="str">
        <f>'CNKT '!D21</f>
        <v>N. Kay Son</v>
      </c>
      <c r="I39" s="691"/>
      <c r="J39" s="838" t="s">
        <v>396</v>
      </c>
      <c r="K39" s="838" t="s">
        <v>18</v>
      </c>
      <c r="L39" s="690"/>
    </row>
    <row r="40" spans="1:13" s="27" customFormat="1" ht="15.75" customHeight="1">
      <c r="A40" s="693" t="s">
        <v>397</v>
      </c>
      <c r="B40" s="842" t="s">
        <v>527</v>
      </c>
      <c r="C40" s="694">
        <f>VLOOKUP(B39,'BTH mủ tạp'!$D$17:$AN$94,36,0)</f>
        <v>934.38599502104637</v>
      </c>
      <c r="D40" s="695"/>
      <c r="E40" s="695"/>
      <c r="F40" s="713"/>
      <c r="G40" s="693" t="s">
        <v>397</v>
      </c>
      <c r="H40" s="842" t="s">
        <v>527</v>
      </c>
      <c r="I40" s="694">
        <f>VLOOKUP(H39,'BTH mủ tạp'!$D$17:$AN$94,36,0)</f>
        <v>1113.3800367471624</v>
      </c>
      <c r="J40" s="695"/>
      <c r="K40" s="695"/>
      <c r="L40" s="690"/>
    </row>
    <row r="41" spans="1:13" s="27" customFormat="1" ht="15.75" customHeight="1">
      <c r="A41" s="693" t="s">
        <v>77</v>
      </c>
      <c r="B41" s="843" t="s">
        <v>432</v>
      </c>
      <c r="C41" s="696">
        <f>VLOOKUP(B39,'CNKT '!$D$16:$AA$96,3,0)</f>
        <v>0</v>
      </c>
      <c r="D41" s="697">
        <v>25000</v>
      </c>
      <c r="E41" s="695">
        <f>C41*D41</f>
        <v>0</v>
      </c>
      <c r="F41" s="713"/>
      <c r="G41" s="693" t="s">
        <v>77</v>
      </c>
      <c r="H41" s="843" t="s">
        <v>432</v>
      </c>
      <c r="I41" s="696">
        <f>VLOOKUP(H39,'CNKT '!$D$16:$AA$96,3,0)</f>
        <v>0</v>
      </c>
      <c r="J41" s="697">
        <v>25000</v>
      </c>
      <c r="K41" s="695">
        <f>I41*J41</f>
        <v>0</v>
      </c>
      <c r="L41" s="690"/>
    </row>
    <row r="42" spans="1:13" s="27" customFormat="1" ht="15.75" customHeight="1">
      <c r="A42" s="693" t="s">
        <v>307</v>
      </c>
      <c r="B42" s="844" t="s">
        <v>528</v>
      </c>
      <c r="C42" s="747">
        <f>VLOOKUP(B39,'CNKT '!$D$16:$AA$96,11,0)</f>
        <v>19</v>
      </c>
      <c r="D42" s="698">
        <f>46.1*$B$2</f>
        <v>30833.524000000001</v>
      </c>
      <c r="E42" s="695">
        <f t="shared" ref="E42:E46" si="4">C42*D42</f>
        <v>585836.95600000001</v>
      </c>
      <c r="F42" s="839"/>
      <c r="G42" s="693" t="s">
        <v>307</v>
      </c>
      <c r="H42" s="844" t="s">
        <v>528</v>
      </c>
      <c r="I42" s="747">
        <f>VLOOKUP(H39,'CNKT '!$D$16:$AA$96,11,0)</f>
        <v>20</v>
      </c>
      <c r="J42" s="698">
        <f>46.1*$B$2</f>
        <v>30833.524000000001</v>
      </c>
      <c r="K42" s="695">
        <f t="shared" ref="K42:K46" si="5">I42*J42</f>
        <v>616670.48</v>
      </c>
      <c r="L42" s="690"/>
    </row>
    <row r="43" spans="1:13" s="27" customFormat="1" ht="15.75" customHeight="1">
      <c r="A43" s="693" t="s">
        <v>399</v>
      </c>
      <c r="B43" s="844" t="s">
        <v>529</v>
      </c>
      <c r="C43" s="747">
        <f>VLOOKUP(B39,'CNKT '!$D$16:$AA$96,12,0)</f>
        <v>4</v>
      </c>
      <c r="D43" s="697">
        <f>76.9*$B$2</f>
        <v>51433.796000000009</v>
      </c>
      <c r="E43" s="695">
        <f t="shared" si="4"/>
        <v>205735.18400000004</v>
      </c>
      <c r="F43" s="714"/>
      <c r="G43" s="693" t="s">
        <v>399</v>
      </c>
      <c r="H43" s="844" t="s">
        <v>529</v>
      </c>
      <c r="I43" s="747">
        <f>VLOOKUP(H39,'CNKT '!$D$16:$AA$96,12,0)</f>
        <v>4</v>
      </c>
      <c r="J43" s="697">
        <f>76.9*$B$2</f>
        <v>51433.796000000009</v>
      </c>
      <c r="K43" s="695">
        <f t="shared" si="5"/>
        <v>205735.18400000004</v>
      </c>
      <c r="L43" s="690"/>
    </row>
    <row r="44" spans="1:13" s="27" customFormat="1" ht="15.75" customHeight="1">
      <c r="A44" s="693" t="s">
        <v>78</v>
      </c>
      <c r="B44" s="844" t="s">
        <v>530</v>
      </c>
      <c r="C44" s="747">
        <f>VLOOKUP(B39,'CNKT '!$D$16:$AA$96,8,0)</f>
        <v>934.3859950210466</v>
      </c>
      <c r="D44" s="697">
        <f>IF(C40="A",6.1,IF(C40="B",5.8,IF(C40="C",5.5,IF(C40="C.",5.5,IF(C40="D",5.2)))))*$B$2</f>
        <v>0</v>
      </c>
      <c r="E44" s="695">
        <f t="shared" si="4"/>
        <v>0</v>
      </c>
      <c r="F44" s="713"/>
      <c r="G44" s="693" t="s">
        <v>78</v>
      </c>
      <c r="H44" s="844" t="s">
        <v>530</v>
      </c>
      <c r="I44" s="747">
        <f>VLOOKUP(H39,'CNKT '!$D$16:$AA$96,8,0)</f>
        <v>1113.3800367471626</v>
      </c>
      <c r="J44" s="697">
        <f>IF(I40="A",6.1,IF(I40="B",5.8,IF(I40="C",5.5,IF(I40="C.",5.5,IF(I40="D",5.2)))))*$B$2</f>
        <v>0</v>
      </c>
      <c r="K44" s="695">
        <f t="shared" si="5"/>
        <v>0</v>
      </c>
      <c r="L44" s="690"/>
    </row>
    <row r="45" spans="1:13" s="27" customFormat="1" ht="15.75" customHeight="1">
      <c r="A45" s="693" t="s">
        <v>491</v>
      </c>
      <c r="B45" s="844" t="s">
        <v>531</v>
      </c>
      <c r="C45" s="747">
        <f>VLOOKUP(B39,'CNKT '!$D$16:$AA$96,15,0)</f>
        <v>0</v>
      </c>
      <c r="D45" s="698">
        <f>92.2*$B$2</f>
        <v>61667.048000000003</v>
      </c>
      <c r="E45" s="695">
        <f t="shared" si="4"/>
        <v>0</v>
      </c>
      <c r="F45" s="713"/>
      <c r="G45" s="693" t="s">
        <v>491</v>
      </c>
      <c r="H45" s="844" t="s">
        <v>531</v>
      </c>
      <c r="I45" s="747">
        <f>VLOOKUP(H39,'CNKT '!$D$16:$AA$96,15,0)</f>
        <v>0</v>
      </c>
      <c r="J45" s="698">
        <f>92.2*$B$2</f>
        <v>61667.048000000003</v>
      </c>
      <c r="K45" s="695">
        <f t="shared" si="5"/>
        <v>0</v>
      </c>
      <c r="L45" s="690"/>
    </row>
    <row r="46" spans="1:13" s="27" customFormat="1" ht="15.75" customHeight="1">
      <c r="A46" s="693" t="s">
        <v>492</v>
      </c>
      <c r="B46" s="844" t="s">
        <v>496</v>
      </c>
      <c r="C46" s="747">
        <f>VLOOKUP(B39,'CNKT '!$D$16:$AA$96,16,0)</f>
        <v>0</v>
      </c>
      <c r="D46" s="697">
        <f>153.8*$B$2</f>
        <v>102867.59200000002</v>
      </c>
      <c r="E46" s="695">
        <f t="shared" si="4"/>
        <v>0</v>
      </c>
      <c r="F46" s="713"/>
      <c r="G46" s="693" t="s">
        <v>492</v>
      </c>
      <c r="H46" s="844" t="s">
        <v>496</v>
      </c>
      <c r="I46" s="747">
        <f>VLOOKUP(H39,'CNKT '!$D$16:$AA$96,16,0)</f>
        <v>0</v>
      </c>
      <c r="J46" s="697">
        <f>153.8*$B$2</f>
        <v>102867.59200000002</v>
      </c>
      <c r="K46" s="695">
        <f t="shared" si="5"/>
        <v>0</v>
      </c>
      <c r="L46" s="690"/>
    </row>
    <row r="47" spans="1:13" s="27" customFormat="1" ht="15.75" customHeight="1">
      <c r="A47" s="693" t="s">
        <v>453</v>
      </c>
      <c r="B47" s="844" t="s">
        <v>497</v>
      </c>
      <c r="C47" s="747">
        <f>VLOOKUP(B39,'CNKT '!$D$16:$AA$96,18,0)</f>
        <v>0</v>
      </c>
      <c r="D47" s="697">
        <v>10000</v>
      </c>
      <c r="E47" s="695">
        <f>C47*D47</f>
        <v>0</v>
      </c>
      <c r="F47" s="713"/>
      <c r="G47" s="693" t="s">
        <v>453</v>
      </c>
      <c r="H47" s="844" t="s">
        <v>497</v>
      </c>
      <c r="I47" s="747">
        <f>VLOOKUP(H39,'CNKT '!$D$16:$AA$96,18,0)</f>
        <v>0</v>
      </c>
      <c r="J47" s="697">
        <v>10000</v>
      </c>
      <c r="K47" s="695">
        <f>I47*J47</f>
        <v>0</v>
      </c>
      <c r="L47" s="690"/>
    </row>
    <row r="48" spans="1:13" s="27" customFormat="1" ht="15.75" customHeight="1">
      <c r="A48" s="693" t="s">
        <v>453</v>
      </c>
      <c r="B48" s="844" t="s">
        <v>497</v>
      </c>
      <c r="C48" s="747">
        <f>VLOOKUP(B39,'CNKT '!$D$16:$AA$96,19,0)</f>
        <v>0</v>
      </c>
      <c r="D48" s="697">
        <v>20000</v>
      </c>
      <c r="E48" s="695">
        <f>C48*D48</f>
        <v>0</v>
      </c>
      <c r="F48" s="713"/>
      <c r="G48" s="693" t="s">
        <v>453</v>
      </c>
      <c r="H48" s="844" t="s">
        <v>497</v>
      </c>
      <c r="I48" s="747">
        <f>VLOOKUP(H39,'CNKT '!$D$16:$AA$96,19,0)</f>
        <v>0</v>
      </c>
      <c r="J48" s="697">
        <v>20000</v>
      </c>
      <c r="K48" s="695">
        <f>I48*J48</f>
        <v>0</v>
      </c>
      <c r="L48" s="690"/>
    </row>
    <row r="49" spans="1:13" s="27" customFormat="1" ht="15.75" customHeight="1">
      <c r="A49" s="693" t="s">
        <v>512</v>
      </c>
      <c r="B49" s="844" t="s">
        <v>513</v>
      </c>
      <c r="C49" s="747"/>
      <c r="D49" s="697"/>
      <c r="E49" s="695"/>
      <c r="F49" s="713"/>
      <c r="G49" s="693" t="s">
        <v>512</v>
      </c>
      <c r="H49" s="844" t="s">
        <v>513</v>
      </c>
      <c r="I49" s="747"/>
      <c r="J49" s="697"/>
      <c r="K49" s="695"/>
      <c r="L49" s="690"/>
    </row>
    <row r="50" spans="1:13" s="27" customFormat="1" ht="15.75" customHeight="1">
      <c r="A50" s="699" t="s">
        <v>79</v>
      </c>
      <c r="B50" s="845" t="s">
        <v>532</v>
      </c>
      <c r="C50" s="700"/>
      <c r="D50" s="701"/>
      <c r="E50" s="700"/>
      <c r="F50" s="839"/>
      <c r="G50" s="699" t="s">
        <v>79</v>
      </c>
      <c r="H50" s="845" t="s">
        <v>532</v>
      </c>
      <c r="I50" s="700"/>
      <c r="J50" s="701"/>
      <c r="K50" s="700"/>
      <c r="L50" s="690"/>
    </row>
    <row r="51" spans="1:13" s="27" customFormat="1" ht="15.75" customHeight="1">
      <c r="A51" s="702" t="s">
        <v>80</v>
      </c>
      <c r="B51" s="846" t="s">
        <v>533</v>
      </c>
      <c r="C51" s="700"/>
      <c r="D51" s="700"/>
      <c r="E51" s="700"/>
      <c r="F51" s="710"/>
      <c r="G51" s="702" t="s">
        <v>80</v>
      </c>
      <c r="H51" s="846" t="s">
        <v>533</v>
      </c>
      <c r="I51" s="700"/>
      <c r="J51" s="700"/>
      <c r="K51" s="700"/>
      <c r="L51" s="690"/>
    </row>
    <row r="52" spans="1:13" s="27" customFormat="1" ht="15.75" customHeight="1">
      <c r="A52" s="702" t="s">
        <v>81</v>
      </c>
      <c r="B52" s="847" t="s">
        <v>534</v>
      </c>
      <c r="C52" s="700"/>
      <c r="D52" s="700"/>
      <c r="E52" s="695">
        <f>SUM(E51)</f>
        <v>0</v>
      </c>
      <c r="F52" s="710"/>
      <c r="G52" s="702" t="s">
        <v>81</v>
      </c>
      <c r="H52" s="847" t="s">
        <v>534</v>
      </c>
      <c r="I52" s="700"/>
      <c r="J52" s="700"/>
      <c r="K52" s="695">
        <f>SUM(K51)</f>
        <v>0</v>
      </c>
      <c r="L52" s="690"/>
      <c r="M52" s="703">
        <f>E52+K52</f>
        <v>0</v>
      </c>
    </row>
    <row r="53" spans="1:13" s="27" customFormat="1" ht="15.75" customHeight="1">
      <c r="A53" s="704" t="s">
        <v>82</v>
      </c>
      <c r="B53" s="848" t="s">
        <v>438</v>
      </c>
      <c r="C53" s="705"/>
      <c r="D53" s="705"/>
      <c r="E53" s="705">
        <f>(E41+E42+E43+E44+E45+E46+E47+E48+E49)-E52</f>
        <v>791572.14</v>
      </c>
      <c r="F53" s="710"/>
      <c r="G53" s="704" t="s">
        <v>82</v>
      </c>
      <c r="H53" s="848" t="s">
        <v>438</v>
      </c>
      <c r="I53" s="705"/>
      <c r="J53" s="705"/>
      <c r="K53" s="705">
        <f>(K41+K42+K43+K44+K45+K46+K47+K48+K49)-K52</f>
        <v>822405.66399999999</v>
      </c>
      <c r="L53" s="707">
        <f>E53+K53</f>
        <v>1613977.804</v>
      </c>
    </row>
    <row r="54" spans="1:13" s="27" customFormat="1" ht="15.75" customHeight="1">
      <c r="A54" s="710"/>
      <c r="B54" s="715"/>
      <c r="C54" s="716"/>
      <c r="D54" s="716"/>
      <c r="E54" s="714"/>
      <c r="F54" s="710"/>
      <c r="G54" s="710"/>
      <c r="H54" s="715"/>
      <c r="I54" s="716"/>
      <c r="J54" s="714"/>
      <c r="K54" s="708"/>
      <c r="L54" s="690"/>
    </row>
    <row r="55" spans="1:13" s="27" customFormat="1" ht="15.75" customHeight="1">
      <c r="A55" s="1567" t="str">
        <f>G38</f>
        <v>LƯƠNG THÁNG 01/2025</v>
      </c>
      <c r="B55" s="1568"/>
      <c r="C55" s="1568"/>
      <c r="D55" s="1568"/>
      <c r="E55" s="766">
        <v>7</v>
      </c>
      <c r="F55" s="839"/>
      <c r="G55" s="1567" t="str">
        <f>G38</f>
        <v>LƯƠNG THÁNG 01/2025</v>
      </c>
      <c r="H55" s="1568"/>
      <c r="I55" s="1568"/>
      <c r="J55" s="1569"/>
      <c r="K55" s="766">
        <v>8</v>
      </c>
      <c r="L55" s="690"/>
    </row>
    <row r="56" spans="1:13" s="27" customFormat="1" ht="15.75" customHeight="1">
      <c r="A56" s="709" t="s">
        <v>15</v>
      </c>
      <c r="B56" s="840" t="str">
        <f>'CNKT '!D22</f>
        <v>T. Đèng 1</v>
      </c>
      <c r="C56" s="691"/>
      <c r="D56" s="838" t="s">
        <v>396</v>
      </c>
      <c r="E56" s="838" t="s">
        <v>18</v>
      </c>
      <c r="F56" s="714"/>
      <c r="G56" s="709" t="s">
        <v>15</v>
      </c>
      <c r="H56" s="840" t="str">
        <f>'CNKT '!D23</f>
        <v>T . Bua Ngân</v>
      </c>
      <c r="I56" s="691"/>
      <c r="J56" s="838" t="s">
        <v>396</v>
      </c>
      <c r="K56" s="838" t="s">
        <v>18</v>
      </c>
      <c r="L56" s="690"/>
    </row>
    <row r="57" spans="1:13" s="27" customFormat="1" ht="15.75" customHeight="1">
      <c r="A57" s="693" t="s">
        <v>397</v>
      </c>
      <c r="B57" s="842" t="s">
        <v>527</v>
      </c>
      <c r="C57" s="694">
        <f>VLOOKUP(B56,'BTH mủ tạp'!$D$17:$AN$94,36,0)</f>
        <v>924.18426207292578</v>
      </c>
      <c r="D57" s="695"/>
      <c r="E57" s="695"/>
      <c r="F57" s="714"/>
      <c r="G57" s="693" t="s">
        <v>397</v>
      </c>
      <c r="H57" s="842" t="s">
        <v>527</v>
      </c>
      <c r="I57" s="694">
        <f>VLOOKUP(H56,'BTH mủ tạp'!$D$17:$AN$94,36,0)</f>
        <v>1081.8474076347898</v>
      </c>
      <c r="J57" s="695"/>
      <c r="K57" s="695"/>
      <c r="L57" s="690"/>
    </row>
    <row r="58" spans="1:13" s="27" customFormat="1" ht="15.75" customHeight="1">
      <c r="A58" s="693" t="s">
        <v>77</v>
      </c>
      <c r="B58" s="843" t="s">
        <v>432</v>
      </c>
      <c r="C58" s="696">
        <f>VLOOKUP(B56,'CNKT '!$D$16:$AA$96,3,0)</f>
        <v>0</v>
      </c>
      <c r="D58" s="697">
        <v>25000</v>
      </c>
      <c r="E58" s="695">
        <f>C58*D58</f>
        <v>0</v>
      </c>
      <c r="F58" s="713"/>
      <c r="G58" s="693" t="s">
        <v>77</v>
      </c>
      <c r="H58" s="843" t="s">
        <v>432</v>
      </c>
      <c r="I58" s="696">
        <f>VLOOKUP(H56,'CNKT '!$D$16:$AA$96,3,0)</f>
        <v>0</v>
      </c>
      <c r="J58" s="697">
        <v>25000</v>
      </c>
      <c r="K58" s="695">
        <f>I58*J58</f>
        <v>0</v>
      </c>
      <c r="L58" s="690"/>
    </row>
    <row r="59" spans="1:13" s="27" customFormat="1" ht="15.75" customHeight="1">
      <c r="A59" s="693" t="s">
        <v>307</v>
      </c>
      <c r="B59" s="844" t="s">
        <v>528</v>
      </c>
      <c r="C59" s="747">
        <f>VLOOKUP(B56,'CNKT '!$D$16:$AA$96,11,0)</f>
        <v>23</v>
      </c>
      <c r="D59" s="698">
        <f>46.1*$B$2</f>
        <v>30833.524000000001</v>
      </c>
      <c r="E59" s="695">
        <f t="shared" ref="E59:E63" si="6">C59*D59</f>
        <v>709171.05200000003</v>
      </c>
      <c r="F59" s="839"/>
      <c r="G59" s="693" t="s">
        <v>307</v>
      </c>
      <c r="H59" s="844" t="s">
        <v>528</v>
      </c>
      <c r="I59" s="747">
        <f>VLOOKUP(H56,'CNKT '!$D$16:$AA$96,11,0)</f>
        <v>23</v>
      </c>
      <c r="J59" s="698">
        <f>46.1*$B$2</f>
        <v>30833.524000000001</v>
      </c>
      <c r="K59" s="695">
        <f t="shared" ref="K59:K63" si="7">I59*J59</f>
        <v>709171.05200000003</v>
      </c>
      <c r="L59" s="690"/>
    </row>
    <row r="60" spans="1:13" s="27" customFormat="1" ht="15.75" customHeight="1">
      <c r="A60" s="693" t="s">
        <v>399</v>
      </c>
      <c r="B60" s="844" t="s">
        <v>529</v>
      </c>
      <c r="C60" s="747">
        <f>VLOOKUP(B56,'CNKT '!$D$16:$AA$96,12,0)</f>
        <v>5</v>
      </c>
      <c r="D60" s="697">
        <f>76.9*$B$2</f>
        <v>51433.796000000009</v>
      </c>
      <c r="E60" s="695">
        <f t="shared" si="6"/>
        <v>257168.98000000004</v>
      </c>
      <c r="F60" s="710"/>
      <c r="G60" s="693" t="s">
        <v>399</v>
      </c>
      <c r="H60" s="844" t="s">
        <v>529</v>
      </c>
      <c r="I60" s="747">
        <f>VLOOKUP(H56,'CNKT '!$D$16:$AA$96,12,0)</f>
        <v>5</v>
      </c>
      <c r="J60" s="697">
        <f>76.9*$B$2</f>
        <v>51433.796000000009</v>
      </c>
      <c r="K60" s="695">
        <f t="shared" si="7"/>
        <v>257168.98000000004</v>
      </c>
      <c r="L60" s="690"/>
    </row>
    <row r="61" spans="1:13" s="27" customFormat="1" ht="15.75" customHeight="1">
      <c r="A61" s="693" t="s">
        <v>78</v>
      </c>
      <c r="B61" s="844" t="s">
        <v>530</v>
      </c>
      <c r="C61" s="747">
        <f>VLOOKUP(B56,'CNKT '!$D$16:$AA$96,8,0)</f>
        <v>924.184262072926</v>
      </c>
      <c r="D61" s="697">
        <f>IF(C57="A",6.1,IF(C57="B",5.8,IF(C57="C",5.5,IF(C57="C.",5.5,IF(C57="D",5.2)))))*$B$2</f>
        <v>0</v>
      </c>
      <c r="E61" s="695">
        <f t="shared" si="6"/>
        <v>0</v>
      </c>
      <c r="F61" s="710"/>
      <c r="G61" s="693" t="s">
        <v>78</v>
      </c>
      <c r="H61" s="844" t="s">
        <v>530</v>
      </c>
      <c r="I61" s="747">
        <f>VLOOKUP(H56,'CNKT '!$D$16:$AA$96,8,0)</f>
        <v>1081.84740763479</v>
      </c>
      <c r="J61" s="697">
        <f>IF(I57="A",6.1,IF(I57="B",5.8,IF(I57="C",5.5,IF(I57="C.",5.5,IF(I57="D",5.2)))))*$B$2</f>
        <v>0</v>
      </c>
      <c r="K61" s="695">
        <f t="shared" si="7"/>
        <v>0</v>
      </c>
      <c r="L61" s="690"/>
    </row>
    <row r="62" spans="1:13" s="27" customFormat="1" ht="15.75" customHeight="1">
      <c r="A62" s="693" t="s">
        <v>491</v>
      </c>
      <c r="B62" s="844" t="s">
        <v>531</v>
      </c>
      <c r="C62" s="747">
        <f>VLOOKUP(B56,'CNKT '!$D$16:$AA$96,15,0)</f>
        <v>0</v>
      </c>
      <c r="D62" s="698">
        <f>92.2*$B$2</f>
        <v>61667.048000000003</v>
      </c>
      <c r="E62" s="695">
        <f t="shared" si="6"/>
        <v>0</v>
      </c>
      <c r="F62" s="710"/>
      <c r="G62" s="693" t="s">
        <v>491</v>
      </c>
      <c r="H62" s="844" t="s">
        <v>531</v>
      </c>
      <c r="I62" s="747">
        <f>VLOOKUP(H56,'CNKT '!$D$16:$AA$96,15,0)</f>
        <v>0</v>
      </c>
      <c r="J62" s="698">
        <f>92.2*$B$2</f>
        <v>61667.048000000003</v>
      </c>
      <c r="K62" s="695">
        <f t="shared" si="7"/>
        <v>0</v>
      </c>
      <c r="L62" s="690"/>
    </row>
    <row r="63" spans="1:13" s="27" customFormat="1" ht="15.75" customHeight="1">
      <c r="A63" s="693" t="s">
        <v>492</v>
      </c>
      <c r="B63" s="844" t="s">
        <v>496</v>
      </c>
      <c r="C63" s="747">
        <f>VLOOKUP(B56,'CNKT '!$D$16:$AA$96,16,0)</f>
        <v>0</v>
      </c>
      <c r="D63" s="697">
        <f>153.8*$B$2</f>
        <v>102867.59200000002</v>
      </c>
      <c r="E63" s="695">
        <f t="shared" si="6"/>
        <v>0</v>
      </c>
      <c r="F63" s="710"/>
      <c r="G63" s="693" t="s">
        <v>492</v>
      </c>
      <c r="H63" s="844" t="s">
        <v>496</v>
      </c>
      <c r="I63" s="747">
        <f>VLOOKUP(H56,'CNKT '!$D$16:$AA$96,16,0)</f>
        <v>0</v>
      </c>
      <c r="J63" s="697">
        <f>153.8*$B$2</f>
        <v>102867.59200000002</v>
      </c>
      <c r="K63" s="695">
        <f t="shared" si="7"/>
        <v>0</v>
      </c>
      <c r="L63" s="690"/>
    </row>
    <row r="64" spans="1:13" s="27" customFormat="1" ht="15.75" customHeight="1">
      <c r="A64" s="693" t="s">
        <v>453</v>
      </c>
      <c r="B64" s="844" t="s">
        <v>497</v>
      </c>
      <c r="C64" s="747">
        <f>VLOOKUP(B56,'CNKT '!$D$16:$AA$96,18,0)</f>
        <v>0</v>
      </c>
      <c r="D64" s="697">
        <v>10000</v>
      </c>
      <c r="E64" s="695">
        <f>C64*D64</f>
        <v>0</v>
      </c>
      <c r="F64" s="710"/>
      <c r="G64" s="693" t="s">
        <v>453</v>
      </c>
      <c r="H64" s="844" t="s">
        <v>497</v>
      </c>
      <c r="I64" s="747">
        <f>VLOOKUP(H56,'CNKT '!$D$16:$AA$96,18,0)</f>
        <v>0</v>
      </c>
      <c r="J64" s="697">
        <v>10000</v>
      </c>
      <c r="K64" s="695">
        <f>I64*J64</f>
        <v>0</v>
      </c>
      <c r="L64" s="690"/>
    </row>
    <row r="65" spans="1:13" s="27" customFormat="1" ht="15.75" customHeight="1">
      <c r="A65" s="693" t="s">
        <v>453</v>
      </c>
      <c r="B65" s="844" t="s">
        <v>497</v>
      </c>
      <c r="C65" s="747">
        <f>VLOOKUP(B56,'CNKT '!$D$16:$AA$96,19,0)</f>
        <v>0</v>
      </c>
      <c r="D65" s="697">
        <v>20000</v>
      </c>
      <c r="E65" s="695">
        <f>C65*D65</f>
        <v>0</v>
      </c>
      <c r="F65" s="710"/>
      <c r="G65" s="693" t="s">
        <v>453</v>
      </c>
      <c r="H65" s="844" t="s">
        <v>497</v>
      </c>
      <c r="I65" s="747">
        <f>VLOOKUP(H56,'CNKT '!$D$16:$AA$96,19,0)</f>
        <v>0</v>
      </c>
      <c r="J65" s="697">
        <v>20000</v>
      </c>
      <c r="K65" s="695">
        <f>I65*J65</f>
        <v>0</v>
      </c>
      <c r="L65" s="690"/>
    </row>
    <row r="66" spans="1:13" s="27" customFormat="1" ht="15.75" customHeight="1">
      <c r="A66" s="693" t="s">
        <v>512</v>
      </c>
      <c r="B66" s="844" t="s">
        <v>513</v>
      </c>
      <c r="C66" s="747"/>
      <c r="D66" s="697"/>
      <c r="E66" s="695"/>
      <c r="F66" s="710"/>
      <c r="G66" s="693" t="s">
        <v>512</v>
      </c>
      <c r="H66" s="844" t="s">
        <v>513</v>
      </c>
      <c r="I66" s="747"/>
      <c r="J66" s="697"/>
      <c r="K66" s="695"/>
      <c r="L66" s="690"/>
    </row>
    <row r="67" spans="1:13" s="27" customFormat="1" ht="15.75" customHeight="1">
      <c r="A67" s="699" t="s">
        <v>79</v>
      </c>
      <c r="B67" s="845" t="s">
        <v>532</v>
      </c>
      <c r="C67" s="700"/>
      <c r="D67" s="701"/>
      <c r="E67" s="700"/>
      <c r="F67" s="710"/>
      <c r="G67" s="699" t="s">
        <v>79</v>
      </c>
      <c r="H67" s="845" t="s">
        <v>532</v>
      </c>
      <c r="I67" s="700"/>
      <c r="J67" s="701"/>
      <c r="K67" s="700"/>
      <c r="L67" s="690"/>
    </row>
    <row r="68" spans="1:13" s="27" customFormat="1" ht="15.75" customHeight="1">
      <c r="A68" s="702" t="s">
        <v>80</v>
      </c>
      <c r="B68" s="846" t="s">
        <v>533</v>
      </c>
      <c r="C68" s="700"/>
      <c r="D68" s="700"/>
      <c r="E68" s="700"/>
      <c r="F68" s="710"/>
      <c r="G68" s="702" t="s">
        <v>80</v>
      </c>
      <c r="H68" s="846" t="s">
        <v>533</v>
      </c>
      <c r="I68" s="700"/>
      <c r="J68" s="700"/>
      <c r="K68" s="700"/>
      <c r="L68" s="690"/>
    </row>
    <row r="69" spans="1:13" s="27" customFormat="1" ht="15.75" customHeight="1">
      <c r="A69" s="702" t="s">
        <v>81</v>
      </c>
      <c r="B69" s="847" t="s">
        <v>534</v>
      </c>
      <c r="C69" s="700"/>
      <c r="D69" s="700"/>
      <c r="E69" s="695">
        <f>SUM(E68)</f>
        <v>0</v>
      </c>
      <c r="F69" s="710"/>
      <c r="G69" s="702" t="s">
        <v>81</v>
      </c>
      <c r="H69" s="847" t="s">
        <v>534</v>
      </c>
      <c r="I69" s="700"/>
      <c r="J69" s="700"/>
      <c r="K69" s="695">
        <f>SUM(K68)</f>
        <v>0</v>
      </c>
      <c r="L69" s="690"/>
      <c r="M69" s="703">
        <f>E69+K69</f>
        <v>0</v>
      </c>
    </row>
    <row r="70" spans="1:13" s="27" customFormat="1" ht="15.75" customHeight="1">
      <c r="A70" s="704" t="s">
        <v>82</v>
      </c>
      <c r="B70" s="848" t="s">
        <v>438</v>
      </c>
      <c r="C70" s="705"/>
      <c r="D70" s="705"/>
      <c r="E70" s="705">
        <f>(E58+E59+E60+E61+E62+E63+E64+E65+E66)-E69</f>
        <v>966340.03200000012</v>
      </c>
      <c r="F70" s="710"/>
      <c r="G70" s="704" t="s">
        <v>82</v>
      </c>
      <c r="H70" s="848" t="s">
        <v>438</v>
      </c>
      <c r="I70" s="705"/>
      <c r="J70" s="705"/>
      <c r="K70" s="705">
        <f>(K58+K59+K60+K61+K62+K63+K64+K65+K66)-K69</f>
        <v>966340.03200000012</v>
      </c>
      <c r="L70" s="707">
        <f>E70+K70</f>
        <v>1932680.0640000002</v>
      </c>
    </row>
    <row r="71" spans="1:13" s="27" customFormat="1" ht="15.75" customHeight="1">
      <c r="A71" s="710"/>
      <c r="B71" s="715"/>
      <c r="C71" s="716"/>
      <c r="D71" s="716"/>
      <c r="E71" s="714"/>
      <c r="F71" s="710"/>
      <c r="G71" s="710"/>
      <c r="H71" s="715"/>
      <c r="I71" s="716"/>
      <c r="J71" s="714"/>
      <c r="K71" s="708"/>
      <c r="L71" s="690"/>
    </row>
    <row r="72" spans="1:13" s="27" customFormat="1" ht="15.75" customHeight="1">
      <c r="A72" s="1567" t="str">
        <f>G55</f>
        <v>LƯƠNG THÁNG 01/2025</v>
      </c>
      <c r="B72" s="1568"/>
      <c r="C72" s="1568"/>
      <c r="D72" s="1568"/>
      <c r="E72" s="766">
        <v>9</v>
      </c>
      <c r="F72" s="839"/>
      <c r="G72" s="1567" t="str">
        <f>A72</f>
        <v>LƯƠNG THÁNG 01/2025</v>
      </c>
      <c r="H72" s="1568"/>
      <c r="I72" s="1568"/>
      <c r="J72" s="1569"/>
      <c r="K72" s="766">
        <v>10</v>
      </c>
      <c r="L72" s="690"/>
    </row>
    <row r="73" spans="1:13" s="27" customFormat="1" ht="15.75" customHeight="1">
      <c r="A73" s="709" t="s">
        <v>15</v>
      </c>
      <c r="B73" s="840" t="str">
        <f>'CNKT '!D24</f>
        <v>T Căng</v>
      </c>
      <c r="C73" s="691"/>
      <c r="D73" s="838" t="s">
        <v>396</v>
      </c>
      <c r="E73" s="838" t="s">
        <v>18</v>
      </c>
      <c r="F73" s="710"/>
      <c r="G73" s="709" t="s">
        <v>15</v>
      </c>
      <c r="H73" s="840" t="str">
        <f>'CNKT '!D25</f>
        <v>N. Phôn 1</v>
      </c>
      <c r="I73" s="691"/>
      <c r="J73" s="838" t="s">
        <v>396</v>
      </c>
      <c r="K73" s="838" t="s">
        <v>18</v>
      </c>
      <c r="L73" s="690"/>
    </row>
    <row r="74" spans="1:13" s="27" customFormat="1" ht="15.75" customHeight="1">
      <c r="A74" s="693" t="s">
        <v>397</v>
      </c>
      <c r="B74" s="842" t="s">
        <v>527</v>
      </c>
      <c r="C74" s="694">
        <f>VLOOKUP(B73,'BTH mủ tạp'!$D$17:$AN$94,36,0)</f>
        <v>1337.8181616058159</v>
      </c>
      <c r="D74" s="695"/>
      <c r="E74" s="695"/>
      <c r="F74" s="710"/>
      <c r="G74" s="693" t="s">
        <v>397</v>
      </c>
      <c r="H74" s="842" t="s">
        <v>527</v>
      </c>
      <c r="I74" s="694">
        <f>VLOOKUP(H73,'BTH mủ tạp'!$D$17:$AN$94,36,0)</f>
        <v>1320.660701647613</v>
      </c>
      <c r="J74" s="695"/>
      <c r="K74" s="695"/>
      <c r="L74" s="690"/>
    </row>
    <row r="75" spans="1:13" s="27" customFormat="1" ht="15.75" customHeight="1">
      <c r="A75" s="693" t="s">
        <v>77</v>
      </c>
      <c r="B75" s="843" t="s">
        <v>432</v>
      </c>
      <c r="C75" s="696">
        <f>VLOOKUP(B73,'CNKT '!$D$16:$AA$96,3,0)</f>
        <v>0</v>
      </c>
      <c r="D75" s="697">
        <v>25000</v>
      </c>
      <c r="E75" s="695">
        <f>C75*D75</f>
        <v>0</v>
      </c>
      <c r="F75" s="710"/>
      <c r="G75" s="693" t="s">
        <v>77</v>
      </c>
      <c r="H75" s="843" t="s">
        <v>432</v>
      </c>
      <c r="I75" s="696">
        <f>VLOOKUP(H73,'CNKT '!$D$16:$AA$96,3,0)</f>
        <v>0</v>
      </c>
      <c r="J75" s="697">
        <v>25000</v>
      </c>
      <c r="K75" s="695">
        <f>I75*J75</f>
        <v>0</v>
      </c>
      <c r="L75" s="690"/>
    </row>
    <row r="76" spans="1:13" s="27" customFormat="1" ht="15.75" customHeight="1">
      <c r="A76" s="693" t="s">
        <v>307</v>
      </c>
      <c r="B76" s="844" t="s">
        <v>528</v>
      </c>
      <c r="C76" s="747">
        <f>VLOOKUP(B73,'CNKT '!$D$16:$AA$96,11,0)</f>
        <v>23</v>
      </c>
      <c r="D76" s="698">
        <f>46.1*$B$2</f>
        <v>30833.524000000001</v>
      </c>
      <c r="E76" s="695">
        <f t="shared" ref="E76:E80" si="8">C76*D76</f>
        <v>709171.05200000003</v>
      </c>
      <c r="F76" s="710"/>
      <c r="G76" s="693" t="s">
        <v>307</v>
      </c>
      <c r="H76" s="844" t="s">
        <v>528</v>
      </c>
      <c r="I76" s="747">
        <f>VLOOKUP(H73,'CNKT '!$D$16:$AA$96,11,0)</f>
        <v>23</v>
      </c>
      <c r="J76" s="698">
        <f>46.1*$B$2</f>
        <v>30833.524000000001</v>
      </c>
      <c r="K76" s="695">
        <f t="shared" ref="K76:K80" si="9">I76*J76</f>
        <v>709171.05200000003</v>
      </c>
      <c r="L76" s="690"/>
    </row>
    <row r="77" spans="1:13" s="27" customFormat="1" ht="15.75" customHeight="1">
      <c r="A77" s="693" t="s">
        <v>399</v>
      </c>
      <c r="B77" s="844" t="s">
        <v>529</v>
      </c>
      <c r="C77" s="747">
        <f>VLOOKUP(B73,'CNKT '!$D$16:$AA$96,12,0)</f>
        <v>5</v>
      </c>
      <c r="D77" s="697">
        <f>76.9*$B$2</f>
        <v>51433.796000000009</v>
      </c>
      <c r="E77" s="695">
        <f t="shared" si="8"/>
        <v>257168.98000000004</v>
      </c>
      <c r="F77" s="713"/>
      <c r="G77" s="693" t="s">
        <v>399</v>
      </c>
      <c r="H77" s="844" t="s">
        <v>529</v>
      </c>
      <c r="I77" s="747">
        <f>VLOOKUP(H73,'CNKT '!$D$16:$AA$96,12,0)</f>
        <v>5</v>
      </c>
      <c r="J77" s="697">
        <f>76.9*$B$2</f>
        <v>51433.796000000009</v>
      </c>
      <c r="K77" s="695">
        <f t="shared" si="9"/>
        <v>257168.98000000004</v>
      </c>
      <c r="L77" s="690"/>
    </row>
    <row r="78" spans="1:13" s="27" customFormat="1" ht="15.75" customHeight="1">
      <c r="A78" s="693" t="s">
        <v>78</v>
      </c>
      <c r="B78" s="844" t="s">
        <v>530</v>
      </c>
      <c r="C78" s="747">
        <f>VLOOKUP(B73,'CNKT '!$D$16:$AA$96,8,0)</f>
        <v>1337.8181616058162</v>
      </c>
      <c r="D78" s="697">
        <f>IF(C74="A",6.1,IF(C74="B",5.8,IF(C74="C",5.5,IF(C74="C.",5.5,IF(C74="D",5.2)))))*$B$2</f>
        <v>0</v>
      </c>
      <c r="E78" s="695">
        <f t="shared" si="8"/>
        <v>0</v>
      </c>
      <c r="F78" s="713"/>
      <c r="G78" s="693" t="s">
        <v>78</v>
      </c>
      <c r="H78" s="844" t="s">
        <v>530</v>
      </c>
      <c r="I78" s="747">
        <f>VLOOKUP(H73,'CNKT '!$D$16:$AA$96,8,0)</f>
        <v>1320.6607016476132</v>
      </c>
      <c r="J78" s="697">
        <f>IF(I74="A",6.1,IF(I74="B",5.8,IF(I74="C",5.5,IF(I74="C.",5.5,IF(I74="D",5.2)))))*$B$2</f>
        <v>0</v>
      </c>
      <c r="K78" s="695">
        <f t="shared" si="9"/>
        <v>0</v>
      </c>
      <c r="L78" s="690"/>
    </row>
    <row r="79" spans="1:13" s="27" customFormat="1" ht="15.75" customHeight="1">
      <c r="A79" s="693" t="s">
        <v>491</v>
      </c>
      <c r="B79" s="844" t="s">
        <v>531</v>
      </c>
      <c r="C79" s="747">
        <f>VLOOKUP(B73,'CNKT '!$D$16:$AA$96,15,0)</f>
        <v>0</v>
      </c>
      <c r="D79" s="698">
        <f>92.2*$B$2</f>
        <v>61667.048000000003</v>
      </c>
      <c r="E79" s="695">
        <f t="shared" si="8"/>
        <v>0</v>
      </c>
      <c r="F79" s="713"/>
      <c r="G79" s="693" t="s">
        <v>491</v>
      </c>
      <c r="H79" s="844" t="s">
        <v>531</v>
      </c>
      <c r="I79" s="747">
        <f>VLOOKUP(H73,'CNKT '!$D$16:$AA$96,15,0)</f>
        <v>0</v>
      </c>
      <c r="J79" s="698">
        <f>92.2*$B$2</f>
        <v>61667.048000000003</v>
      </c>
      <c r="K79" s="695">
        <f t="shared" si="9"/>
        <v>0</v>
      </c>
      <c r="L79" s="690"/>
    </row>
    <row r="80" spans="1:13" s="27" customFormat="1" ht="15.75" customHeight="1">
      <c r="A80" s="693" t="s">
        <v>492</v>
      </c>
      <c r="B80" s="844" t="s">
        <v>496</v>
      </c>
      <c r="C80" s="747">
        <f>VLOOKUP(B73,'CNKT '!$D$16:$AA$96,16,0)</f>
        <v>0</v>
      </c>
      <c r="D80" s="697">
        <f>153.8*$B$2</f>
        <v>102867.59200000002</v>
      </c>
      <c r="E80" s="695">
        <f t="shared" si="8"/>
        <v>0</v>
      </c>
      <c r="F80" s="713"/>
      <c r="G80" s="693" t="s">
        <v>492</v>
      </c>
      <c r="H80" s="844" t="s">
        <v>496</v>
      </c>
      <c r="I80" s="747">
        <f>VLOOKUP(H73,'CNKT '!$D$16:$AA$96,16,0)</f>
        <v>0</v>
      </c>
      <c r="J80" s="697">
        <f>153.8*$B$2</f>
        <v>102867.59200000002</v>
      </c>
      <c r="K80" s="695">
        <f t="shared" si="9"/>
        <v>0</v>
      </c>
      <c r="L80" s="690"/>
    </row>
    <row r="81" spans="1:13" s="27" customFormat="1" ht="15.75" customHeight="1">
      <c r="A81" s="693" t="s">
        <v>453</v>
      </c>
      <c r="B81" s="844" t="s">
        <v>497</v>
      </c>
      <c r="C81" s="747">
        <f>VLOOKUP(B73,'CNKT '!$D$16:$AA$96,18,0)</f>
        <v>0</v>
      </c>
      <c r="D81" s="697">
        <v>10000</v>
      </c>
      <c r="E81" s="695">
        <f>C81*D81</f>
        <v>0</v>
      </c>
      <c r="F81" s="713"/>
      <c r="G81" s="693" t="s">
        <v>453</v>
      </c>
      <c r="H81" s="844" t="s">
        <v>497</v>
      </c>
      <c r="I81" s="747">
        <f>VLOOKUP(H73,'CNKT '!$D$16:$AA$96,18,0)</f>
        <v>0</v>
      </c>
      <c r="J81" s="697">
        <v>10000</v>
      </c>
      <c r="K81" s="695">
        <f>I81*J81</f>
        <v>0</v>
      </c>
      <c r="L81" s="690"/>
    </row>
    <row r="82" spans="1:13" s="27" customFormat="1" ht="15.75" customHeight="1">
      <c r="A82" s="693" t="s">
        <v>453</v>
      </c>
      <c r="B82" s="844" t="s">
        <v>497</v>
      </c>
      <c r="C82" s="747">
        <f>VLOOKUP(B73,'CNKT '!$D$16:$AA$96,19,0)</f>
        <v>0</v>
      </c>
      <c r="D82" s="697">
        <v>20000</v>
      </c>
      <c r="E82" s="695">
        <f>C82*D82</f>
        <v>0</v>
      </c>
      <c r="F82" s="713"/>
      <c r="G82" s="693" t="s">
        <v>453</v>
      </c>
      <c r="H82" s="844" t="s">
        <v>497</v>
      </c>
      <c r="I82" s="747">
        <f>VLOOKUP(H73,'CNKT '!$D$16:$AA$96,19,0)</f>
        <v>0</v>
      </c>
      <c r="J82" s="697">
        <v>20000</v>
      </c>
      <c r="K82" s="695">
        <f>I82*J82</f>
        <v>0</v>
      </c>
      <c r="L82" s="690"/>
    </row>
    <row r="83" spans="1:13" s="27" customFormat="1" ht="15.75" customHeight="1">
      <c r="A83" s="693" t="s">
        <v>512</v>
      </c>
      <c r="B83" s="844" t="s">
        <v>513</v>
      </c>
      <c r="C83" s="747"/>
      <c r="D83" s="697"/>
      <c r="E83" s="695"/>
      <c r="F83" s="713"/>
      <c r="G83" s="693" t="s">
        <v>512</v>
      </c>
      <c r="H83" s="844" t="s">
        <v>513</v>
      </c>
      <c r="I83" s="747"/>
      <c r="J83" s="697"/>
      <c r="K83" s="695"/>
      <c r="L83" s="690"/>
    </row>
    <row r="84" spans="1:13" s="27" customFormat="1" ht="15.75" customHeight="1">
      <c r="A84" s="699" t="s">
        <v>79</v>
      </c>
      <c r="B84" s="845" t="s">
        <v>532</v>
      </c>
      <c r="C84" s="700"/>
      <c r="D84" s="701"/>
      <c r="E84" s="700"/>
      <c r="F84" s="839"/>
      <c r="G84" s="699" t="s">
        <v>79</v>
      </c>
      <c r="H84" s="845" t="s">
        <v>532</v>
      </c>
      <c r="I84" s="700"/>
      <c r="J84" s="701"/>
      <c r="K84" s="700"/>
      <c r="L84" s="690"/>
    </row>
    <row r="85" spans="1:13" s="27" customFormat="1" ht="15.75" customHeight="1">
      <c r="A85" s="702" t="s">
        <v>80</v>
      </c>
      <c r="B85" s="846" t="s">
        <v>533</v>
      </c>
      <c r="C85" s="700"/>
      <c r="D85" s="700"/>
      <c r="E85" s="700"/>
      <c r="F85" s="714"/>
      <c r="G85" s="702" t="s">
        <v>80</v>
      </c>
      <c r="H85" s="846" t="s">
        <v>533</v>
      </c>
      <c r="I85" s="700"/>
      <c r="J85" s="700"/>
      <c r="K85" s="700"/>
      <c r="L85" s="690"/>
    </row>
    <row r="86" spans="1:13" s="27" customFormat="1" ht="15.75" customHeight="1">
      <c r="A86" s="702" t="s">
        <v>81</v>
      </c>
      <c r="B86" s="847" t="s">
        <v>534</v>
      </c>
      <c r="C86" s="700"/>
      <c r="D86" s="700"/>
      <c r="E86" s="695">
        <f>SUM(E85)</f>
        <v>0</v>
      </c>
      <c r="F86" s="714"/>
      <c r="G86" s="702" t="s">
        <v>81</v>
      </c>
      <c r="H86" s="847" t="s">
        <v>534</v>
      </c>
      <c r="I86" s="700"/>
      <c r="J86" s="700"/>
      <c r="K86" s="695">
        <f>SUM(K85)</f>
        <v>0</v>
      </c>
      <c r="L86" s="690"/>
      <c r="M86" s="703">
        <f>E86+K86</f>
        <v>0</v>
      </c>
    </row>
    <row r="87" spans="1:13" s="27" customFormat="1" ht="15.75" customHeight="1">
      <c r="A87" s="704" t="s">
        <v>82</v>
      </c>
      <c r="B87" s="848" t="s">
        <v>438</v>
      </c>
      <c r="C87" s="705"/>
      <c r="D87" s="705"/>
      <c r="E87" s="705">
        <f>(E75+E76+E77+E78+E79+E80+E81+E82+E83)-E86</f>
        <v>966340.03200000012</v>
      </c>
      <c r="F87" s="714"/>
      <c r="G87" s="704" t="s">
        <v>82</v>
      </c>
      <c r="H87" s="848" t="s">
        <v>438</v>
      </c>
      <c r="I87" s="705"/>
      <c r="J87" s="705"/>
      <c r="K87" s="705">
        <f>(K75+K76+K77+K78+K79+K80+K81+K82+K83)-K86</f>
        <v>966340.03200000012</v>
      </c>
      <c r="L87" s="707">
        <f>E87+K87</f>
        <v>1932680.0640000002</v>
      </c>
    </row>
    <row r="88" spans="1:13" s="27" customFormat="1" ht="70.5" customHeight="1">
      <c r="A88" s="710"/>
      <c r="B88" s="715"/>
      <c r="C88" s="716"/>
      <c r="D88" s="716"/>
      <c r="E88" s="714"/>
      <c r="F88" s="714"/>
      <c r="G88" s="710"/>
      <c r="H88" s="715"/>
      <c r="I88" s="716"/>
      <c r="J88" s="714"/>
      <c r="K88" s="708"/>
      <c r="L88" s="690"/>
    </row>
    <row r="89" spans="1:13" s="27" customFormat="1" ht="17.25" customHeight="1">
      <c r="A89" s="1567" t="str">
        <f>G72</f>
        <v>LƯƠNG THÁNG 01/2025</v>
      </c>
      <c r="B89" s="1568"/>
      <c r="C89" s="1568"/>
      <c r="D89" s="1568"/>
      <c r="E89" s="766">
        <v>11</v>
      </c>
      <c r="F89" s="710"/>
      <c r="G89" s="1567" t="str">
        <f>A89</f>
        <v>LƯƠNG THÁNG 01/2025</v>
      </c>
      <c r="H89" s="1568"/>
      <c r="I89" s="1568"/>
      <c r="J89" s="1569"/>
      <c r="K89" s="766">
        <v>12</v>
      </c>
      <c r="L89" s="690"/>
    </row>
    <row r="90" spans="1:13" s="27" customFormat="1" ht="17.25" customHeight="1">
      <c r="A90" s="709" t="s">
        <v>15</v>
      </c>
      <c r="B90" s="840" t="str">
        <f>'CNKT '!D26</f>
        <v>T. In Păn</v>
      </c>
      <c r="C90" s="691"/>
      <c r="D90" s="838" t="s">
        <v>396</v>
      </c>
      <c r="E90" s="838" t="s">
        <v>18</v>
      </c>
      <c r="F90" s="713"/>
      <c r="G90" s="709" t="s">
        <v>15</v>
      </c>
      <c r="H90" s="840" t="str">
        <f>'CNKT '!D27</f>
        <v>N. Keo</v>
      </c>
      <c r="I90" s="691"/>
      <c r="J90" s="838" t="s">
        <v>396</v>
      </c>
      <c r="K90" s="838" t="s">
        <v>18</v>
      </c>
      <c r="L90" s="690"/>
    </row>
    <row r="91" spans="1:13" s="27" customFormat="1" ht="17.25" customHeight="1">
      <c r="A91" s="693" t="s">
        <v>397</v>
      </c>
      <c r="B91" s="842" t="s">
        <v>527</v>
      </c>
      <c r="C91" s="694">
        <f>VLOOKUP(B90,'BTH mủ tạp'!$D$17:$AN$94,36,0)</f>
        <v>1011.8264223999619</v>
      </c>
      <c r="D91" s="695"/>
      <c r="E91" s="695"/>
      <c r="F91" s="713"/>
      <c r="G91" s="693" t="s">
        <v>397</v>
      </c>
      <c r="H91" s="842" t="s">
        <v>527</v>
      </c>
      <c r="I91" s="694">
        <f>VLOOKUP(H90,'BTH mủ tạp'!$D$17:$AN$94,36,0)</f>
        <v>1474.1504110034275</v>
      </c>
      <c r="J91" s="695"/>
      <c r="K91" s="695"/>
      <c r="L91" s="690"/>
    </row>
    <row r="92" spans="1:13" s="27" customFormat="1" ht="17.25" customHeight="1">
      <c r="A92" s="693" t="s">
        <v>77</v>
      </c>
      <c r="B92" s="843" t="s">
        <v>432</v>
      </c>
      <c r="C92" s="696">
        <f>VLOOKUP(B90,'CNKT '!$D$16:$AA$96,3,0)</f>
        <v>0</v>
      </c>
      <c r="D92" s="697">
        <v>25000</v>
      </c>
      <c r="E92" s="695">
        <f>C92*D92</f>
        <v>0</v>
      </c>
      <c r="F92" s="839"/>
      <c r="G92" s="693" t="s">
        <v>77</v>
      </c>
      <c r="H92" s="843" t="s">
        <v>432</v>
      </c>
      <c r="I92" s="696">
        <f>VLOOKUP(H90,'CNKT '!$D$16:$AA$96,3,0)</f>
        <v>0</v>
      </c>
      <c r="J92" s="697">
        <v>25000</v>
      </c>
      <c r="K92" s="695">
        <f>I92*J92</f>
        <v>0</v>
      </c>
      <c r="L92" s="690"/>
    </row>
    <row r="93" spans="1:13" s="27" customFormat="1" ht="17.25" customHeight="1">
      <c r="A93" s="693" t="s">
        <v>307</v>
      </c>
      <c r="B93" s="844" t="s">
        <v>528</v>
      </c>
      <c r="C93" s="747">
        <f>VLOOKUP(B90,'CNKT '!$D$16:$AA$96,11,0)</f>
        <v>20</v>
      </c>
      <c r="D93" s="698">
        <f>46.1*$B$2</f>
        <v>30833.524000000001</v>
      </c>
      <c r="E93" s="695">
        <f t="shared" ref="E93:E97" si="10">C93*D93</f>
        <v>616670.48</v>
      </c>
      <c r="F93" s="714"/>
      <c r="G93" s="693" t="s">
        <v>307</v>
      </c>
      <c r="H93" s="844" t="s">
        <v>528</v>
      </c>
      <c r="I93" s="747">
        <f>VLOOKUP(H90,'CNKT '!$D$16:$AA$96,11,0)</f>
        <v>23</v>
      </c>
      <c r="J93" s="698">
        <f>46.1*$B$2</f>
        <v>30833.524000000001</v>
      </c>
      <c r="K93" s="695">
        <f t="shared" ref="K93:K97" si="11">I93*J93</f>
        <v>709171.05200000003</v>
      </c>
      <c r="L93" s="690"/>
    </row>
    <row r="94" spans="1:13" s="27" customFormat="1" ht="17.25" customHeight="1">
      <c r="A94" s="693" t="s">
        <v>399</v>
      </c>
      <c r="B94" s="844" t="s">
        <v>529</v>
      </c>
      <c r="C94" s="747">
        <f>VLOOKUP(B90,'CNKT '!$D$16:$AA$96,12,0)</f>
        <v>5</v>
      </c>
      <c r="D94" s="697">
        <f>76.9*$B$2</f>
        <v>51433.796000000009</v>
      </c>
      <c r="E94" s="695">
        <f t="shared" si="10"/>
        <v>257168.98000000004</v>
      </c>
      <c r="F94" s="714"/>
      <c r="G94" s="693" t="s">
        <v>399</v>
      </c>
      <c r="H94" s="844" t="s">
        <v>529</v>
      </c>
      <c r="I94" s="747">
        <f>VLOOKUP(H90,'CNKT '!$D$16:$AA$96,12,0)</f>
        <v>5</v>
      </c>
      <c r="J94" s="697">
        <f>76.9*$B$2</f>
        <v>51433.796000000009</v>
      </c>
      <c r="K94" s="695">
        <f t="shared" si="11"/>
        <v>257168.98000000004</v>
      </c>
      <c r="L94" s="690"/>
    </row>
    <row r="95" spans="1:13" s="27" customFormat="1" ht="17.25" customHeight="1">
      <c r="A95" s="693" t="s">
        <v>78</v>
      </c>
      <c r="B95" s="844" t="s">
        <v>530</v>
      </c>
      <c r="C95" s="747">
        <f>VLOOKUP(B90,'CNKT '!$D$16:$AA$96,8,0)</f>
        <v>1011.8264223999622</v>
      </c>
      <c r="D95" s="697">
        <f>IF(C91="A",6.1,IF(C91="B",5.8,IF(C91="C",5.5,IF(C91="C.",5.5,IF(C91="D",5.2)))))*$B$2</f>
        <v>0</v>
      </c>
      <c r="E95" s="695">
        <f t="shared" si="10"/>
        <v>0</v>
      </c>
      <c r="F95" s="714"/>
      <c r="G95" s="693" t="s">
        <v>78</v>
      </c>
      <c r="H95" s="844" t="s">
        <v>530</v>
      </c>
      <c r="I95" s="747">
        <f>VLOOKUP(H90,'CNKT '!$D$16:$AA$96,8,0)</f>
        <v>1474.150411003428</v>
      </c>
      <c r="J95" s="697">
        <f>IF(I91="A",6.1,IF(I91="B",5.8,IF(I91="C",5.5,IF(I91="C.",5.5,IF(I91="D",5.2)))))*$B$2</f>
        <v>0</v>
      </c>
      <c r="K95" s="695">
        <f t="shared" si="11"/>
        <v>0</v>
      </c>
      <c r="L95" s="690"/>
    </row>
    <row r="96" spans="1:13" s="27" customFormat="1" ht="17.25" customHeight="1">
      <c r="A96" s="693" t="s">
        <v>491</v>
      </c>
      <c r="B96" s="844" t="s">
        <v>531</v>
      </c>
      <c r="C96" s="747">
        <f>VLOOKUP(B90,'CNKT '!$D$16:$AA$96,15,0)</f>
        <v>0</v>
      </c>
      <c r="D96" s="698">
        <f>92.2*$B$2</f>
        <v>61667.048000000003</v>
      </c>
      <c r="E96" s="695">
        <f t="shared" si="10"/>
        <v>0</v>
      </c>
      <c r="F96" s="714"/>
      <c r="G96" s="693" t="s">
        <v>491</v>
      </c>
      <c r="H96" s="844" t="s">
        <v>531</v>
      </c>
      <c r="I96" s="747">
        <f>VLOOKUP(H90,'CNKT '!$D$16:$AA$96,15,0)</f>
        <v>0</v>
      </c>
      <c r="J96" s="698">
        <f>92.2*$B$2</f>
        <v>61667.048000000003</v>
      </c>
      <c r="K96" s="695">
        <f t="shared" si="11"/>
        <v>0</v>
      </c>
      <c r="L96" s="690"/>
    </row>
    <row r="97" spans="1:13" s="27" customFormat="1" ht="17.25" customHeight="1">
      <c r="A97" s="693" t="s">
        <v>492</v>
      </c>
      <c r="B97" s="844" t="s">
        <v>496</v>
      </c>
      <c r="C97" s="747">
        <f>VLOOKUP(B90,'CNKT '!$D$16:$AA$96,16,0)</f>
        <v>0</v>
      </c>
      <c r="D97" s="697">
        <f>153.8*$B$2</f>
        <v>102867.59200000002</v>
      </c>
      <c r="E97" s="695">
        <f t="shared" si="10"/>
        <v>0</v>
      </c>
      <c r="F97" s="714"/>
      <c r="G97" s="693" t="s">
        <v>492</v>
      </c>
      <c r="H97" s="844" t="s">
        <v>496</v>
      </c>
      <c r="I97" s="747">
        <f>VLOOKUP(H90,'CNKT '!$D$16:$AA$96,16,0)</f>
        <v>0</v>
      </c>
      <c r="J97" s="697">
        <f>153.8*$B$2</f>
        <v>102867.59200000002</v>
      </c>
      <c r="K97" s="695">
        <f t="shared" si="11"/>
        <v>0</v>
      </c>
      <c r="L97" s="690"/>
    </row>
    <row r="98" spans="1:13" s="27" customFormat="1" ht="17.25" customHeight="1">
      <c r="A98" s="693" t="s">
        <v>453</v>
      </c>
      <c r="B98" s="844" t="s">
        <v>497</v>
      </c>
      <c r="C98" s="747">
        <f>VLOOKUP(B90,'CNKT '!$D$16:$AA$96,18,0)</f>
        <v>0</v>
      </c>
      <c r="D98" s="697">
        <v>10000</v>
      </c>
      <c r="E98" s="695">
        <f>C98*D98</f>
        <v>0</v>
      </c>
      <c r="F98" s="714"/>
      <c r="G98" s="693" t="s">
        <v>453</v>
      </c>
      <c r="H98" s="844" t="s">
        <v>497</v>
      </c>
      <c r="I98" s="747">
        <f>VLOOKUP(H90,'CNKT '!$D$16:$AA$96,18,0)</f>
        <v>0</v>
      </c>
      <c r="J98" s="697">
        <v>10000</v>
      </c>
      <c r="K98" s="695">
        <f>I98*J98</f>
        <v>0</v>
      </c>
      <c r="L98" s="690"/>
    </row>
    <row r="99" spans="1:13" s="27" customFormat="1" ht="17.25" customHeight="1">
      <c r="A99" s="693" t="s">
        <v>453</v>
      </c>
      <c r="B99" s="844" t="s">
        <v>497</v>
      </c>
      <c r="C99" s="747">
        <f>VLOOKUP(B90,'CNKT '!$D$16:$AA$96,19,0)</f>
        <v>0</v>
      </c>
      <c r="D99" s="697">
        <v>20000</v>
      </c>
      <c r="E99" s="695">
        <f>C99*D99</f>
        <v>0</v>
      </c>
      <c r="F99" s="714"/>
      <c r="G99" s="693" t="s">
        <v>453</v>
      </c>
      <c r="H99" s="844" t="s">
        <v>497</v>
      </c>
      <c r="I99" s="747">
        <f>VLOOKUP(H90,'CNKT '!$D$16:$AA$96,19,0)</f>
        <v>0</v>
      </c>
      <c r="J99" s="697">
        <v>20000</v>
      </c>
      <c r="K99" s="695">
        <f>I99*J99</f>
        <v>0</v>
      </c>
      <c r="L99" s="690"/>
    </row>
    <row r="100" spans="1:13" s="27" customFormat="1" ht="17.25" customHeight="1">
      <c r="A100" s="693" t="s">
        <v>512</v>
      </c>
      <c r="B100" s="844" t="s">
        <v>513</v>
      </c>
      <c r="C100" s="747"/>
      <c r="D100" s="697"/>
      <c r="E100" s="695"/>
      <c r="F100" s="714"/>
      <c r="G100" s="693" t="s">
        <v>512</v>
      </c>
      <c r="H100" s="844" t="s">
        <v>513</v>
      </c>
      <c r="I100" s="747"/>
      <c r="J100" s="697"/>
      <c r="K100" s="695"/>
      <c r="L100" s="690"/>
    </row>
    <row r="101" spans="1:13" s="27" customFormat="1" ht="17.25" customHeight="1">
      <c r="A101" s="699" t="s">
        <v>79</v>
      </c>
      <c r="B101" s="845" t="s">
        <v>532</v>
      </c>
      <c r="C101" s="700"/>
      <c r="D101" s="701"/>
      <c r="E101" s="700"/>
      <c r="F101" s="714"/>
      <c r="G101" s="699" t="s">
        <v>79</v>
      </c>
      <c r="H101" s="845" t="s">
        <v>532</v>
      </c>
      <c r="I101" s="700"/>
      <c r="J101" s="701"/>
      <c r="K101" s="700"/>
      <c r="L101" s="690"/>
    </row>
    <row r="102" spans="1:13" s="27" customFormat="1" ht="17.25" customHeight="1">
      <c r="A102" s="702" t="s">
        <v>80</v>
      </c>
      <c r="B102" s="846" t="s">
        <v>533</v>
      </c>
      <c r="C102" s="700"/>
      <c r="D102" s="700"/>
      <c r="E102" s="700"/>
      <c r="F102" s="714"/>
      <c r="G102" s="702" t="s">
        <v>80</v>
      </c>
      <c r="H102" s="846" t="s">
        <v>533</v>
      </c>
      <c r="I102" s="700"/>
      <c r="J102" s="700"/>
      <c r="K102" s="700"/>
      <c r="L102" s="690"/>
    </row>
    <row r="103" spans="1:13" s="27" customFormat="1" ht="17.25" customHeight="1">
      <c r="A103" s="702" t="s">
        <v>81</v>
      </c>
      <c r="B103" s="847" t="s">
        <v>534</v>
      </c>
      <c r="C103" s="700"/>
      <c r="D103" s="700"/>
      <c r="E103" s="695">
        <f>SUM(E102)</f>
        <v>0</v>
      </c>
      <c r="F103" s="714"/>
      <c r="G103" s="702" t="s">
        <v>81</v>
      </c>
      <c r="H103" s="847" t="s">
        <v>534</v>
      </c>
      <c r="I103" s="700"/>
      <c r="J103" s="700"/>
      <c r="K103" s="695">
        <f>SUM(K102)</f>
        <v>0</v>
      </c>
      <c r="L103" s="690"/>
      <c r="M103" s="703">
        <f>E103+K103</f>
        <v>0</v>
      </c>
    </row>
    <row r="104" spans="1:13" s="27" customFormat="1" ht="17.25" customHeight="1">
      <c r="A104" s="704" t="s">
        <v>82</v>
      </c>
      <c r="B104" s="848" t="s">
        <v>438</v>
      </c>
      <c r="C104" s="705"/>
      <c r="D104" s="705"/>
      <c r="E104" s="705">
        <f>(E92+E93+E94+E95+E96+E97+E98+E99+E100)-E103</f>
        <v>873839.46</v>
      </c>
      <c r="F104" s="714"/>
      <c r="G104" s="704" t="s">
        <v>82</v>
      </c>
      <c r="H104" s="848" t="s">
        <v>438</v>
      </c>
      <c r="I104" s="705"/>
      <c r="J104" s="705"/>
      <c r="K104" s="705">
        <f>(K92+K93+K94+K95+K96+K97+K98+K99+K100)-K103</f>
        <v>966340.03200000012</v>
      </c>
      <c r="L104" s="707">
        <f>E104+K104</f>
        <v>1840179.4920000001</v>
      </c>
    </row>
    <row r="105" spans="1:13" s="27" customFormat="1" ht="17.25" customHeight="1">
      <c r="A105" s="710"/>
      <c r="B105" s="715"/>
      <c r="C105" s="716"/>
      <c r="D105" s="716"/>
      <c r="E105" s="714"/>
      <c r="F105" s="714"/>
      <c r="G105" s="710"/>
      <c r="H105" s="715"/>
      <c r="I105" s="716"/>
      <c r="J105" s="714"/>
      <c r="K105" s="724"/>
      <c r="L105" s="690"/>
    </row>
    <row r="106" spans="1:13" s="27" customFormat="1" ht="17.25" customHeight="1">
      <c r="A106" s="1567" t="str">
        <f>G89</f>
        <v>LƯƠNG THÁNG 01/2025</v>
      </c>
      <c r="B106" s="1568"/>
      <c r="C106" s="1568"/>
      <c r="D106" s="1568"/>
      <c r="E106" s="766">
        <v>13</v>
      </c>
      <c r="F106" s="710"/>
      <c r="G106" s="1567" t="str">
        <f>A106</f>
        <v>LƯƠNG THÁNG 01/2025</v>
      </c>
      <c r="H106" s="1568"/>
      <c r="I106" s="1568"/>
      <c r="J106" s="1569"/>
      <c r="K106" s="766">
        <v>14</v>
      </c>
      <c r="L106" s="690"/>
    </row>
    <row r="107" spans="1:13" s="27" customFormat="1" ht="17.25" customHeight="1">
      <c r="A107" s="709" t="s">
        <v>15</v>
      </c>
      <c r="B107" s="840" t="str">
        <f>'CNKT '!D28</f>
        <v>T. Thong Đon</v>
      </c>
      <c r="C107" s="691"/>
      <c r="D107" s="838" t="s">
        <v>396</v>
      </c>
      <c r="E107" s="838" t="s">
        <v>18</v>
      </c>
      <c r="F107" s="713"/>
      <c r="G107" s="709" t="s">
        <v>15</v>
      </c>
      <c r="H107" s="840" t="str">
        <f>'CNKT '!D29</f>
        <v>T. Hin</v>
      </c>
      <c r="I107" s="691"/>
      <c r="J107" s="838" t="s">
        <v>396</v>
      </c>
      <c r="K107" s="838" t="s">
        <v>18</v>
      </c>
      <c r="L107" s="690"/>
    </row>
    <row r="108" spans="1:13" s="27" customFormat="1" ht="17.25" customHeight="1">
      <c r="A108" s="693" t="s">
        <v>397</v>
      </c>
      <c r="B108" s="842" t="s">
        <v>527</v>
      </c>
      <c r="C108" s="694">
        <f>VLOOKUP(B107,'BTH mủ tạp'!$D$17:$AN$94,36,0)</f>
        <v>1169.9532830958312</v>
      </c>
      <c r="D108" s="695"/>
      <c r="E108" s="695"/>
      <c r="F108" s="713"/>
      <c r="G108" s="693" t="s">
        <v>397</v>
      </c>
      <c r="H108" s="842" t="s">
        <v>527</v>
      </c>
      <c r="I108" s="694">
        <f>VLOOKUP(H107,'BTH mủ tạp'!$D$17:$AN$94,36,0)</f>
        <v>1070.7182444186581</v>
      </c>
      <c r="J108" s="695"/>
      <c r="K108" s="695"/>
      <c r="L108" s="690"/>
    </row>
    <row r="109" spans="1:13" s="27" customFormat="1" ht="17.25" customHeight="1">
      <c r="A109" s="693" t="s">
        <v>77</v>
      </c>
      <c r="B109" s="843" t="s">
        <v>432</v>
      </c>
      <c r="C109" s="696">
        <f>VLOOKUP(B107,'CNKT '!$D$16:$AA$96,3,0)</f>
        <v>0</v>
      </c>
      <c r="D109" s="697">
        <v>25000</v>
      </c>
      <c r="E109" s="695">
        <f>C109*D109</f>
        <v>0</v>
      </c>
      <c r="F109" s="839"/>
      <c r="G109" s="693" t="s">
        <v>77</v>
      </c>
      <c r="H109" s="843" t="s">
        <v>432</v>
      </c>
      <c r="I109" s="696">
        <f>VLOOKUP(H107,'CNKT '!$D$16:$AA$96,3,0)</f>
        <v>0</v>
      </c>
      <c r="J109" s="697">
        <v>25000</v>
      </c>
      <c r="K109" s="695">
        <f>I109*J109</f>
        <v>0</v>
      </c>
      <c r="L109" s="690"/>
    </row>
    <row r="110" spans="1:13" s="27" customFormat="1" ht="17.25" customHeight="1">
      <c r="A110" s="693" t="s">
        <v>307</v>
      </c>
      <c r="B110" s="844" t="s">
        <v>528</v>
      </c>
      <c r="C110" s="747">
        <f>VLOOKUP(B107,'CNKT '!$D$16:$AA$96,11,0)</f>
        <v>20</v>
      </c>
      <c r="D110" s="698">
        <f>46.1*$B$2</f>
        <v>30833.524000000001</v>
      </c>
      <c r="E110" s="695">
        <f t="shared" ref="E110:E114" si="12">C110*D110</f>
        <v>616670.48</v>
      </c>
      <c r="F110" s="714"/>
      <c r="G110" s="693" t="s">
        <v>307</v>
      </c>
      <c r="H110" s="844" t="s">
        <v>528</v>
      </c>
      <c r="I110" s="747">
        <f>VLOOKUP(H107,'CNKT '!$D$16:$AA$96,11,0)</f>
        <v>22</v>
      </c>
      <c r="J110" s="698">
        <f>46.1*$B$2</f>
        <v>30833.524000000001</v>
      </c>
      <c r="K110" s="695">
        <f t="shared" ref="K110:K114" si="13">I110*J110</f>
        <v>678337.52800000005</v>
      </c>
      <c r="L110" s="690"/>
    </row>
    <row r="111" spans="1:13" s="27" customFormat="1" ht="17.25" customHeight="1">
      <c r="A111" s="693" t="s">
        <v>399</v>
      </c>
      <c r="B111" s="844" t="s">
        <v>529</v>
      </c>
      <c r="C111" s="747">
        <f>VLOOKUP(B107,'CNKT '!$D$16:$AA$96,12,0)</f>
        <v>5</v>
      </c>
      <c r="D111" s="697">
        <f>76.9*$B$2</f>
        <v>51433.796000000009</v>
      </c>
      <c r="E111" s="695">
        <f t="shared" si="12"/>
        <v>257168.98000000004</v>
      </c>
      <c r="F111" s="714"/>
      <c r="G111" s="693" t="s">
        <v>399</v>
      </c>
      <c r="H111" s="844" t="s">
        <v>529</v>
      </c>
      <c r="I111" s="747">
        <f>VLOOKUP(H107,'CNKT '!$D$16:$AA$96,12,0)</f>
        <v>5</v>
      </c>
      <c r="J111" s="697">
        <f>76.9*$B$2</f>
        <v>51433.796000000009</v>
      </c>
      <c r="K111" s="695">
        <f t="shared" si="13"/>
        <v>257168.98000000004</v>
      </c>
      <c r="L111" s="690"/>
    </row>
    <row r="112" spans="1:13" s="27" customFormat="1" ht="17.25" customHeight="1">
      <c r="A112" s="693" t="s">
        <v>78</v>
      </c>
      <c r="B112" s="844" t="s">
        <v>530</v>
      </c>
      <c r="C112" s="747">
        <f>VLOOKUP(B107,'CNKT '!$D$16:$AA$96,8,0)</f>
        <v>1169.9532830958317</v>
      </c>
      <c r="D112" s="697">
        <f>IF(C108="A",6.1,IF(C108="B",5.8,IF(C108="C",5.5,IF(C108="C.",5.5,IF(C108="D",5.2)))))*$B$2</f>
        <v>0</v>
      </c>
      <c r="E112" s="695">
        <f t="shared" si="12"/>
        <v>0</v>
      </c>
      <c r="F112" s="839"/>
      <c r="G112" s="693" t="s">
        <v>78</v>
      </c>
      <c r="H112" s="844" t="s">
        <v>530</v>
      </c>
      <c r="I112" s="747">
        <f>VLOOKUP(H107,'CNKT '!$D$16:$AA$96,8,0)</f>
        <v>1070.7182444186583</v>
      </c>
      <c r="J112" s="697">
        <f>IF(I108="A",6.1,IF(I108="B",5.8,IF(I108="C",5.5,IF(I108="C.",5.5,IF(I108="D",5.2)))))*$B$2</f>
        <v>0</v>
      </c>
      <c r="K112" s="695">
        <f t="shared" si="13"/>
        <v>0</v>
      </c>
      <c r="L112" s="690"/>
    </row>
    <row r="113" spans="1:13" s="27" customFormat="1" ht="17.25" customHeight="1">
      <c r="A113" s="693" t="s">
        <v>491</v>
      </c>
      <c r="B113" s="844" t="s">
        <v>531</v>
      </c>
      <c r="C113" s="747">
        <f>VLOOKUP(B107,'CNKT '!$D$16:$AA$96,15,0)</f>
        <v>0</v>
      </c>
      <c r="D113" s="698">
        <f>92.2*$B$2</f>
        <v>61667.048000000003</v>
      </c>
      <c r="E113" s="695">
        <f t="shared" si="12"/>
        <v>0</v>
      </c>
      <c r="F113" s="839"/>
      <c r="G113" s="693" t="s">
        <v>491</v>
      </c>
      <c r="H113" s="844" t="s">
        <v>531</v>
      </c>
      <c r="I113" s="747">
        <f>VLOOKUP(H107,'CNKT '!$D$16:$AA$96,15,0)</f>
        <v>0</v>
      </c>
      <c r="J113" s="698">
        <f>92.2*$B$2</f>
        <v>61667.048000000003</v>
      </c>
      <c r="K113" s="695">
        <f t="shared" si="13"/>
        <v>0</v>
      </c>
      <c r="L113" s="690"/>
    </row>
    <row r="114" spans="1:13" s="27" customFormat="1" ht="17.25" customHeight="1">
      <c r="A114" s="693" t="s">
        <v>492</v>
      </c>
      <c r="B114" s="844" t="s">
        <v>496</v>
      </c>
      <c r="C114" s="747">
        <f>VLOOKUP(B107,'CNKT '!$D$16:$AA$96,16,0)</f>
        <v>0</v>
      </c>
      <c r="D114" s="697">
        <f>153.8*$B$2</f>
        <v>102867.59200000002</v>
      </c>
      <c r="E114" s="695">
        <f t="shared" si="12"/>
        <v>0</v>
      </c>
      <c r="F114" s="839"/>
      <c r="G114" s="693" t="s">
        <v>492</v>
      </c>
      <c r="H114" s="844" t="s">
        <v>496</v>
      </c>
      <c r="I114" s="747">
        <f>VLOOKUP(H107,'CNKT '!$D$16:$AA$96,16,0)</f>
        <v>0</v>
      </c>
      <c r="J114" s="697">
        <f>153.8*$B$2</f>
        <v>102867.59200000002</v>
      </c>
      <c r="K114" s="695">
        <f t="shared" si="13"/>
        <v>0</v>
      </c>
      <c r="L114" s="690"/>
    </row>
    <row r="115" spans="1:13" s="27" customFormat="1" ht="17.25" customHeight="1">
      <c r="A115" s="693" t="s">
        <v>453</v>
      </c>
      <c r="B115" s="844" t="s">
        <v>497</v>
      </c>
      <c r="C115" s="747">
        <f>VLOOKUP(B107,'CNKT '!$D$16:$AA$96,18,0)</f>
        <v>0</v>
      </c>
      <c r="D115" s="697">
        <v>10000</v>
      </c>
      <c r="E115" s="695">
        <f>C115*D115</f>
        <v>0</v>
      </c>
      <c r="F115" s="839"/>
      <c r="G115" s="693" t="s">
        <v>453</v>
      </c>
      <c r="H115" s="844" t="s">
        <v>497</v>
      </c>
      <c r="I115" s="747">
        <f>VLOOKUP(H107,'CNKT '!$D$16:$AA$96,18,0)</f>
        <v>0</v>
      </c>
      <c r="J115" s="697">
        <v>10000</v>
      </c>
      <c r="K115" s="695">
        <f>I115*J115</f>
        <v>0</v>
      </c>
      <c r="L115" s="690"/>
    </row>
    <row r="116" spans="1:13" s="27" customFormat="1" ht="17.25" customHeight="1">
      <c r="A116" s="693" t="s">
        <v>453</v>
      </c>
      <c r="B116" s="844" t="s">
        <v>497</v>
      </c>
      <c r="C116" s="747">
        <f>VLOOKUP(B107,'CNKT '!$D$16:$AA$96,19,0)</f>
        <v>0</v>
      </c>
      <c r="D116" s="697">
        <v>20000</v>
      </c>
      <c r="E116" s="695">
        <f>C116*D116</f>
        <v>0</v>
      </c>
      <c r="F116" s="839"/>
      <c r="G116" s="693" t="s">
        <v>453</v>
      </c>
      <c r="H116" s="844" t="s">
        <v>497</v>
      </c>
      <c r="I116" s="747">
        <f>VLOOKUP(H107,'CNKT '!$D$16:$AA$96,19,0)</f>
        <v>0</v>
      </c>
      <c r="J116" s="697">
        <v>20000</v>
      </c>
      <c r="K116" s="695">
        <f>I116*J116</f>
        <v>0</v>
      </c>
      <c r="L116" s="690"/>
    </row>
    <row r="117" spans="1:13" s="27" customFormat="1" ht="17.25" customHeight="1">
      <c r="A117" s="693" t="s">
        <v>512</v>
      </c>
      <c r="B117" s="844" t="s">
        <v>513</v>
      </c>
      <c r="C117" s="747"/>
      <c r="D117" s="697"/>
      <c r="E117" s="695"/>
      <c r="F117" s="839"/>
      <c r="G117" s="693" t="s">
        <v>512</v>
      </c>
      <c r="H117" s="844" t="s">
        <v>513</v>
      </c>
      <c r="I117" s="747"/>
      <c r="J117" s="697"/>
      <c r="K117" s="695"/>
      <c r="L117" s="690"/>
    </row>
    <row r="118" spans="1:13" s="27" customFormat="1" ht="17.25" customHeight="1">
      <c r="A118" s="699" t="s">
        <v>79</v>
      </c>
      <c r="B118" s="845" t="s">
        <v>532</v>
      </c>
      <c r="C118" s="700"/>
      <c r="D118" s="701"/>
      <c r="E118" s="700"/>
      <c r="F118" s="710"/>
      <c r="G118" s="699" t="s">
        <v>79</v>
      </c>
      <c r="H118" s="845" t="s">
        <v>532</v>
      </c>
      <c r="I118" s="700"/>
      <c r="J118" s="701"/>
      <c r="K118" s="700"/>
      <c r="L118" s="690"/>
    </row>
    <row r="119" spans="1:13" s="27" customFormat="1" ht="17.25" customHeight="1">
      <c r="A119" s="702" t="s">
        <v>80</v>
      </c>
      <c r="B119" s="846" t="s">
        <v>533</v>
      </c>
      <c r="C119" s="700"/>
      <c r="D119" s="700"/>
      <c r="E119" s="700"/>
      <c r="F119" s="710"/>
      <c r="G119" s="702" t="s">
        <v>80</v>
      </c>
      <c r="H119" s="846" t="s">
        <v>533</v>
      </c>
      <c r="I119" s="700"/>
      <c r="J119" s="700"/>
      <c r="K119" s="700"/>
      <c r="L119" s="690"/>
    </row>
    <row r="120" spans="1:13" s="27" customFormat="1" ht="17.25" customHeight="1">
      <c r="A120" s="702" t="s">
        <v>81</v>
      </c>
      <c r="B120" s="847" t="s">
        <v>534</v>
      </c>
      <c r="C120" s="700"/>
      <c r="D120" s="700"/>
      <c r="E120" s="695">
        <f>SUM(E119)</f>
        <v>0</v>
      </c>
      <c r="F120" s="710"/>
      <c r="G120" s="702" t="s">
        <v>81</v>
      </c>
      <c r="H120" s="847" t="s">
        <v>534</v>
      </c>
      <c r="I120" s="700"/>
      <c r="J120" s="700"/>
      <c r="K120" s="695">
        <f>SUM(K119)</f>
        <v>0</v>
      </c>
      <c r="L120" s="690"/>
      <c r="M120" s="703">
        <f>E120+K120</f>
        <v>0</v>
      </c>
    </row>
    <row r="121" spans="1:13" s="27" customFormat="1" ht="17.25" customHeight="1">
      <c r="A121" s="704" t="s">
        <v>82</v>
      </c>
      <c r="B121" s="848" t="s">
        <v>438</v>
      </c>
      <c r="C121" s="705"/>
      <c r="D121" s="705"/>
      <c r="E121" s="705">
        <f>(E109+E110+E111+E112+E113+E114+E115+E116+E117)-E120</f>
        <v>873839.46</v>
      </c>
      <c r="F121" s="710"/>
      <c r="G121" s="704" t="s">
        <v>82</v>
      </c>
      <c r="H121" s="848" t="s">
        <v>438</v>
      </c>
      <c r="I121" s="705"/>
      <c r="J121" s="705"/>
      <c r="K121" s="705">
        <f>(K109+K110+K111+K112+K113+K114+K115+K116+K117)-K120</f>
        <v>935506.50800000015</v>
      </c>
      <c r="L121" s="707">
        <f>E121+K121</f>
        <v>1809345.9680000001</v>
      </c>
    </row>
    <row r="122" spans="1:13" s="27" customFormat="1" ht="17.25" customHeight="1">
      <c r="A122" s="710"/>
      <c r="B122" s="715"/>
      <c r="C122" s="716"/>
      <c r="D122" s="716"/>
      <c r="E122" s="714"/>
      <c r="F122" s="710"/>
      <c r="G122" s="710"/>
      <c r="H122" s="715"/>
      <c r="I122" s="716"/>
      <c r="J122" s="714"/>
      <c r="K122" s="708"/>
      <c r="L122" s="690"/>
    </row>
    <row r="123" spans="1:13" s="27" customFormat="1" ht="17.25" customHeight="1">
      <c r="A123" s="1567" t="str">
        <f>G106</f>
        <v>LƯƠNG THÁNG 01/2025</v>
      </c>
      <c r="B123" s="1568"/>
      <c r="C123" s="1568"/>
      <c r="D123" s="1568"/>
      <c r="E123" s="766">
        <v>15</v>
      </c>
      <c r="F123" s="714"/>
      <c r="G123" s="1567" t="str">
        <f>A123</f>
        <v>LƯƠNG THÁNG 01/2025</v>
      </c>
      <c r="H123" s="1568"/>
      <c r="I123" s="1568"/>
      <c r="J123" s="1569"/>
      <c r="K123" s="766">
        <v>16</v>
      </c>
      <c r="L123" s="690"/>
    </row>
    <row r="124" spans="1:13" s="27" customFormat="1" ht="17.25" customHeight="1">
      <c r="A124" s="709" t="s">
        <v>15</v>
      </c>
      <c r="B124" s="840" t="str">
        <f>'CNKT '!D30</f>
        <v>N. Ly Phon</v>
      </c>
      <c r="C124" s="691"/>
      <c r="D124" s="838" t="s">
        <v>396</v>
      </c>
      <c r="E124" s="838" t="s">
        <v>18</v>
      </c>
      <c r="F124" s="714"/>
      <c r="G124" s="709" t="s">
        <v>15</v>
      </c>
      <c r="H124" s="840" t="str">
        <f>'CNKT '!D31</f>
        <v>T. Xôm Va Nít</v>
      </c>
      <c r="I124" s="691"/>
      <c r="J124" s="838" t="s">
        <v>396</v>
      </c>
      <c r="K124" s="838" t="s">
        <v>18</v>
      </c>
      <c r="L124" s="690"/>
    </row>
    <row r="125" spans="1:13" s="27" customFormat="1" ht="17.25" customHeight="1">
      <c r="A125" s="693" t="s">
        <v>397</v>
      </c>
      <c r="B125" s="842" t="s">
        <v>527</v>
      </c>
      <c r="C125" s="694">
        <f>VLOOKUP(B124,'BTH mủ tạp'!$D$17:$AN$94,36,0)</f>
        <v>765.12997110904541</v>
      </c>
      <c r="D125" s="695"/>
      <c r="E125" s="695"/>
      <c r="F125" s="714"/>
      <c r="G125" s="693" t="s">
        <v>397</v>
      </c>
      <c r="H125" s="842" t="s">
        <v>527</v>
      </c>
      <c r="I125" s="694">
        <f>VLOOKUP(H124,'BTH mủ tạp'!$D$17:$AN$94,36,0)</f>
        <v>1447.7186483651153</v>
      </c>
      <c r="J125" s="695"/>
      <c r="K125" s="695"/>
      <c r="L125" s="690"/>
    </row>
    <row r="126" spans="1:13" s="27" customFormat="1" ht="17.25" customHeight="1">
      <c r="A126" s="693" t="s">
        <v>77</v>
      </c>
      <c r="B126" s="843" t="s">
        <v>432</v>
      </c>
      <c r="C126" s="696">
        <f>VLOOKUP(B124,'CNKT '!$D$16:$AA$96,3,0)</f>
        <v>0</v>
      </c>
      <c r="D126" s="697">
        <v>25000</v>
      </c>
      <c r="E126" s="695">
        <f>C126*D126</f>
        <v>0</v>
      </c>
      <c r="F126" s="839"/>
      <c r="G126" s="693" t="s">
        <v>77</v>
      </c>
      <c r="H126" s="843" t="s">
        <v>432</v>
      </c>
      <c r="I126" s="696">
        <f>VLOOKUP(H124,'CNKT '!$D$16:$AA$96,3,0)</f>
        <v>0</v>
      </c>
      <c r="J126" s="697">
        <v>25000</v>
      </c>
      <c r="K126" s="695">
        <f>I126*J126</f>
        <v>0</v>
      </c>
      <c r="L126" s="690"/>
    </row>
    <row r="127" spans="1:13" s="27" customFormat="1" ht="17.25" customHeight="1">
      <c r="A127" s="693" t="s">
        <v>307</v>
      </c>
      <c r="B127" s="844" t="s">
        <v>528</v>
      </c>
      <c r="C127" s="747">
        <f>VLOOKUP(B124,'CNKT '!$D$16:$AA$96,11,0)</f>
        <v>19</v>
      </c>
      <c r="D127" s="698">
        <f>46.1*$B$2</f>
        <v>30833.524000000001</v>
      </c>
      <c r="E127" s="695">
        <f t="shared" ref="E127:E131" si="14">C127*D127</f>
        <v>585836.95600000001</v>
      </c>
      <c r="F127" s="710"/>
      <c r="G127" s="693" t="s">
        <v>307</v>
      </c>
      <c r="H127" s="844" t="s">
        <v>528</v>
      </c>
      <c r="I127" s="747">
        <f>VLOOKUP(H124,'CNKT '!$D$16:$AA$96,11,0)</f>
        <v>23</v>
      </c>
      <c r="J127" s="698">
        <f>46.1*$B$2</f>
        <v>30833.524000000001</v>
      </c>
      <c r="K127" s="695">
        <f t="shared" ref="K127:K131" si="15">I127*J127</f>
        <v>709171.05200000003</v>
      </c>
      <c r="L127" s="690"/>
    </row>
    <row r="128" spans="1:13" s="27" customFormat="1" ht="17.25" customHeight="1">
      <c r="A128" s="693" t="s">
        <v>399</v>
      </c>
      <c r="B128" s="844" t="s">
        <v>529</v>
      </c>
      <c r="C128" s="747">
        <f>VLOOKUP(B124,'CNKT '!$D$16:$AA$96,12,0)</f>
        <v>4</v>
      </c>
      <c r="D128" s="697">
        <f>76.9*$B$2</f>
        <v>51433.796000000009</v>
      </c>
      <c r="E128" s="695">
        <f t="shared" si="14"/>
        <v>205735.18400000004</v>
      </c>
      <c r="F128" s="710"/>
      <c r="G128" s="693" t="s">
        <v>399</v>
      </c>
      <c r="H128" s="844" t="s">
        <v>529</v>
      </c>
      <c r="I128" s="747">
        <f>VLOOKUP(H124,'CNKT '!$D$16:$AA$96,12,0)</f>
        <v>5</v>
      </c>
      <c r="J128" s="697">
        <f>76.9*$B$2</f>
        <v>51433.796000000009</v>
      </c>
      <c r="K128" s="695">
        <f t="shared" si="15"/>
        <v>257168.98000000004</v>
      </c>
      <c r="L128" s="690"/>
    </row>
    <row r="129" spans="1:13" s="27" customFormat="1" ht="17.25" customHeight="1">
      <c r="A129" s="693" t="s">
        <v>78</v>
      </c>
      <c r="B129" s="844" t="s">
        <v>530</v>
      </c>
      <c r="C129" s="747">
        <f>VLOOKUP(B124,'CNKT '!$D$16:$AA$96,8,0)</f>
        <v>765.12997110904564</v>
      </c>
      <c r="D129" s="697">
        <f>IF(C125="A",6.1,IF(C125="B",5.8,IF(C125="C",5.5,IF(C125="C.",5.5,IF(C125="D",5.2)))))*$B$2</f>
        <v>0</v>
      </c>
      <c r="E129" s="695">
        <f t="shared" si="14"/>
        <v>0</v>
      </c>
      <c r="F129" s="710"/>
      <c r="G129" s="693" t="s">
        <v>78</v>
      </c>
      <c r="H129" s="844" t="s">
        <v>530</v>
      </c>
      <c r="I129" s="747">
        <f>VLOOKUP(H124,'CNKT '!$D$16:$AA$96,8,0)</f>
        <v>1447.7186483651153</v>
      </c>
      <c r="J129" s="697">
        <f>IF(I125="A",6.1,IF(I125="B",5.8,IF(I125="C",5.5,IF(I125="C.",5.5,IF(I125="D",5.2)))))*$B$2</f>
        <v>0</v>
      </c>
      <c r="K129" s="695">
        <f t="shared" si="15"/>
        <v>0</v>
      </c>
      <c r="L129" s="690"/>
    </row>
    <row r="130" spans="1:13" s="27" customFormat="1" ht="17.25" customHeight="1">
      <c r="A130" s="693" t="s">
        <v>491</v>
      </c>
      <c r="B130" s="844" t="s">
        <v>531</v>
      </c>
      <c r="C130" s="747">
        <f>VLOOKUP(B124,'CNKT '!$D$16:$AA$96,15,0)</f>
        <v>0</v>
      </c>
      <c r="D130" s="698">
        <f>92.2*$B$2</f>
        <v>61667.048000000003</v>
      </c>
      <c r="E130" s="695">
        <f t="shared" si="14"/>
        <v>0</v>
      </c>
      <c r="F130" s="710"/>
      <c r="G130" s="693" t="s">
        <v>491</v>
      </c>
      <c r="H130" s="844" t="s">
        <v>531</v>
      </c>
      <c r="I130" s="747">
        <f>VLOOKUP(H124,'CNKT '!$D$16:$AA$96,15,0)</f>
        <v>0</v>
      </c>
      <c r="J130" s="698">
        <f>92.2*$B$2</f>
        <v>61667.048000000003</v>
      </c>
      <c r="K130" s="695">
        <f t="shared" si="15"/>
        <v>0</v>
      </c>
      <c r="L130" s="690"/>
    </row>
    <row r="131" spans="1:13" s="27" customFormat="1" ht="17.25" customHeight="1">
      <c r="A131" s="693" t="s">
        <v>492</v>
      </c>
      <c r="B131" s="844" t="s">
        <v>496</v>
      </c>
      <c r="C131" s="747">
        <f>VLOOKUP(B124,'CNKT '!$D$16:$AA$96,16,0)</f>
        <v>0</v>
      </c>
      <c r="D131" s="697">
        <f>153.8*$B$2</f>
        <v>102867.59200000002</v>
      </c>
      <c r="E131" s="695">
        <f t="shared" si="14"/>
        <v>0</v>
      </c>
      <c r="F131" s="710"/>
      <c r="G131" s="693" t="s">
        <v>492</v>
      </c>
      <c r="H131" s="844" t="s">
        <v>496</v>
      </c>
      <c r="I131" s="747">
        <f>VLOOKUP(H124,'CNKT '!$D$16:$AA$96,16,0)</f>
        <v>0</v>
      </c>
      <c r="J131" s="697">
        <f>153.8*$B$2</f>
        <v>102867.59200000002</v>
      </c>
      <c r="K131" s="695">
        <f t="shared" si="15"/>
        <v>0</v>
      </c>
      <c r="L131" s="690"/>
    </row>
    <row r="132" spans="1:13" s="27" customFormat="1" ht="17.25" customHeight="1">
      <c r="A132" s="693" t="s">
        <v>453</v>
      </c>
      <c r="B132" s="844" t="s">
        <v>497</v>
      </c>
      <c r="C132" s="747">
        <f>VLOOKUP(B124,'CNKT '!$D$16:$AA$96,18,0)</f>
        <v>0</v>
      </c>
      <c r="D132" s="697">
        <v>10000</v>
      </c>
      <c r="E132" s="695">
        <f>C132*D132</f>
        <v>0</v>
      </c>
      <c r="F132" s="710"/>
      <c r="G132" s="693" t="s">
        <v>453</v>
      </c>
      <c r="H132" s="844" t="s">
        <v>497</v>
      </c>
      <c r="I132" s="747">
        <f>VLOOKUP(H124,'CNKT '!$D$16:$AA$96,18,0)</f>
        <v>0</v>
      </c>
      <c r="J132" s="697">
        <v>10000</v>
      </c>
      <c r="K132" s="695">
        <f>I132*J132</f>
        <v>0</v>
      </c>
      <c r="L132" s="690"/>
    </row>
    <row r="133" spans="1:13" s="27" customFormat="1" ht="17.25" customHeight="1">
      <c r="A133" s="693" t="s">
        <v>453</v>
      </c>
      <c r="B133" s="844" t="s">
        <v>497</v>
      </c>
      <c r="C133" s="747">
        <f>VLOOKUP(B124,'CNKT '!$D$16:$AA$96,19,0)</f>
        <v>0</v>
      </c>
      <c r="D133" s="697">
        <v>20000</v>
      </c>
      <c r="E133" s="695">
        <f>C133*D133</f>
        <v>0</v>
      </c>
      <c r="F133" s="710"/>
      <c r="G133" s="693" t="s">
        <v>453</v>
      </c>
      <c r="H133" s="844" t="s">
        <v>497</v>
      </c>
      <c r="I133" s="747">
        <f>VLOOKUP(H124,'CNKT '!$D$16:$AA$96,19,0)</f>
        <v>0</v>
      </c>
      <c r="J133" s="697">
        <v>20000</v>
      </c>
      <c r="K133" s="695">
        <f>I133*J133</f>
        <v>0</v>
      </c>
      <c r="L133" s="690"/>
    </row>
    <row r="134" spans="1:13" s="27" customFormat="1" ht="17.25" customHeight="1">
      <c r="A134" s="693" t="s">
        <v>512</v>
      </c>
      <c r="B134" s="844" t="s">
        <v>513</v>
      </c>
      <c r="C134" s="747"/>
      <c r="D134" s="697"/>
      <c r="E134" s="695"/>
      <c r="F134" s="710"/>
      <c r="G134" s="693" t="s">
        <v>512</v>
      </c>
      <c r="H134" s="844" t="s">
        <v>513</v>
      </c>
      <c r="I134" s="747"/>
      <c r="J134" s="697"/>
      <c r="K134" s="695"/>
      <c r="L134" s="690"/>
    </row>
    <row r="135" spans="1:13" s="27" customFormat="1" ht="17.25" customHeight="1">
      <c r="A135" s="699" t="s">
        <v>79</v>
      </c>
      <c r="B135" s="845" t="s">
        <v>532</v>
      </c>
      <c r="C135" s="700"/>
      <c r="D135" s="701"/>
      <c r="E135" s="700"/>
      <c r="F135" s="710"/>
      <c r="G135" s="699" t="s">
        <v>79</v>
      </c>
      <c r="H135" s="845" t="s">
        <v>532</v>
      </c>
      <c r="I135" s="700"/>
      <c r="J135" s="701"/>
      <c r="K135" s="700"/>
      <c r="L135" s="690"/>
    </row>
    <row r="136" spans="1:13" s="27" customFormat="1" ht="17.25" customHeight="1">
      <c r="A136" s="702" t="s">
        <v>80</v>
      </c>
      <c r="B136" s="846" t="s">
        <v>533</v>
      </c>
      <c r="C136" s="700"/>
      <c r="D136" s="700"/>
      <c r="E136" s="700"/>
      <c r="F136" s="713"/>
      <c r="G136" s="702" t="s">
        <v>80</v>
      </c>
      <c r="H136" s="846" t="s">
        <v>533</v>
      </c>
      <c r="I136" s="700"/>
      <c r="J136" s="700"/>
      <c r="K136" s="700"/>
      <c r="L136" s="690"/>
    </row>
    <row r="137" spans="1:13" s="27" customFormat="1" ht="17.25" customHeight="1">
      <c r="A137" s="702" t="s">
        <v>81</v>
      </c>
      <c r="B137" s="847" t="s">
        <v>534</v>
      </c>
      <c r="C137" s="700"/>
      <c r="D137" s="700"/>
      <c r="E137" s="695">
        <f>SUM(E136)</f>
        <v>0</v>
      </c>
      <c r="F137" s="713"/>
      <c r="G137" s="702" t="s">
        <v>81</v>
      </c>
      <c r="H137" s="847" t="s">
        <v>534</v>
      </c>
      <c r="I137" s="700"/>
      <c r="J137" s="700"/>
      <c r="K137" s="695">
        <f>SUM(K136)</f>
        <v>0</v>
      </c>
      <c r="L137" s="690"/>
      <c r="M137" s="703">
        <f>E137+K137</f>
        <v>0</v>
      </c>
    </row>
    <row r="138" spans="1:13" s="27" customFormat="1" ht="17.25" customHeight="1">
      <c r="A138" s="704" t="s">
        <v>82</v>
      </c>
      <c r="B138" s="848" t="s">
        <v>438</v>
      </c>
      <c r="C138" s="705"/>
      <c r="D138" s="705"/>
      <c r="E138" s="705">
        <f>(E126+E127+E128+E129+E130+E131+E132+E133+E134)-E137</f>
        <v>791572.14</v>
      </c>
      <c r="F138" s="713"/>
      <c r="G138" s="704" t="s">
        <v>82</v>
      </c>
      <c r="H138" s="848" t="s">
        <v>438</v>
      </c>
      <c r="I138" s="705"/>
      <c r="J138" s="705"/>
      <c r="K138" s="705">
        <f>(K126+K127+K128+K129+K130+K131+K132+K133+K134)-K137</f>
        <v>966340.03200000012</v>
      </c>
      <c r="L138" s="707">
        <f>E138+K138</f>
        <v>1757912.1720000003</v>
      </c>
    </row>
    <row r="139" spans="1:13" s="27" customFormat="1" ht="6.75" customHeight="1">
      <c r="A139" s="710"/>
      <c r="B139" s="715"/>
      <c r="C139" s="716"/>
      <c r="D139" s="716"/>
      <c r="E139" s="714"/>
      <c r="F139" s="713"/>
      <c r="G139" s="710"/>
      <c r="H139" s="715"/>
      <c r="I139" s="716"/>
      <c r="J139" s="714"/>
      <c r="K139" s="708"/>
      <c r="L139" s="690"/>
    </row>
    <row r="140" spans="1:13" s="27" customFormat="1" ht="17.25" customHeight="1">
      <c r="A140" s="1567" t="str">
        <f>G123</f>
        <v>LƯƠNG THÁNG 01/2025</v>
      </c>
      <c r="B140" s="1568"/>
      <c r="C140" s="1568"/>
      <c r="D140" s="1568"/>
      <c r="E140" s="766">
        <v>17</v>
      </c>
      <c r="F140" s="710"/>
      <c r="G140" s="1567" t="str">
        <f>A140</f>
        <v>LƯƠNG THÁNG 01/2025</v>
      </c>
      <c r="H140" s="1568"/>
      <c r="I140" s="1568"/>
      <c r="J140" s="1569"/>
      <c r="K140" s="766">
        <v>18</v>
      </c>
      <c r="L140" s="690"/>
    </row>
    <row r="141" spans="1:13" s="27" customFormat="1" ht="17.25" customHeight="1">
      <c r="A141" s="709" t="s">
        <v>15</v>
      </c>
      <c r="B141" s="840" t="str">
        <f>'CNKT '!D32</f>
        <v>T. Lọi</v>
      </c>
      <c r="C141" s="691"/>
      <c r="D141" s="838" t="s">
        <v>396</v>
      </c>
      <c r="E141" s="838" t="s">
        <v>18</v>
      </c>
      <c r="F141" s="710"/>
      <c r="G141" s="709" t="s">
        <v>15</v>
      </c>
      <c r="H141" s="840" t="str">
        <f>'CNKT '!D33</f>
        <v>T. Phô Thong</v>
      </c>
      <c r="I141" s="691"/>
      <c r="J141" s="838" t="s">
        <v>396</v>
      </c>
      <c r="K141" s="838" t="s">
        <v>18</v>
      </c>
      <c r="L141" s="690"/>
    </row>
    <row r="142" spans="1:13" s="27" customFormat="1" ht="17.25" customHeight="1">
      <c r="A142" s="693" t="s">
        <v>397</v>
      </c>
      <c r="B142" s="842" t="s">
        <v>527</v>
      </c>
      <c r="C142" s="694">
        <f>VLOOKUP(B141,'BTH mủ tạp'!$D$17:$AN$94,36,0)</f>
        <v>979.3663630195781</v>
      </c>
      <c r="D142" s="695"/>
      <c r="E142" s="695"/>
      <c r="F142" s="710"/>
      <c r="G142" s="693" t="s">
        <v>397</v>
      </c>
      <c r="H142" s="842" t="s">
        <v>527</v>
      </c>
      <c r="I142" s="694">
        <f>VLOOKUP(H141,'BTH mủ tạp'!$D$17:$AN$94,36,0)</f>
        <v>1265.4786007009607</v>
      </c>
      <c r="J142" s="695"/>
      <c r="K142" s="695"/>
      <c r="L142" s="690"/>
    </row>
    <row r="143" spans="1:13" s="27" customFormat="1" ht="17.25" customHeight="1">
      <c r="A143" s="693" t="s">
        <v>77</v>
      </c>
      <c r="B143" s="843" t="s">
        <v>432</v>
      </c>
      <c r="C143" s="696">
        <f>VLOOKUP(B141,'CNKT '!$D$16:$AA$96,3,0)</f>
        <v>0</v>
      </c>
      <c r="D143" s="697">
        <v>25000</v>
      </c>
      <c r="E143" s="695">
        <f>C143*D143</f>
        <v>0</v>
      </c>
      <c r="F143" s="710"/>
      <c r="G143" s="693" t="s">
        <v>77</v>
      </c>
      <c r="H143" s="843" t="s">
        <v>432</v>
      </c>
      <c r="I143" s="696">
        <f>VLOOKUP(H141,'CNKT '!$D$16:$AA$96,3,0)</f>
        <v>0</v>
      </c>
      <c r="J143" s="697">
        <v>25000</v>
      </c>
      <c r="K143" s="695">
        <f>I143*J143</f>
        <v>0</v>
      </c>
      <c r="L143" s="690"/>
    </row>
    <row r="144" spans="1:13" s="27" customFormat="1" ht="17.25" customHeight="1">
      <c r="A144" s="693" t="s">
        <v>307</v>
      </c>
      <c r="B144" s="844" t="s">
        <v>528</v>
      </c>
      <c r="C144" s="747">
        <f>VLOOKUP(B141,'CNKT '!$D$16:$AA$96,11,0)</f>
        <v>19</v>
      </c>
      <c r="D144" s="698">
        <f>46.1*$B$2</f>
        <v>30833.524000000001</v>
      </c>
      <c r="E144" s="695">
        <f t="shared" ref="E144:E148" si="16">C144*D144</f>
        <v>585836.95600000001</v>
      </c>
      <c r="F144" s="710"/>
      <c r="G144" s="693" t="s">
        <v>307</v>
      </c>
      <c r="H144" s="844" t="s">
        <v>528</v>
      </c>
      <c r="I144" s="747">
        <f>VLOOKUP(H141,'CNKT '!$D$16:$AA$96,11,0)</f>
        <v>23</v>
      </c>
      <c r="J144" s="698">
        <f>46.1*$B$2</f>
        <v>30833.524000000001</v>
      </c>
      <c r="K144" s="695">
        <f t="shared" ref="K144:K148" si="17">I144*J144</f>
        <v>709171.05200000003</v>
      </c>
      <c r="L144" s="690"/>
    </row>
    <row r="145" spans="1:13" s="27" customFormat="1" ht="17.25" customHeight="1">
      <c r="A145" s="693" t="s">
        <v>399</v>
      </c>
      <c r="B145" s="844" t="s">
        <v>529</v>
      </c>
      <c r="C145" s="747">
        <f>VLOOKUP(B141,'CNKT '!$D$16:$AA$96,12,0)</f>
        <v>4</v>
      </c>
      <c r="D145" s="697">
        <f>76.9*$B$2</f>
        <v>51433.796000000009</v>
      </c>
      <c r="E145" s="695">
        <f t="shared" si="16"/>
        <v>205735.18400000004</v>
      </c>
      <c r="F145" s="713"/>
      <c r="G145" s="693" t="s">
        <v>399</v>
      </c>
      <c r="H145" s="844" t="s">
        <v>529</v>
      </c>
      <c r="I145" s="747">
        <f>VLOOKUP(H141,'CNKT '!$D$16:$AA$96,12,0)</f>
        <v>5</v>
      </c>
      <c r="J145" s="697">
        <f>76.9*$B$2</f>
        <v>51433.796000000009</v>
      </c>
      <c r="K145" s="695">
        <f t="shared" si="17"/>
        <v>257168.98000000004</v>
      </c>
      <c r="L145" s="690"/>
    </row>
    <row r="146" spans="1:13" s="27" customFormat="1" ht="17.25" customHeight="1">
      <c r="A146" s="693" t="s">
        <v>78</v>
      </c>
      <c r="B146" s="844" t="s">
        <v>530</v>
      </c>
      <c r="C146" s="747">
        <f>VLOOKUP(B141,'CNKT '!$D$16:$AA$96,8,0)</f>
        <v>979.36636301957844</v>
      </c>
      <c r="D146" s="697">
        <f>IF(C142="A",6.1,IF(C142="B",5.8,IF(C142="C",5.5,IF(C142="C.",5.5,IF(C142="D",5.2)))))*$B$2</f>
        <v>0</v>
      </c>
      <c r="E146" s="695">
        <f t="shared" si="16"/>
        <v>0</v>
      </c>
      <c r="F146" s="839"/>
      <c r="G146" s="693" t="s">
        <v>78</v>
      </c>
      <c r="H146" s="844" t="s">
        <v>530</v>
      </c>
      <c r="I146" s="747">
        <f>VLOOKUP(H141,'CNKT '!$D$16:$AA$96,8,0)</f>
        <v>1265.4786007009609</v>
      </c>
      <c r="J146" s="697">
        <f>IF(I142="A",6.1,IF(I142="B",5.8,IF(I142="C",5.5,IF(I142="C.",5.5,IF(I142="D",5.2)))))*$B$2</f>
        <v>0</v>
      </c>
      <c r="K146" s="695">
        <f t="shared" si="17"/>
        <v>0</v>
      </c>
      <c r="L146" s="690"/>
    </row>
    <row r="147" spans="1:13" s="27" customFormat="1" ht="17.25" customHeight="1">
      <c r="A147" s="693" t="s">
        <v>491</v>
      </c>
      <c r="B147" s="844" t="s">
        <v>531</v>
      </c>
      <c r="C147" s="747">
        <f>VLOOKUP(B141,'CNKT '!$D$16:$AA$96,15,0)</f>
        <v>0</v>
      </c>
      <c r="D147" s="698">
        <f>92.2*$B$2</f>
        <v>61667.048000000003</v>
      </c>
      <c r="E147" s="695">
        <f t="shared" si="16"/>
        <v>0</v>
      </c>
      <c r="F147" s="839"/>
      <c r="G147" s="693" t="s">
        <v>491</v>
      </c>
      <c r="H147" s="844" t="s">
        <v>531</v>
      </c>
      <c r="I147" s="747">
        <f>VLOOKUP(H141,'CNKT '!$D$16:$AA$96,15,0)</f>
        <v>0</v>
      </c>
      <c r="J147" s="698">
        <f>92.2*$B$2</f>
        <v>61667.048000000003</v>
      </c>
      <c r="K147" s="695">
        <f t="shared" si="17"/>
        <v>0</v>
      </c>
      <c r="L147" s="690"/>
    </row>
    <row r="148" spans="1:13" s="27" customFormat="1" ht="17.25" customHeight="1">
      <c r="A148" s="693" t="s">
        <v>492</v>
      </c>
      <c r="B148" s="844" t="s">
        <v>496</v>
      </c>
      <c r="C148" s="747">
        <f>VLOOKUP(B141,'CNKT '!$D$16:$AA$96,16,0)</f>
        <v>0</v>
      </c>
      <c r="D148" s="697">
        <f>153.8*$B$2</f>
        <v>102867.59200000002</v>
      </c>
      <c r="E148" s="695">
        <f t="shared" si="16"/>
        <v>0</v>
      </c>
      <c r="F148" s="839"/>
      <c r="G148" s="693" t="s">
        <v>492</v>
      </c>
      <c r="H148" s="844" t="s">
        <v>496</v>
      </c>
      <c r="I148" s="747">
        <f>VLOOKUP(H141,'CNKT '!$D$16:$AA$96,16,0)</f>
        <v>0</v>
      </c>
      <c r="J148" s="697">
        <f>153.8*$B$2</f>
        <v>102867.59200000002</v>
      </c>
      <c r="K148" s="695">
        <f t="shared" si="17"/>
        <v>0</v>
      </c>
      <c r="L148" s="690"/>
    </row>
    <row r="149" spans="1:13" s="27" customFormat="1" ht="17.25" customHeight="1">
      <c r="A149" s="693" t="s">
        <v>453</v>
      </c>
      <c r="B149" s="844" t="s">
        <v>497</v>
      </c>
      <c r="C149" s="747">
        <f>VLOOKUP(B141,'CNKT '!$D$16:$AA$96,18,0)</f>
        <v>0</v>
      </c>
      <c r="D149" s="697">
        <v>10000</v>
      </c>
      <c r="E149" s="695">
        <f>C149*D149</f>
        <v>0</v>
      </c>
      <c r="F149" s="839"/>
      <c r="G149" s="693" t="s">
        <v>453</v>
      </c>
      <c r="H149" s="844" t="s">
        <v>497</v>
      </c>
      <c r="I149" s="747">
        <f>VLOOKUP(H141,'CNKT '!$D$16:$AA$96,18,0)</f>
        <v>0</v>
      </c>
      <c r="J149" s="697">
        <v>10000</v>
      </c>
      <c r="K149" s="695">
        <f>I149*J149</f>
        <v>0</v>
      </c>
      <c r="L149" s="690"/>
    </row>
    <row r="150" spans="1:13" s="27" customFormat="1" ht="17.25" customHeight="1">
      <c r="A150" s="693" t="s">
        <v>453</v>
      </c>
      <c r="B150" s="844" t="s">
        <v>497</v>
      </c>
      <c r="C150" s="747">
        <f>VLOOKUP(B141,'CNKT '!$D$16:$AA$96,19,0)</f>
        <v>0</v>
      </c>
      <c r="D150" s="697">
        <v>20000</v>
      </c>
      <c r="E150" s="695">
        <f>C150*D150</f>
        <v>0</v>
      </c>
      <c r="F150" s="839"/>
      <c r="G150" s="693" t="s">
        <v>453</v>
      </c>
      <c r="H150" s="844" t="s">
        <v>497</v>
      </c>
      <c r="I150" s="747">
        <f>VLOOKUP(H141,'CNKT '!$D$16:$AA$96,19,0)</f>
        <v>0</v>
      </c>
      <c r="J150" s="697">
        <v>20000</v>
      </c>
      <c r="K150" s="695">
        <f>I150*J150</f>
        <v>0</v>
      </c>
      <c r="L150" s="690"/>
    </row>
    <row r="151" spans="1:13" s="27" customFormat="1" ht="17.25" customHeight="1">
      <c r="A151" s="693" t="s">
        <v>512</v>
      </c>
      <c r="B151" s="844" t="s">
        <v>513</v>
      </c>
      <c r="C151" s="747"/>
      <c r="D151" s="697"/>
      <c r="E151" s="695"/>
      <c r="F151" s="839"/>
      <c r="G151" s="693" t="s">
        <v>512</v>
      </c>
      <c r="H151" s="844" t="s">
        <v>513</v>
      </c>
      <c r="I151" s="747"/>
      <c r="J151" s="697"/>
      <c r="K151" s="695"/>
      <c r="L151" s="690"/>
    </row>
    <row r="152" spans="1:13" s="27" customFormat="1" ht="17.25" customHeight="1">
      <c r="A152" s="699" t="s">
        <v>79</v>
      </c>
      <c r="B152" s="845" t="s">
        <v>532</v>
      </c>
      <c r="C152" s="700"/>
      <c r="D152" s="701"/>
      <c r="E152" s="700"/>
      <c r="F152" s="714"/>
      <c r="G152" s="699" t="s">
        <v>79</v>
      </c>
      <c r="H152" s="845" t="s">
        <v>532</v>
      </c>
      <c r="I152" s="700"/>
      <c r="J152" s="701"/>
      <c r="K152" s="700"/>
      <c r="L152" s="690"/>
    </row>
    <row r="153" spans="1:13" s="27" customFormat="1" ht="17.25" customHeight="1">
      <c r="A153" s="702" t="s">
        <v>80</v>
      </c>
      <c r="B153" s="846" t="s">
        <v>533</v>
      </c>
      <c r="C153" s="700"/>
      <c r="D153" s="700"/>
      <c r="E153" s="700"/>
      <c r="F153" s="714"/>
      <c r="G153" s="702" t="s">
        <v>80</v>
      </c>
      <c r="H153" s="846" t="s">
        <v>533</v>
      </c>
      <c r="I153" s="700"/>
      <c r="J153" s="700"/>
      <c r="K153" s="700"/>
      <c r="L153" s="690"/>
    </row>
    <row r="154" spans="1:13" s="27" customFormat="1" ht="17.25" customHeight="1">
      <c r="A154" s="702" t="s">
        <v>81</v>
      </c>
      <c r="B154" s="847" t="s">
        <v>534</v>
      </c>
      <c r="C154" s="700"/>
      <c r="D154" s="700"/>
      <c r="E154" s="695">
        <f>SUM(E153)</f>
        <v>0</v>
      </c>
      <c r="F154" s="714"/>
      <c r="G154" s="702" t="s">
        <v>81</v>
      </c>
      <c r="H154" s="847" t="s">
        <v>534</v>
      </c>
      <c r="I154" s="700"/>
      <c r="J154" s="700"/>
      <c r="K154" s="695">
        <f>SUM(K153)</f>
        <v>0</v>
      </c>
      <c r="L154" s="690"/>
      <c r="M154" s="703">
        <f>E154+K154</f>
        <v>0</v>
      </c>
    </row>
    <row r="155" spans="1:13" s="27" customFormat="1" ht="17.25" customHeight="1">
      <c r="A155" s="704" t="s">
        <v>82</v>
      </c>
      <c r="B155" s="848" t="s">
        <v>438</v>
      </c>
      <c r="C155" s="705"/>
      <c r="D155" s="705"/>
      <c r="E155" s="705">
        <f>(E143+E144+E145+E146+E147+E148+E149+E150+E151)-E154</f>
        <v>791572.14</v>
      </c>
      <c r="F155" s="714"/>
      <c r="G155" s="704" t="s">
        <v>82</v>
      </c>
      <c r="H155" s="848" t="s">
        <v>438</v>
      </c>
      <c r="I155" s="705"/>
      <c r="J155" s="705"/>
      <c r="K155" s="705">
        <f>(K143+K144+K145+K146+K147+K148+K149+K150+K151)-K154</f>
        <v>966340.03200000012</v>
      </c>
      <c r="L155" s="707">
        <f>E155+K155</f>
        <v>1757912.1720000003</v>
      </c>
    </row>
    <row r="156" spans="1:13" s="27" customFormat="1" ht="12" customHeight="1">
      <c r="A156" s="710"/>
      <c r="B156" s="715"/>
      <c r="C156" s="716"/>
      <c r="D156" s="716"/>
      <c r="E156" s="714"/>
      <c r="F156" s="714"/>
      <c r="G156" s="710"/>
      <c r="H156" s="715"/>
      <c r="I156" s="716"/>
      <c r="J156" s="714"/>
      <c r="K156" s="724"/>
      <c r="L156" s="690"/>
    </row>
    <row r="157" spans="1:13" s="27" customFormat="1" ht="17.25" customHeight="1">
      <c r="A157" s="1567" t="str">
        <f>G140</f>
        <v>LƯƠNG THÁNG 01/2025</v>
      </c>
      <c r="B157" s="1568"/>
      <c r="C157" s="1568"/>
      <c r="D157" s="1568"/>
      <c r="E157" s="766">
        <v>19</v>
      </c>
      <c r="F157" s="710"/>
      <c r="G157" s="1567" t="str">
        <f>A157</f>
        <v>LƯƠNG THÁNG 01/2025</v>
      </c>
      <c r="H157" s="1568"/>
      <c r="I157" s="1568"/>
      <c r="J157" s="1569"/>
      <c r="K157" s="766">
        <v>20</v>
      </c>
      <c r="L157" s="690"/>
    </row>
    <row r="158" spans="1:13" s="27" customFormat="1" ht="17.25" customHeight="1">
      <c r="A158" s="709" t="s">
        <v>15</v>
      </c>
      <c r="B158" s="840" t="str">
        <f>'CNKT '!D34</f>
        <v>N. Soi</v>
      </c>
      <c r="C158" s="691"/>
      <c r="D158" s="838" t="s">
        <v>396</v>
      </c>
      <c r="E158" s="838" t="s">
        <v>18</v>
      </c>
      <c r="F158" s="713"/>
      <c r="G158" s="709" t="s">
        <v>15</v>
      </c>
      <c r="H158" s="840" t="str">
        <f>'CNKT '!D35</f>
        <v>N. Me Kha La</v>
      </c>
      <c r="I158" s="691"/>
      <c r="J158" s="838" t="s">
        <v>396</v>
      </c>
      <c r="K158" s="838" t="s">
        <v>18</v>
      </c>
      <c r="L158" s="690"/>
    </row>
    <row r="159" spans="1:13" s="27" customFormat="1" ht="17.25" customHeight="1">
      <c r="A159" s="693" t="s">
        <v>397</v>
      </c>
      <c r="B159" s="842" t="s">
        <v>527</v>
      </c>
      <c r="C159" s="694">
        <f>VLOOKUP(B158,'BTH mủ tạp'!$D$17:$AN$94,36,0)</f>
        <v>682.58867725606967</v>
      </c>
      <c r="D159" s="695"/>
      <c r="E159" s="695"/>
      <c r="F159" s="713"/>
      <c r="G159" s="693" t="s">
        <v>397</v>
      </c>
      <c r="H159" s="842" t="s">
        <v>527</v>
      </c>
      <c r="I159" s="694">
        <f>VLOOKUP(H158,'BTH mủ tạp'!$D$17:$AN$94,36,0)</f>
        <v>1047.9962028523896</v>
      </c>
      <c r="J159" s="695"/>
      <c r="K159" s="695"/>
      <c r="L159" s="690"/>
    </row>
    <row r="160" spans="1:13" s="27" customFormat="1" ht="17.25" customHeight="1">
      <c r="A160" s="693" t="s">
        <v>77</v>
      </c>
      <c r="B160" s="843" t="s">
        <v>432</v>
      </c>
      <c r="C160" s="696">
        <f>VLOOKUP(B158,'CNKT '!$D$16:$AA$96,3,0)</f>
        <v>0</v>
      </c>
      <c r="D160" s="697">
        <v>25000</v>
      </c>
      <c r="E160" s="695">
        <f>C160*D160</f>
        <v>0</v>
      </c>
      <c r="F160" s="839"/>
      <c r="G160" s="693" t="s">
        <v>77</v>
      </c>
      <c r="H160" s="843" t="s">
        <v>432</v>
      </c>
      <c r="I160" s="696">
        <f>VLOOKUP(H158,'CNKT '!$D$16:$AA$96,3,0)</f>
        <v>0</v>
      </c>
      <c r="J160" s="697">
        <v>25000</v>
      </c>
      <c r="K160" s="695">
        <f>I160*J160</f>
        <v>0</v>
      </c>
      <c r="L160" s="690"/>
    </row>
    <row r="161" spans="1:13" s="27" customFormat="1" ht="17.25" customHeight="1">
      <c r="A161" s="693" t="s">
        <v>307</v>
      </c>
      <c r="B161" s="844" t="s">
        <v>528</v>
      </c>
      <c r="C161" s="747">
        <f>VLOOKUP(B158,'CNKT '!$D$16:$AA$96,11,0)</f>
        <v>20</v>
      </c>
      <c r="D161" s="698">
        <f>46.1*$B$2</f>
        <v>30833.524000000001</v>
      </c>
      <c r="E161" s="695">
        <f t="shared" ref="E161:E165" si="18">C161*D161</f>
        <v>616670.48</v>
      </c>
      <c r="F161" s="714"/>
      <c r="G161" s="693" t="s">
        <v>307</v>
      </c>
      <c r="H161" s="844" t="s">
        <v>528</v>
      </c>
      <c r="I161" s="747">
        <f>VLOOKUP(H158,'CNKT '!$D$16:$AA$96,11,0)</f>
        <v>19</v>
      </c>
      <c r="J161" s="698">
        <f>46.1*$B$2</f>
        <v>30833.524000000001</v>
      </c>
      <c r="K161" s="695">
        <f t="shared" ref="K161:K165" si="19">I161*J161</f>
        <v>585836.95600000001</v>
      </c>
      <c r="L161" s="690"/>
    </row>
    <row r="162" spans="1:13" s="27" customFormat="1" ht="17.25" customHeight="1">
      <c r="A162" s="693" t="s">
        <v>399</v>
      </c>
      <c r="B162" s="844" t="s">
        <v>529</v>
      </c>
      <c r="C162" s="747">
        <f>VLOOKUP(B158,'CNKT '!$D$16:$AA$96,12,0)</f>
        <v>5</v>
      </c>
      <c r="D162" s="697">
        <f>76.9*$B$2</f>
        <v>51433.796000000009</v>
      </c>
      <c r="E162" s="695">
        <f t="shared" si="18"/>
        <v>257168.98000000004</v>
      </c>
      <c r="F162" s="713"/>
      <c r="G162" s="693" t="s">
        <v>399</v>
      </c>
      <c r="H162" s="844" t="s">
        <v>529</v>
      </c>
      <c r="I162" s="747">
        <f>VLOOKUP(H158,'CNKT '!$D$16:$AA$96,12,0)</f>
        <v>5</v>
      </c>
      <c r="J162" s="697">
        <f>76.9*$B$2</f>
        <v>51433.796000000009</v>
      </c>
      <c r="K162" s="695">
        <f t="shared" si="19"/>
        <v>257168.98000000004</v>
      </c>
      <c r="L162" s="690"/>
    </row>
    <row r="163" spans="1:13" s="27" customFormat="1" ht="17.25" customHeight="1">
      <c r="A163" s="693" t="s">
        <v>78</v>
      </c>
      <c r="B163" s="844" t="s">
        <v>530</v>
      </c>
      <c r="C163" s="747">
        <f>VLOOKUP(B158,'CNKT '!$D$16:$AA$96,8,0)</f>
        <v>682.58867725606979</v>
      </c>
      <c r="D163" s="697">
        <f>IF(C159="A",6.1,IF(C159="B",5.8,IF(C159="C",5.5,IF(C159="C.",5.5,IF(C159="D",5.2)))))*$B$2</f>
        <v>0</v>
      </c>
      <c r="E163" s="695">
        <f t="shared" si="18"/>
        <v>0</v>
      </c>
      <c r="F163" s="839"/>
      <c r="G163" s="693" t="s">
        <v>78</v>
      </c>
      <c r="H163" s="844" t="s">
        <v>530</v>
      </c>
      <c r="I163" s="747">
        <f>VLOOKUP(H158,'CNKT '!$D$16:$AA$96,8,0)</f>
        <v>1047.9962028523898</v>
      </c>
      <c r="J163" s="697">
        <f>IF(I159="A",6.1,IF(I159="B",5.8,IF(I159="C",5.5,IF(I159="C.",5.5,IF(I159="D",5.2)))))*$B$2</f>
        <v>0</v>
      </c>
      <c r="K163" s="695">
        <f t="shared" si="19"/>
        <v>0</v>
      </c>
      <c r="L163" s="690"/>
    </row>
    <row r="164" spans="1:13" s="27" customFormat="1" ht="17.25" customHeight="1">
      <c r="A164" s="693" t="s">
        <v>491</v>
      </c>
      <c r="B164" s="844" t="s">
        <v>531</v>
      </c>
      <c r="C164" s="747">
        <f>VLOOKUP(B158,'CNKT '!$D$16:$AA$96,15,0)</f>
        <v>0</v>
      </c>
      <c r="D164" s="698">
        <f>92.2*$B$2</f>
        <v>61667.048000000003</v>
      </c>
      <c r="E164" s="695">
        <f t="shared" si="18"/>
        <v>0</v>
      </c>
      <c r="F164" s="839"/>
      <c r="G164" s="693" t="s">
        <v>491</v>
      </c>
      <c r="H164" s="844" t="s">
        <v>531</v>
      </c>
      <c r="I164" s="747">
        <f>VLOOKUP(H158,'CNKT '!$D$16:$AA$96,15,0)</f>
        <v>0</v>
      </c>
      <c r="J164" s="698">
        <f>92.2*$B$2</f>
        <v>61667.048000000003</v>
      </c>
      <c r="K164" s="695">
        <f t="shared" si="19"/>
        <v>0</v>
      </c>
      <c r="L164" s="690"/>
    </row>
    <row r="165" spans="1:13" s="27" customFormat="1" ht="17.25" customHeight="1">
      <c r="A165" s="693" t="s">
        <v>492</v>
      </c>
      <c r="B165" s="844" t="s">
        <v>496</v>
      </c>
      <c r="C165" s="747">
        <f>VLOOKUP(B158,'CNKT '!$D$16:$AA$96,16,0)</f>
        <v>0</v>
      </c>
      <c r="D165" s="697">
        <f>153.8*$B$2</f>
        <v>102867.59200000002</v>
      </c>
      <c r="E165" s="695">
        <f t="shared" si="18"/>
        <v>0</v>
      </c>
      <c r="F165" s="839"/>
      <c r="G165" s="693" t="s">
        <v>492</v>
      </c>
      <c r="H165" s="844" t="s">
        <v>496</v>
      </c>
      <c r="I165" s="747">
        <f>VLOOKUP(H158,'CNKT '!$D$16:$AA$96,16,0)</f>
        <v>0</v>
      </c>
      <c r="J165" s="697">
        <f>153.8*$B$2</f>
        <v>102867.59200000002</v>
      </c>
      <c r="K165" s="695">
        <f t="shared" si="19"/>
        <v>0</v>
      </c>
      <c r="L165" s="690"/>
    </row>
    <row r="166" spans="1:13" s="27" customFormat="1" ht="17.25" customHeight="1">
      <c r="A166" s="693" t="s">
        <v>453</v>
      </c>
      <c r="B166" s="844" t="s">
        <v>497</v>
      </c>
      <c r="C166" s="747">
        <f>VLOOKUP(B158,'CNKT '!$D$16:$AA$96,18,0)</f>
        <v>0</v>
      </c>
      <c r="D166" s="697">
        <v>10000</v>
      </c>
      <c r="E166" s="695">
        <f>C166*D166</f>
        <v>0</v>
      </c>
      <c r="F166" s="839"/>
      <c r="G166" s="693" t="s">
        <v>453</v>
      </c>
      <c r="H166" s="844" t="s">
        <v>497</v>
      </c>
      <c r="I166" s="747">
        <f>VLOOKUP(H158,'CNKT '!$D$16:$AA$96,18,0)</f>
        <v>0</v>
      </c>
      <c r="J166" s="697">
        <v>10000</v>
      </c>
      <c r="K166" s="695">
        <f>I166*J166</f>
        <v>0</v>
      </c>
      <c r="L166" s="690"/>
    </row>
    <row r="167" spans="1:13" s="27" customFormat="1" ht="17.25" customHeight="1">
      <c r="A167" s="693" t="s">
        <v>453</v>
      </c>
      <c r="B167" s="844" t="s">
        <v>497</v>
      </c>
      <c r="C167" s="747">
        <f>VLOOKUP(B158,'CNKT '!$D$16:$AA$96,19,0)</f>
        <v>0</v>
      </c>
      <c r="D167" s="697">
        <v>20000</v>
      </c>
      <c r="E167" s="695">
        <f>C167*D167</f>
        <v>0</v>
      </c>
      <c r="F167" s="839"/>
      <c r="G167" s="693" t="s">
        <v>453</v>
      </c>
      <c r="H167" s="844" t="s">
        <v>497</v>
      </c>
      <c r="I167" s="747">
        <f>VLOOKUP(H158,'CNKT '!$D$16:$AA$96,19,0)</f>
        <v>0</v>
      </c>
      <c r="J167" s="697">
        <v>20000</v>
      </c>
      <c r="K167" s="695">
        <f>I167*J167</f>
        <v>0</v>
      </c>
      <c r="L167" s="690"/>
    </row>
    <row r="168" spans="1:13" s="27" customFormat="1" ht="17.25" customHeight="1">
      <c r="A168" s="693" t="s">
        <v>512</v>
      </c>
      <c r="B168" s="844" t="s">
        <v>513</v>
      </c>
      <c r="C168" s="747"/>
      <c r="D168" s="697"/>
      <c r="E168" s="695"/>
      <c r="F168" s="839"/>
      <c r="G168" s="693" t="s">
        <v>512</v>
      </c>
      <c r="H168" s="844" t="s">
        <v>513</v>
      </c>
      <c r="I168" s="747"/>
      <c r="J168" s="697"/>
      <c r="K168" s="695"/>
      <c r="L168" s="690"/>
    </row>
    <row r="169" spans="1:13" s="27" customFormat="1" ht="17.25" customHeight="1">
      <c r="A169" s="699" t="s">
        <v>79</v>
      </c>
      <c r="B169" s="845" t="s">
        <v>532</v>
      </c>
      <c r="C169" s="700"/>
      <c r="D169" s="701"/>
      <c r="E169" s="700"/>
      <c r="F169" s="710"/>
      <c r="G169" s="699" t="s">
        <v>79</v>
      </c>
      <c r="H169" s="845" t="s">
        <v>532</v>
      </c>
      <c r="I169" s="700"/>
      <c r="J169" s="701"/>
      <c r="K169" s="700"/>
      <c r="L169" s="690"/>
    </row>
    <row r="170" spans="1:13" s="27" customFormat="1" ht="17.25" customHeight="1">
      <c r="A170" s="702" t="s">
        <v>80</v>
      </c>
      <c r="B170" s="846" t="s">
        <v>533</v>
      </c>
      <c r="C170" s="700"/>
      <c r="D170" s="700"/>
      <c r="E170" s="700"/>
      <c r="F170" s="710"/>
      <c r="G170" s="702" t="s">
        <v>80</v>
      </c>
      <c r="H170" s="846" t="s">
        <v>533</v>
      </c>
      <c r="I170" s="700"/>
      <c r="J170" s="700"/>
      <c r="K170" s="700"/>
      <c r="L170" s="690"/>
    </row>
    <row r="171" spans="1:13" s="27" customFormat="1" ht="17.25" customHeight="1">
      <c r="A171" s="702" t="s">
        <v>81</v>
      </c>
      <c r="B171" s="847" t="s">
        <v>534</v>
      </c>
      <c r="C171" s="700"/>
      <c r="D171" s="700"/>
      <c r="E171" s="695">
        <f>SUM(E170)</f>
        <v>0</v>
      </c>
      <c r="F171" s="710"/>
      <c r="G171" s="702" t="s">
        <v>81</v>
      </c>
      <c r="H171" s="847" t="s">
        <v>534</v>
      </c>
      <c r="I171" s="700"/>
      <c r="J171" s="700"/>
      <c r="K171" s="695">
        <f>SUM(K170)</f>
        <v>0</v>
      </c>
      <c r="L171" s="690"/>
      <c r="M171" s="703">
        <f>E171+K171</f>
        <v>0</v>
      </c>
    </row>
    <row r="172" spans="1:13" s="27" customFormat="1" ht="17.25" customHeight="1">
      <c r="A172" s="704" t="s">
        <v>82</v>
      </c>
      <c r="B172" s="848" t="s">
        <v>438</v>
      </c>
      <c r="C172" s="705"/>
      <c r="D172" s="705"/>
      <c r="E172" s="705">
        <f>(E160+E161+E162+E163+E164+E165+E166+E167+E168)-E171</f>
        <v>873839.46</v>
      </c>
      <c r="F172" s="710"/>
      <c r="G172" s="704" t="s">
        <v>82</v>
      </c>
      <c r="H172" s="848" t="s">
        <v>438</v>
      </c>
      <c r="I172" s="705"/>
      <c r="J172" s="705"/>
      <c r="K172" s="705">
        <f>(K160+K161+K162+K163+K164+K165+K166+K167+K168)-K171</f>
        <v>843005.93599999999</v>
      </c>
      <c r="L172" s="707">
        <f>E172+K172</f>
        <v>1716845.3959999999</v>
      </c>
    </row>
    <row r="173" spans="1:13" s="27" customFormat="1" ht="63" customHeight="1">
      <c r="A173" s="717"/>
      <c r="B173" s="713"/>
      <c r="C173" s="713"/>
      <c r="D173" s="713"/>
      <c r="E173" s="713"/>
      <c r="F173" s="839"/>
      <c r="G173" s="717"/>
      <c r="H173" s="713"/>
      <c r="I173" s="713"/>
      <c r="J173" s="713"/>
      <c r="K173" s="708"/>
      <c r="L173" s="690"/>
    </row>
    <row r="174" spans="1:13" s="27" customFormat="1" ht="17.25" customHeight="1">
      <c r="A174" s="1567" t="str">
        <f>G157</f>
        <v>LƯƠNG THÁNG 01/2025</v>
      </c>
      <c r="B174" s="1568"/>
      <c r="C174" s="1568"/>
      <c r="D174" s="1568"/>
      <c r="E174" s="766">
        <v>21</v>
      </c>
      <c r="F174" s="714"/>
      <c r="G174" s="1567" t="str">
        <f>A174</f>
        <v>LƯƠNG THÁNG 01/2025</v>
      </c>
      <c r="H174" s="1568"/>
      <c r="I174" s="1568"/>
      <c r="J174" s="1569"/>
      <c r="K174" s="766">
        <v>22</v>
      </c>
      <c r="L174" s="690"/>
    </row>
    <row r="175" spans="1:13" s="27" customFormat="1" ht="17.25" customHeight="1">
      <c r="A175" s="709" t="s">
        <v>15</v>
      </c>
      <c r="B175" s="840" t="str">
        <f>'CNKT '!D36</f>
        <v>N. Mon Khăm</v>
      </c>
      <c r="C175" s="691"/>
      <c r="D175" s="838" t="s">
        <v>396</v>
      </c>
      <c r="E175" s="838" t="s">
        <v>18</v>
      </c>
      <c r="F175" s="714"/>
      <c r="G175" s="709" t="s">
        <v>15</v>
      </c>
      <c r="H175" s="840" t="str">
        <f>'CNKT '!D37</f>
        <v>N. Bua Lay</v>
      </c>
      <c r="I175" s="691"/>
      <c r="J175" s="838" t="s">
        <v>396</v>
      </c>
      <c r="K175" s="838" t="s">
        <v>18</v>
      </c>
      <c r="L175" s="690"/>
    </row>
    <row r="176" spans="1:13" s="27" customFormat="1" ht="17.25" customHeight="1">
      <c r="A176" s="693" t="s">
        <v>397</v>
      </c>
      <c r="B176" s="842" t="s">
        <v>527</v>
      </c>
      <c r="C176" s="694">
        <f>VLOOKUP(B175,'BTH mủ tạp'!$D$17:$AN$94,36,0)</f>
        <v>1042.4316212443237</v>
      </c>
      <c r="D176" s="695"/>
      <c r="E176" s="695"/>
      <c r="F176" s="714"/>
      <c r="G176" s="693" t="s">
        <v>397</v>
      </c>
      <c r="H176" s="842" t="s">
        <v>527</v>
      </c>
      <c r="I176" s="694">
        <f>VLOOKUP(H175,'BTH mủ tạp'!$D$17:$AN$94,36,0)</f>
        <v>845.81640442599939</v>
      </c>
      <c r="J176" s="695"/>
      <c r="K176" s="695"/>
      <c r="L176" s="690"/>
    </row>
    <row r="177" spans="1:13" s="27" customFormat="1" ht="17.25" customHeight="1">
      <c r="A177" s="693" t="s">
        <v>77</v>
      </c>
      <c r="B177" s="843" t="s">
        <v>432</v>
      </c>
      <c r="C177" s="696">
        <f>VLOOKUP(B175,'CNKT '!$D$16:$AA$96,3,0)</f>
        <v>0</v>
      </c>
      <c r="D177" s="697">
        <v>25000</v>
      </c>
      <c r="E177" s="695">
        <f>C177*D177</f>
        <v>0</v>
      </c>
      <c r="F177" s="714"/>
      <c r="G177" s="693" t="s">
        <v>77</v>
      </c>
      <c r="H177" s="843" t="s">
        <v>432</v>
      </c>
      <c r="I177" s="696">
        <f>VLOOKUP(H175,'CNKT '!$D$16:$AA$96,3,0)</f>
        <v>0</v>
      </c>
      <c r="J177" s="697">
        <v>25000</v>
      </c>
      <c r="K177" s="695">
        <f>I177*J177</f>
        <v>0</v>
      </c>
      <c r="L177" s="690"/>
    </row>
    <row r="178" spans="1:13" s="27" customFormat="1" ht="17.25" customHeight="1">
      <c r="A178" s="693" t="s">
        <v>307</v>
      </c>
      <c r="B178" s="844" t="s">
        <v>528</v>
      </c>
      <c r="C178" s="747">
        <f>VLOOKUP(B175,'CNKT '!$D$16:$AA$96,11,0)</f>
        <v>22</v>
      </c>
      <c r="D178" s="698">
        <f>46.1*$B$2</f>
        <v>30833.524000000001</v>
      </c>
      <c r="E178" s="695">
        <f t="shared" ref="E178:E182" si="20">C178*D178</f>
        <v>678337.52800000005</v>
      </c>
      <c r="F178" s="714"/>
      <c r="G178" s="693" t="s">
        <v>307</v>
      </c>
      <c r="H178" s="844" t="s">
        <v>528</v>
      </c>
      <c r="I178" s="747">
        <f>VLOOKUP(H175,'CNKT '!$D$16:$AA$96,11,0)</f>
        <v>23</v>
      </c>
      <c r="J178" s="698">
        <f>46.1*$B$2</f>
        <v>30833.524000000001</v>
      </c>
      <c r="K178" s="695">
        <f t="shared" ref="K178:K182" si="21">I178*J178</f>
        <v>709171.05200000003</v>
      </c>
      <c r="L178" s="690"/>
    </row>
    <row r="179" spans="1:13" s="27" customFormat="1" ht="17.25" customHeight="1">
      <c r="A179" s="693" t="s">
        <v>399</v>
      </c>
      <c r="B179" s="844" t="s">
        <v>529</v>
      </c>
      <c r="C179" s="747">
        <f>VLOOKUP(B175,'CNKT '!$D$16:$AA$96,12,0)</f>
        <v>5</v>
      </c>
      <c r="D179" s="697">
        <f>76.9*$B$2</f>
        <v>51433.796000000009</v>
      </c>
      <c r="E179" s="695">
        <f t="shared" si="20"/>
        <v>257168.98000000004</v>
      </c>
      <c r="F179" s="839"/>
      <c r="G179" s="693" t="s">
        <v>399</v>
      </c>
      <c r="H179" s="844" t="s">
        <v>529</v>
      </c>
      <c r="I179" s="747">
        <f>VLOOKUP(H175,'CNKT '!$D$16:$AA$96,12,0)</f>
        <v>5</v>
      </c>
      <c r="J179" s="697">
        <f>76.9*$B$2</f>
        <v>51433.796000000009</v>
      </c>
      <c r="K179" s="695">
        <f t="shared" si="21"/>
        <v>257168.98000000004</v>
      </c>
      <c r="L179" s="690"/>
    </row>
    <row r="180" spans="1:13" s="27" customFormat="1" ht="17.25" customHeight="1">
      <c r="A180" s="693" t="s">
        <v>78</v>
      </c>
      <c r="B180" s="844" t="s">
        <v>530</v>
      </c>
      <c r="C180" s="747">
        <f>VLOOKUP(B175,'CNKT '!$D$16:$AA$96,8,0)</f>
        <v>1042.4316212443239</v>
      </c>
      <c r="D180" s="697">
        <f>IF(C176="A",6.1,IF(C176="B",5.8,IF(C176="C",5.5,IF(C176="C.",5.5,IF(C176="D",5.2)))))*$B$2</f>
        <v>0</v>
      </c>
      <c r="E180" s="695">
        <f t="shared" si="20"/>
        <v>0</v>
      </c>
      <c r="F180" s="710"/>
      <c r="G180" s="693" t="s">
        <v>78</v>
      </c>
      <c r="H180" s="844" t="s">
        <v>530</v>
      </c>
      <c r="I180" s="747">
        <f>VLOOKUP(H175,'CNKT '!$D$16:$AA$96,8,0)</f>
        <v>845.81640442599951</v>
      </c>
      <c r="J180" s="697">
        <f>IF(I176="A",6.1,IF(I176="B",5.8,IF(I176="C",5.5,IF(I176="C.",5.5,IF(I176="D",5.2)))))*$B$2</f>
        <v>0</v>
      </c>
      <c r="K180" s="695">
        <f t="shared" si="21"/>
        <v>0</v>
      </c>
      <c r="L180" s="690"/>
    </row>
    <row r="181" spans="1:13" s="27" customFormat="1" ht="17.25" customHeight="1">
      <c r="A181" s="693" t="s">
        <v>491</v>
      </c>
      <c r="B181" s="844" t="s">
        <v>531</v>
      </c>
      <c r="C181" s="747">
        <f>VLOOKUP(B175,'CNKT '!$D$16:$AA$96,15,0)</f>
        <v>0</v>
      </c>
      <c r="D181" s="698">
        <f>92.2*$B$2</f>
        <v>61667.048000000003</v>
      </c>
      <c r="E181" s="695">
        <f t="shared" si="20"/>
        <v>0</v>
      </c>
      <c r="F181" s="710"/>
      <c r="G181" s="693" t="s">
        <v>491</v>
      </c>
      <c r="H181" s="844" t="s">
        <v>531</v>
      </c>
      <c r="I181" s="747">
        <f>VLOOKUP(H175,'CNKT '!$D$16:$AA$96,15,0)</f>
        <v>0</v>
      </c>
      <c r="J181" s="698">
        <f>92.2*$B$2</f>
        <v>61667.048000000003</v>
      </c>
      <c r="K181" s="695">
        <f t="shared" si="21"/>
        <v>0</v>
      </c>
      <c r="L181" s="690"/>
    </row>
    <row r="182" spans="1:13" s="27" customFormat="1" ht="17.25" customHeight="1">
      <c r="A182" s="693" t="s">
        <v>492</v>
      </c>
      <c r="B182" s="844" t="s">
        <v>496</v>
      </c>
      <c r="C182" s="747">
        <f>VLOOKUP(B175,'CNKT '!$D$16:$AA$96,16,0)</f>
        <v>0</v>
      </c>
      <c r="D182" s="697">
        <f>153.8*$B$2</f>
        <v>102867.59200000002</v>
      </c>
      <c r="E182" s="695">
        <f t="shared" si="20"/>
        <v>0</v>
      </c>
      <c r="F182" s="710"/>
      <c r="G182" s="693" t="s">
        <v>492</v>
      </c>
      <c r="H182" s="844" t="s">
        <v>496</v>
      </c>
      <c r="I182" s="747">
        <f>VLOOKUP(H175,'CNKT '!$D$16:$AA$96,16,0)</f>
        <v>0</v>
      </c>
      <c r="J182" s="697">
        <f>153.8*$B$2</f>
        <v>102867.59200000002</v>
      </c>
      <c r="K182" s="695">
        <f t="shared" si="21"/>
        <v>0</v>
      </c>
      <c r="L182" s="690"/>
    </row>
    <row r="183" spans="1:13" s="27" customFormat="1" ht="17.25" customHeight="1">
      <c r="A183" s="693" t="s">
        <v>453</v>
      </c>
      <c r="B183" s="844" t="s">
        <v>497</v>
      </c>
      <c r="C183" s="747">
        <f>VLOOKUP(B175,'CNKT '!$D$16:$AA$96,18,0)</f>
        <v>0</v>
      </c>
      <c r="D183" s="697">
        <v>10000</v>
      </c>
      <c r="E183" s="695">
        <f>C183*D183</f>
        <v>0</v>
      </c>
      <c r="F183" s="710"/>
      <c r="G183" s="693" t="s">
        <v>453</v>
      </c>
      <c r="H183" s="844" t="s">
        <v>497</v>
      </c>
      <c r="I183" s="747">
        <f>VLOOKUP(H175,'CNKT '!$D$16:$AA$96,18,0)</f>
        <v>0</v>
      </c>
      <c r="J183" s="697">
        <v>10000</v>
      </c>
      <c r="K183" s="695">
        <f>I183*J183</f>
        <v>0</v>
      </c>
      <c r="L183" s="690"/>
    </row>
    <row r="184" spans="1:13" s="27" customFormat="1" ht="17.25" customHeight="1">
      <c r="A184" s="693" t="s">
        <v>453</v>
      </c>
      <c r="B184" s="844" t="s">
        <v>497</v>
      </c>
      <c r="C184" s="747">
        <f>VLOOKUP(B175,'CNKT '!$D$16:$AA$96,19,0)</f>
        <v>0</v>
      </c>
      <c r="D184" s="697">
        <v>20000</v>
      </c>
      <c r="E184" s="695">
        <f>C184*D184</f>
        <v>0</v>
      </c>
      <c r="F184" s="710"/>
      <c r="G184" s="693" t="s">
        <v>453</v>
      </c>
      <c r="H184" s="844" t="s">
        <v>497</v>
      </c>
      <c r="I184" s="747">
        <f>VLOOKUP(H175,'CNKT '!$D$16:$AA$96,19,0)</f>
        <v>0</v>
      </c>
      <c r="J184" s="697">
        <v>20000</v>
      </c>
      <c r="K184" s="695">
        <f>I184*J184</f>
        <v>0</v>
      </c>
      <c r="L184" s="690"/>
    </row>
    <row r="185" spans="1:13" s="27" customFormat="1" ht="17.25" customHeight="1">
      <c r="A185" s="693" t="s">
        <v>512</v>
      </c>
      <c r="B185" s="844" t="s">
        <v>513</v>
      </c>
      <c r="C185" s="747"/>
      <c r="D185" s="697"/>
      <c r="E185" s="695"/>
      <c r="F185" s="710"/>
      <c r="G185" s="693" t="s">
        <v>512</v>
      </c>
      <c r="H185" s="844" t="s">
        <v>513</v>
      </c>
      <c r="I185" s="747"/>
      <c r="J185" s="697"/>
      <c r="K185" s="695"/>
      <c r="L185" s="690"/>
    </row>
    <row r="186" spans="1:13" s="27" customFormat="1" ht="17.25" customHeight="1">
      <c r="A186" s="699" t="s">
        <v>79</v>
      </c>
      <c r="B186" s="845" t="s">
        <v>532</v>
      </c>
      <c r="C186" s="700"/>
      <c r="D186" s="701"/>
      <c r="E186" s="700"/>
      <c r="F186" s="710"/>
      <c r="G186" s="699" t="s">
        <v>79</v>
      </c>
      <c r="H186" s="845" t="s">
        <v>532</v>
      </c>
      <c r="I186" s="700"/>
      <c r="J186" s="701"/>
      <c r="K186" s="700"/>
      <c r="L186" s="690"/>
    </row>
    <row r="187" spans="1:13" s="27" customFormat="1" ht="17.25" customHeight="1">
      <c r="A187" s="702" t="s">
        <v>80</v>
      </c>
      <c r="B187" s="846" t="s">
        <v>533</v>
      </c>
      <c r="C187" s="700"/>
      <c r="D187" s="700"/>
      <c r="E187" s="700"/>
      <c r="F187" s="710"/>
      <c r="G187" s="702" t="s">
        <v>80</v>
      </c>
      <c r="H187" s="846" t="s">
        <v>533</v>
      </c>
      <c r="I187" s="700"/>
      <c r="J187" s="700"/>
      <c r="K187" s="700"/>
      <c r="L187" s="690"/>
    </row>
    <row r="188" spans="1:13" s="27" customFormat="1" ht="17.25" customHeight="1">
      <c r="A188" s="702" t="s">
        <v>81</v>
      </c>
      <c r="B188" s="847" t="s">
        <v>534</v>
      </c>
      <c r="C188" s="700"/>
      <c r="D188" s="700"/>
      <c r="E188" s="695">
        <f>SUM(E187)</f>
        <v>0</v>
      </c>
      <c r="F188" s="710"/>
      <c r="G188" s="702" t="s">
        <v>81</v>
      </c>
      <c r="H188" s="847" t="s">
        <v>534</v>
      </c>
      <c r="I188" s="700"/>
      <c r="J188" s="700"/>
      <c r="K188" s="695">
        <f>SUM(K187)</f>
        <v>0</v>
      </c>
      <c r="L188" s="690"/>
      <c r="M188" s="703">
        <f>E188+K188</f>
        <v>0</v>
      </c>
    </row>
    <row r="189" spans="1:13" s="27" customFormat="1" ht="17.25" customHeight="1">
      <c r="A189" s="704" t="s">
        <v>82</v>
      </c>
      <c r="B189" s="848" t="s">
        <v>438</v>
      </c>
      <c r="C189" s="705"/>
      <c r="D189" s="705"/>
      <c r="E189" s="705">
        <f>(E177+E178+E179+E180+E181+E182+E183+E184+E185)-E188</f>
        <v>935506.50800000015</v>
      </c>
      <c r="F189" s="710"/>
      <c r="G189" s="704" t="s">
        <v>82</v>
      </c>
      <c r="H189" s="848" t="s">
        <v>438</v>
      </c>
      <c r="I189" s="705"/>
      <c r="J189" s="705"/>
      <c r="K189" s="705">
        <f>(K177+K178+K179+K180+K181+K182+K183+K184+K185)-K188</f>
        <v>966340.03200000012</v>
      </c>
      <c r="L189" s="707">
        <f>E189+K189</f>
        <v>1901846.5400000003</v>
      </c>
    </row>
    <row r="190" spans="1:13" s="27" customFormat="1" ht="17.25" customHeight="1">
      <c r="A190" s="710"/>
      <c r="B190" s="715"/>
      <c r="C190" s="716"/>
      <c r="D190" s="716"/>
      <c r="E190" s="714"/>
      <c r="F190" s="710"/>
      <c r="G190" s="710"/>
      <c r="H190" s="715"/>
      <c r="I190" s="716"/>
      <c r="J190" s="714"/>
      <c r="K190" s="708"/>
      <c r="L190" s="690"/>
    </row>
    <row r="191" spans="1:13" s="27" customFormat="1" ht="17.25" customHeight="1">
      <c r="A191" s="1567" t="str">
        <f>G174</f>
        <v>LƯƠNG THÁNG 01/2025</v>
      </c>
      <c r="B191" s="1568"/>
      <c r="C191" s="1568"/>
      <c r="D191" s="1568"/>
      <c r="E191" s="766">
        <v>23</v>
      </c>
      <c r="F191" s="714"/>
      <c r="G191" s="1567" t="str">
        <f>A191</f>
        <v>LƯƠNG THÁNG 01/2025</v>
      </c>
      <c r="H191" s="1568"/>
      <c r="I191" s="1568"/>
      <c r="J191" s="1569"/>
      <c r="K191" s="766">
        <v>24</v>
      </c>
      <c r="L191" s="690"/>
    </row>
    <row r="192" spans="1:13" s="27" customFormat="1" ht="17.25" customHeight="1">
      <c r="A192" s="709" t="s">
        <v>15</v>
      </c>
      <c r="B192" s="840" t="str">
        <f>'CNKT '!D38</f>
        <v>T. Bin Ly.</v>
      </c>
      <c r="C192" s="691"/>
      <c r="D192" s="838" t="s">
        <v>396</v>
      </c>
      <c r="E192" s="838" t="s">
        <v>18</v>
      </c>
      <c r="F192" s="714"/>
      <c r="G192" s="709" t="s">
        <v>15</v>
      </c>
      <c r="H192" s="840" t="str">
        <f>'CNKT '!D39</f>
        <v>N. Phim Phon.</v>
      </c>
      <c r="I192" s="691"/>
      <c r="J192" s="838" t="s">
        <v>396</v>
      </c>
      <c r="K192" s="838" t="s">
        <v>18</v>
      </c>
      <c r="L192" s="690"/>
    </row>
    <row r="193" spans="1:13" s="27" customFormat="1" ht="17.25" customHeight="1">
      <c r="A193" s="693" t="s">
        <v>397</v>
      </c>
      <c r="B193" s="842" t="s">
        <v>527</v>
      </c>
      <c r="C193" s="694">
        <f>VLOOKUP(B192,'BTH mủ tạp'!$D$17:$AN$94,36,0)</f>
        <v>1209.8327846203028</v>
      </c>
      <c r="D193" s="695"/>
      <c r="E193" s="695"/>
      <c r="F193" s="839"/>
      <c r="G193" s="693" t="s">
        <v>397</v>
      </c>
      <c r="H193" s="842" t="s">
        <v>527</v>
      </c>
      <c r="I193" s="694">
        <f>VLOOKUP(H192,'BTH mủ tạp'!$D$17:$AN$94,36,0)</f>
        <v>892.1879178265475</v>
      </c>
      <c r="J193" s="695"/>
      <c r="K193" s="695"/>
      <c r="L193" s="690"/>
    </row>
    <row r="194" spans="1:13" s="27" customFormat="1" ht="17.25" customHeight="1">
      <c r="A194" s="693" t="s">
        <v>77</v>
      </c>
      <c r="B194" s="843" t="s">
        <v>432</v>
      </c>
      <c r="C194" s="696">
        <f>VLOOKUP(B192,'CNKT '!$D$16:$AA$96,3,0)</f>
        <v>0</v>
      </c>
      <c r="D194" s="697">
        <v>25000</v>
      </c>
      <c r="E194" s="695">
        <f>C194*D194</f>
        <v>0</v>
      </c>
      <c r="F194" s="710"/>
      <c r="G194" s="693" t="s">
        <v>77</v>
      </c>
      <c r="H194" s="843" t="s">
        <v>432</v>
      </c>
      <c r="I194" s="696">
        <f>VLOOKUP(H192,'CNKT '!$D$16:$AA$96,3,0)</f>
        <v>0</v>
      </c>
      <c r="J194" s="697">
        <v>25000</v>
      </c>
      <c r="K194" s="695">
        <f>I194*J194</f>
        <v>0</v>
      </c>
      <c r="L194" s="690"/>
    </row>
    <row r="195" spans="1:13" s="27" customFormat="1" ht="17.25" customHeight="1">
      <c r="A195" s="693" t="s">
        <v>307</v>
      </c>
      <c r="B195" s="844" t="s">
        <v>528</v>
      </c>
      <c r="C195" s="747">
        <f>VLOOKUP(B192,'CNKT '!$D$16:$AA$96,11,0)</f>
        <v>21</v>
      </c>
      <c r="D195" s="698">
        <f>46.1*$B$2</f>
        <v>30833.524000000001</v>
      </c>
      <c r="E195" s="695">
        <f t="shared" ref="E195:E199" si="22">C195*D195</f>
        <v>647504.00400000007</v>
      </c>
      <c r="F195" s="710"/>
      <c r="G195" s="693" t="s">
        <v>307</v>
      </c>
      <c r="H195" s="844" t="s">
        <v>528</v>
      </c>
      <c r="I195" s="747">
        <f>VLOOKUP(H192,'CNKT '!$D$16:$AA$96,11,0)</f>
        <v>23</v>
      </c>
      <c r="J195" s="698">
        <f>46.1*$B$2</f>
        <v>30833.524000000001</v>
      </c>
      <c r="K195" s="695">
        <f t="shared" ref="K195:K199" si="23">I195*J195</f>
        <v>709171.05200000003</v>
      </c>
      <c r="L195" s="690"/>
    </row>
    <row r="196" spans="1:13" s="27" customFormat="1" ht="17.25" customHeight="1">
      <c r="A196" s="693" t="s">
        <v>399</v>
      </c>
      <c r="B196" s="844" t="s">
        <v>529</v>
      </c>
      <c r="C196" s="747">
        <f>VLOOKUP(B192,'CNKT '!$D$16:$AA$96,12,0)</f>
        <v>5</v>
      </c>
      <c r="D196" s="697">
        <f>76.9*$B$2</f>
        <v>51433.796000000009</v>
      </c>
      <c r="E196" s="695">
        <f t="shared" si="22"/>
        <v>257168.98000000004</v>
      </c>
      <c r="F196" s="710"/>
      <c r="G196" s="693" t="s">
        <v>399</v>
      </c>
      <c r="H196" s="844" t="s">
        <v>529</v>
      </c>
      <c r="I196" s="747">
        <f>VLOOKUP(H192,'CNKT '!$D$16:$AA$96,12,0)</f>
        <v>5</v>
      </c>
      <c r="J196" s="697">
        <f>76.9*$B$2</f>
        <v>51433.796000000009</v>
      </c>
      <c r="K196" s="695">
        <f t="shared" si="23"/>
        <v>257168.98000000004</v>
      </c>
      <c r="L196" s="690"/>
    </row>
    <row r="197" spans="1:13" s="27" customFormat="1" ht="17.25" customHeight="1">
      <c r="A197" s="693" t="s">
        <v>78</v>
      </c>
      <c r="B197" s="844" t="s">
        <v>530</v>
      </c>
      <c r="C197" s="747">
        <f>VLOOKUP(B192,'CNKT '!$D$16:$AA$96,8,0)</f>
        <v>1209.8327846203031</v>
      </c>
      <c r="D197" s="697">
        <f>IF(C193="A",6.1,IF(C193="B",5.8,IF(C193="C",5.5,IF(C193="C.",5.5,IF(C193="D",5.2)))))*$B$2</f>
        <v>0</v>
      </c>
      <c r="E197" s="695">
        <f t="shared" si="22"/>
        <v>0</v>
      </c>
      <c r="F197" s="710"/>
      <c r="G197" s="693" t="s">
        <v>78</v>
      </c>
      <c r="H197" s="844" t="s">
        <v>530</v>
      </c>
      <c r="I197" s="747">
        <f>VLOOKUP(H192,'CNKT '!$D$16:$AA$96,8,0)</f>
        <v>892.18791782654773</v>
      </c>
      <c r="J197" s="697">
        <f>IF(I193="A",6.1,IF(I193="B",5.8,IF(I193="C",5.5,IF(I193="C.",5.5,IF(I193="D",5.2)))))*$B$2</f>
        <v>0</v>
      </c>
      <c r="K197" s="695">
        <f t="shared" si="23"/>
        <v>0</v>
      </c>
      <c r="L197" s="690"/>
    </row>
    <row r="198" spans="1:13" s="27" customFormat="1" ht="17.25" customHeight="1">
      <c r="A198" s="693" t="s">
        <v>491</v>
      </c>
      <c r="B198" s="844" t="s">
        <v>531</v>
      </c>
      <c r="C198" s="747">
        <f>VLOOKUP(B192,'CNKT '!$D$16:$AA$96,15,0)</f>
        <v>0</v>
      </c>
      <c r="D198" s="698">
        <f>92.2*$B$2</f>
        <v>61667.048000000003</v>
      </c>
      <c r="E198" s="695">
        <f t="shared" si="22"/>
        <v>0</v>
      </c>
      <c r="F198" s="710"/>
      <c r="G198" s="693" t="s">
        <v>491</v>
      </c>
      <c r="H198" s="844" t="s">
        <v>531</v>
      </c>
      <c r="I198" s="747">
        <f>VLOOKUP(H192,'CNKT '!$D$16:$AA$96,15,0)</f>
        <v>0</v>
      </c>
      <c r="J198" s="698">
        <f>92.2*$B$2</f>
        <v>61667.048000000003</v>
      </c>
      <c r="K198" s="695">
        <f t="shared" si="23"/>
        <v>0</v>
      </c>
      <c r="L198" s="690"/>
    </row>
    <row r="199" spans="1:13" s="27" customFormat="1" ht="17.25" customHeight="1">
      <c r="A199" s="693" t="s">
        <v>492</v>
      </c>
      <c r="B199" s="844" t="s">
        <v>496</v>
      </c>
      <c r="C199" s="747">
        <f>VLOOKUP(B192,'CNKT '!$D$16:$AA$96,16,0)</f>
        <v>0</v>
      </c>
      <c r="D199" s="697">
        <f>153.8*$B$2</f>
        <v>102867.59200000002</v>
      </c>
      <c r="E199" s="695">
        <f t="shared" si="22"/>
        <v>0</v>
      </c>
      <c r="F199" s="710"/>
      <c r="G199" s="693" t="s">
        <v>492</v>
      </c>
      <c r="H199" s="844" t="s">
        <v>496</v>
      </c>
      <c r="I199" s="747">
        <f>VLOOKUP(H192,'CNKT '!$D$16:$AA$96,16,0)</f>
        <v>0</v>
      </c>
      <c r="J199" s="697">
        <f>153.8*$B$2</f>
        <v>102867.59200000002</v>
      </c>
      <c r="K199" s="695">
        <f t="shared" si="23"/>
        <v>0</v>
      </c>
      <c r="L199" s="690"/>
    </row>
    <row r="200" spans="1:13" s="27" customFormat="1" ht="17.25" customHeight="1">
      <c r="A200" s="693" t="s">
        <v>453</v>
      </c>
      <c r="B200" s="844" t="s">
        <v>497</v>
      </c>
      <c r="C200" s="747">
        <f>VLOOKUP(B192,'CNKT '!$D$16:$AA$96,18,0)</f>
        <v>0</v>
      </c>
      <c r="D200" s="697">
        <v>10000</v>
      </c>
      <c r="E200" s="695">
        <f>C200*D200</f>
        <v>0</v>
      </c>
      <c r="F200" s="710"/>
      <c r="G200" s="693" t="s">
        <v>453</v>
      </c>
      <c r="H200" s="844" t="s">
        <v>497</v>
      </c>
      <c r="I200" s="747">
        <f>VLOOKUP(H192,'CNKT '!$D$16:$AA$96,18,0)</f>
        <v>0</v>
      </c>
      <c r="J200" s="697">
        <v>10000</v>
      </c>
      <c r="K200" s="695">
        <f>I200*J200</f>
        <v>0</v>
      </c>
      <c r="L200" s="690"/>
    </row>
    <row r="201" spans="1:13" s="27" customFormat="1" ht="17.25" customHeight="1">
      <c r="A201" s="693" t="s">
        <v>453</v>
      </c>
      <c r="B201" s="844" t="s">
        <v>497</v>
      </c>
      <c r="C201" s="747">
        <f>VLOOKUP(B192,'CNKT '!$D$16:$AA$96,19,0)</f>
        <v>0</v>
      </c>
      <c r="D201" s="697">
        <v>20000</v>
      </c>
      <c r="E201" s="695">
        <f>C201*D201</f>
        <v>0</v>
      </c>
      <c r="F201" s="710"/>
      <c r="G201" s="693" t="s">
        <v>453</v>
      </c>
      <c r="H201" s="844" t="s">
        <v>497</v>
      </c>
      <c r="I201" s="747">
        <f>VLOOKUP(H192,'CNKT '!$D$16:$AA$96,19,0)</f>
        <v>0</v>
      </c>
      <c r="J201" s="697">
        <v>20000</v>
      </c>
      <c r="K201" s="695">
        <f>I201*J201</f>
        <v>0</v>
      </c>
      <c r="L201" s="690"/>
    </row>
    <row r="202" spans="1:13" s="27" customFormat="1" ht="17.25" customHeight="1">
      <c r="A202" s="693" t="s">
        <v>512</v>
      </c>
      <c r="B202" s="844" t="s">
        <v>513</v>
      </c>
      <c r="C202" s="747"/>
      <c r="D202" s="697"/>
      <c r="E202" s="695"/>
      <c r="F202" s="710"/>
      <c r="G202" s="693" t="s">
        <v>512</v>
      </c>
      <c r="H202" s="844" t="s">
        <v>513</v>
      </c>
      <c r="I202" s="747"/>
      <c r="J202" s="697"/>
      <c r="K202" s="695"/>
      <c r="L202" s="690"/>
    </row>
    <row r="203" spans="1:13" s="27" customFormat="1" ht="17.25" customHeight="1">
      <c r="A203" s="699" t="s">
        <v>79</v>
      </c>
      <c r="B203" s="845" t="s">
        <v>532</v>
      </c>
      <c r="C203" s="700"/>
      <c r="D203" s="701"/>
      <c r="E203" s="700"/>
      <c r="F203" s="713"/>
      <c r="G203" s="699" t="s">
        <v>79</v>
      </c>
      <c r="H203" s="845" t="s">
        <v>532</v>
      </c>
      <c r="I203" s="700"/>
      <c r="J203" s="701"/>
      <c r="K203" s="700"/>
      <c r="L203" s="690"/>
    </row>
    <row r="204" spans="1:13" s="27" customFormat="1" ht="17.25" customHeight="1">
      <c r="A204" s="702" t="s">
        <v>80</v>
      </c>
      <c r="B204" s="846" t="s">
        <v>533</v>
      </c>
      <c r="C204" s="700"/>
      <c r="D204" s="700"/>
      <c r="E204" s="700"/>
      <c r="F204" s="713"/>
      <c r="G204" s="702" t="s">
        <v>80</v>
      </c>
      <c r="H204" s="846" t="s">
        <v>533</v>
      </c>
      <c r="I204" s="700"/>
      <c r="J204" s="700"/>
      <c r="K204" s="700"/>
      <c r="L204" s="690"/>
    </row>
    <row r="205" spans="1:13" s="27" customFormat="1" ht="17.25" customHeight="1">
      <c r="A205" s="702" t="s">
        <v>81</v>
      </c>
      <c r="B205" s="847" t="s">
        <v>534</v>
      </c>
      <c r="C205" s="700"/>
      <c r="D205" s="700"/>
      <c r="E205" s="695">
        <f>SUM(E204)</f>
        <v>0</v>
      </c>
      <c r="F205" s="713"/>
      <c r="G205" s="702" t="s">
        <v>81</v>
      </c>
      <c r="H205" s="847" t="s">
        <v>534</v>
      </c>
      <c r="I205" s="700"/>
      <c r="J205" s="700"/>
      <c r="K205" s="695">
        <f>SUM(K204)</f>
        <v>0</v>
      </c>
      <c r="L205" s="690"/>
      <c r="M205" s="703">
        <f>E205+K205</f>
        <v>0</v>
      </c>
    </row>
    <row r="206" spans="1:13" s="27" customFormat="1" ht="17.25" customHeight="1">
      <c r="A206" s="704" t="s">
        <v>82</v>
      </c>
      <c r="B206" s="848" t="s">
        <v>438</v>
      </c>
      <c r="C206" s="705"/>
      <c r="D206" s="705"/>
      <c r="E206" s="705">
        <f>(E194+E195+E196+E197+E198+E199+E200+E201+E202)-E205</f>
        <v>904672.98400000017</v>
      </c>
      <c r="F206" s="713"/>
      <c r="G206" s="704" t="s">
        <v>82</v>
      </c>
      <c r="H206" s="848" t="s">
        <v>438</v>
      </c>
      <c r="I206" s="705"/>
      <c r="J206" s="705"/>
      <c r="K206" s="705">
        <f>(K194+K195+K196+K197+K198+K199+K200+K201+K202)-K205</f>
        <v>966340.03200000012</v>
      </c>
      <c r="L206" s="707">
        <f>E206+K206</f>
        <v>1871013.0160000003</v>
      </c>
    </row>
    <row r="207" spans="1:13" s="27" customFormat="1" ht="17.25" customHeight="1">
      <c r="A207" s="710"/>
      <c r="B207" s="715"/>
      <c r="C207" s="716"/>
      <c r="D207" s="716"/>
      <c r="E207" s="714"/>
      <c r="F207" s="713"/>
      <c r="G207" s="710"/>
      <c r="H207" s="715"/>
      <c r="I207" s="716"/>
      <c r="J207" s="714"/>
      <c r="K207" s="708"/>
      <c r="L207" s="690"/>
    </row>
    <row r="208" spans="1:13" s="27" customFormat="1" ht="17.25" customHeight="1">
      <c r="A208" s="1567" t="str">
        <f>G191</f>
        <v>LƯƠNG THÁNG 01/2025</v>
      </c>
      <c r="B208" s="1568"/>
      <c r="C208" s="1568"/>
      <c r="D208" s="1568"/>
      <c r="E208" s="766">
        <v>25</v>
      </c>
      <c r="F208" s="710"/>
      <c r="G208" s="1567" t="str">
        <f>A208</f>
        <v>LƯƠNG THÁNG 01/2025</v>
      </c>
      <c r="H208" s="1568"/>
      <c r="I208" s="1568"/>
      <c r="J208" s="1569"/>
      <c r="K208" s="766">
        <v>26</v>
      </c>
      <c r="L208" s="690"/>
    </row>
    <row r="209" spans="1:13" s="27" customFormat="1" ht="17.25" customHeight="1">
      <c r="A209" s="709" t="s">
        <v>15</v>
      </c>
      <c r="B209" s="840" t="str">
        <f>'CNKT '!D40</f>
        <v>N. Nong</v>
      </c>
      <c r="C209" s="691"/>
      <c r="D209" s="838" t="s">
        <v>396</v>
      </c>
      <c r="E209" s="838" t="s">
        <v>18</v>
      </c>
      <c r="F209" s="710"/>
      <c r="G209" s="709" t="s">
        <v>15</v>
      </c>
      <c r="H209" s="840" t="str">
        <f>'CNKT '!D41</f>
        <v>N. Tun 1</v>
      </c>
      <c r="I209" s="691"/>
      <c r="J209" s="838" t="s">
        <v>396</v>
      </c>
      <c r="K209" s="838" t="s">
        <v>18</v>
      </c>
      <c r="L209" s="690"/>
    </row>
    <row r="210" spans="1:13" s="27" customFormat="1" ht="17.25" customHeight="1">
      <c r="A210" s="693" t="s">
        <v>397</v>
      </c>
      <c r="B210" s="842" t="s">
        <v>527</v>
      </c>
      <c r="C210" s="694">
        <f>VLOOKUP(B209,'BTH mủ tạp'!$D$17:$AN$94,36,0)</f>
        <v>1135.6383631794256</v>
      </c>
      <c r="D210" s="695"/>
      <c r="E210" s="695"/>
      <c r="F210" s="710"/>
      <c r="G210" s="693" t="s">
        <v>397</v>
      </c>
      <c r="H210" s="842" t="s">
        <v>527</v>
      </c>
      <c r="I210" s="694">
        <f>VLOOKUP(H209,'BTH mủ tạp'!$D$17:$AN$94,36,0)</f>
        <v>1259.9140190928949</v>
      </c>
      <c r="J210" s="695"/>
      <c r="K210" s="695"/>
      <c r="L210" s="690"/>
    </row>
    <row r="211" spans="1:13" s="27" customFormat="1" ht="17.25" customHeight="1">
      <c r="A211" s="693" t="s">
        <v>77</v>
      </c>
      <c r="B211" s="843" t="s">
        <v>432</v>
      </c>
      <c r="C211" s="696">
        <f>VLOOKUP(B209,'CNKT '!$D$16:$AA$96,3,0)</f>
        <v>0</v>
      </c>
      <c r="D211" s="697">
        <v>25000</v>
      </c>
      <c r="E211" s="695">
        <f>C211*D211</f>
        <v>0</v>
      </c>
      <c r="F211" s="710"/>
      <c r="G211" s="693" t="s">
        <v>77</v>
      </c>
      <c r="H211" s="843" t="s">
        <v>432</v>
      </c>
      <c r="I211" s="696">
        <f>VLOOKUP(H209,'CNKT '!$D$16:$AA$96,3,0)</f>
        <v>0</v>
      </c>
      <c r="J211" s="697">
        <v>25000</v>
      </c>
      <c r="K211" s="695">
        <f>I211*J211</f>
        <v>0</v>
      </c>
      <c r="L211" s="690"/>
    </row>
    <row r="212" spans="1:13" s="27" customFormat="1" ht="17.25" customHeight="1">
      <c r="A212" s="693" t="s">
        <v>307</v>
      </c>
      <c r="B212" s="844" t="s">
        <v>528</v>
      </c>
      <c r="C212" s="747">
        <f>VLOOKUP(B209,'CNKT '!$D$16:$AA$96,11,0)</f>
        <v>20</v>
      </c>
      <c r="D212" s="698">
        <f>46.1*$B$2</f>
        <v>30833.524000000001</v>
      </c>
      <c r="E212" s="695">
        <f t="shared" ref="E212:E216" si="24">C212*D212</f>
        <v>616670.48</v>
      </c>
      <c r="F212" s="713"/>
      <c r="G212" s="693" t="s">
        <v>307</v>
      </c>
      <c r="H212" s="844" t="s">
        <v>528</v>
      </c>
      <c r="I212" s="747">
        <f>VLOOKUP(H209,'CNKT '!$D$16:$AA$96,11,0)</f>
        <v>20</v>
      </c>
      <c r="J212" s="698">
        <f>46.1*$B$2</f>
        <v>30833.524000000001</v>
      </c>
      <c r="K212" s="695">
        <f t="shared" ref="K212:K216" si="25">I212*J212</f>
        <v>616670.48</v>
      </c>
      <c r="L212" s="690"/>
    </row>
    <row r="213" spans="1:13" s="27" customFormat="1" ht="17.25" customHeight="1">
      <c r="A213" s="693" t="s">
        <v>399</v>
      </c>
      <c r="B213" s="844" t="s">
        <v>529</v>
      </c>
      <c r="C213" s="747">
        <f>VLOOKUP(B209,'CNKT '!$D$16:$AA$96,12,0)</f>
        <v>5</v>
      </c>
      <c r="D213" s="697">
        <f>76.9*$B$2</f>
        <v>51433.796000000009</v>
      </c>
      <c r="E213" s="695">
        <f t="shared" si="24"/>
        <v>257168.98000000004</v>
      </c>
      <c r="F213" s="839"/>
      <c r="G213" s="693" t="s">
        <v>399</v>
      </c>
      <c r="H213" s="844" t="s">
        <v>529</v>
      </c>
      <c r="I213" s="747">
        <f>VLOOKUP(H209,'CNKT '!$D$16:$AA$96,12,0)</f>
        <v>5</v>
      </c>
      <c r="J213" s="697">
        <f>76.9*$B$2</f>
        <v>51433.796000000009</v>
      </c>
      <c r="K213" s="695">
        <f t="shared" si="25"/>
        <v>257168.98000000004</v>
      </c>
      <c r="L213" s="690"/>
    </row>
    <row r="214" spans="1:13" s="27" customFormat="1" ht="17.25" customHeight="1">
      <c r="A214" s="693" t="s">
        <v>78</v>
      </c>
      <c r="B214" s="844" t="s">
        <v>530</v>
      </c>
      <c r="C214" s="747">
        <f>VLOOKUP(B209,'CNKT '!$D$16:$AA$96,8,0)</f>
        <v>1135.6383631794258</v>
      </c>
      <c r="D214" s="697">
        <f>IF(C210="A",6.1,IF(C210="B",5.8,IF(C210="C",5.5,IF(C210="C.",5.5,IF(C210="D",5.2)))))*$B$2</f>
        <v>0</v>
      </c>
      <c r="E214" s="695">
        <f t="shared" si="24"/>
        <v>0</v>
      </c>
      <c r="F214" s="714"/>
      <c r="G214" s="693" t="s">
        <v>78</v>
      </c>
      <c r="H214" s="844" t="s">
        <v>530</v>
      </c>
      <c r="I214" s="747">
        <f>VLOOKUP(H209,'CNKT '!$D$16:$AA$96,8,0)</f>
        <v>1259.9140190928952</v>
      </c>
      <c r="J214" s="697">
        <f>IF(I210="A",6.1,IF(I210="B",5.8,IF(I210="C",5.5,IF(I210="C.",5.5,IF(I210="D",5.2)))))*$B$2</f>
        <v>0</v>
      </c>
      <c r="K214" s="695">
        <f t="shared" si="25"/>
        <v>0</v>
      </c>
      <c r="L214" s="690"/>
    </row>
    <row r="215" spans="1:13" s="27" customFormat="1" ht="17.25" customHeight="1">
      <c r="A215" s="693" t="s">
        <v>491</v>
      </c>
      <c r="B215" s="844" t="s">
        <v>531</v>
      </c>
      <c r="C215" s="747">
        <f>VLOOKUP(B209,'CNKT '!$D$16:$AA$96,15,0)</f>
        <v>0</v>
      </c>
      <c r="D215" s="698">
        <f>92.2*$B$2</f>
        <v>61667.048000000003</v>
      </c>
      <c r="E215" s="695">
        <f t="shared" si="24"/>
        <v>0</v>
      </c>
      <c r="F215" s="714"/>
      <c r="G215" s="693" t="s">
        <v>491</v>
      </c>
      <c r="H215" s="844" t="s">
        <v>531</v>
      </c>
      <c r="I215" s="747">
        <f>VLOOKUP(H209,'CNKT '!$D$16:$AA$96,15,0)</f>
        <v>0</v>
      </c>
      <c r="J215" s="698">
        <f>92.2*$B$2</f>
        <v>61667.048000000003</v>
      </c>
      <c r="K215" s="695">
        <f t="shared" si="25"/>
        <v>0</v>
      </c>
      <c r="L215" s="690"/>
    </row>
    <row r="216" spans="1:13" s="27" customFormat="1" ht="17.25" customHeight="1">
      <c r="A216" s="693" t="s">
        <v>492</v>
      </c>
      <c r="B216" s="844" t="s">
        <v>496</v>
      </c>
      <c r="C216" s="747">
        <f>VLOOKUP(B209,'CNKT '!$D$16:$AA$96,16,0)</f>
        <v>0</v>
      </c>
      <c r="D216" s="697">
        <f>153.8*$B$2</f>
        <v>102867.59200000002</v>
      </c>
      <c r="E216" s="695">
        <f t="shared" si="24"/>
        <v>0</v>
      </c>
      <c r="F216" s="714"/>
      <c r="G216" s="693" t="s">
        <v>492</v>
      </c>
      <c r="H216" s="844" t="s">
        <v>496</v>
      </c>
      <c r="I216" s="747">
        <f>VLOOKUP(H209,'CNKT '!$D$16:$AA$96,16,0)</f>
        <v>0</v>
      </c>
      <c r="J216" s="697">
        <f>153.8*$B$2</f>
        <v>102867.59200000002</v>
      </c>
      <c r="K216" s="695">
        <f t="shared" si="25"/>
        <v>0</v>
      </c>
      <c r="L216" s="690"/>
    </row>
    <row r="217" spans="1:13" s="27" customFormat="1" ht="17.25" customHeight="1">
      <c r="A217" s="693" t="s">
        <v>453</v>
      </c>
      <c r="B217" s="844" t="s">
        <v>497</v>
      </c>
      <c r="C217" s="747">
        <f>VLOOKUP(B209,'CNKT '!$D$16:$AA$96,18,0)</f>
        <v>0</v>
      </c>
      <c r="D217" s="697">
        <v>10000</v>
      </c>
      <c r="E217" s="695">
        <f>C217*D217</f>
        <v>0</v>
      </c>
      <c r="F217" s="714"/>
      <c r="G217" s="693" t="s">
        <v>453</v>
      </c>
      <c r="H217" s="844" t="s">
        <v>497</v>
      </c>
      <c r="I217" s="747">
        <f>VLOOKUP(H209,'CNKT '!$D$16:$AA$96,18,0)</f>
        <v>0</v>
      </c>
      <c r="J217" s="697">
        <v>10000</v>
      </c>
      <c r="K217" s="695">
        <f>I217*J217</f>
        <v>0</v>
      </c>
      <c r="L217" s="690"/>
    </row>
    <row r="218" spans="1:13" s="27" customFormat="1" ht="17.25" customHeight="1">
      <c r="A218" s="693" t="s">
        <v>453</v>
      </c>
      <c r="B218" s="844" t="s">
        <v>497</v>
      </c>
      <c r="C218" s="747">
        <f>VLOOKUP(B209,'CNKT '!$D$16:$AA$96,19,0)</f>
        <v>0</v>
      </c>
      <c r="D218" s="697">
        <v>20000</v>
      </c>
      <c r="E218" s="695">
        <f>C218*D218</f>
        <v>0</v>
      </c>
      <c r="F218" s="714"/>
      <c r="G218" s="693" t="s">
        <v>453</v>
      </c>
      <c r="H218" s="844" t="s">
        <v>497</v>
      </c>
      <c r="I218" s="747">
        <f>VLOOKUP(H209,'CNKT '!$D$16:$AA$96,19,0)</f>
        <v>0</v>
      </c>
      <c r="J218" s="697">
        <v>20000</v>
      </c>
      <c r="K218" s="695">
        <f>I218*J218</f>
        <v>0</v>
      </c>
      <c r="L218" s="690"/>
    </row>
    <row r="219" spans="1:13" s="27" customFormat="1" ht="17.25" customHeight="1">
      <c r="A219" s="693" t="s">
        <v>512</v>
      </c>
      <c r="B219" s="844" t="s">
        <v>513</v>
      </c>
      <c r="C219" s="747"/>
      <c r="D219" s="697"/>
      <c r="E219" s="695"/>
      <c r="F219" s="714"/>
      <c r="G219" s="693" t="s">
        <v>512</v>
      </c>
      <c r="H219" s="844" t="s">
        <v>513</v>
      </c>
      <c r="I219" s="747"/>
      <c r="J219" s="697"/>
      <c r="K219" s="695"/>
      <c r="L219" s="690"/>
    </row>
    <row r="220" spans="1:13" s="27" customFormat="1" ht="17.25" customHeight="1">
      <c r="A220" s="699" t="s">
        <v>79</v>
      </c>
      <c r="B220" s="845" t="s">
        <v>532</v>
      </c>
      <c r="C220" s="700"/>
      <c r="D220" s="701"/>
      <c r="E220" s="700"/>
      <c r="F220" s="714"/>
      <c r="G220" s="699" t="s">
        <v>79</v>
      </c>
      <c r="H220" s="845" t="s">
        <v>532</v>
      </c>
      <c r="I220" s="700"/>
      <c r="J220" s="701"/>
      <c r="K220" s="700"/>
      <c r="L220" s="690"/>
    </row>
    <row r="221" spans="1:13" s="27" customFormat="1" ht="17.25" customHeight="1">
      <c r="A221" s="702" t="s">
        <v>80</v>
      </c>
      <c r="B221" s="846" t="s">
        <v>533</v>
      </c>
      <c r="C221" s="700"/>
      <c r="D221" s="700"/>
      <c r="E221" s="700"/>
      <c r="F221" s="714"/>
      <c r="G221" s="702" t="s">
        <v>80</v>
      </c>
      <c r="H221" s="846" t="s">
        <v>533</v>
      </c>
      <c r="I221" s="700"/>
      <c r="J221" s="700"/>
      <c r="K221" s="700"/>
      <c r="L221" s="690"/>
    </row>
    <row r="222" spans="1:13" s="27" customFormat="1" ht="17.25" customHeight="1">
      <c r="A222" s="702" t="s">
        <v>81</v>
      </c>
      <c r="B222" s="847" t="s">
        <v>534</v>
      </c>
      <c r="C222" s="700"/>
      <c r="D222" s="700"/>
      <c r="E222" s="695">
        <f>SUM(E221)</f>
        <v>0</v>
      </c>
      <c r="F222" s="714"/>
      <c r="G222" s="702" t="s">
        <v>81</v>
      </c>
      <c r="H222" s="847" t="s">
        <v>534</v>
      </c>
      <c r="I222" s="700"/>
      <c r="J222" s="700"/>
      <c r="K222" s="695">
        <f>SUM(K221)</f>
        <v>0</v>
      </c>
      <c r="L222" s="690"/>
      <c r="M222" s="703">
        <f>E222+K222</f>
        <v>0</v>
      </c>
    </row>
    <row r="223" spans="1:13" s="27" customFormat="1" ht="17.25" customHeight="1">
      <c r="A223" s="704" t="s">
        <v>82</v>
      </c>
      <c r="B223" s="848" t="s">
        <v>438</v>
      </c>
      <c r="C223" s="705"/>
      <c r="D223" s="705"/>
      <c r="E223" s="705">
        <f>(E211+E212+E213+E214+E215+E216+E217+E218+E219)-E222</f>
        <v>873839.46</v>
      </c>
      <c r="F223" s="714"/>
      <c r="G223" s="704" t="s">
        <v>82</v>
      </c>
      <c r="H223" s="848" t="s">
        <v>438</v>
      </c>
      <c r="I223" s="705"/>
      <c r="J223" s="705"/>
      <c r="K223" s="705">
        <f>(K211+K212+K213+K214+K215+K216+K217+K218+K219)-K222</f>
        <v>873839.46</v>
      </c>
      <c r="L223" s="707">
        <f>E223+K223</f>
        <v>1747678.92</v>
      </c>
    </row>
    <row r="224" spans="1:13" s="27" customFormat="1" ht="17.25" customHeight="1">
      <c r="A224" s="710"/>
      <c r="B224" s="715"/>
      <c r="C224" s="716"/>
      <c r="D224" s="716"/>
      <c r="E224" s="714"/>
      <c r="F224" s="714"/>
      <c r="G224" s="710"/>
      <c r="H224" s="715"/>
      <c r="I224" s="716"/>
      <c r="J224" s="714"/>
      <c r="K224" s="708"/>
      <c r="L224" s="690"/>
    </row>
    <row r="225" spans="1:13" s="27" customFormat="1" ht="17.25" customHeight="1">
      <c r="A225" s="703"/>
      <c r="B225" s="713"/>
      <c r="C225" s="839"/>
      <c r="D225" s="839"/>
      <c r="E225" s="839"/>
      <c r="F225" s="710"/>
      <c r="G225" s="703"/>
      <c r="H225" s="713"/>
      <c r="I225" s="839"/>
      <c r="J225" s="839"/>
      <c r="K225" s="708"/>
      <c r="L225" s="690"/>
    </row>
    <row r="226" spans="1:13" s="27" customFormat="1" ht="17.25" customHeight="1">
      <c r="A226" s="1567" t="str">
        <f>G208</f>
        <v>LƯƠNG THÁNG 01/2025</v>
      </c>
      <c r="B226" s="1568"/>
      <c r="C226" s="1568"/>
      <c r="D226" s="1568"/>
      <c r="E226" s="766">
        <v>27</v>
      </c>
      <c r="F226" s="710"/>
      <c r="G226" s="1567" t="str">
        <f>A226</f>
        <v>LƯƠNG THÁNG 01/2025</v>
      </c>
      <c r="H226" s="1568"/>
      <c r="I226" s="1568"/>
      <c r="J226" s="1569"/>
      <c r="K226" s="766">
        <v>28</v>
      </c>
      <c r="L226" s="690"/>
    </row>
    <row r="227" spans="1:13" s="27" customFormat="1" ht="17.25" customHeight="1">
      <c r="A227" s="709" t="s">
        <v>15</v>
      </c>
      <c r="B227" s="840" t="str">
        <f>'CNKT '!D42</f>
        <v>T . Lốc</v>
      </c>
      <c r="C227" s="691"/>
      <c r="D227" s="838" t="s">
        <v>396</v>
      </c>
      <c r="E227" s="838" t="s">
        <v>18</v>
      </c>
      <c r="F227" s="713"/>
      <c r="G227" s="709" t="s">
        <v>15</v>
      </c>
      <c r="H227" s="840" t="str">
        <f>'CNKT '!D43</f>
        <v>N . Khâm (1)</v>
      </c>
      <c r="I227" s="691"/>
      <c r="J227" s="838" t="s">
        <v>396</v>
      </c>
      <c r="K227" s="838" t="s">
        <v>18</v>
      </c>
      <c r="L227" s="690"/>
    </row>
    <row r="228" spans="1:13" s="27" customFormat="1" ht="17.25" customHeight="1">
      <c r="A228" s="693" t="s">
        <v>397</v>
      </c>
      <c r="B228" s="842" t="s">
        <v>527</v>
      </c>
      <c r="C228" s="694">
        <f>VLOOKUP(B227,'BTH mủ tạp'!$D$17:$AN$94,36,0)</f>
        <v>1252.9582920828127</v>
      </c>
      <c r="D228" s="695"/>
      <c r="E228" s="695"/>
      <c r="F228" s="713"/>
      <c r="G228" s="693" t="s">
        <v>397</v>
      </c>
      <c r="H228" s="842" t="s">
        <v>527</v>
      </c>
      <c r="I228" s="694">
        <f>VLOOKUP(H227,'BTH mủ tạp'!$D$17:$AN$94,36,0)</f>
        <v>1405.5205711706162</v>
      </c>
      <c r="J228" s="695"/>
      <c r="K228" s="695"/>
      <c r="L228" s="690"/>
    </row>
    <row r="229" spans="1:13" s="27" customFormat="1" ht="17.25" customHeight="1">
      <c r="A229" s="693" t="s">
        <v>77</v>
      </c>
      <c r="B229" s="843" t="s">
        <v>432</v>
      </c>
      <c r="C229" s="696">
        <f>VLOOKUP(B227,'CNKT '!$D$16:$AA$96,3,0)</f>
        <v>0</v>
      </c>
      <c r="D229" s="697">
        <v>25000</v>
      </c>
      <c r="E229" s="695">
        <f>C229*D229</f>
        <v>0</v>
      </c>
      <c r="F229" s="839"/>
      <c r="G229" s="693" t="s">
        <v>77</v>
      </c>
      <c r="H229" s="843" t="s">
        <v>432</v>
      </c>
      <c r="I229" s="696">
        <f>VLOOKUP(H227,'CNKT '!$D$16:$AA$96,3,0)</f>
        <v>0</v>
      </c>
      <c r="J229" s="697">
        <v>25000</v>
      </c>
      <c r="K229" s="695">
        <f>I229*J229</f>
        <v>0</v>
      </c>
      <c r="L229" s="690"/>
    </row>
    <row r="230" spans="1:13" s="27" customFormat="1" ht="17.25" customHeight="1">
      <c r="A230" s="693" t="s">
        <v>307</v>
      </c>
      <c r="B230" s="844" t="s">
        <v>528</v>
      </c>
      <c r="C230" s="747">
        <f>VLOOKUP(B227,'CNKT '!$D$16:$AA$96,11,0)</f>
        <v>20</v>
      </c>
      <c r="D230" s="698">
        <f>46.1*$B$2</f>
        <v>30833.524000000001</v>
      </c>
      <c r="E230" s="695">
        <f t="shared" ref="E230:E234" si="26">C230*D230</f>
        <v>616670.48</v>
      </c>
      <c r="F230" s="839"/>
      <c r="G230" s="693" t="s">
        <v>307</v>
      </c>
      <c r="H230" s="844" t="s">
        <v>528</v>
      </c>
      <c r="I230" s="747">
        <f>VLOOKUP(H227,'CNKT '!$D$16:$AA$96,11,0)</f>
        <v>22</v>
      </c>
      <c r="J230" s="698">
        <f>46.1*$B$2</f>
        <v>30833.524000000001</v>
      </c>
      <c r="K230" s="695">
        <f t="shared" ref="K230:K234" si="27">I230*J230</f>
        <v>678337.52800000005</v>
      </c>
      <c r="L230" s="690"/>
    </row>
    <row r="231" spans="1:13" s="27" customFormat="1" ht="17.25" customHeight="1">
      <c r="A231" s="693" t="s">
        <v>399</v>
      </c>
      <c r="B231" s="844" t="s">
        <v>529</v>
      </c>
      <c r="C231" s="747">
        <f>VLOOKUP(B227,'CNKT '!$D$16:$AA$96,12,0)</f>
        <v>5</v>
      </c>
      <c r="D231" s="697">
        <f>76.9*$B$2</f>
        <v>51433.796000000009</v>
      </c>
      <c r="E231" s="695">
        <f t="shared" si="26"/>
        <v>257168.98000000004</v>
      </c>
      <c r="G231" s="693" t="s">
        <v>399</v>
      </c>
      <c r="H231" s="844" t="s">
        <v>529</v>
      </c>
      <c r="I231" s="747">
        <f>VLOOKUP(H227,'CNKT '!$D$16:$AA$96,12,0)</f>
        <v>5</v>
      </c>
      <c r="J231" s="697">
        <f>76.9*$B$2</f>
        <v>51433.796000000009</v>
      </c>
      <c r="K231" s="695">
        <f t="shared" si="27"/>
        <v>257168.98000000004</v>
      </c>
      <c r="L231" s="690"/>
    </row>
    <row r="232" spans="1:13" s="27" customFormat="1" ht="17.25" customHeight="1">
      <c r="A232" s="693" t="s">
        <v>78</v>
      </c>
      <c r="B232" s="844" t="s">
        <v>530</v>
      </c>
      <c r="C232" s="747">
        <f>VLOOKUP(B227,'CNKT '!$D$16:$AA$96,8,0)</f>
        <v>1252.9582920828129</v>
      </c>
      <c r="D232" s="697">
        <f>IF(C228="A",6.1,IF(C228="B",5.8,IF(C228="C",5.5,IF(C228="C.",5.5,IF(C228="D",5.2)))))*$B$2</f>
        <v>0</v>
      </c>
      <c r="E232" s="695">
        <f t="shared" si="26"/>
        <v>0</v>
      </c>
      <c r="F232" s="839"/>
      <c r="G232" s="693" t="s">
        <v>78</v>
      </c>
      <c r="H232" s="844" t="s">
        <v>530</v>
      </c>
      <c r="I232" s="747">
        <f>VLOOKUP(H227,'CNKT '!$D$16:$AA$96,8,0)</f>
        <v>1405.5205711706164</v>
      </c>
      <c r="J232" s="697">
        <f>IF(I228="A",6.1,IF(I228="B",5.8,IF(I228="C",5.5,IF(I228="C.",5.5,IF(I228="D",5.2)))))*$B$2</f>
        <v>0</v>
      </c>
      <c r="K232" s="695">
        <f t="shared" si="27"/>
        <v>0</v>
      </c>
      <c r="L232" s="690"/>
    </row>
    <row r="233" spans="1:13" s="27" customFormat="1" ht="17.25" customHeight="1">
      <c r="A233" s="693" t="s">
        <v>491</v>
      </c>
      <c r="B233" s="844" t="s">
        <v>531</v>
      </c>
      <c r="C233" s="747">
        <f>VLOOKUP(B227,'CNKT '!$D$16:$AA$96,15,0)</f>
        <v>0</v>
      </c>
      <c r="D233" s="698">
        <f>92.2*$B$2</f>
        <v>61667.048000000003</v>
      </c>
      <c r="E233" s="695">
        <f t="shared" si="26"/>
        <v>0</v>
      </c>
      <c r="F233" s="839"/>
      <c r="G233" s="693" t="s">
        <v>491</v>
      </c>
      <c r="H233" s="844" t="s">
        <v>531</v>
      </c>
      <c r="I233" s="747">
        <f>VLOOKUP(H227,'CNKT '!$D$16:$AA$96,15,0)</f>
        <v>0</v>
      </c>
      <c r="J233" s="698">
        <f>92.2*$B$2</f>
        <v>61667.048000000003</v>
      </c>
      <c r="K233" s="695">
        <f t="shared" si="27"/>
        <v>0</v>
      </c>
      <c r="L233" s="690"/>
    </row>
    <row r="234" spans="1:13" s="27" customFormat="1" ht="17.25" customHeight="1">
      <c r="A234" s="693" t="s">
        <v>492</v>
      </c>
      <c r="B234" s="844" t="s">
        <v>496</v>
      </c>
      <c r="C234" s="747">
        <f>VLOOKUP(B227,'CNKT '!$D$16:$AA$96,16,0)</f>
        <v>0</v>
      </c>
      <c r="D234" s="697">
        <f>153.8*$B$2</f>
        <v>102867.59200000002</v>
      </c>
      <c r="E234" s="695">
        <f t="shared" si="26"/>
        <v>0</v>
      </c>
      <c r="F234" s="839"/>
      <c r="G234" s="693" t="s">
        <v>492</v>
      </c>
      <c r="H234" s="844" t="s">
        <v>496</v>
      </c>
      <c r="I234" s="747">
        <f>VLOOKUP(H227,'CNKT '!$D$16:$AA$96,16,0)</f>
        <v>0</v>
      </c>
      <c r="J234" s="697">
        <f>153.8*$B$2</f>
        <v>102867.59200000002</v>
      </c>
      <c r="K234" s="695">
        <f t="shared" si="27"/>
        <v>0</v>
      </c>
      <c r="L234" s="690"/>
    </row>
    <row r="235" spans="1:13" s="27" customFormat="1" ht="17.25" customHeight="1">
      <c r="A235" s="693" t="s">
        <v>453</v>
      </c>
      <c r="B235" s="844" t="s">
        <v>497</v>
      </c>
      <c r="C235" s="747">
        <f>VLOOKUP(B227,'CNKT '!$D$16:$AA$96,18,0)</f>
        <v>0</v>
      </c>
      <c r="D235" s="697">
        <v>10000</v>
      </c>
      <c r="E235" s="695">
        <f>C235*D235</f>
        <v>0</v>
      </c>
      <c r="F235" s="839"/>
      <c r="G235" s="693" t="s">
        <v>453</v>
      </c>
      <c r="H235" s="844" t="s">
        <v>497</v>
      </c>
      <c r="I235" s="747">
        <f>VLOOKUP(H227,'CNKT '!$D$16:$AA$96,18,0)</f>
        <v>0</v>
      </c>
      <c r="J235" s="697">
        <v>10000</v>
      </c>
      <c r="K235" s="695">
        <f>I235*J235</f>
        <v>0</v>
      </c>
      <c r="L235" s="690"/>
    </row>
    <row r="236" spans="1:13" s="27" customFormat="1" ht="17.25" customHeight="1">
      <c r="A236" s="693" t="s">
        <v>453</v>
      </c>
      <c r="B236" s="844" t="s">
        <v>497</v>
      </c>
      <c r="C236" s="747">
        <f>VLOOKUP(B227,'CNKT '!$D$16:$AA$96,19,0)</f>
        <v>0</v>
      </c>
      <c r="D236" s="697">
        <v>20000</v>
      </c>
      <c r="E236" s="695">
        <f>C236*D236</f>
        <v>0</v>
      </c>
      <c r="F236" s="839"/>
      <c r="G236" s="693" t="s">
        <v>453</v>
      </c>
      <c r="H236" s="844" t="s">
        <v>497</v>
      </c>
      <c r="I236" s="747">
        <f>VLOOKUP(H227,'CNKT '!$D$16:$AA$96,19,0)</f>
        <v>0</v>
      </c>
      <c r="J236" s="697">
        <v>20000</v>
      </c>
      <c r="K236" s="695">
        <f>I236*J236</f>
        <v>0</v>
      </c>
      <c r="L236" s="690"/>
    </row>
    <row r="237" spans="1:13" s="27" customFormat="1" ht="17.25" customHeight="1">
      <c r="A237" s="693" t="s">
        <v>512</v>
      </c>
      <c r="B237" s="844" t="s">
        <v>513</v>
      </c>
      <c r="C237" s="747"/>
      <c r="D237" s="697"/>
      <c r="E237" s="695"/>
      <c r="F237" s="839"/>
      <c r="G237" s="693" t="s">
        <v>512</v>
      </c>
      <c r="H237" s="844" t="s">
        <v>513</v>
      </c>
      <c r="I237" s="747"/>
      <c r="J237" s="697"/>
      <c r="K237" s="695"/>
      <c r="L237" s="690"/>
    </row>
    <row r="238" spans="1:13" s="27" customFormat="1" ht="17.25" customHeight="1">
      <c r="A238" s="699" t="s">
        <v>79</v>
      </c>
      <c r="B238" s="845" t="s">
        <v>532</v>
      </c>
      <c r="C238" s="700"/>
      <c r="D238" s="701"/>
      <c r="E238" s="700"/>
      <c r="F238" s="710"/>
      <c r="G238" s="699" t="s">
        <v>79</v>
      </c>
      <c r="H238" s="845" t="s">
        <v>532</v>
      </c>
      <c r="I238" s="700"/>
      <c r="J238" s="701"/>
      <c r="K238" s="700"/>
      <c r="L238" s="690"/>
    </row>
    <row r="239" spans="1:13" s="27" customFormat="1" ht="17.25" customHeight="1">
      <c r="A239" s="702" t="s">
        <v>80</v>
      </c>
      <c r="B239" s="846" t="s">
        <v>533</v>
      </c>
      <c r="C239" s="700"/>
      <c r="D239" s="700"/>
      <c r="E239" s="700"/>
      <c r="F239" s="710"/>
      <c r="G239" s="702" t="s">
        <v>80</v>
      </c>
      <c r="H239" s="846" t="s">
        <v>533</v>
      </c>
      <c r="I239" s="700"/>
      <c r="J239" s="700"/>
      <c r="K239" s="700"/>
      <c r="L239" s="690"/>
    </row>
    <row r="240" spans="1:13" s="27" customFormat="1" ht="17.25" customHeight="1">
      <c r="A240" s="702" t="s">
        <v>81</v>
      </c>
      <c r="B240" s="847" t="s">
        <v>534</v>
      </c>
      <c r="C240" s="700"/>
      <c r="D240" s="700"/>
      <c r="E240" s="695">
        <f>SUM(E239)</f>
        <v>0</v>
      </c>
      <c r="F240" s="710"/>
      <c r="G240" s="702" t="s">
        <v>81</v>
      </c>
      <c r="H240" s="847" t="s">
        <v>534</v>
      </c>
      <c r="I240" s="700"/>
      <c r="J240" s="700"/>
      <c r="K240" s="695">
        <f>SUM(K239)</f>
        <v>0</v>
      </c>
      <c r="L240" s="690"/>
      <c r="M240" s="703">
        <f>E240+K240</f>
        <v>0</v>
      </c>
    </row>
    <row r="241" spans="1:12" s="27" customFormat="1" ht="17.25" customHeight="1">
      <c r="A241" s="704" t="s">
        <v>82</v>
      </c>
      <c r="B241" s="848" t="s">
        <v>438</v>
      </c>
      <c r="C241" s="705"/>
      <c r="D241" s="705"/>
      <c r="E241" s="705">
        <f>(E229+E230+E231+E232+E233+E234+E235+E236+E237)-E240</f>
        <v>873839.46</v>
      </c>
      <c r="F241" s="710"/>
      <c r="G241" s="704" t="s">
        <v>82</v>
      </c>
      <c r="H241" s="848" t="s">
        <v>438</v>
      </c>
      <c r="I241" s="705"/>
      <c r="J241" s="705"/>
      <c r="K241" s="705">
        <f>(K229+K230+K231+K232+K233+K234+K235+K236+K237)-K240</f>
        <v>935506.50800000015</v>
      </c>
      <c r="L241" s="707">
        <f>E241+K241</f>
        <v>1809345.9680000001</v>
      </c>
    </row>
    <row r="242" spans="1:12" s="27" customFormat="1" ht="192" customHeight="1">
      <c r="A242" s="710"/>
      <c r="B242" s="715"/>
      <c r="C242" s="716"/>
      <c r="D242" s="716"/>
      <c r="E242" s="714"/>
      <c r="F242" s="710"/>
      <c r="G242" s="710"/>
      <c r="H242" s="715"/>
      <c r="I242" s="716"/>
      <c r="J242" s="714"/>
      <c r="K242" s="708"/>
      <c r="L242" s="690"/>
    </row>
    <row r="243" spans="1:12" s="27" customFormat="1" ht="17.25" customHeight="1">
      <c r="A243" s="1567" t="str">
        <f>G226</f>
        <v>LƯƠNG THÁNG 01/2025</v>
      </c>
      <c r="B243" s="1568"/>
      <c r="C243" s="1568"/>
      <c r="D243" s="1568"/>
      <c r="E243" s="766">
        <v>29</v>
      </c>
      <c r="F243" s="839"/>
      <c r="G243" s="1567" t="str">
        <f>A243</f>
        <v>LƯƠNG THÁNG 01/2025</v>
      </c>
      <c r="H243" s="1568"/>
      <c r="I243" s="1568"/>
      <c r="J243" s="1569"/>
      <c r="K243" s="766">
        <v>30</v>
      </c>
      <c r="L243" s="690"/>
    </row>
    <row r="244" spans="1:12" s="27" customFormat="1" ht="17.25" customHeight="1">
      <c r="A244" s="709" t="s">
        <v>15</v>
      </c>
      <c r="B244" s="840" t="str">
        <f>'CNKT '!D44</f>
        <v>T . Phết</v>
      </c>
      <c r="C244" s="691"/>
      <c r="D244" s="838" t="s">
        <v>396</v>
      </c>
      <c r="E244" s="838" t="s">
        <v>18</v>
      </c>
      <c r="F244" s="839"/>
      <c r="G244" s="709" t="s">
        <v>15</v>
      </c>
      <c r="H244" s="840" t="str">
        <f>'CNKT '!D45</f>
        <v>T. Viêng Sa Văn</v>
      </c>
      <c r="I244" s="691"/>
      <c r="J244" s="838" t="s">
        <v>396</v>
      </c>
      <c r="K244" s="838" t="s">
        <v>18</v>
      </c>
      <c r="L244" s="690"/>
    </row>
    <row r="245" spans="1:12" s="27" customFormat="1" ht="17.25" customHeight="1">
      <c r="A245" s="693" t="s">
        <v>397</v>
      </c>
      <c r="B245" s="842" t="s">
        <v>527</v>
      </c>
      <c r="C245" s="694">
        <f>VLOOKUP(B244,'BTH mủ tạp'!$D$17:$AN$94,36,0)</f>
        <v>1424.5328916648409</v>
      </c>
      <c r="D245" s="695"/>
      <c r="E245" s="695"/>
      <c r="F245" s="714"/>
      <c r="G245" s="693" t="s">
        <v>397</v>
      </c>
      <c r="H245" s="842" t="s">
        <v>527</v>
      </c>
      <c r="I245" s="694">
        <f>VLOOKUP(H244,'BTH mủ tạp'!$D$17:$AN$94,36,0)</f>
        <v>1401.8108500985722</v>
      </c>
      <c r="J245" s="695"/>
      <c r="K245" s="695"/>
      <c r="L245" s="690"/>
    </row>
    <row r="246" spans="1:12" s="27" customFormat="1" ht="17.25" customHeight="1">
      <c r="A246" s="693" t="s">
        <v>77</v>
      </c>
      <c r="B246" s="843" t="s">
        <v>432</v>
      </c>
      <c r="C246" s="696">
        <f>VLOOKUP(B244,'CNKT '!$D$16:$AA$96,3,0)</f>
        <v>0</v>
      </c>
      <c r="D246" s="697">
        <v>25000</v>
      </c>
      <c r="E246" s="695">
        <f>C246*D246</f>
        <v>0</v>
      </c>
      <c r="F246" s="839"/>
      <c r="G246" s="693" t="s">
        <v>77</v>
      </c>
      <c r="H246" s="843" t="s">
        <v>432</v>
      </c>
      <c r="I246" s="696">
        <f>VLOOKUP(H244,'CNKT '!$D$16:$AA$96,3,0)</f>
        <v>0</v>
      </c>
      <c r="J246" s="697">
        <v>25000</v>
      </c>
      <c r="K246" s="695">
        <f>I246*J246</f>
        <v>0</v>
      </c>
      <c r="L246" s="690"/>
    </row>
    <row r="247" spans="1:12" s="27" customFormat="1" ht="17.25" customHeight="1">
      <c r="A247" s="693" t="s">
        <v>307</v>
      </c>
      <c r="B247" s="844" t="s">
        <v>528</v>
      </c>
      <c r="C247" s="747">
        <f>VLOOKUP(B244,'CNKT '!$D$16:$AA$96,11,0)</f>
        <v>22</v>
      </c>
      <c r="D247" s="698">
        <f>46.1*$B$2</f>
        <v>30833.524000000001</v>
      </c>
      <c r="E247" s="695">
        <f t="shared" ref="E247:E251" si="28">C247*D247</f>
        <v>678337.52800000005</v>
      </c>
      <c r="F247" s="710"/>
      <c r="G247" s="693" t="s">
        <v>307</v>
      </c>
      <c r="H247" s="844" t="s">
        <v>528</v>
      </c>
      <c r="I247" s="747">
        <f>VLOOKUP(H244,'CNKT '!$D$16:$AA$96,11,0)</f>
        <v>22</v>
      </c>
      <c r="J247" s="698">
        <f>46.1*$B$2</f>
        <v>30833.524000000001</v>
      </c>
      <c r="K247" s="695">
        <f t="shared" ref="K247:K251" si="29">I247*J247</f>
        <v>678337.52800000005</v>
      </c>
      <c r="L247" s="690"/>
    </row>
    <row r="248" spans="1:12" s="27" customFormat="1" ht="17.25" customHeight="1">
      <c r="A248" s="693" t="s">
        <v>399</v>
      </c>
      <c r="B248" s="844" t="s">
        <v>529</v>
      </c>
      <c r="C248" s="747">
        <f>VLOOKUP(B244,'CNKT '!$D$16:$AA$96,12,0)</f>
        <v>5</v>
      </c>
      <c r="D248" s="697">
        <f>76.9*$B$2</f>
        <v>51433.796000000009</v>
      </c>
      <c r="E248" s="695">
        <f t="shared" si="28"/>
        <v>257168.98000000004</v>
      </c>
      <c r="F248" s="710"/>
      <c r="G248" s="693" t="s">
        <v>399</v>
      </c>
      <c r="H248" s="844" t="s">
        <v>529</v>
      </c>
      <c r="I248" s="747">
        <f>VLOOKUP(H244,'CNKT '!$D$16:$AA$96,12,0)</f>
        <v>5</v>
      </c>
      <c r="J248" s="697">
        <f>76.9*$B$2</f>
        <v>51433.796000000009</v>
      </c>
      <c r="K248" s="695">
        <f t="shared" si="29"/>
        <v>257168.98000000004</v>
      </c>
      <c r="L248" s="690"/>
    </row>
    <row r="249" spans="1:12" s="27" customFormat="1" ht="17.25" customHeight="1">
      <c r="A249" s="693" t="s">
        <v>78</v>
      </c>
      <c r="B249" s="844" t="s">
        <v>530</v>
      </c>
      <c r="C249" s="747">
        <f>VLOOKUP(B244,'CNKT '!$D$16:$AA$96,8,0)</f>
        <v>1424.5328916648414</v>
      </c>
      <c r="D249" s="697">
        <f>IF(C245="A",6.1,IF(C245="B",5.8,IF(C245="C",5.5,IF(C245="C.",5.5,IF(C245="D",5.2)))))*$B$2</f>
        <v>0</v>
      </c>
      <c r="E249" s="695">
        <f t="shared" si="28"/>
        <v>0</v>
      </c>
      <c r="F249" s="710"/>
      <c r="G249" s="693" t="s">
        <v>78</v>
      </c>
      <c r="H249" s="844" t="s">
        <v>530</v>
      </c>
      <c r="I249" s="747">
        <f>VLOOKUP(H244,'CNKT '!$D$16:$AA$96,8,0)</f>
        <v>1401.8108500985727</v>
      </c>
      <c r="J249" s="697">
        <f>IF(I245="A",6.1,IF(I245="B",5.8,IF(I245="C",5.5,IF(I245="C.",5.5,IF(I245="D",5.2)))))*$B$2</f>
        <v>0</v>
      </c>
      <c r="K249" s="695">
        <f t="shared" si="29"/>
        <v>0</v>
      </c>
      <c r="L249" s="690"/>
    </row>
    <row r="250" spans="1:12" s="27" customFormat="1" ht="17.25" customHeight="1">
      <c r="A250" s="693" t="s">
        <v>491</v>
      </c>
      <c r="B250" s="844" t="s">
        <v>531</v>
      </c>
      <c r="C250" s="747">
        <f>VLOOKUP(B244,'CNKT '!$D$16:$AA$96,15,0)</f>
        <v>0</v>
      </c>
      <c r="D250" s="698">
        <f>92.2*$B$2</f>
        <v>61667.048000000003</v>
      </c>
      <c r="E250" s="695">
        <f t="shared" si="28"/>
        <v>0</v>
      </c>
      <c r="F250" s="710"/>
      <c r="G250" s="693" t="s">
        <v>491</v>
      </c>
      <c r="H250" s="844" t="s">
        <v>531</v>
      </c>
      <c r="I250" s="747">
        <f>VLOOKUP(H244,'CNKT '!$D$16:$AA$96,15,0)</f>
        <v>0</v>
      </c>
      <c r="J250" s="698">
        <f>92.2*$B$2</f>
        <v>61667.048000000003</v>
      </c>
      <c r="K250" s="695">
        <f t="shared" si="29"/>
        <v>0</v>
      </c>
      <c r="L250" s="690"/>
    </row>
    <row r="251" spans="1:12" s="27" customFormat="1" ht="17.25" customHeight="1">
      <c r="A251" s="693" t="s">
        <v>492</v>
      </c>
      <c r="B251" s="844" t="s">
        <v>496</v>
      </c>
      <c r="C251" s="747">
        <f>VLOOKUP(B244,'CNKT '!$D$16:$AA$96,16,0)</f>
        <v>0</v>
      </c>
      <c r="D251" s="697">
        <f>153.8*$B$2</f>
        <v>102867.59200000002</v>
      </c>
      <c r="E251" s="695">
        <f t="shared" si="28"/>
        <v>0</v>
      </c>
      <c r="F251" s="710"/>
      <c r="G251" s="693" t="s">
        <v>492</v>
      </c>
      <c r="H251" s="844" t="s">
        <v>496</v>
      </c>
      <c r="I251" s="747">
        <f>VLOOKUP(H244,'CNKT '!$D$16:$AA$96,16,0)</f>
        <v>0</v>
      </c>
      <c r="J251" s="697">
        <f>153.8*$B$2</f>
        <v>102867.59200000002</v>
      </c>
      <c r="K251" s="695">
        <f t="shared" si="29"/>
        <v>0</v>
      </c>
      <c r="L251" s="690"/>
    </row>
    <row r="252" spans="1:12" s="27" customFormat="1" ht="17.25" customHeight="1">
      <c r="A252" s="693" t="s">
        <v>453</v>
      </c>
      <c r="B252" s="844" t="s">
        <v>497</v>
      </c>
      <c r="C252" s="747">
        <f>VLOOKUP(B244,'CNKT '!$D$16:$AA$96,18,0)</f>
        <v>0</v>
      </c>
      <c r="D252" s="697">
        <v>10000</v>
      </c>
      <c r="E252" s="695">
        <f>C252*D252</f>
        <v>0</v>
      </c>
      <c r="F252" s="710"/>
      <c r="G252" s="693" t="s">
        <v>453</v>
      </c>
      <c r="H252" s="844" t="s">
        <v>497</v>
      </c>
      <c r="I252" s="747">
        <f>VLOOKUP(H244,'CNKT '!$D$16:$AA$96,18,0)</f>
        <v>0</v>
      </c>
      <c r="J252" s="697">
        <v>10000</v>
      </c>
      <c r="K252" s="695">
        <f>I252*J252</f>
        <v>0</v>
      </c>
      <c r="L252" s="690"/>
    </row>
    <row r="253" spans="1:12" s="27" customFormat="1" ht="17.25" customHeight="1">
      <c r="A253" s="693" t="s">
        <v>453</v>
      </c>
      <c r="B253" s="844" t="s">
        <v>497</v>
      </c>
      <c r="C253" s="747">
        <f>VLOOKUP(B244,'CNKT '!$D$16:$AA$96,19,0)</f>
        <v>0</v>
      </c>
      <c r="D253" s="697">
        <v>20000</v>
      </c>
      <c r="E253" s="695">
        <f>C253*D253</f>
        <v>0</v>
      </c>
      <c r="F253" s="710"/>
      <c r="G253" s="693" t="s">
        <v>453</v>
      </c>
      <c r="H253" s="844" t="s">
        <v>497</v>
      </c>
      <c r="I253" s="747">
        <f>VLOOKUP(H244,'CNKT '!$D$16:$AA$96,19,0)</f>
        <v>0</v>
      </c>
      <c r="J253" s="697">
        <v>20000</v>
      </c>
      <c r="K253" s="695">
        <f>I253*J253</f>
        <v>0</v>
      </c>
      <c r="L253" s="690"/>
    </row>
    <row r="254" spans="1:12" s="27" customFormat="1" ht="17.25" customHeight="1">
      <c r="A254" s="693" t="s">
        <v>512</v>
      </c>
      <c r="B254" s="844" t="s">
        <v>513</v>
      </c>
      <c r="C254" s="747"/>
      <c r="D254" s="697"/>
      <c r="E254" s="695"/>
      <c r="F254" s="710"/>
      <c r="G254" s="693" t="s">
        <v>512</v>
      </c>
      <c r="H254" s="844" t="s">
        <v>513</v>
      </c>
      <c r="I254" s="747"/>
      <c r="J254" s="697"/>
      <c r="K254" s="695"/>
      <c r="L254" s="690"/>
    </row>
    <row r="255" spans="1:12" s="27" customFormat="1" ht="17.25" customHeight="1">
      <c r="A255" s="699" t="s">
        <v>79</v>
      </c>
      <c r="B255" s="845" t="s">
        <v>532</v>
      </c>
      <c r="C255" s="700"/>
      <c r="D255" s="701"/>
      <c r="E255" s="700"/>
      <c r="F255" s="710"/>
      <c r="G255" s="699" t="s">
        <v>79</v>
      </c>
      <c r="H255" s="845" t="s">
        <v>532</v>
      </c>
      <c r="I255" s="700"/>
      <c r="J255" s="701"/>
      <c r="K255" s="700"/>
      <c r="L255" s="690"/>
    </row>
    <row r="256" spans="1:12" s="27" customFormat="1" ht="17.25" customHeight="1">
      <c r="A256" s="702" t="s">
        <v>80</v>
      </c>
      <c r="B256" s="846" t="s">
        <v>533</v>
      </c>
      <c r="C256" s="700"/>
      <c r="D256" s="700"/>
      <c r="E256" s="700"/>
      <c r="F256" s="713"/>
      <c r="G256" s="702" t="s">
        <v>80</v>
      </c>
      <c r="H256" s="846" t="s">
        <v>533</v>
      </c>
      <c r="I256" s="700"/>
      <c r="J256" s="700"/>
      <c r="K256" s="700"/>
      <c r="L256" s="690"/>
    </row>
    <row r="257" spans="1:13" s="27" customFormat="1" ht="17.25" customHeight="1">
      <c r="A257" s="702" t="s">
        <v>81</v>
      </c>
      <c r="B257" s="847" t="s">
        <v>534</v>
      </c>
      <c r="C257" s="700"/>
      <c r="D257" s="700"/>
      <c r="E257" s="695">
        <f>SUM(E256)</f>
        <v>0</v>
      </c>
      <c r="F257" s="713"/>
      <c r="G257" s="702" t="s">
        <v>81</v>
      </c>
      <c r="H257" s="847" t="s">
        <v>534</v>
      </c>
      <c r="I257" s="700"/>
      <c r="J257" s="700"/>
      <c r="K257" s="695">
        <f>SUM(K256)</f>
        <v>0</v>
      </c>
      <c r="L257" s="690"/>
      <c r="M257" s="703">
        <f>E257+K257</f>
        <v>0</v>
      </c>
    </row>
    <row r="258" spans="1:13" s="27" customFormat="1" ht="17.25" customHeight="1">
      <c r="A258" s="704" t="s">
        <v>82</v>
      </c>
      <c r="B258" s="848" t="s">
        <v>438</v>
      </c>
      <c r="C258" s="705"/>
      <c r="D258" s="705"/>
      <c r="E258" s="705">
        <f>(E246+E247+E248+E249+E250+E251+E252+E253+E254)-E257</f>
        <v>935506.50800000015</v>
      </c>
      <c r="F258" s="713"/>
      <c r="G258" s="704" t="s">
        <v>82</v>
      </c>
      <c r="H258" s="848" t="s">
        <v>438</v>
      </c>
      <c r="I258" s="705"/>
      <c r="J258" s="705"/>
      <c r="K258" s="705">
        <f>(K246+K247+K248+K249+K250+K251+K252+K253+K254)-K257</f>
        <v>935506.50800000015</v>
      </c>
      <c r="L258" s="707">
        <f>E258+K258</f>
        <v>1871013.0160000003</v>
      </c>
    </row>
    <row r="259" spans="1:13" s="27" customFormat="1" ht="15" customHeight="1">
      <c r="A259" s="710"/>
      <c r="B259" s="715"/>
      <c r="C259" s="716"/>
      <c r="D259" s="716"/>
      <c r="E259" s="714"/>
      <c r="F259" s="713"/>
      <c r="G259" s="710"/>
      <c r="H259" s="715"/>
      <c r="I259" s="716"/>
      <c r="J259" s="714"/>
      <c r="K259" s="708"/>
      <c r="L259" s="690"/>
    </row>
    <row r="260" spans="1:13" s="27" customFormat="1" ht="17.25" customHeight="1">
      <c r="A260" s="1567" t="str">
        <f>G243</f>
        <v>LƯƠNG THÁNG 01/2025</v>
      </c>
      <c r="B260" s="1568"/>
      <c r="C260" s="1568"/>
      <c r="D260" s="1568"/>
      <c r="E260" s="766">
        <v>31</v>
      </c>
      <c r="F260" s="714"/>
      <c r="G260" s="1567" t="str">
        <f>A260</f>
        <v>LƯƠNG THÁNG 01/2025</v>
      </c>
      <c r="H260" s="1568"/>
      <c r="I260" s="1568"/>
      <c r="J260" s="1569"/>
      <c r="K260" s="766">
        <v>32</v>
      </c>
      <c r="L260" s="690"/>
    </row>
    <row r="261" spans="1:13" s="27" customFormat="1" ht="17.25" customHeight="1">
      <c r="A261" s="709" t="s">
        <v>15</v>
      </c>
      <c r="B261" s="840" t="str">
        <f>'CNKT '!D46</f>
        <v>T. Ca Te</v>
      </c>
      <c r="C261" s="691"/>
      <c r="D261" s="838" t="s">
        <v>396</v>
      </c>
      <c r="E261" s="838" t="s">
        <v>18</v>
      </c>
      <c r="G261" s="709" t="s">
        <v>15</v>
      </c>
      <c r="H261" s="840" t="str">
        <f>'CNKT '!D47</f>
        <v>T. Lâm Phon</v>
      </c>
      <c r="I261" s="691"/>
      <c r="J261" s="838" t="s">
        <v>396</v>
      </c>
      <c r="K261" s="838" t="s">
        <v>18</v>
      </c>
      <c r="L261" s="690"/>
    </row>
    <row r="262" spans="1:13" s="27" customFormat="1" ht="17.25" customHeight="1">
      <c r="A262" s="693" t="s">
        <v>397</v>
      </c>
      <c r="B262" s="842" t="s">
        <v>527</v>
      </c>
      <c r="C262" s="694">
        <f>VLOOKUP(B261,'BTH mủ tạp'!$D$17:$AN$94,36,0)</f>
        <v>1234.4096867225933</v>
      </c>
      <c r="D262" s="695"/>
      <c r="E262" s="695"/>
      <c r="F262" s="839"/>
      <c r="G262" s="693" t="s">
        <v>397</v>
      </c>
      <c r="H262" s="842" t="s">
        <v>527</v>
      </c>
      <c r="I262" s="694">
        <f>VLOOKUP(H261,'BTH mủ tạp'!$D$17:$AN$94,36,0)</f>
        <v>1307.212962761454</v>
      </c>
      <c r="J262" s="695"/>
      <c r="K262" s="695"/>
      <c r="L262" s="690"/>
    </row>
    <row r="263" spans="1:13" s="27" customFormat="1" ht="17.25" customHeight="1">
      <c r="A263" s="693" t="s">
        <v>77</v>
      </c>
      <c r="B263" s="843" t="s">
        <v>432</v>
      </c>
      <c r="C263" s="696">
        <f>VLOOKUP(B261,'CNKT '!$D$16:$AA$96,3,0)</f>
        <v>0</v>
      </c>
      <c r="D263" s="697">
        <v>25000</v>
      </c>
      <c r="E263" s="695">
        <f>C263*D263</f>
        <v>0</v>
      </c>
      <c r="F263" s="710"/>
      <c r="G263" s="693" t="s">
        <v>77</v>
      </c>
      <c r="H263" s="843" t="s">
        <v>432</v>
      </c>
      <c r="I263" s="696">
        <f>VLOOKUP(H261,'CNKT '!$D$16:$AA$96,3,0)</f>
        <v>0</v>
      </c>
      <c r="J263" s="697">
        <v>25000</v>
      </c>
      <c r="K263" s="695">
        <f>I263*J263</f>
        <v>0</v>
      </c>
      <c r="L263" s="690"/>
    </row>
    <row r="264" spans="1:13" s="27" customFormat="1" ht="17.25" customHeight="1">
      <c r="A264" s="693" t="s">
        <v>307</v>
      </c>
      <c r="B264" s="844" t="s">
        <v>528</v>
      </c>
      <c r="C264" s="747">
        <f>VLOOKUP(B261,'CNKT '!$D$16:$AA$96,11,0)</f>
        <v>18</v>
      </c>
      <c r="D264" s="698">
        <f>46.1*$B$2</f>
        <v>30833.524000000001</v>
      </c>
      <c r="E264" s="695">
        <f t="shared" ref="E264:E268" si="30">C264*D264</f>
        <v>555003.43200000003</v>
      </c>
      <c r="F264" s="710"/>
      <c r="G264" s="693" t="s">
        <v>307</v>
      </c>
      <c r="H264" s="844" t="s">
        <v>528</v>
      </c>
      <c r="I264" s="747">
        <f>VLOOKUP(H261,'CNKT '!$D$16:$AA$96,11,0)</f>
        <v>20</v>
      </c>
      <c r="J264" s="698">
        <f>46.1*$B$2</f>
        <v>30833.524000000001</v>
      </c>
      <c r="K264" s="695">
        <f t="shared" ref="K264:K268" si="31">I264*J264</f>
        <v>616670.48</v>
      </c>
      <c r="L264" s="690"/>
    </row>
    <row r="265" spans="1:13" s="27" customFormat="1" ht="17.25" customHeight="1">
      <c r="A265" s="693" t="s">
        <v>399</v>
      </c>
      <c r="B265" s="844" t="s">
        <v>529</v>
      </c>
      <c r="C265" s="747">
        <f>VLOOKUP(B261,'CNKT '!$D$16:$AA$96,12,0)</f>
        <v>4</v>
      </c>
      <c r="D265" s="697">
        <f>76.9*$B$2</f>
        <v>51433.796000000009</v>
      </c>
      <c r="E265" s="695">
        <f t="shared" si="30"/>
        <v>205735.18400000004</v>
      </c>
      <c r="F265" s="710"/>
      <c r="G265" s="693" t="s">
        <v>399</v>
      </c>
      <c r="H265" s="844" t="s">
        <v>529</v>
      </c>
      <c r="I265" s="747">
        <f>VLOOKUP(H261,'CNKT '!$D$16:$AA$96,12,0)</f>
        <v>5</v>
      </c>
      <c r="J265" s="697">
        <f>76.9*$B$2</f>
        <v>51433.796000000009</v>
      </c>
      <c r="K265" s="695">
        <f t="shared" si="31"/>
        <v>257168.98000000004</v>
      </c>
      <c r="L265" s="690"/>
    </row>
    <row r="266" spans="1:13" s="27" customFormat="1" ht="17.25" customHeight="1">
      <c r="A266" s="693" t="s">
        <v>78</v>
      </c>
      <c r="B266" s="844" t="s">
        <v>530</v>
      </c>
      <c r="C266" s="747">
        <f>VLOOKUP(B261,'CNKT '!$D$16:$AA$96,8,0)</f>
        <v>1234.4096867225935</v>
      </c>
      <c r="D266" s="697">
        <f>IF(C262="A",6.1,IF(C262="B",5.8,IF(C262="C",5.5,IF(C262="C.",5.5,IF(C262="D",5.2)))))*$B$2</f>
        <v>0</v>
      </c>
      <c r="E266" s="695">
        <f t="shared" si="30"/>
        <v>0</v>
      </c>
      <c r="F266" s="710"/>
      <c r="G266" s="693" t="s">
        <v>78</v>
      </c>
      <c r="H266" s="844" t="s">
        <v>530</v>
      </c>
      <c r="I266" s="747">
        <f>VLOOKUP(H261,'CNKT '!$D$16:$AA$96,8,0)</f>
        <v>1307.2129627614543</v>
      </c>
      <c r="J266" s="697">
        <f>IF(I262="A",6.1,IF(I262="B",5.8,IF(I262="C",5.5,IF(I262="C.",5.5,IF(I262="D",5.2)))))*$B$2</f>
        <v>0</v>
      </c>
      <c r="K266" s="695">
        <f t="shared" si="31"/>
        <v>0</v>
      </c>
      <c r="L266" s="690"/>
    </row>
    <row r="267" spans="1:13" s="27" customFormat="1" ht="17.25" customHeight="1">
      <c r="A267" s="693" t="s">
        <v>491</v>
      </c>
      <c r="B267" s="844" t="s">
        <v>531</v>
      </c>
      <c r="C267" s="747">
        <f>VLOOKUP(B261,'CNKT '!$D$16:$AA$96,15,0)</f>
        <v>0</v>
      </c>
      <c r="D267" s="698">
        <f>92.2*$B$2</f>
        <v>61667.048000000003</v>
      </c>
      <c r="E267" s="695">
        <f t="shared" si="30"/>
        <v>0</v>
      </c>
      <c r="F267" s="710"/>
      <c r="G267" s="693" t="s">
        <v>491</v>
      </c>
      <c r="H267" s="844" t="s">
        <v>531</v>
      </c>
      <c r="I267" s="747">
        <f>VLOOKUP(H261,'CNKT '!$D$16:$AA$96,15,0)</f>
        <v>0</v>
      </c>
      <c r="J267" s="698">
        <f>92.2*$B$2</f>
        <v>61667.048000000003</v>
      </c>
      <c r="K267" s="695">
        <f t="shared" si="31"/>
        <v>0</v>
      </c>
      <c r="L267" s="690"/>
    </row>
    <row r="268" spans="1:13" s="27" customFormat="1" ht="17.25" customHeight="1">
      <c r="A268" s="693" t="s">
        <v>492</v>
      </c>
      <c r="B268" s="844" t="s">
        <v>496</v>
      </c>
      <c r="C268" s="747">
        <f>VLOOKUP(B261,'CNKT '!$D$16:$AA$96,16,0)</f>
        <v>0</v>
      </c>
      <c r="D268" s="697">
        <f>153.8*$B$2</f>
        <v>102867.59200000002</v>
      </c>
      <c r="E268" s="695">
        <f t="shared" si="30"/>
        <v>0</v>
      </c>
      <c r="F268" s="710"/>
      <c r="G268" s="693" t="s">
        <v>492</v>
      </c>
      <c r="H268" s="844" t="s">
        <v>496</v>
      </c>
      <c r="I268" s="747">
        <f>VLOOKUP(H261,'CNKT '!$D$16:$AA$96,16,0)</f>
        <v>0</v>
      </c>
      <c r="J268" s="697">
        <f>153.8*$B$2</f>
        <v>102867.59200000002</v>
      </c>
      <c r="K268" s="695">
        <f t="shared" si="31"/>
        <v>0</v>
      </c>
      <c r="L268" s="690"/>
    </row>
    <row r="269" spans="1:13" s="27" customFormat="1" ht="17.25" customHeight="1">
      <c r="A269" s="693" t="s">
        <v>453</v>
      </c>
      <c r="B269" s="844" t="s">
        <v>497</v>
      </c>
      <c r="C269" s="747">
        <f>VLOOKUP(B261,'CNKT '!$D$16:$AA$96,18,0)</f>
        <v>0</v>
      </c>
      <c r="D269" s="697">
        <v>10000</v>
      </c>
      <c r="E269" s="695">
        <f>C269*D269</f>
        <v>0</v>
      </c>
      <c r="F269" s="710"/>
      <c r="G269" s="693" t="s">
        <v>453</v>
      </c>
      <c r="H269" s="844" t="s">
        <v>497</v>
      </c>
      <c r="I269" s="747">
        <f>VLOOKUP(H261,'CNKT '!$D$16:$AA$96,18,0)</f>
        <v>0</v>
      </c>
      <c r="J269" s="697">
        <v>10000</v>
      </c>
      <c r="K269" s="695">
        <f>I269*J269</f>
        <v>0</v>
      </c>
      <c r="L269" s="690"/>
    </row>
    <row r="270" spans="1:13" s="27" customFormat="1" ht="17.25" customHeight="1">
      <c r="A270" s="693" t="s">
        <v>453</v>
      </c>
      <c r="B270" s="844" t="s">
        <v>497</v>
      </c>
      <c r="C270" s="747">
        <f>VLOOKUP(B261,'CNKT '!$D$16:$AA$96,19,0)</f>
        <v>0</v>
      </c>
      <c r="D270" s="697">
        <v>20000</v>
      </c>
      <c r="E270" s="695">
        <f>C270*D270</f>
        <v>0</v>
      </c>
      <c r="F270" s="710"/>
      <c r="G270" s="693" t="s">
        <v>453</v>
      </c>
      <c r="H270" s="844" t="s">
        <v>497</v>
      </c>
      <c r="I270" s="747">
        <f>VLOOKUP(H261,'CNKT '!$D$16:$AA$96,19,0)</f>
        <v>0</v>
      </c>
      <c r="J270" s="697">
        <v>20000</v>
      </c>
      <c r="K270" s="695">
        <f>I270*J270</f>
        <v>0</v>
      </c>
      <c r="L270" s="690"/>
    </row>
    <row r="271" spans="1:13" s="27" customFormat="1" ht="17.25" customHeight="1">
      <c r="A271" s="693" t="s">
        <v>512</v>
      </c>
      <c r="B271" s="844" t="s">
        <v>513</v>
      </c>
      <c r="C271" s="747"/>
      <c r="D271" s="697"/>
      <c r="E271" s="695"/>
      <c r="F271" s="710"/>
      <c r="G271" s="693" t="s">
        <v>512</v>
      </c>
      <c r="H271" s="844" t="s">
        <v>513</v>
      </c>
      <c r="I271" s="747"/>
      <c r="J271" s="697"/>
      <c r="K271" s="695"/>
      <c r="L271" s="690"/>
    </row>
    <row r="272" spans="1:13" s="27" customFormat="1" ht="17.25" customHeight="1">
      <c r="A272" s="699" t="s">
        <v>79</v>
      </c>
      <c r="B272" s="845" t="s">
        <v>532</v>
      </c>
      <c r="C272" s="700"/>
      <c r="D272" s="701"/>
      <c r="E272" s="700"/>
      <c r="F272" s="713"/>
      <c r="G272" s="699" t="s">
        <v>79</v>
      </c>
      <c r="H272" s="845" t="s">
        <v>532</v>
      </c>
      <c r="I272" s="700"/>
      <c r="J272" s="701"/>
      <c r="K272" s="700"/>
      <c r="L272" s="690"/>
    </row>
    <row r="273" spans="1:13" s="27" customFormat="1" ht="17.25" customHeight="1">
      <c r="A273" s="702" t="s">
        <v>80</v>
      </c>
      <c r="B273" s="846" t="s">
        <v>533</v>
      </c>
      <c r="C273" s="700"/>
      <c r="D273" s="700"/>
      <c r="E273" s="700"/>
      <c r="F273" s="713"/>
      <c r="G273" s="702" t="s">
        <v>80</v>
      </c>
      <c r="H273" s="846" t="s">
        <v>533</v>
      </c>
      <c r="I273" s="700"/>
      <c r="J273" s="700"/>
      <c r="K273" s="700"/>
      <c r="L273" s="690"/>
    </row>
    <row r="274" spans="1:13" s="27" customFormat="1" ht="17.25" customHeight="1">
      <c r="A274" s="702" t="s">
        <v>81</v>
      </c>
      <c r="B274" s="847" t="s">
        <v>534</v>
      </c>
      <c r="C274" s="700"/>
      <c r="D274" s="700"/>
      <c r="E274" s="695">
        <f>SUM(E273)</f>
        <v>0</v>
      </c>
      <c r="F274" s="713"/>
      <c r="G274" s="702" t="s">
        <v>81</v>
      </c>
      <c r="H274" s="847" t="s">
        <v>534</v>
      </c>
      <c r="I274" s="700"/>
      <c r="J274" s="700"/>
      <c r="K274" s="695">
        <f>SUM(K273)</f>
        <v>0</v>
      </c>
      <c r="L274" s="690"/>
      <c r="M274" s="703">
        <f>E274+K274</f>
        <v>0</v>
      </c>
    </row>
    <row r="275" spans="1:13" s="27" customFormat="1" ht="17.25" customHeight="1">
      <c r="A275" s="704" t="s">
        <v>82</v>
      </c>
      <c r="B275" s="848" t="s">
        <v>438</v>
      </c>
      <c r="C275" s="705"/>
      <c r="D275" s="705"/>
      <c r="E275" s="705">
        <f>(E263+E264+E265+E266+E267+E268+E269+E270+E271)-E274</f>
        <v>760738.61600000004</v>
      </c>
      <c r="F275" s="713"/>
      <c r="G275" s="704" t="s">
        <v>82</v>
      </c>
      <c r="H275" s="848" t="s">
        <v>438</v>
      </c>
      <c r="I275" s="705"/>
      <c r="J275" s="705"/>
      <c r="K275" s="705">
        <f>(K263+K264+K265+K266+K267+K268+K269+K270+K271)-K274</f>
        <v>873839.46</v>
      </c>
      <c r="L275" s="707">
        <f>E275+K275</f>
        <v>1634578.0759999999</v>
      </c>
    </row>
    <row r="276" spans="1:13" s="27" customFormat="1" ht="17.25" customHeight="1">
      <c r="A276" s="710"/>
      <c r="B276" s="715"/>
      <c r="C276" s="716"/>
      <c r="D276" s="716"/>
      <c r="E276" s="714"/>
      <c r="F276" s="713"/>
      <c r="G276" s="710"/>
      <c r="H276" s="715"/>
      <c r="I276" s="716"/>
      <c r="J276" s="714"/>
      <c r="K276" s="708"/>
      <c r="L276" s="690"/>
    </row>
    <row r="277" spans="1:13" s="27" customFormat="1" ht="17.25" customHeight="1">
      <c r="A277" s="1567" t="str">
        <f>G260</f>
        <v>LƯƠNG THÁNG 01/2025</v>
      </c>
      <c r="B277" s="1568"/>
      <c r="C277" s="1568"/>
      <c r="D277" s="1568"/>
      <c r="E277" s="766">
        <v>33</v>
      </c>
      <c r="F277" s="714"/>
      <c r="G277" s="1567" t="str">
        <f>A277</f>
        <v>LƯƠNG THÁNG 01/2025</v>
      </c>
      <c r="H277" s="1568"/>
      <c r="I277" s="1568"/>
      <c r="J277" s="1569"/>
      <c r="K277" s="766">
        <v>34</v>
      </c>
      <c r="L277" s="690"/>
    </row>
    <row r="278" spans="1:13" s="27" customFormat="1" ht="17.25" customHeight="1">
      <c r="A278" s="709" t="s">
        <v>15</v>
      </c>
      <c r="B278" s="840" t="str">
        <f>'CNKT '!D48</f>
        <v>T. Sô Đa</v>
      </c>
      <c r="C278" s="691"/>
      <c r="D278" s="838" t="s">
        <v>396</v>
      </c>
      <c r="E278" s="838" t="s">
        <v>18</v>
      </c>
      <c r="F278" s="714"/>
      <c r="G278" s="709" t="s">
        <v>15</v>
      </c>
      <c r="H278" s="840" t="str">
        <f>'CNKT '!D49</f>
        <v>T. Phu Ngân</v>
      </c>
      <c r="I278" s="691"/>
      <c r="J278" s="838" t="s">
        <v>396</v>
      </c>
      <c r="K278" s="838" t="s">
        <v>18</v>
      </c>
      <c r="L278" s="690"/>
    </row>
    <row r="279" spans="1:13" s="27" customFormat="1" ht="17.25" customHeight="1">
      <c r="A279" s="693" t="s">
        <v>397</v>
      </c>
      <c r="B279" s="842" t="s">
        <v>527</v>
      </c>
      <c r="C279" s="694">
        <f>VLOOKUP(B278,'BTH mủ tạp'!$D$17:$AN$94,36,0)</f>
        <v>1361.9313485741011</v>
      </c>
      <c r="D279" s="695"/>
      <c r="E279" s="695"/>
      <c r="F279" s="714"/>
      <c r="G279" s="693" t="s">
        <v>397</v>
      </c>
      <c r="H279" s="842" t="s">
        <v>527</v>
      </c>
      <c r="I279" s="694">
        <f>VLOOKUP(H278,'BTH mủ tạp'!$D$17:$AN$94,36,0)</f>
        <v>1493.6264466316579</v>
      </c>
      <c r="J279" s="695"/>
      <c r="K279" s="695"/>
      <c r="L279" s="690"/>
    </row>
    <row r="280" spans="1:13" s="27" customFormat="1" ht="17.25" customHeight="1">
      <c r="A280" s="693" t="s">
        <v>77</v>
      </c>
      <c r="B280" s="843" t="s">
        <v>432</v>
      </c>
      <c r="C280" s="696">
        <f>VLOOKUP(B278,'CNKT '!$D$16:$AA$96,3,0)</f>
        <v>0</v>
      </c>
      <c r="D280" s="697">
        <v>25000</v>
      </c>
      <c r="E280" s="695">
        <f>C280*D280</f>
        <v>0</v>
      </c>
      <c r="F280" s="714"/>
      <c r="G280" s="693" t="s">
        <v>77</v>
      </c>
      <c r="H280" s="843" t="s">
        <v>432</v>
      </c>
      <c r="I280" s="696">
        <f>VLOOKUP(H278,'CNKT '!$D$16:$AA$96,3,0)</f>
        <v>0</v>
      </c>
      <c r="J280" s="697">
        <v>25000</v>
      </c>
      <c r="K280" s="695">
        <f>I280*J280</f>
        <v>0</v>
      </c>
      <c r="L280" s="690"/>
    </row>
    <row r="281" spans="1:13" s="27" customFormat="1" ht="17.25" customHeight="1">
      <c r="A281" s="693" t="s">
        <v>307</v>
      </c>
      <c r="B281" s="844" t="s">
        <v>528</v>
      </c>
      <c r="C281" s="747">
        <f>VLOOKUP(B278,'CNKT '!$D$16:$AA$96,11,0)</f>
        <v>23</v>
      </c>
      <c r="D281" s="698">
        <f>46.1*$B$2</f>
        <v>30833.524000000001</v>
      </c>
      <c r="E281" s="695">
        <f t="shared" ref="E281:E285" si="32">C281*D281</f>
        <v>709171.05200000003</v>
      </c>
      <c r="F281" s="714"/>
      <c r="G281" s="693" t="s">
        <v>307</v>
      </c>
      <c r="H281" s="844" t="s">
        <v>528</v>
      </c>
      <c r="I281" s="747">
        <f>VLOOKUP(H278,'CNKT '!$D$16:$AA$96,11,0)</f>
        <v>22</v>
      </c>
      <c r="J281" s="698">
        <f>46.1*$B$2</f>
        <v>30833.524000000001</v>
      </c>
      <c r="K281" s="695">
        <f t="shared" ref="K281:K285" si="33">I281*J281</f>
        <v>678337.52800000005</v>
      </c>
      <c r="L281" s="690"/>
    </row>
    <row r="282" spans="1:13" s="27" customFormat="1" ht="17.25" customHeight="1">
      <c r="A282" s="693" t="s">
        <v>399</v>
      </c>
      <c r="B282" s="844" t="s">
        <v>529</v>
      </c>
      <c r="C282" s="747">
        <f>VLOOKUP(B278,'CNKT '!$D$16:$AA$96,12,0)</f>
        <v>5</v>
      </c>
      <c r="D282" s="697">
        <f>76.9*$B$2</f>
        <v>51433.796000000009</v>
      </c>
      <c r="E282" s="695">
        <f t="shared" si="32"/>
        <v>257168.98000000004</v>
      </c>
      <c r="F282" s="714"/>
      <c r="G282" s="693" t="s">
        <v>399</v>
      </c>
      <c r="H282" s="844" t="s">
        <v>529</v>
      </c>
      <c r="I282" s="747">
        <f>VLOOKUP(H278,'CNKT '!$D$16:$AA$96,12,0)</f>
        <v>5</v>
      </c>
      <c r="J282" s="697">
        <f>76.9*$B$2</f>
        <v>51433.796000000009</v>
      </c>
      <c r="K282" s="695">
        <f t="shared" si="33"/>
        <v>257168.98000000004</v>
      </c>
      <c r="L282" s="690"/>
    </row>
    <row r="283" spans="1:13" s="27" customFormat="1" ht="17.25" customHeight="1">
      <c r="A283" s="693" t="s">
        <v>78</v>
      </c>
      <c r="B283" s="844" t="s">
        <v>530</v>
      </c>
      <c r="C283" s="747">
        <f>VLOOKUP(B278,'CNKT '!$D$16:$AA$96,8,0)</f>
        <v>1361.9313485741013</v>
      </c>
      <c r="D283" s="697">
        <f>IF(C279="A",6.1,IF(C279="B",5.8,IF(C279="C",5.5,IF(C279="C.",5.5,IF(C279="D",5.2)))))*$B$2</f>
        <v>0</v>
      </c>
      <c r="E283" s="695">
        <f t="shared" si="32"/>
        <v>0</v>
      </c>
      <c r="F283" s="714"/>
      <c r="G283" s="693" t="s">
        <v>78</v>
      </c>
      <c r="H283" s="844" t="s">
        <v>530</v>
      </c>
      <c r="I283" s="747">
        <f>VLOOKUP(H278,'CNKT '!$D$16:$AA$96,8,0)</f>
        <v>1493.6264466316582</v>
      </c>
      <c r="J283" s="697">
        <f>IF(I279="A",6.1,IF(I279="B",5.8,IF(I279="C",5.5,IF(I279="C.",5.5,IF(I279="D",5.2)))))*$B$2</f>
        <v>0</v>
      </c>
      <c r="K283" s="695">
        <f t="shared" si="33"/>
        <v>0</v>
      </c>
      <c r="L283" s="690"/>
    </row>
    <row r="284" spans="1:13" s="27" customFormat="1" ht="17.25" customHeight="1">
      <c r="A284" s="693" t="s">
        <v>491</v>
      </c>
      <c r="B284" s="844" t="s">
        <v>531</v>
      </c>
      <c r="C284" s="747">
        <f>VLOOKUP(B278,'CNKT '!$D$16:$AA$96,15,0)</f>
        <v>0</v>
      </c>
      <c r="D284" s="698">
        <f>92.2*$B$2</f>
        <v>61667.048000000003</v>
      </c>
      <c r="E284" s="695">
        <f t="shared" si="32"/>
        <v>0</v>
      </c>
      <c r="F284" s="714"/>
      <c r="G284" s="693" t="s">
        <v>491</v>
      </c>
      <c r="H284" s="844" t="s">
        <v>531</v>
      </c>
      <c r="I284" s="747">
        <f>VLOOKUP(H278,'CNKT '!$D$16:$AA$96,15,0)</f>
        <v>0</v>
      </c>
      <c r="J284" s="698">
        <f>92.2*$B$2</f>
        <v>61667.048000000003</v>
      </c>
      <c r="K284" s="695">
        <f t="shared" si="33"/>
        <v>0</v>
      </c>
      <c r="L284" s="690"/>
    </row>
    <row r="285" spans="1:13" s="27" customFormat="1" ht="17.25" customHeight="1">
      <c r="A285" s="693" t="s">
        <v>492</v>
      </c>
      <c r="B285" s="844" t="s">
        <v>496</v>
      </c>
      <c r="C285" s="747">
        <f>VLOOKUP(B278,'CNKT '!$D$16:$AA$96,16,0)</f>
        <v>0</v>
      </c>
      <c r="D285" s="697">
        <f>153.8*$B$2</f>
        <v>102867.59200000002</v>
      </c>
      <c r="E285" s="695">
        <f t="shared" si="32"/>
        <v>0</v>
      </c>
      <c r="F285" s="714"/>
      <c r="G285" s="693" t="s">
        <v>492</v>
      </c>
      <c r="H285" s="844" t="s">
        <v>496</v>
      </c>
      <c r="I285" s="747">
        <f>VLOOKUP(H278,'CNKT '!$D$16:$AA$96,16,0)</f>
        <v>0</v>
      </c>
      <c r="J285" s="697">
        <f>153.8*$B$2</f>
        <v>102867.59200000002</v>
      </c>
      <c r="K285" s="695">
        <f t="shared" si="33"/>
        <v>0</v>
      </c>
      <c r="L285" s="690"/>
    </row>
    <row r="286" spans="1:13" s="27" customFormat="1" ht="17.25" customHeight="1">
      <c r="A286" s="693" t="s">
        <v>453</v>
      </c>
      <c r="B286" s="844" t="s">
        <v>497</v>
      </c>
      <c r="C286" s="747">
        <f>VLOOKUP(B278,'CNKT '!$D$16:$AA$96,18,0)</f>
        <v>0</v>
      </c>
      <c r="D286" s="697">
        <v>10000</v>
      </c>
      <c r="E286" s="695">
        <f>C286*D286</f>
        <v>0</v>
      </c>
      <c r="F286" s="714"/>
      <c r="G286" s="693" t="s">
        <v>453</v>
      </c>
      <c r="H286" s="844" t="s">
        <v>497</v>
      </c>
      <c r="I286" s="747">
        <f>VLOOKUP(H278,'CNKT '!$D$16:$AA$96,18,0)</f>
        <v>0</v>
      </c>
      <c r="J286" s="697">
        <v>10000</v>
      </c>
      <c r="K286" s="695">
        <f>I286*J286</f>
        <v>0</v>
      </c>
      <c r="L286" s="690"/>
    </row>
    <row r="287" spans="1:13" s="27" customFormat="1" ht="17.25" customHeight="1">
      <c r="A287" s="693" t="s">
        <v>453</v>
      </c>
      <c r="B287" s="844" t="s">
        <v>497</v>
      </c>
      <c r="C287" s="747">
        <f>VLOOKUP(B278,'CNKT '!$D$16:$AA$96,19,0)</f>
        <v>0</v>
      </c>
      <c r="D287" s="697">
        <v>20000</v>
      </c>
      <c r="E287" s="695">
        <f>C287*D287</f>
        <v>0</v>
      </c>
      <c r="F287" s="714"/>
      <c r="G287" s="693" t="s">
        <v>453</v>
      </c>
      <c r="H287" s="844" t="s">
        <v>497</v>
      </c>
      <c r="I287" s="747">
        <f>VLOOKUP(H278,'CNKT '!$D$16:$AA$96,19,0)</f>
        <v>0</v>
      </c>
      <c r="J287" s="697">
        <v>20000</v>
      </c>
      <c r="K287" s="695">
        <f>I287*J287</f>
        <v>0</v>
      </c>
      <c r="L287" s="690"/>
    </row>
    <row r="288" spans="1:13" s="27" customFormat="1" ht="17.25" customHeight="1">
      <c r="A288" s="693" t="s">
        <v>512</v>
      </c>
      <c r="B288" s="844" t="s">
        <v>513</v>
      </c>
      <c r="C288" s="747"/>
      <c r="D288" s="697"/>
      <c r="E288" s="695"/>
      <c r="F288" s="714"/>
      <c r="G288" s="693" t="s">
        <v>512</v>
      </c>
      <c r="H288" s="844" t="s">
        <v>513</v>
      </c>
      <c r="I288" s="747"/>
      <c r="J288" s="697"/>
      <c r="K288" s="695"/>
      <c r="L288" s="690"/>
    </row>
    <row r="289" spans="1:13" s="27" customFormat="1" ht="17.25" customHeight="1">
      <c r="A289" s="699" t="s">
        <v>79</v>
      </c>
      <c r="B289" s="845" t="s">
        <v>532</v>
      </c>
      <c r="C289" s="700"/>
      <c r="D289" s="701"/>
      <c r="E289" s="700"/>
      <c r="F289" s="714"/>
      <c r="G289" s="699" t="s">
        <v>79</v>
      </c>
      <c r="H289" s="845" t="s">
        <v>532</v>
      </c>
      <c r="I289" s="700"/>
      <c r="J289" s="701"/>
      <c r="K289" s="700"/>
      <c r="L289" s="690"/>
    </row>
    <row r="290" spans="1:13" s="27" customFormat="1" ht="17.25" customHeight="1">
      <c r="A290" s="702" t="s">
        <v>80</v>
      </c>
      <c r="B290" s="846" t="s">
        <v>533</v>
      </c>
      <c r="C290" s="700"/>
      <c r="D290" s="700"/>
      <c r="E290" s="700"/>
      <c r="F290" s="714"/>
      <c r="G290" s="702" t="s">
        <v>80</v>
      </c>
      <c r="H290" s="846" t="s">
        <v>533</v>
      </c>
      <c r="I290" s="700"/>
      <c r="J290" s="700"/>
      <c r="K290" s="700"/>
      <c r="L290" s="690"/>
    </row>
    <row r="291" spans="1:13" s="27" customFormat="1" ht="17.25" customHeight="1">
      <c r="A291" s="702" t="s">
        <v>81</v>
      </c>
      <c r="B291" s="847" t="s">
        <v>534</v>
      </c>
      <c r="C291" s="700"/>
      <c r="D291" s="700"/>
      <c r="E291" s="695">
        <f>SUM(E290)</f>
        <v>0</v>
      </c>
      <c r="F291" s="714"/>
      <c r="G291" s="702" t="s">
        <v>81</v>
      </c>
      <c r="H291" s="847" t="s">
        <v>534</v>
      </c>
      <c r="I291" s="700"/>
      <c r="J291" s="700"/>
      <c r="K291" s="695">
        <f>SUM(K290)</f>
        <v>0</v>
      </c>
      <c r="L291" s="690"/>
      <c r="M291" s="703">
        <f>E291+K291</f>
        <v>0</v>
      </c>
    </row>
    <row r="292" spans="1:13" s="27" customFormat="1" ht="17.25" customHeight="1">
      <c r="A292" s="704" t="s">
        <v>82</v>
      </c>
      <c r="B292" s="848" t="s">
        <v>438</v>
      </c>
      <c r="C292" s="705"/>
      <c r="D292" s="705"/>
      <c r="E292" s="705">
        <f>(E280+E281+E282+E283+E284+E285+E286+E287+E288)-E291</f>
        <v>966340.03200000012</v>
      </c>
      <c r="F292" s="714"/>
      <c r="G292" s="704" t="s">
        <v>82</v>
      </c>
      <c r="H292" s="848" t="s">
        <v>438</v>
      </c>
      <c r="I292" s="705"/>
      <c r="J292" s="705"/>
      <c r="K292" s="705">
        <f>(K280+K281+K282+K283+K284+K285+K286+K287+K288)-K291</f>
        <v>935506.50800000015</v>
      </c>
      <c r="L292" s="707">
        <f>E292+K292</f>
        <v>1901846.5400000003</v>
      </c>
    </row>
    <row r="293" spans="1:13" s="27" customFormat="1" ht="17.25" customHeight="1">
      <c r="A293" s="710"/>
      <c r="B293" s="715"/>
      <c r="C293" s="716"/>
      <c r="D293" s="716"/>
      <c r="E293" s="714"/>
      <c r="F293" s="714"/>
      <c r="G293" s="710"/>
      <c r="H293" s="715"/>
      <c r="I293" s="716"/>
      <c r="J293" s="714"/>
      <c r="K293" s="708"/>
      <c r="L293" s="690"/>
    </row>
    <row r="294" spans="1:13" s="27" customFormat="1" ht="17.25" customHeight="1">
      <c r="A294" s="1567" t="str">
        <f>G277</f>
        <v>LƯƠNG THÁNG 01/2025</v>
      </c>
      <c r="B294" s="1568"/>
      <c r="C294" s="1568"/>
      <c r="D294" s="1568"/>
      <c r="E294" s="766">
        <v>35</v>
      </c>
      <c r="F294" s="713"/>
      <c r="G294" s="1567" t="str">
        <f>A294</f>
        <v>LƯƠNG THÁNG 01/2025</v>
      </c>
      <c r="H294" s="1568"/>
      <c r="I294" s="1568"/>
      <c r="J294" s="1569"/>
      <c r="K294" s="766">
        <v>36</v>
      </c>
      <c r="L294" s="690"/>
    </row>
    <row r="295" spans="1:13" s="27" customFormat="1" ht="17.25" customHeight="1">
      <c r="A295" s="709" t="s">
        <v>15</v>
      </c>
      <c r="B295" s="840" t="str">
        <f>'CNKT '!D50</f>
        <v>N. Tủn</v>
      </c>
      <c r="C295" s="691"/>
      <c r="D295" s="838" t="s">
        <v>396</v>
      </c>
      <c r="E295" s="838" t="s">
        <v>18</v>
      </c>
      <c r="F295" s="713"/>
      <c r="G295" s="709" t="s">
        <v>15</v>
      </c>
      <c r="H295" s="840" t="str">
        <f>'CNKT '!D51</f>
        <v>T. Lung</v>
      </c>
      <c r="I295" s="691"/>
      <c r="J295" s="838" t="s">
        <v>396</v>
      </c>
      <c r="K295" s="838" t="s">
        <v>18</v>
      </c>
      <c r="L295" s="690"/>
    </row>
    <row r="296" spans="1:13" s="27" customFormat="1" ht="17.25" customHeight="1">
      <c r="A296" s="693" t="s">
        <v>397</v>
      </c>
      <c r="B296" s="842" t="s">
        <v>527</v>
      </c>
      <c r="C296" s="694">
        <f>VLOOKUP(B295,'BTH mủ tạp'!$D$17:$AN$94,36,0)</f>
        <v>901.9259356406626</v>
      </c>
      <c r="D296" s="695"/>
      <c r="E296" s="695"/>
      <c r="F296" s="839"/>
      <c r="G296" s="693" t="s">
        <v>397</v>
      </c>
      <c r="H296" s="842" t="s">
        <v>527</v>
      </c>
      <c r="I296" s="694">
        <f>VLOOKUP(H295,'BTH mủ tạp'!$D$17:$AN$94,36,0)</f>
        <v>902.8533659086736</v>
      </c>
      <c r="J296" s="695"/>
      <c r="K296" s="695"/>
      <c r="L296" s="690"/>
    </row>
    <row r="297" spans="1:13" s="27" customFormat="1" ht="17.25" customHeight="1">
      <c r="A297" s="693" t="s">
        <v>77</v>
      </c>
      <c r="B297" s="843" t="s">
        <v>432</v>
      </c>
      <c r="C297" s="696">
        <f>VLOOKUP(B295,'CNKT '!$D$16:$AA$96,3,0)</f>
        <v>0</v>
      </c>
      <c r="D297" s="697">
        <v>25000</v>
      </c>
      <c r="E297" s="695">
        <f>C297*D297</f>
        <v>0</v>
      </c>
      <c r="F297" s="839"/>
      <c r="G297" s="693" t="s">
        <v>77</v>
      </c>
      <c r="H297" s="843" t="s">
        <v>432</v>
      </c>
      <c r="I297" s="696">
        <f>VLOOKUP(H295,'CNKT '!$D$16:$AA$96,3,0)</f>
        <v>0</v>
      </c>
      <c r="J297" s="697">
        <v>25000</v>
      </c>
      <c r="K297" s="695">
        <f>I297*J297</f>
        <v>0</v>
      </c>
      <c r="L297" s="690"/>
    </row>
    <row r="298" spans="1:13" s="27" customFormat="1" ht="17.25" customHeight="1">
      <c r="A298" s="693" t="s">
        <v>307</v>
      </c>
      <c r="B298" s="844" t="s">
        <v>528</v>
      </c>
      <c r="C298" s="747">
        <f>VLOOKUP(B295,'CNKT '!$D$16:$AA$96,11,0)</f>
        <v>21</v>
      </c>
      <c r="D298" s="698">
        <f>46.1*$B$2</f>
        <v>30833.524000000001</v>
      </c>
      <c r="E298" s="695">
        <f t="shared" ref="E298:E302" si="34">C298*D298</f>
        <v>647504.00400000007</v>
      </c>
      <c r="F298" s="714"/>
      <c r="G298" s="693" t="s">
        <v>307</v>
      </c>
      <c r="H298" s="844" t="s">
        <v>528</v>
      </c>
      <c r="I298" s="747">
        <f>VLOOKUP(H295,'CNKT '!$D$16:$AA$96,11,0)</f>
        <v>21</v>
      </c>
      <c r="J298" s="698">
        <f>46.1*$B$2</f>
        <v>30833.524000000001</v>
      </c>
      <c r="K298" s="695">
        <f t="shared" ref="K298:K302" si="35">I298*J298</f>
        <v>647504.00400000007</v>
      </c>
      <c r="L298" s="690"/>
    </row>
    <row r="299" spans="1:13" s="27" customFormat="1" ht="17.25" customHeight="1">
      <c r="A299" s="693" t="s">
        <v>399</v>
      </c>
      <c r="B299" s="844" t="s">
        <v>529</v>
      </c>
      <c r="C299" s="747">
        <f>VLOOKUP(B295,'CNKT '!$D$16:$AA$96,12,0)</f>
        <v>5</v>
      </c>
      <c r="D299" s="697">
        <f>76.9*$B$2</f>
        <v>51433.796000000009</v>
      </c>
      <c r="E299" s="695">
        <f t="shared" si="34"/>
        <v>257168.98000000004</v>
      </c>
      <c r="F299" s="839"/>
      <c r="G299" s="693" t="s">
        <v>399</v>
      </c>
      <c r="H299" s="844" t="s">
        <v>529</v>
      </c>
      <c r="I299" s="747">
        <f>VLOOKUP(H295,'CNKT '!$D$16:$AA$96,12,0)</f>
        <v>5</v>
      </c>
      <c r="J299" s="697">
        <f>76.9*$B$2</f>
        <v>51433.796000000009</v>
      </c>
      <c r="K299" s="695">
        <f t="shared" si="35"/>
        <v>257168.98000000004</v>
      </c>
      <c r="L299" s="690"/>
    </row>
    <row r="300" spans="1:13" s="27" customFormat="1" ht="17.25" customHeight="1">
      <c r="A300" s="693" t="s">
        <v>78</v>
      </c>
      <c r="B300" s="844" t="s">
        <v>530</v>
      </c>
      <c r="C300" s="747">
        <f>VLOOKUP(B295,'CNKT '!$D$16:$AA$96,8,0)</f>
        <v>901.92593564066283</v>
      </c>
      <c r="D300" s="697">
        <f>IF(C296="A",6.1,IF(C296="B",5.8,IF(C296="C",5.5,IF(C296="C.",5.5,IF(C296="D",5.2)))))*$B$2</f>
        <v>0</v>
      </c>
      <c r="E300" s="695">
        <f t="shared" si="34"/>
        <v>0</v>
      </c>
      <c r="F300" s="710"/>
      <c r="G300" s="693" t="s">
        <v>78</v>
      </c>
      <c r="H300" s="844" t="s">
        <v>530</v>
      </c>
      <c r="I300" s="747">
        <f>VLOOKUP(H295,'CNKT '!$D$16:$AA$96,8,0)</f>
        <v>902.85336590867382</v>
      </c>
      <c r="J300" s="697">
        <f>IF(I296="A",6.1,IF(I296="B",5.8,IF(I296="C",5.5,IF(I296="C.",5.5,IF(I296="D",5.2)))))*$B$2</f>
        <v>0</v>
      </c>
      <c r="K300" s="695">
        <f t="shared" si="35"/>
        <v>0</v>
      </c>
      <c r="L300" s="690"/>
    </row>
    <row r="301" spans="1:13" s="27" customFormat="1" ht="17.25" customHeight="1">
      <c r="A301" s="693" t="s">
        <v>491</v>
      </c>
      <c r="B301" s="844" t="s">
        <v>531</v>
      </c>
      <c r="C301" s="747">
        <f>VLOOKUP(B295,'CNKT '!$D$16:$AA$96,15,0)</f>
        <v>0</v>
      </c>
      <c r="D301" s="698">
        <f>92.2*$B$2</f>
        <v>61667.048000000003</v>
      </c>
      <c r="E301" s="695">
        <f t="shared" si="34"/>
        <v>0</v>
      </c>
      <c r="F301" s="710"/>
      <c r="G301" s="693" t="s">
        <v>491</v>
      </c>
      <c r="H301" s="844" t="s">
        <v>531</v>
      </c>
      <c r="I301" s="747">
        <f>VLOOKUP(H295,'CNKT '!$D$16:$AA$96,15,0)</f>
        <v>0</v>
      </c>
      <c r="J301" s="698">
        <f>92.2*$B$2</f>
        <v>61667.048000000003</v>
      </c>
      <c r="K301" s="695">
        <f t="shared" si="35"/>
        <v>0</v>
      </c>
      <c r="L301" s="690"/>
    </row>
    <row r="302" spans="1:13" s="27" customFormat="1" ht="17.25" customHeight="1">
      <c r="A302" s="693" t="s">
        <v>492</v>
      </c>
      <c r="B302" s="844" t="s">
        <v>496</v>
      </c>
      <c r="C302" s="747">
        <f>VLOOKUP(B295,'CNKT '!$D$16:$AA$96,16,0)</f>
        <v>0</v>
      </c>
      <c r="D302" s="697">
        <f>153.8*$B$2</f>
        <v>102867.59200000002</v>
      </c>
      <c r="E302" s="695">
        <f t="shared" si="34"/>
        <v>0</v>
      </c>
      <c r="F302" s="710"/>
      <c r="G302" s="693" t="s">
        <v>492</v>
      </c>
      <c r="H302" s="844" t="s">
        <v>496</v>
      </c>
      <c r="I302" s="747">
        <f>VLOOKUP(H295,'CNKT '!$D$16:$AA$96,16,0)</f>
        <v>0</v>
      </c>
      <c r="J302" s="697">
        <f>153.8*$B$2</f>
        <v>102867.59200000002</v>
      </c>
      <c r="K302" s="695">
        <f t="shared" si="35"/>
        <v>0</v>
      </c>
      <c r="L302" s="690"/>
    </row>
    <row r="303" spans="1:13" s="27" customFormat="1" ht="17.25" customHeight="1">
      <c r="A303" s="693" t="s">
        <v>453</v>
      </c>
      <c r="B303" s="844" t="s">
        <v>497</v>
      </c>
      <c r="C303" s="747">
        <f>VLOOKUP(B295,'CNKT '!$D$16:$AA$96,18,0)</f>
        <v>0</v>
      </c>
      <c r="D303" s="697">
        <v>10000</v>
      </c>
      <c r="E303" s="695">
        <f>C303*D303</f>
        <v>0</v>
      </c>
      <c r="F303" s="710"/>
      <c r="G303" s="693" t="s">
        <v>453</v>
      </c>
      <c r="H303" s="844" t="s">
        <v>497</v>
      </c>
      <c r="I303" s="747">
        <f>VLOOKUP(H295,'CNKT '!$D$16:$AA$96,18,0)</f>
        <v>0</v>
      </c>
      <c r="J303" s="697">
        <v>10000</v>
      </c>
      <c r="K303" s="695">
        <f>I303*J303</f>
        <v>0</v>
      </c>
      <c r="L303" s="690"/>
    </row>
    <row r="304" spans="1:13" s="27" customFormat="1" ht="17.25" customHeight="1">
      <c r="A304" s="693" t="s">
        <v>453</v>
      </c>
      <c r="B304" s="844" t="s">
        <v>497</v>
      </c>
      <c r="C304" s="747">
        <f>VLOOKUP(B295,'CNKT '!$D$16:$AA$96,19,0)</f>
        <v>0</v>
      </c>
      <c r="D304" s="697">
        <v>20000</v>
      </c>
      <c r="E304" s="695">
        <f>C304*D304</f>
        <v>0</v>
      </c>
      <c r="F304" s="710"/>
      <c r="G304" s="693" t="s">
        <v>453</v>
      </c>
      <c r="H304" s="844" t="s">
        <v>497</v>
      </c>
      <c r="I304" s="747">
        <f>VLOOKUP(H295,'CNKT '!$D$16:$AA$96,19,0)</f>
        <v>0</v>
      </c>
      <c r="J304" s="697">
        <v>20000</v>
      </c>
      <c r="K304" s="695">
        <f>I304*J304</f>
        <v>0</v>
      </c>
      <c r="L304" s="690"/>
    </row>
    <row r="305" spans="1:13" s="27" customFormat="1" ht="17.25" customHeight="1">
      <c r="A305" s="693" t="s">
        <v>512</v>
      </c>
      <c r="B305" s="844" t="s">
        <v>513</v>
      </c>
      <c r="C305" s="747"/>
      <c r="D305" s="697"/>
      <c r="E305" s="695"/>
      <c r="F305" s="710"/>
      <c r="G305" s="693" t="s">
        <v>512</v>
      </c>
      <c r="H305" s="844" t="s">
        <v>513</v>
      </c>
      <c r="I305" s="747"/>
      <c r="J305" s="697"/>
      <c r="K305" s="695"/>
      <c r="L305" s="690"/>
    </row>
    <row r="306" spans="1:13" s="27" customFormat="1" ht="17.25" customHeight="1">
      <c r="A306" s="699" t="s">
        <v>79</v>
      </c>
      <c r="B306" s="845" t="s">
        <v>532</v>
      </c>
      <c r="C306" s="700"/>
      <c r="D306" s="701"/>
      <c r="E306" s="700"/>
      <c r="F306" s="710"/>
      <c r="G306" s="699" t="s">
        <v>79</v>
      </c>
      <c r="H306" s="845" t="s">
        <v>532</v>
      </c>
      <c r="I306" s="700"/>
      <c r="J306" s="701"/>
      <c r="K306" s="700"/>
      <c r="L306" s="690"/>
    </row>
    <row r="307" spans="1:13" s="27" customFormat="1" ht="17.25" customHeight="1">
      <c r="A307" s="702" t="s">
        <v>80</v>
      </c>
      <c r="B307" s="846" t="s">
        <v>533</v>
      </c>
      <c r="C307" s="700"/>
      <c r="D307" s="700"/>
      <c r="E307" s="700"/>
      <c r="F307" s="710"/>
      <c r="G307" s="702" t="s">
        <v>80</v>
      </c>
      <c r="H307" s="846" t="s">
        <v>533</v>
      </c>
      <c r="I307" s="700"/>
      <c r="J307" s="700"/>
      <c r="K307" s="700"/>
      <c r="L307" s="690"/>
    </row>
    <row r="308" spans="1:13" s="27" customFormat="1" ht="17.25" customHeight="1">
      <c r="A308" s="702" t="s">
        <v>81</v>
      </c>
      <c r="B308" s="847" t="s">
        <v>534</v>
      </c>
      <c r="C308" s="700"/>
      <c r="D308" s="700"/>
      <c r="E308" s="695">
        <f>SUM(E307)</f>
        <v>0</v>
      </c>
      <c r="F308" s="710"/>
      <c r="G308" s="702" t="s">
        <v>81</v>
      </c>
      <c r="H308" s="847" t="s">
        <v>534</v>
      </c>
      <c r="I308" s="700"/>
      <c r="J308" s="700"/>
      <c r="K308" s="695">
        <f>SUM(K307)</f>
        <v>0</v>
      </c>
      <c r="L308" s="690"/>
      <c r="M308" s="703">
        <f>E308+K308</f>
        <v>0</v>
      </c>
    </row>
    <row r="309" spans="1:13" s="27" customFormat="1" ht="17.25" customHeight="1">
      <c r="A309" s="704" t="s">
        <v>82</v>
      </c>
      <c r="B309" s="848" t="s">
        <v>438</v>
      </c>
      <c r="C309" s="705"/>
      <c r="D309" s="705"/>
      <c r="E309" s="705">
        <f>(E297+E298+E299+E300+E301+E302+E303+E304+E305)-E308</f>
        <v>904672.98400000017</v>
      </c>
      <c r="F309" s="710"/>
      <c r="G309" s="704" t="s">
        <v>82</v>
      </c>
      <c r="H309" s="848" t="s">
        <v>438</v>
      </c>
      <c r="I309" s="705"/>
      <c r="J309" s="705"/>
      <c r="K309" s="705">
        <f>(K297+K298+K299+K300+K301+K302+K303+K304+K305)-K308</f>
        <v>904672.98400000017</v>
      </c>
      <c r="L309" s="707">
        <f>E309+K309</f>
        <v>1809345.9680000003</v>
      </c>
    </row>
    <row r="310" spans="1:13" s="27" customFormat="1" ht="12" customHeight="1">
      <c r="A310" s="710"/>
      <c r="B310" s="715"/>
      <c r="C310" s="716"/>
      <c r="D310" s="716"/>
      <c r="E310" s="714"/>
      <c r="F310" s="710"/>
      <c r="G310" s="710"/>
      <c r="H310" s="715"/>
      <c r="I310" s="716"/>
      <c r="J310" s="714"/>
      <c r="K310" s="708"/>
      <c r="L310" s="690"/>
    </row>
    <row r="311" spans="1:13" s="27" customFormat="1" ht="17.25" customHeight="1">
      <c r="A311" s="1567" t="str">
        <f>G294</f>
        <v>LƯƠNG THÁNG 01/2025</v>
      </c>
      <c r="B311" s="1568"/>
      <c r="C311" s="1568"/>
      <c r="D311" s="1568"/>
      <c r="E311" s="766">
        <v>37</v>
      </c>
      <c r="F311" s="714"/>
      <c r="G311" s="1567" t="str">
        <f>A311</f>
        <v>LƯƠNG THÁNG 01/2025</v>
      </c>
      <c r="H311" s="1568"/>
      <c r="I311" s="1568"/>
      <c r="J311" s="1569"/>
      <c r="K311" s="766">
        <v>38</v>
      </c>
      <c r="L311" s="690"/>
    </row>
    <row r="312" spans="1:13" s="27" customFormat="1" ht="17.25" customHeight="1">
      <c r="A312" s="709" t="s">
        <v>15</v>
      </c>
      <c r="B312" s="840" t="str">
        <f>'CNKT '!D52</f>
        <v>T. Bi Ly (2)</v>
      </c>
      <c r="C312" s="691"/>
      <c r="D312" s="838" t="s">
        <v>396</v>
      </c>
      <c r="E312" s="838" t="s">
        <v>18</v>
      </c>
      <c r="F312" s="839"/>
      <c r="G312" s="709" t="s">
        <v>15</v>
      </c>
      <c r="H312" s="840" t="str">
        <f>'CNKT '!D53</f>
        <v>N. Ba Say</v>
      </c>
      <c r="I312" s="691"/>
      <c r="J312" s="838" t="s">
        <v>396</v>
      </c>
      <c r="K312" s="838" t="s">
        <v>18</v>
      </c>
      <c r="L312" s="690"/>
    </row>
    <row r="313" spans="1:13" s="27" customFormat="1" ht="17.25" customHeight="1">
      <c r="A313" s="693" t="s">
        <v>397</v>
      </c>
      <c r="B313" s="842" t="s">
        <v>527</v>
      </c>
      <c r="C313" s="694">
        <f>VLOOKUP(B312,'BTH mủ tạp'!$D$17:$AN$94,36,0)</f>
        <v>1017.3910040080277</v>
      </c>
      <c r="D313" s="695"/>
      <c r="E313" s="695"/>
      <c r="F313" s="710"/>
      <c r="G313" s="693" t="s">
        <v>397</v>
      </c>
      <c r="H313" s="842" t="s">
        <v>527</v>
      </c>
      <c r="I313" s="694">
        <f>VLOOKUP(H312,'BTH mủ tạp'!$D$17:$AN$94,36,0)</f>
        <v>823.55807799373622</v>
      </c>
      <c r="J313" s="695"/>
      <c r="K313" s="695"/>
      <c r="L313" s="690"/>
    </row>
    <row r="314" spans="1:13" s="27" customFormat="1" ht="17.25" customHeight="1">
      <c r="A314" s="693" t="s">
        <v>77</v>
      </c>
      <c r="B314" s="843" t="s">
        <v>432</v>
      </c>
      <c r="C314" s="696">
        <f>VLOOKUP(B312,'CNKT '!$D$16:$AA$96,3,0)</f>
        <v>0</v>
      </c>
      <c r="D314" s="697">
        <v>25000</v>
      </c>
      <c r="E314" s="695">
        <f>C314*D314</f>
        <v>0</v>
      </c>
      <c r="F314" s="710"/>
      <c r="G314" s="693" t="s">
        <v>77</v>
      </c>
      <c r="H314" s="843" t="s">
        <v>432</v>
      </c>
      <c r="I314" s="696">
        <f>VLOOKUP(H312,'CNKT '!$D$16:$AA$96,3,0)</f>
        <v>0</v>
      </c>
      <c r="J314" s="697">
        <v>25000</v>
      </c>
      <c r="K314" s="695">
        <f>I314*J314</f>
        <v>0</v>
      </c>
      <c r="L314" s="690"/>
    </row>
    <row r="315" spans="1:13" s="27" customFormat="1" ht="17.25" customHeight="1">
      <c r="A315" s="693" t="s">
        <v>307</v>
      </c>
      <c r="B315" s="844" t="s">
        <v>528</v>
      </c>
      <c r="C315" s="747">
        <f>VLOOKUP(B312,'CNKT '!$D$16:$AA$96,11,0)</f>
        <v>21</v>
      </c>
      <c r="D315" s="698">
        <f>46.1*$B$2</f>
        <v>30833.524000000001</v>
      </c>
      <c r="E315" s="695">
        <f t="shared" ref="E315:E319" si="36">C315*D315</f>
        <v>647504.00400000007</v>
      </c>
      <c r="F315" s="710"/>
      <c r="G315" s="693" t="s">
        <v>307</v>
      </c>
      <c r="H315" s="844" t="s">
        <v>528</v>
      </c>
      <c r="I315" s="747">
        <f>VLOOKUP(H312,'CNKT '!$D$16:$AA$96,11,0)</f>
        <v>21</v>
      </c>
      <c r="J315" s="698">
        <f>46.1*$B$2</f>
        <v>30833.524000000001</v>
      </c>
      <c r="K315" s="695">
        <f t="shared" ref="K315:K319" si="37">I315*J315</f>
        <v>647504.00400000007</v>
      </c>
      <c r="L315" s="690"/>
    </row>
    <row r="316" spans="1:13" s="27" customFormat="1" ht="17.25" customHeight="1">
      <c r="A316" s="693" t="s">
        <v>399</v>
      </c>
      <c r="B316" s="844" t="s">
        <v>529</v>
      </c>
      <c r="C316" s="747">
        <f>VLOOKUP(B312,'CNKT '!$D$16:$AA$96,12,0)</f>
        <v>5</v>
      </c>
      <c r="D316" s="697">
        <f>76.9*$B$2</f>
        <v>51433.796000000009</v>
      </c>
      <c r="E316" s="695">
        <f t="shared" si="36"/>
        <v>257168.98000000004</v>
      </c>
      <c r="F316" s="710"/>
      <c r="G316" s="693" t="s">
        <v>399</v>
      </c>
      <c r="H316" s="844" t="s">
        <v>529</v>
      </c>
      <c r="I316" s="747">
        <f>VLOOKUP(H312,'CNKT '!$D$16:$AA$96,12,0)</f>
        <v>5</v>
      </c>
      <c r="J316" s="697">
        <f>76.9*$B$2</f>
        <v>51433.796000000009</v>
      </c>
      <c r="K316" s="695">
        <f t="shared" si="37"/>
        <v>257168.98000000004</v>
      </c>
      <c r="L316" s="690"/>
    </row>
    <row r="317" spans="1:13" s="27" customFormat="1" ht="17.25" customHeight="1">
      <c r="A317" s="693" t="s">
        <v>78</v>
      </c>
      <c r="B317" s="844" t="s">
        <v>530</v>
      </c>
      <c r="C317" s="747">
        <f>VLOOKUP(B312,'CNKT '!$D$16:$AA$96,8,0)</f>
        <v>1017.3910040080279</v>
      </c>
      <c r="D317" s="697">
        <f>IF(C313="A",6.1,IF(C313="B",5.8,IF(C313="C",5.5,IF(C313="C.",5.5,IF(C313="D",5.2)))))*$B$2</f>
        <v>0</v>
      </c>
      <c r="E317" s="695">
        <f t="shared" si="36"/>
        <v>0</v>
      </c>
      <c r="F317" s="713"/>
      <c r="G317" s="693" t="s">
        <v>78</v>
      </c>
      <c r="H317" s="844" t="s">
        <v>530</v>
      </c>
      <c r="I317" s="747">
        <f>VLOOKUP(H312,'CNKT '!$D$16:$AA$96,8,0)</f>
        <v>823.55807799373633</v>
      </c>
      <c r="J317" s="697">
        <f>IF(I313="A",6.1,IF(I313="B",5.8,IF(I313="C",5.5,IF(I313="C.",5.5,IF(I313="D",5.2)))))*$B$2</f>
        <v>0</v>
      </c>
      <c r="K317" s="695">
        <f t="shared" si="37"/>
        <v>0</v>
      </c>
      <c r="L317" s="690"/>
    </row>
    <row r="318" spans="1:13" s="27" customFormat="1" ht="17.25" customHeight="1">
      <c r="A318" s="693" t="s">
        <v>491</v>
      </c>
      <c r="B318" s="844" t="s">
        <v>531</v>
      </c>
      <c r="C318" s="747">
        <f>VLOOKUP(B312,'CNKT '!$D$16:$AA$96,15,0)</f>
        <v>0</v>
      </c>
      <c r="D318" s="698">
        <f>92.2*$B$2</f>
        <v>61667.048000000003</v>
      </c>
      <c r="E318" s="695">
        <f t="shared" si="36"/>
        <v>0</v>
      </c>
      <c r="F318" s="713"/>
      <c r="G318" s="693" t="s">
        <v>491</v>
      </c>
      <c r="H318" s="844" t="s">
        <v>531</v>
      </c>
      <c r="I318" s="747">
        <f>VLOOKUP(H312,'CNKT '!$D$16:$AA$96,15,0)</f>
        <v>0</v>
      </c>
      <c r="J318" s="698">
        <f>92.2*$B$2</f>
        <v>61667.048000000003</v>
      </c>
      <c r="K318" s="695">
        <f t="shared" si="37"/>
        <v>0</v>
      </c>
      <c r="L318" s="690"/>
    </row>
    <row r="319" spans="1:13" s="27" customFormat="1" ht="17.25" customHeight="1">
      <c r="A319" s="693" t="s">
        <v>492</v>
      </c>
      <c r="B319" s="844" t="s">
        <v>496</v>
      </c>
      <c r="C319" s="747">
        <f>VLOOKUP(B312,'CNKT '!$D$16:$AA$96,16,0)</f>
        <v>0</v>
      </c>
      <c r="D319" s="697">
        <f>153.8*$B$2</f>
        <v>102867.59200000002</v>
      </c>
      <c r="E319" s="695">
        <f t="shared" si="36"/>
        <v>0</v>
      </c>
      <c r="F319" s="713"/>
      <c r="G319" s="693" t="s">
        <v>492</v>
      </c>
      <c r="H319" s="844" t="s">
        <v>496</v>
      </c>
      <c r="I319" s="747">
        <f>VLOOKUP(H312,'CNKT '!$D$16:$AA$96,16,0)</f>
        <v>0</v>
      </c>
      <c r="J319" s="697">
        <f>153.8*$B$2</f>
        <v>102867.59200000002</v>
      </c>
      <c r="K319" s="695">
        <f t="shared" si="37"/>
        <v>0</v>
      </c>
      <c r="L319" s="690"/>
    </row>
    <row r="320" spans="1:13" s="27" customFormat="1" ht="17.25" customHeight="1">
      <c r="A320" s="693" t="s">
        <v>453</v>
      </c>
      <c r="B320" s="844" t="s">
        <v>497</v>
      </c>
      <c r="C320" s="747">
        <f>VLOOKUP(B312,'CNKT '!$D$16:$AA$96,18,0)</f>
        <v>0</v>
      </c>
      <c r="D320" s="697">
        <v>10000</v>
      </c>
      <c r="E320" s="695">
        <f>C320*D320</f>
        <v>0</v>
      </c>
      <c r="F320" s="713"/>
      <c r="G320" s="693" t="s">
        <v>453</v>
      </c>
      <c r="H320" s="844" t="s">
        <v>497</v>
      </c>
      <c r="I320" s="747">
        <f>VLOOKUP(H312,'CNKT '!$D$16:$AA$96,18,0)</f>
        <v>0</v>
      </c>
      <c r="J320" s="697">
        <v>10000</v>
      </c>
      <c r="K320" s="695">
        <f>I320*J320</f>
        <v>0</v>
      </c>
      <c r="L320" s="690"/>
    </row>
    <row r="321" spans="1:13" s="27" customFormat="1" ht="17.25" customHeight="1">
      <c r="A321" s="693" t="s">
        <v>453</v>
      </c>
      <c r="B321" s="844" t="s">
        <v>497</v>
      </c>
      <c r="C321" s="747">
        <f>VLOOKUP(B312,'CNKT '!$D$16:$AA$96,19,0)</f>
        <v>0</v>
      </c>
      <c r="D321" s="697">
        <v>20000</v>
      </c>
      <c r="E321" s="695">
        <f>C321*D321</f>
        <v>0</v>
      </c>
      <c r="F321" s="713"/>
      <c r="G321" s="693" t="s">
        <v>453</v>
      </c>
      <c r="H321" s="844" t="s">
        <v>497</v>
      </c>
      <c r="I321" s="747">
        <f>VLOOKUP(H312,'CNKT '!$D$16:$AA$96,19,0)</f>
        <v>0</v>
      </c>
      <c r="J321" s="697">
        <v>20000</v>
      </c>
      <c r="K321" s="695">
        <f>I321*J321</f>
        <v>0</v>
      </c>
      <c r="L321" s="690"/>
    </row>
    <row r="322" spans="1:13" s="27" customFormat="1" ht="17.25" customHeight="1">
      <c r="A322" s="693" t="s">
        <v>512</v>
      </c>
      <c r="B322" s="844" t="s">
        <v>513</v>
      </c>
      <c r="C322" s="747"/>
      <c r="D322" s="697"/>
      <c r="E322" s="695"/>
      <c r="F322" s="713"/>
      <c r="G322" s="693" t="s">
        <v>512</v>
      </c>
      <c r="H322" s="844" t="s">
        <v>513</v>
      </c>
      <c r="I322" s="747"/>
      <c r="J322" s="697"/>
      <c r="K322" s="695"/>
      <c r="L322" s="690"/>
    </row>
    <row r="323" spans="1:13" s="27" customFormat="1" ht="17.25" customHeight="1">
      <c r="A323" s="699" t="s">
        <v>79</v>
      </c>
      <c r="B323" s="845" t="s">
        <v>532</v>
      </c>
      <c r="C323" s="700"/>
      <c r="D323" s="701"/>
      <c r="E323" s="700"/>
      <c r="F323" s="713"/>
      <c r="G323" s="699" t="s">
        <v>79</v>
      </c>
      <c r="H323" s="845" t="s">
        <v>532</v>
      </c>
      <c r="I323" s="700"/>
      <c r="J323" s="701"/>
      <c r="K323" s="700"/>
      <c r="L323" s="690"/>
    </row>
    <row r="324" spans="1:13" s="27" customFormat="1" ht="17.25" customHeight="1">
      <c r="A324" s="702" t="s">
        <v>80</v>
      </c>
      <c r="B324" s="846" t="s">
        <v>533</v>
      </c>
      <c r="C324" s="700"/>
      <c r="D324" s="700"/>
      <c r="E324" s="700"/>
      <c r="F324" s="839"/>
      <c r="G324" s="702" t="s">
        <v>80</v>
      </c>
      <c r="H324" s="846" t="s">
        <v>533</v>
      </c>
      <c r="I324" s="700"/>
      <c r="J324" s="700"/>
      <c r="K324" s="700"/>
      <c r="L324" s="690"/>
    </row>
    <row r="325" spans="1:13" s="27" customFormat="1" ht="17.25" customHeight="1">
      <c r="A325" s="702" t="s">
        <v>81</v>
      </c>
      <c r="B325" s="847" t="s">
        <v>534</v>
      </c>
      <c r="C325" s="700"/>
      <c r="D325" s="700"/>
      <c r="E325" s="695">
        <f>SUM(E324)</f>
        <v>0</v>
      </c>
      <c r="F325" s="839"/>
      <c r="G325" s="702" t="s">
        <v>81</v>
      </c>
      <c r="H325" s="847" t="s">
        <v>534</v>
      </c>
      <c r="I325" s="700"/>
      <c r="J325" s="700"/>
      <c r="K325" s="695">
        <f>SUM(K324)</f>
        <v>0</v>
      </c>
      <c r="L325" s="690"/>
      <c r="M325" s="703">
        <f>E325+K325</f>
        <v>0</v>
      </c>
    </row>
    <row r="326" spans="1:13" s="27" customFormat="1" ht="17.25" customHeight="1">
      <c r="A326" s="704" t="s">
        <v>82</v>
      </c>
      <c r="B326" s="848" t="s">
        <v>438</v>
      </c>
      <c r="C326" s="705"/>
      <c r="D326" s="705"/>
      <c r="E326" s="705">
        <f>(E314+E315+E316+E317+E318+E319+E320+E321+E322)-E325</f>
        <v>904672.98400000017</v>
      </c>
      <c r="F326" s="839"/>
      <c r="G326" s="704" t="s">
        <v>82</v>
      </c>
      <c r="H326" s="848" t="s">
        <v>438</v>
      </c>
      <c r="I326" s="705"/>
      <c r="J326" s="705"/>
      <c r="K326" s="705">
        <f>(K314+K315+K316+K317+K318+K319+K320+K321+K322)-K325</f>
        <v>904672.98400000017</v>
      </c>
      <c r="L326" s="707">
        <f>E326+K326</f>
        <v>1809345.9680000003</v>
      </c>
    </row>
    <row r="327" spans="1:13" s="27" customFormat="1" ht="17.25" customHeight="1">
      <c r="A327" s="710"/>
      <c r="B327" s="715"/>
      <c r="C327" s="716"/>
      <c r="D327" s="716"/>
      <c r="E327" s="714"/>
      <c r="F327" s="839"/>
      <c r="G327" s="710"/>
      <c r="H327" s="715"/>
      <c r="I327" s="716"/>
      <c r="J327" s="714"/>
      <c r="K327" s="708"/>
      <c r="L327" s="690"/>
    </row>
    <row r="328" spans="1:13" s="27" customFormat="1" ht="17.25" customHeight="1">
      <c r="A328" s="703"/>
      <c r="B328" s="718"/>
      <c r="C328" s="719"/>
      <c r="D328" s="719"/>
      <c r="E328" s="710"/>
      <c r="F328" s="710"/>
      <c r="G328" s="703"/>
      <c r="H328" s="718"/>
      <c r="I328" s="719"/>
      <c r="J328" s="710"/>
      <c r="K328" s="708"/>
      <c r="L328" s="690"/>
    </row>
    <row r="329" spans="1:13" s="27" customFormat="1" ht="17.25" customHeight="1">
      <c r="A329" s="1567" t="str">
        <f>G311</f>
        <v>LƯƠNG THÁNG 01/2025</v>
      </c>
      <c r="B329" s="1568"/>
      <c r="C329" s="1568"/>
      <c r="D329" s="1568"/>
      <c r="E329" s="766">
        <v>39</v>
      </c>
      <c r="F329" s="710"/>
      <c r="G329" s="1567" t="str">
        <f>A329</f>
        <v>LƯƠNG THÁNG 01/2025</v>
      </c>
      <c r="H329" s="1568"/>
      <c r="I329" s="1568"/>
      <c r="J329" s="1569"/>
      <c r="K329" s="766">
        <v>40</v>
      </c>
      <c r="L329" s="690"/>
    </row>
    <row r="330" spans="1:13" s="27" customFormat="1" ht="17.25" customHeight="1">
      <c r="A330" s="709" t="s">
        <v>15</v>
      </c>
      <c r="B330" s="840" t="str">
        <f>'CNKT '!D54</f>
        <v>N. Đeng</v>
      </c>
      <c r="C330" s="691"/>
      <c r="D330" s="838" t="s">
        <v>396</v>
      </c>
      <c r="E330" s="838" t="s">
        <v>18</v>
      </c>
      <c r="F330" s="710"/>
      <c r="G330" s="709" t="s">
        <v>15</v>
      </c>
      <c r="H330" s="840" t="str">
        <f>'CNKT '!D55</f>
        <v>T. Tinh</v>
      </c>
      <c r="I330" s="691"/>
      <c r="J330" s="838" t="s">
        <v>396</v>
      </c>
      <c r="K330" s="838" t="s">
        <v>18</v>
      </c>
      <c r="L330" s="690"/>
    </row>
    <row r="331" spans="1:13" s="27" customFormat="1" ht="17.25" customHeight="1">
      <c r="A331" s="693" t="s">
        <v>397</v>
      </c>
      <c r="B331" s="842" t="s">
        <v>527</v>
      </c>
      <c r="C331" s="694">
        <f>VLOOKUP(B330,'BTH mủ tạp'!$D$17:$AN$94,36,0)</f>
        <v>1019.2458645440497</v>
      </c>
      <c r="D331" s="695"/>
      <c r="E331" s="695"/>
      <c r="F331" s="710"/>
      <c r="G331" s="693" t="s">
        <v>397</v>
      </c>
      <c r="H331" s="842" t="s">
        <v>527</v>
      </c>
      <c r="I331" s="694">
        <f>VLOOKUP(H330,'BTH mủ tạp'!$D$17:$AN$94,36,0)</f>
        <v>789.70687321133607</v>
      </c>
      <c r="J331" s="695"/>
      <c r="K331" s="695"/>
      <c r="L331" s="690"/>
    </row>
    <row r="332" spans="1:13" s="27" customFormat="1" ht="17.25" customHeight="1">
      <c r="A332" s="693" t="s">
        <v>77</v>
      </c>
      <c r="B332" s="843" t="s">
        <v>432</v>
      </c>
      <c r="C332" s="696">
        <f>VLOOKUP(B330,'CNKT '!$D$16:$AA$96,3,0)</f>
        <v>0</v>
      </c>
      <c r="D332" s="697">
        <v>25000</v>
      </c>
      <c r="E332" s="695">
        <f>C332*D332</f>
        <v>0</v>
      </c>
      <c r="F332" s="713"/>
      <c r="G332" s="693" t="s">
        <v>77</v>
      </c>
      <c r="H332" s="843" t="s">
        <v>432</v>
      </c>
      <c r="I332" s="696">
        <f>VLOOKUP(H330,'CNKT '!$D$16:$AA$96,3,0)</f>
        <v>0</v>
      </c>
      <c r="J332" s="697">
        <v>25000</v>
      </c>
      <c r="K332" s="695">
        <f>I332*J332</f>
        <v>0</v>
      </c>
      <c r="L332" s="690"/>
    </row>
    <row r="333" spans="1:13" s="27" customFormat="1" ht="17.25" customHeight="1">
      <c r="A333" s="693" t="s">
        <v>307</v>
      </c>
      <c r="B333" s="844" t="s">
        <v>528</v>
      </c>
      <c r="C333" s="747">
        <f>VLOOKUP(B330,'CNKT '!$D$16:$AA$96,11,0)</f>
        <v>20</v>
      </c>
      <c r="D333" s="698">
        <f>46.1*$B$2</f>
        <v>30833.524000000001</v>
      </c>
      <c r="E333" s="695">
        <f t="shared" ref="E333:E337" si="38">C333*D333</f>
        <v>616670.48</v>
      </c>
      <c r="F333" s="713"/>
      <c r="G333" s="693" t="s">
        <v>307</v>
      </c>
      <c r="H333" s="844" t="s">
        <v>528</v>
      </c>
      <c r="I333" s="747">
        <f>VLOOKUP(H330,'CNKT '!$D$16:$AA$96,11,0)</f>
        <v>22</v>
      </c>
      <c r="J333" s="698">
        <f>46.1*$B$2</f>
        <v>30833.524000000001</v>
      </c>
      <c r="K333" s="695">
        <f t="shared" ref="K333:K337" si="39">I333*J333</f>
        <v>678337.52800000005</v>
      </c>
      <c r="L333" s="690"/>
    </row>
    <row r="334" spans="1:13" s="27" customFormat="1" ht="17.25" customHeight="1">
      <c r="A334" s="693" t="s">
        <v>399</v>
      </c>
      <c r="B334" s="844" t="s">
        <v>529</v>
      </c>
      <c r="C334" s="747">
        <f>VLOOKUP(B330,'CNKT '!$D$16:$AA$96,12,0)</f>
        <v>5</v>
      </c>
      <c r="D334" s="697">
        <f>76.9*$B$2</f>
        <v>51433.796000000009</v>
      </c>
      <c r="E334" s="695">
        <f t="shared" si="38"/>
        <v>257168.98000000004</v>
      </c>
      <c r="F334" s="714"/>
      <c r="G334" s="693" t="s">
        <v>399</v>
      </c>
      <c r="H334" s="844" t="s">
        <v>529</v>
      </c>
      <c r="I334" s="747">
        <f>VLOOKUP(H330,'CNKT '!$D$16:$AA$96,12,0)</f>
        <v>5</v>
      </c>
      <c r="J334" s="697">
        <f>76.9*$B$2</f>
        <v>51433.796000000009</v>
      </c>
      <c r="K334" s="695">
        <f t="shared" si="39"/>
        <v>257168.98000000004</v>
      </c>
      <c r="L334" s="690"/>
    </row>
    <row r="335" spans="1:13" s="27" customFormat="1" ht="17.25" customHeight="1">
      <c r="A335" s="693" t="s">
        <v>78</v>
      </c>
      <c r="B335" s="844" t="s">
        <v>530</v>
      </c>
      <c r="C335" s="747">
        <f>VLOOKUP(B330,'CNKT '!$D$16:$AA$96,8,0)</f>
        <v>1019.2458645440498</v>
      </c>
      <c r="D335" s="697">
        <f>IF(C331="A",6.1,IF(C331="B",5.8,IF(C331="C",5.5,IF(C331="C.",5.5,IF(C331="D",5.2)))))*$B$2</f>
        <v>0</v>
      </c>
      <c r="E335" s="695">
        <f t="shared" si="38"/>
        <v>0</v>
      </c>
      <c r="F335" s="714"/>
      <c r="G335" s="693" t="s">
        <v>78</v>
      </c>
      <c r="H335" s="844" t="s">
        <v>530</v>
      </c>
      <c r="I335" s="747">
        <f>VLOOKUP(H330,'CNKT '!$D$16:$AA$96,8,0)</f>
        <v>789.70687321133619</v>
      </c>
      <c r="J335" s="697">
        <f>IF(I331="A",6.1,IF(I331="B",5.8,IF(I331="C",5.5,IF(I331="C.",5.5,IF(I331="D",5.2)))))*$B$2</f>
        <v>0</v>
      </c>
      <c r="K335" s="695">
        <f t="shared" si="39"/>
        <v>0</v>
      </c>
      <c r="L335" s="690"/>
    </row>
    <row r="336" spans="1:13" s="27" customFormat="1" ht="17.25" customHeight="1">
      <c r="A336" s="693" t="s">
        <v>491</v>
      </c>
      <c r="B336" s="844" t="s">
        <v>531</v>
      </c>
      <c r="C336" s="747">
        <f>VLOOKUP(B330,'CNKT '!$D$16:$AA$96,15,0)</f>
        <v>0</v>
      </c>
      <c r="D336" s="698">
        <f>92.2*$B$2</f>
        <v>61667.048000000003</v>
      </c>
      <c r="E336" s="695">
        <f t="shared" si="38"/>
        <v>0</v>
      </c>
      <c r="F336" s="714"/>
      <c r="G336" s="693" t="s">
        <v>491</v>
      </c>
      <c r="H336" s="844" t="s">
        <v>531</v>
      </c>
      <c r="I336" s="747">
        <f>VLOOKUP(H330,'CNKT '!$D$16:$AA$96,15,0)</f>
        <v>0</v>
      </c>
      <c r="J336" s="698">
        <f>92.2*$B$2</f>
        <v>61667.048000000003</v>
      </c>
      <c r="K336" s="695">
        <f t="shared" si="39"/>
        <v>0</v>
      </c>
      <c r="L336" s="690"/>
    </row>
    <row r="337" spans="1:13" s="27" customFormat="1" ht="17.25" customHeight="1">
      <c r="A337" s="693" t="s">
        <v>492</v>
      </c>
      <c r="B337" s="844" t="s">
        <v>496</v>
      </c>
      <c r="C337" s="747">
        <f>VLOOKUP(B330,'CNKT '!$D$16:$AA$96,16,0)</f>
        <v>0</v>
      </c>
      <c r="D337" s="697">
        <f>153.8*$B$2</f>
        <v>102867.59200000002</v>
      </c>
      <c r="E337" s="695">
        <f t="shared" si="38"/>
        <v>0</v>
      </c>
      <c r="F337" s="714"/>
      <c r="G337" s="693" t="s">
        <v>492</v>
      </c>
      <c r="H337" s="844" t="s">
        <v>496</v>
      </c>
      <c r="I337" s="747">
        <f>VLOOKUP(H330,'CNKT '!$D$16:$AA$96,16,0)</f>
        <v>0</v>
      </c>
      <c r="J337" s="697">
        <f>153.8*$B$2</f>
        <v>102867.59200000002</v>
      </c>
      <c r="K337" s="695">
        <f t="shared" si="39"/>
        <v>0</v>
      </c>
      <c r="L337" s="690"/>
    </row>
    <row r="338" spans="1:13" s="27" customFormat="1" ht="17.25" customHeight="1">
      <c r="A338" s="693" t="s">
        <v>453</v>
      </c>
      <c r="B338" s="844" t="s">
        <v>497</v>
      </c>
      <c r="C338" s="747">
        <f>VLOOKUP(B330,'CNKT '!$D$16:$AA$96,18,0)</f>
        <v>0</v>
      </c>
      <c r="D338" s="697">
        <v>10000</v>
      </c>
      <c r="E338" s="695">
        <f>C338*D338</f>
        <v>0</v>
      </c>
      <c r="F338" s="714"/>
      <c r="G338" s="693" t="s">
        <v>453</v>
      </c>
      <c r="H338" s="844" t="s">
        <v>497</v>
      </c>
      <c r="I338" s="747">
        <f>VLOOKUP(H330,'CNKT '!$D$16:$AA$96,18,0)</f>
        <v>0</v>
      </c>
      <c r="J338" s="697">
        <v>10000</v>
      </c>
      <c r="K338" s="695">
        <f>I338*J338</f>
        <v>0</v>
      </c>
      <c r="L338" s="690"/>
    </row>
    <row r="339" spans="1:13" s="27" customFormat="1" ht="17.25" customHeight="1">
      <c r="A339" s="693" t="s">
        <v>453</v>
      </c>
      <c r="B339" s="844" t="s">
        <v>497</v>
      </c>
      <c r="C339" s="747">
        <f>VLOOKUP(B330,'CNKT '!$D$16:$AA$96,19,0)</f>
        <v>0</v>
      </c>
      <c r="D339" s="697">
        <v>20000</v>
      </c>
      <c r="E339" s="695">
        <f>C339*D339</f>
        <v>0</v>
      </c>
      <c r="F339" s="714"/>
      <c r="G339" s="693" t="s">
        <v>453</v>
      </c>
      <c r="H339" s="844" t="s">
        <v>497</v>
      </c>
      <c r="I339" s="747">
        <f>VLOOKUP(H330,'CNKT '!$D$16:$AA$96,19,0)</f>
        <v>0</v>
      </c>
      <c r="J339" s="697">
        <v>20000</v>
      </c>
      <c r="K339" s="695">
        <f>I339*J339</f>
        <v>0</v>
      </c>
      <c r="L339" s="690"/>
    </row>
    <row r="340" spans="1:13" s="27" customFormat="1" ht="17.25" customHeight="1">
      <c r="A340" s="693" t="s">
        <v>512</v>
      </c>
      <c r="B340" s="844" t="s">
        <v>513</v>
      </c>
      <c r="C340" s="747"/>
      <c r="D340" s="697"/>
      <c r="E340" s="695"/>
      <c r="F340" s="714"/>
      <c r="G340" s="693" t="s">
        <v>512</v>
      </c>
      <c r="H340" s="844" t="s">
        <v>513</v>
      </c>
      <c r="I340" s="747"/>
      <c r="J340" s="697"/>
      <c r="K340" s="695"/>
      <c r="L340" s="690"/>
    </row>
    <row r="341" spans="1:13" s="27" customFormat="1" ht="17.25" customHeight="1">
      <c r="A341" s="699" t="s">
        <v>79</v>
      </c>
      <c r="B341" s="845" t="s">
        <v>532</v>
      </c>
      <c r="C341" s="700"/>
      <c r="D341" s="701"/>
      <c r="E341" s="700"/>
      <c r="G341" s="699" t="s">
        <v>79</v>
      </c>
      <c r="H341" s="845" t="s">
        <v>532</v>
      </c>
      <c r="I341" s="700"/>
      <c r="J341" s="701"/>
      <c r="K341" s="700"/>
      <c r="L341" s="690"/>
    </row>
    <row r="342" spans="1:13" s="27" customFormat="1" ht="17.25" customHeight="1">
      <c r="A342" s="702" t="s">
        <v>80</v>
      </c>
      <c r="B342" s="846" t="s">
        <v>533</v>
      </c>
      <c r="C342" s="700"/>
      <c r="D342" s="700"/>
      <c r="E342" s="700"/>
      <c r="G342" s="702" t="s">
        <v>80</v>
      </c>
      <c r="H342" s="846" t="s">
        <v>533</v>
      </c>
      <c r="I342" s="700"/>
      <c r="J342" s="700"/>
      <c r="K342" s="700"/>
      <c r="L342" s="690"/>
    </row>
    <row r="343" spans="1:13" s="27" customFormat="1" ht="17.25" customHeight="1">
      <c r="A343" s="702" t="s">
        <v>81</v>
      </c>
      <c r="B343" s="847" t="s">
        <v>534</v>
      </c>
      <c r="C343" s="700"/>
      <c r="D343" s="700"/>
      <c r="E343" s="695">
        <f>SUM(E342)</f>
        <v>0</v>
      </c>
      <c r="G343" s="702" t="s">
        <v>81</v>
      </c>
      <c r="H343" s="847" t="s">
        <v>534</v>
      </c>
      <c r="I343" s="700"/>
      <c r="J343" s="700"/>
      <c r="K343" s="695">
        <f>SUM(K342)</f>
        <v>0</v>
      </c>
      <c r="L343" s="690"/>
      <c r="M343" s="703">
        <f>E343+K343</f>
        <v>0</v>
      </c>
    </row>
    <row r="344" spans="1:13" s="27" customFormat="1" ht="17.25" customHeight="1">
      <c r="A344" s="704" t="s">
        <v>82</v>
      </c>
      <c r="B344" s="848" t="s">
        <v>438</v>
      </c>
      <c r="C344" s="705"/>
      <c r="D344" s="705"/>
      <c r="E344" s="705">
        <f>(E332+E333+E334+E335+E336+E337+E338+E339+E340)-E343</f>
        <v>873839.46</v>
      </c>
      <c r="G344" s="704" t="s">
        <v>82</v>
      </c>
      <c r="H344" s="848" t="s">
        <v>438</v>
      </c>
      <c r="I344" s="705"/>
      <c r="J344" s="705"/>
      <c r="K344" s="705">
        <f>(K332+K333+K334+K335+K336+K337+K338+K339+K340)-K343</f>
        <v>935506.50800000015</v>
      </c>
      <c r="L344" s="707">
        <f>E344+K344</f>
        <v>1809345.9680000001</v>
      </c>
    </row>
    <row r="345" spans="1:13" s="27" customFormat="1" ht="17.25" customHeight="1">
      <c r="A345" s="710"/>
      <c r="B345" s="715"/>
      <c r="C345" s="716"/>
      <c r="D345" s="716"/>
      <c r="E345" s="714"/>
      <c r="G345" s="710"/>
      <c r="H345" s="715"/>
      <c r="I345" s="716"/>
      <c r="J345" s="714"/>
      <c r="K345" s="724"/>
      <c r="L345" s="690"/>
    </row>
    <row r="346" spans="1:13" s="27" customFormat="1" ht="34.5" customHeight="1">
      <c r="A346" s="703"/>
      <c r="B346" s="713"/>
      <c r="C346" s="839"/>
      <c r="D346" s="839"/>
      <c r="E346" s="710"/>
      <c r="F346" s="710"/>
      <c r="G346" s="703"/>
      <c r="H346" s="713"/>
      <c r="I346" s="839"/>
      <c r="J346" s="710">
        <v>0</v>
      </c>
      <c r="K346" s="708"/>
      <c r="L346" s="690"/>
    </row>
    <row r="347" spans="1:13" s="27" customFormat="1" ht="17.25" customHeight="1">
      <c r="A347" s="1567" t="str">
        <f>G329</f>
        <v>LƯƠNG THÁNG 01/2025</v>
      </c>
      <c r="B347" s="1568"/>
      <c r="C347" s="1568"/>
      <c r="D347" s="1568"/>
      <c r="E347" s="766">
        <v>41</v>
      </c>
      <c r="F347" s="710"/>
      <c r="G347" s="1567" t="str">
        <f>A347</f>
        <v>LƯƠNG THÁNG 01/2025</v>
      </c>
      <c r="H347" s="1568"/>
      <c r="I347" s="1568"/>
      <c r="J347" s="1569"/>
      <c r="K347" s="766">
        <v>42</v>
      </c>
      <c r="L347" s="690"/>
    </row>
    <row r="348" spans="1:13" s="27" customFormat="1" ht="17.25" customHeight="1">
      <c r="A348" s="709" t="s">
        <v>15</v>
      </c>
      <c r="B348" s="840" t="str">
        <f>'CNKT '!D56</f>
        <v>T. Khăm Pỏi</v>
      </c>
      <c r="C348" s="691"/>
      <c r="D348" s="838" t="s">
        <v>396</v>
      </c>
      <c r="E348" s="838" t="s">
        <v>18</v>
      </c>
      <c r="F348" s="710"/>
      <c r="G348" s="709" t="s">
        <v>15</v>
      </c>
      <c r="H348" s="840" t="str">
        <f>'CNKT '!D57</f>
        <v>Lăm Ngân</v>
      </c>
      <c r="I348" s="691"/>
      <c r="J348" s="838" t="s">
        <v>396</v>
      </c>
      <c r="K348" s="838" t="s">
        <v>18</v>
      </c>
      <c r="L348" s="690"/>
    </row>
    <row r="349" spans="1:13" s="27" customFormat="1" ht="17.25" customHeight="1">
      <c r="A349" s="693" t="s">
        <v>397</v>
      </c>
      <c r="B349" s="842" t="s">
        <v>527</v>
      </c>
      <c r="C349" s="694">
        <f>VLOOKUP(B348,'BTH mủ tạp'!$D$17:$AN$94,36,0)</f>
        <v>1047.9962028523896</v>
      </c>
      <c r="D349" s="695"/>
      <c r="E349" s="695"/>
      <c r="F349" s="713"/>
      <c r="G349" s="693" t="s">
        <v>397</v>
      </c>
      <c r="H349" s="842" t="s">
        <v>527</v>
      </c>
      <c r="I349" s="694">
        <f>VLOOKUP(H348,'BTH mủ tạp'!$D$17:$AN$94,36,0)</f>
        <v>1090.657995180894</v>
      </c>
      <c r="J349" s="695"/>
      <c r="K349" s="695"/>
      <c r="L349" s="690"/>
    </row>
    <row r="350" spans="1:13" s="27" customFormat="1" ht="17.25" customHeight="1">
      <c r="A350" s="693" t="s">
        <v>77</v>
      </c>
      <c r="B350" s="843" t="s">
        <v>432</v>
      </c>
      <c r="C350" s="696">
        <f>VLOOKUP(B348,'CNKT '!$D$16:$AA$96,3,0)</f>
        <v>0</v>
      </c>
      <c r="D350" s="697">
        <v>25000</v>
      </c>
      <c r="E350" s="695">
        <f>C350*D350</f>
        <v>0</v>
      </c>
      <c r="F350" s="713"/>
      <c r="G350" s="693" t="s">
        <v>77</v>
      </c>
      <c r="H350" s="843" t="s">
        <v>432</v>
      </c>
      <c r="I350" s="696">
        <f>VLOOKUP(H348,'CNKT '!$D$16:$AA$96,3,0)</f>
        <v>0</v>
      </c>
      <c r="J350" s="697">
        <v>25000</v>
      </c>
      <c r="K350" s="695">
        <f>I350*J350</f>
        <v>0</v>
      </c>
      <c r="L350" s="690"/>
    </row>
    <row r="351" spans="1:13" s="27" customFormat="1" ht="17.25" customHeight="1">
      <c r="A351" s="693" t="s">
        <v>307</v>
      </c>
      <c r="B351" s="844" t="s">
        <v>528</v>
      </c>
      <c r="C351" s="747">
        <f>VLOOKUP(B348,'CNKT '!$D$16:$AA$96,11,0)</f>
        <v>21</v>
      </c>
      <c r="D351" s="698">
        <f>46.1*$B$2</f>
        <v>30833.524000000001</v>
      </c>
      <c r="E351" s="695">
        <f t="shared" ref="E351:E355" si="40">C351*D351</f>
        <v>647504.00400000007</v>
      </c>
      <c r="F351" s="839"/>
      <c r="G351" s="693" t="s">
        <v>307</v>
      </c>
      <c r="H351" s="844" t="s">
        <v>528</v>
      </c>
      <c r="I351" s="747">
        <f>VLOOKUP(H348,'CNKT '!$D$16:$AA$96,11,0)</f>
        <v>20</v>
      </c>
      <c r="J351" s="698">
        <f>46.1*$B$2</f>
        <v>30833.524000000001</v>
      </c>
      <c r="K351" s="695">
        <f t="shared" ref="K351:K355" si="41">I351*J351</f>
        <v>616670.48</v>
      </c>
      <c r="L351" s="690"/>
    </row>
    <row r="352" spans="1:13" s="27" customFormat="1" ht="17.25" customHeight="1">
      <c r="A352" s="693" t="s">
        <v>399</v>
      </c>
      <c r="B352" s="844" t="s">
        <v>529</v>
      </c>
      <c r="C352" s="747">
        <f>VLOOKUP(B348,'CNKT '!$D$16:$AA$96,12,0)</f>
        <v>4</v>
      </c>
      <c r="D352" s="697">
        <f>76.9*$B$2</f>
        <v>51433.796000000009</v>
      </c>
      <c r="E352" s="695">
        <f t="shared" si="40"/>
        <v>205735.18400000004</v>
      </c>
      <c r="F352" s="714"/>
      <c r="G352" s="693" t="s">
        <v>399</v>
      </c>
      <c r="H352" s="844" t="s">
        <v>529</v>
      </c>
      <c r="I352" s="747">
        <f>VLOOKUP(H348,'CNKT '!$D$16:$AA$96,12,0)</f>
        <v>5</v>
      </c>
      <c r="J352" s="697">
        <f>76.9*$B$2</f>
        <v>51433.796000000009</v>
      </c>
      <c r="K352" s="695">
        <f t="shared" si="41"/>
        <v>257168.98000000004</v>
      </c>
      <c r="L352" s="690"/>
    </row>
    <row r="353" spans="1:13" s="27" customFormat="1" ht="17.25" customHeight="1">
      <c r="A353" s="693" t="s">
        <v>78</v>
      </c>
      <c r="B353" s="844" t="s">
        <v>530</v>
      </c>
      <c r="C353" s="747">
        <f>VLOOKUP(B348,'CNKT '!$D$16:$AA$96,8,0)</f>
        <v>1047.9962028523898</v>
      </c>
      <c r="D353" s="697">
        <f>IF(C349="A",6.1,IF(C349="B",5.8,IF(C349="C",5.5,IF(C349="C.",5.5,IF(C349="D",5.2)))))*$B$2</f>
        <v>0</v>
      </c>
      <c r="E353" s="695">
        <f t="shared" si="40"/>
        <v>0</v>
      </c>
      <c r="F353" s="714"/>
      <c r="G353" s="693" t="s">
        <v>78</v>
      </c>
      <c r="H353" s="844" t="s">
        <v>530</v>
      </c>
      <c r="I353" s="747">
        <f>VLOOKUP(H348,'CNKT '!$D$16:$AA$96,8,0)</f>
        <v>1090.6579951808942</v>
      </c>
      <c r="J353" s="697">
        <f>IF(I349="A",6.1,IF(I349="B",5.8,IF(I349="C",5.5,IF(I349="C.",5.5,IF(I349="D",5.2)))))*$B$2</f>
        <v>0</v>
      </c>
      <c r="K353" s="695">
        <f t="shared" si="41"/>
        <v>0</v>
      </c>
      <c r="L353" s="690"/>
    </row>
    <row r="354" spans="1:13" s="27" customFormat="1" ht="17.25" customHeight="1">
      <c r="A354" s="693" t="s">
        <v>491</v>
      </c>
      <c r="B354" s="844" t="s">
        <v>531</v>
      </c>
      <c r="C354" s="747">
        <f>VLOOKUP(B348,'CNKT '!$D$16:$AA$96,15,0)</f>
        <v>0</v>
      </c>
      <c r="D354" s="698">
        <f>92.2*$B$2</f>
        <v>61667.048000000003</v>
      </c>
      <c r="E354" s="695">
        <f t="shared" si="40"/>
        <v>0</v>
      </c>
      <c r="F354" s="714"/>
      <c r="G354" s="693" t="s">
        <v>491</v>
      </c>
      <c r="H354" s="844" t="s">
        <v>531</v>
      </c>
      <c r="I354" s="747">
        <f>VLOOKUP(H348,'CNKT '!$D$16:$AA$96,15,0)</f>
        <v>0</v>
      </c>
      <c r="J354" s="698">
        <f>92.2*$B$2</f>
        <v>61667.048000000003</v>
      </c>
      <c r="K354" s="695">
        <f t="shared" si="41"/>
        <v>0</v>
      </c>
      <c r="L354" s="690"/>
    </row>
    <row r="355" spans="1:13" s="27" customFormat="1" ht="17.25" customHeight="1">
      <c r="A355" s="693" t="s">
        <v>492</v>
      </c>
      <c r="B355" s="844" t="s">
        <v>496</v>
      </c>
      <c r="C355" s="747">
        <f>VLOOKUP(B348,'CNKT '!$D$16:$AA$96,16,0)</f>
        <v>0</v>
      </c>
      <c r="D355" s="697">
        <f>153.8*$B$2</f>
        <v>102867.59200000002</v>
      </c>
      <c r="E355" s="695">
        <f t="shared" si="40"/>
        <v>0</v>
      </c>
      <c r="F355" s="714"/>
      <c r="G355" s="693" t="s">
        <v>492</v>
      </c>
      <c r="H355" s="844" t="s">
        <v>496</v>
      </c>
      <c r="I355" s="747">
        <f>VLOOKUP(H348,'CNKT '!$D$16:$AA$96,16,0)</f>
        <v>0</v>
      </c>
      <c r="J355" s="697">
        <f>153.8*$B$2</f>
        <v>102867.59200000002</v>
      </c>
      <c r="K355" s="695">
        <f t="shared" si="41"/>
        <v>0</v>
      </c>
      <c r="L355" s="690"/>
    </row>
    <row r="356" spans="1:13" s="27" customFormat="1" ht="17.25" customHeight="1">
      <c r="A356" s="693" t="s">
        <v>453</v>
      </c>
      <c r="B356" s="844" t="s">
        <v>497</v>
      </c>
      <c r="C356" s="747">
        <f>VLOOKUP(B348,'CNKT '!$D$16:$AA$96,18,0)</f>
        <v>0</v>
      </c>
      <c r="D356" s="697">
        <v>10000</v>
      </c>
      <c r="E356" s="695">
        <f>C356*D356</f>
        <v>0</v>
      </c>
      <c r="F356" s="714"/>
      <c r="G356" s="693" t="s">
        <v>453</v>
      </c>
      <c r="H356" s="844" t="s">
        <v>497</v>
      </c>
      <c r="I356" s="747">
        <f>VLOOKUP(H348,'CNKT '!$D$16:$AA$96,18,0)</f>
        <v>0</v>
      </c>
      <c r="J356" s="697">
        <v>10000</v>
      </c>
      <c r="K356" s="695">
        <f>I356*J356</f>
        <v>0</v>
      </c>
      <c r="L356" s="690"/>
    </row>
    <row r="357" spans="1:13" s="27" customFormat="1" ht="17.25" customHeight="1">
      <c r="A357" s="693" t="s">
        <v>453</v>
      </c>
      <c r="B357" s="844" t="s">
        <v>497</v>
      </c>
      <c r="C357" s="747">
        <f>VLOOKUP(B348,'CNKT '!$D$16:$AA$96,19,0)</f>
        <v>0</v>
      </c>
      <c r="D357" s="697">
        <v>20000</v>
      </c>
      <c r="E357" s="695">
        <f>C357*D357</f>
        <v>0</v>
      </c>
      <c r="F357" s="714"/>
      <c r="G357" s="693" t="s">
        <v>453</v>
      </c>
      <c r="H357" s="844" t="s">
        <v>497</v>
      </c>
      <c r="I357" s="747">
        <f>VLOOKUP(H348,'CNKT '!$D$16:$AA$96,19,0)</f>
        <v>0</v>
      </c>
      <c r="J357" s="697">
        <v>20000</v>
      </c>
      <c r="K357" s="695">
        <f>I357*J357</f>
        <v>0</v>
      </c>
      <c r="L357" s="690"/>
    </row>
    <row r="358" spans="1:13" s="27" customFormat="1" ht="17.25" customHeight="1">
      <c r="A358" s="693" t="s">
        <v>512</v>
      </c>
      <c r="B358" s="844" t="s">
        <v>513</v>
      </c>
      <c r="C358" s="747"/>
      <c r="D358" s="697"/>
      <c r="E358" s="695"/>
      <c r="F358" s="714"/>
      <c r="G358" s="693" t="s">
        <v>512</v>
      </c>
      <c r="H358" s="844" t="s">
        <v>513</v>
      </c>
      <c r="I358" s="747"/>
      <c r="J358" s="697"/>
      <c r="K358" s="695"/>
      <c r="L358" s="690"/>
    </row>
    <row r="359" spans="1:13" s="27" customFormat="1" ht="17.25" customHeight="1">
      <c r="A359" s="699" t="s">
        <v>79</v>
      </c>
      <c r="B359" s="845" t="s">
        <v>532</v>
      </c>
      <c r="C359" s="700"/>
      <c r="D359" s="701"/>
      <c r="E359" s="700"/>
      <c r="F359" s="839"/>
      <c r="G359" s="699" t="s">
        <v>79</v>
      </c>
      <c r="H359" s="845" t="s">
        <v>532</v>
      </c>
      <c r="I359" s="700"/>
      <c r="J359" s="701"/>
      <c r="K359" s="700"/>
      <c r="L359" s="690"/>
    </row>
    <row r="360" spans="1:13" s="27" customFormat="1" ht="17.25" customHeight="1">
      <c r="A360" s="702" t="s">
        <v>80</v>
      </c>
      <c r="B360" s="846" t="s">
        <v>533</v>
      </c>
      <c r="C360" s="700"/>
      <c r="D360" s="700"/>
      <c r="E360" s="700"/>
      <c r="F360" s="710"/>
      <c r="G360" s="702" t="s">
        <v>80</v>
      </c>
      <c r="H360" s="846" t="s">
        <v>533</v>
      </c>
      <c r="I360" s="700"/>
      <c r="J360" s="700"/>
      <c r="K360" s="700"/>
      <c r="L360" s="690"/>
    </row>
    <row r="361" spans="1:13" s="27" customFormat="1" ht="17.25" customHeight="1">
      <c r="A361" s="702" t="s">
        <v>81</v>
      </c>
      <c r="B361" s="847" t="s">
        <v>534</v>
      </c>
      <c r="C361" s="700"/>
      <c r="D361" s="700"/>
      <c r="E361" s="695">
        <f>SUM(E360)</f>
        <v>0</v>
      </c>
      <c r="F361" s="710"/>
      <c r="G361" s="702" t="s">
        <v>81</v>
      </c>
      <c r="H361" s="847" t="s">
        <v>534</v>
      </c>
      <c r="I361" s="700"/>
      <c r="J361" s="700"/>
      <c r="K361" s="695">
        <f>SUM(K360)</f>
        <v>0</v>
      </c>
      <c r="L361" s="690"/>
      <c r="M361" s="703">
        <f>E361+K361</f>
        <v>0</v>
      </c>
    </row>
    <row r="362" spans="1:13" s="27" customFormat="1" ht="17.25" customHeight="1">
      <c r="A362" s="704" t="s">
        <v>82</v>
      </c>
      <c r="B362" s="848" t="s">
        <v>438</v>
      </c>
      <c r="C362" s="705"/>
      <c r="D362" s="705"/>
      <c r="E362" s="705">
        <f>(E350+E351+E352+E353+E354+E355+E356+E357+E358)-E361</f>
        <v>853239.18800000008</v>
      </c>
      <c r="F362" s="710"/>
      <c r="G362" s="704" t="s">
        <v>82</v>
      </c>
      <c r="H362" s="848" t="s">
        <v>438</v>
      </c>
      <c r="I362" s="705"/>
      <c r="J362" s="705"/>
      <c r="K362" s="705">
        <f>(K350+K351+K352+K353+K354+K355+K356+K357+K358)-K361</f>
        <v>873839.46</v>
      </c>
      <c r="L362" s="707">
        <f>E362+K362</f>
        <v>1727078.648</v>
      </c>
    </row>
    <row r="363" spans="1:13" s="27" customFormat="1" ht="17.25" customHeight="1">
      <c r="A363" s="703"/>
      <c r="B363" s="839"/>
      <c r="C363" s="720"/>
      <c r="D363" s="720"/>
      <c r="E363" s="721"/>
      <c r="F363" s="713"/>
      <c r="G363" s="703"/>
      <c r="H363" s="839"/>
      <c r="I363" s="720"/>
      <c r="J363" s="721"/>
      <c r="K363" s="708"/>
      <c r="L363" s="690"/>
    </row>
    <row r="364" spans="1:13" s="27" customFormat="1" ht="17.25" customHeight="1">
      <c r="A364" s="1567" t="str">
        <f>G347</f>
        <v>LƯƠNG THÁNG 01/2025</v>
      </c>
      <c r="B364" s="1568"/>
      <c r="C364" s="1568"/>
      <c r="D364" s="1568"/>
      <c r="E364" s="766">
        <v>43</v>
      </c>
      <c r="F364" s="839"/>
      <c r="G364" s="1567" t="str">
        <f>A364</f>
        <v>LƯƠNG THÁNG 01/2025</v>
      </c>
      <c r="H364" s="1568"/>
      <c r="I364" s="1568"/>
      <c r="J364" s="1569"/>
      <c r="K364" s="766">
        <v>44</v>
      </c>
      <c r="L364" s="690"/>
    </row>
    <row r="365" spans="1:13" s="27" customFormat="1" ht="17.25" customHeight="1">
      <c r="A365" s="709" t="s">
        <v>15</v>
      </c>
      <c r="B365" s="840" t="str">
        <f>'CNKT '!D58</f>
        <v>T. Không</v>
      </c>
      <c r="C365" s="691"/>
      <c r="D365" s="838" t="s">
        <v>396</v>
      </c>
      <c r="E365" s="838" t="s">
        <v>18</v>
      </c>
      <c r="F365" s="714"/>
      <c r="G365" s="709" t="s">
        <v>15</v>
      </c>
      <c r="H365" s="840" t="str">
        <f>'CNKT '!D59</f>
        <v>T. Lem</v>
      </c>
      <c r="I365" s="691"/>
      <c r="J365" s="838" t="s">
        <v>396</v>
      </c>
      <c r="K365" s="838" t="s">
        <v>18</v>
      </c>
      <c r="L365" s="690"/>
    </row>
    <row r="366" spans="1:13" s="27" customFormat="1" ht="17.25" customHeight="1">
      <c r="A366" s="693" t="s">
        <v>397</v>
      </c>
      <c r="B366" s="842" t="s">
        <v>527</v>
      </c>
      <c r="C366" s="694">
        <f>VLOOKUP(B365,'BTH mủ tạp'!$D$17:$AN$94,36,0)</f>
        <v>894.50649349657499</v>
      </c>
      <c r="D366" s="695"/>
      <c r="E366" s="695"/>
      <c r="F366" s="714"/>
      <c r="G366" s="693" t="s">
        <v>397</v>
      </c>
      <c r="H366" s="842" t="s">
        <v>527</v>
      </c>
      <c r="I366" s="694">
        <f>VLOOKUP(H365,'BTH mủ tạp'!$D$17:$AN$94,36,0)</f>
        <v>1099.9322978610037</v>
      </c>
      <c r="J366" s="695"/>
      <c r="K366" s="695"/>
      <c r="L366" s="690"/>
    </row>
    <row r="367" spans="1:13" s="27" customFormat="1" ht="17.25" customHeight="1">
      <c r="A367" s="693" t="s">
        <v>77</v>
      </c>
      <c r="B367" s="843" t="s">
        <v>432</v>
      </c>
      <c r="C367" s="696">
        <f>VLOOKUP(B365,'CNKT '!$D$16:$AA$96,3,0)</f>
        <v>0</v>
      </c>
      <c r="D367" s="697">
        <v>25000</v>
      </c>
      <c r="E367" s="695">
        <f>C367*D367</f>
        <v>0</v>
      </c>
      <c r="G367" s="693" t="s">
        <v>77</v>
      </c>
      <c r="H367" s="843" t="s">
        <v>432</v>
      </c>
      <c r="I367" s="696">
        <f>VLOOKUP(H365,'CNKT '!$D$16:$AA$96,3,0)</f>
        <v>0</v>
      </c>
      <c r="J367" s="697">
        <v>25000</v>
      </c>
      <c r="K367" s="695">
        <f>I367*J367</f>
        <v>0</v>
      </c>
      <c r="L367" s="690"/>
    </row>
    <row r="368" spans="1:13" s="27" customFormat="1" ht="17.25" customHeight="1">
      <c r="A368" s="693" t="s">
        <v>307</v>
      </c>
      <c r="B368" s="844" t="s">
        <v>528</v>
      </c>
      <c r="C368" s="747">
        <f>VLOOKUP(B365,'CNKT '!$D$16:$AA$96,11,0)</f>
        <v>23</v>
      </c>
      <c r="D368" s="698">
        <f>46.1*$B$2</f>
        <v>30833.524000000001</v>
      </c>
      <c r="E368" s="695">
        <f t="shared" ref="E368:E372" si="42">C368*D368</f>
        <v>709171.05200000003</v>
      </c>
      <c r="F368" s="839"/>
      <c r="G368" s="693" t="s">
        <v>307</v>
      </c>
      <c r="H368" s="844" t="s">
        <v>528</v>
      </c>
      <c r="I368" s="747">
        <f>VLOOKUP(H365,'CNKT '!$D$16:$AA$96,11,0)</f>
        <v>22</v>
      </c>
      <c r="J368" s="698">
        <f>46.1*$B$2</f>
        <v>30833.524000000001</v>
      </c>
      <c r="K368" s="695">
        <f t="shared" ref="K368:K372" si="43">I368*J368</f>
        <v>678337.52800000005</v>
      </c>
      <c r="L368" s="690"/>
    </row>
    <row r="369" spans="1:13" s="27" customFormat="1" ht="17.25" customHeight="1">
      <c r="A369" s="693" t="s">
        <v>399</v>
      </c>
      <c r="B369" s="844" t="s">
        <v>529</v>
      </c>
      <c r="C369" s="747">
        <f>VLOOKUP(B365,'CNKT '!$D$16:$AA$96,12,0)</f>
        <v>5</v>
      </c>
      <c r="D369" s="697">
        <f>76.9*$B$2</f>
        <v>51433.796000000009</v>
      </c>
      <c r="E369" s="695">
        <f t="shared" si="42"/>
        <v>257168.98000000004</v>
      </c>
      <c r="F369" s="710"/>
      <c r="G369" s="693" t="s">
        <v>399</v>
      </c>
      <c r="H369" s="844" t="s">
        <v>529</v>
      </c>
      <c r="I369" s="747">
        <f>VLOOKUP(H365,'CNKT '!$D$16:$AA$96,12,0)</f>
        <v>5</v>
      </c>
      <c r="J369" s="697">
        <f>76.9*$B$2</f>
        <v>51433.796000000009</v>
      </c>
      <c r="K369" s="695">
        <f t="shared" si="43"/>
        <v>257168.98000000004</v>
      </c>
      <c r="L369" s="690"/>
    </row>
    <row r="370" spans="1:13" s="27" customFormat="1" ht="17.25" customHeight="1">
      <c r="A370" s="693" t="s">
        <v>78</v>
      </c>
      <c r="B370" s="844" t="s">
        <v>530</v>
      </c>
      <c r="C370" s="747">
        <f>VLOOKUP(B365,'CNKT '!$D$16:$AA$96,8,0)</f>
        <v>894.50649349657522</v>
      </c>
      <c r="D370" s="697">
        <f>IF(C366="A",6.1,IF(C366="B",5.8,IF(C366="C",5.5,IF(C366="C.",5.5,IF(C366="D",5.2)))))*$B$2</f>
        <v>0</v>
      </c>
      <c r="E370" s="695">
        <f t="shared" si="42"/>
        <v>0</v>
      </c>
      <c r="F370" s="710"/>
      <c r="G370" s="693" t="s">
        <v>78</v>
      </c>
      <c r="H370" s="844" t="s">
        <v>530</v>
      </c>
      <c r="I370" s="747">
        <f>VLOOKUP(H365,'CNKT '!$D$16:$AA$96,8,0)</f>
        <v>1099.9322978610037</v>
      </c>
      <c r="J370" s="697">
        <f>IF(I366="A",6.1,IF(I366="B",5.8,IF(I366="C",5.5,IF(I366="C.",5.5,IF(I366="D",5.2)))))*$B$2</f>
        <v>0</v>
      </c>
      <c r="K370" s="695">
        <f t="shared" si="43"/>
        <v>0</v>
      </c>
      <c r="L370" s="690"/>
    </row>
    <row r="371" spans="1:13" s="27" customFormat="1" ht="17.25" customHeight="1">
      <c r="A371" s="693" t="s">
        <v>491</v>
      </c>
      <c r="B371" s="844" t="s">
        <v>531</v>
      </c>
      <c r="C371" s="747">
        <f>VLOOKUP(B365,'CNKT '!$D$16:$AA$96,15,0)</f>
        <v>0</v>
      </c>
      <c r="D371" s="698">
        <f>92.2*$B$2</f>
        <v>61667.048000000003</v>
      </c>
      <c r="E371" s="695">
        <f t="shared" si="42"/>
        <v>0</v>
      </c>
      <c r="F371" s="710"/>
      <c r="G371" s="693" t="s">
        <v>491</v>
      </c>
      <c r="H371" s="844" t="s">
        <v>531</v>
      </c>
      <c r="I371" s="747">
        <f>VLOOKUP(H365,'CNKT '!$D$16:$AA$96,15,0)</f>
        <v>0</v>
      </c>
      <c r="J371" s="698">
        <f>92.2*$B$2</f>
        <v>61667.048000000003</v>
      </c>
      <c r="K371" s="695">
        <f t="shared" si="43"/>
        <v>0</v>
      </c>
      <c r="L371" s="690"/>
    </row>
    <row r="372" spans="1:13" s="27" customFormat="1" ht="17.25" customHeight="1">
      <c r="A372" s="693" t="s">
        <v>492</v>
      </c>
      <c r="B372" s="844" t="s">
        <v>496</v>
      </c>
      <c r="C372" s="747">
        <f>VLOOKUP(B365,'CNKT '!$D$16:$AA$96,16,0)</f>
        <v>0</v>
      </c>
      <c r="D372" s="697">
        <f>153.8*$B$2</f>
        <v>102867.59200000002</v>
      </c>
      <c r="E372" s="695">
        <f t="shared" si="42"/>
        <v>0</v>
      </c>
      <c r="F372" s="710"/>
      <c r="G372" s="693" t="s">
        <v>492</v>
      </c>
      <c r="H372" s="844" t="s">
        <v>496</v>
      </c>
      <c r="I372" s="747">
        <f>VLOOKUP(H365,'CNKT '!$D$16:$AA$96,16,0)</f>
        <v>0</v>
      </c>
      <c r="J372" s="697">
        <f>153.8*$B$2</f>
        <v>102867.59200000002</v>
      </c>
      <c r="K372" s="695">
        <f t="shared" si="43"/>
        <v>0</v>
      </c>
      <c r="L372" s="690"/>
    </row>
    <row r="373" spans="1:13" s="27" customFormat="1" ht="17.25" customHeight="1">
      <c r="A373" s="693" t="s">
        <v>453</v>
      </c>
      <c r="B373" s="844" t="s">
        <v>497</v>
      </c>
      <c r="C373" s="747">
        <f>VLOOKUP(B365,'CNKT '!$D$16:$AA$96,18,0)</f>
        <v>0</v>
      </c>
      <c r="D373" s="697">
        <v>10000</v>
      </c>
      <c r="E373" s="695">
        <f>C373*D373</f>
        <v>0</v>
      </c>
      <c r="F373" s="710"/>
      <c r="G373" s="693" t="s">
        <v>453</v>
      </c>
      <c r="H373" s="844" t="s">
        <v>497</v>
      </c>
      <c r="I373" s="747">
        <f>VLOOKUP(H365,'CNKT '!$D$16:$AA$96,18,0)</f>
        <v>0</v>
      </c>
      <c r="J373" s="697">
        <v>10000</v>
      </c>
      <c r="K373" s="695">
        <f>I373*J373</f>
        <v>0</v>
      </c>
      <c r="L373" s="690"/>
    </row>
    <row r="374" spans="1:13" s="27" customFormat="1" ht="17.25" customHeight="1">
      <c r="A374" s="693" t="s">
        <v>453</v>
      </c>
      <c r="B374" s="844" t="s">
        <v>497</v>
      </c>
      <c r="C374" s="747">
        <f>VLOOKUP(B365,'CNKT '!$D$16:$AA$96,19,0)</f>
        <v>0</v>
      </c>
      <c r="D374" s="697">
        <v>20000</v>
      </c>
      <c r="E374" s="695">
        <f>C374*D374</f>
        <v>0</v>
      </c>
      <c r="F374" s="710"/>
      <c r="G374" s="693" t="s">
        <v>453</v>
      </c>
      <c r="H374" s="844" t="s">
        <v>497</v>
      </c>
      <c r="I374" s="747">
        <f>VLOOKUP(H365,'CNKT '!$D$16:$AA$96,19,0)</f>
        <v>0</v>
      </c>
      <c r="J374" s="697">
        <v>20000</v>
      </c>
      <c r="K374" s="695">
        <f>I374*J374</f>
        <v>0</v>
      </c>
      <c r="L374" s="690"/>
    </row>
    <row r="375" spans="1:13" s="27" customFormat="1" ht="17.25" customHeight="1">
      <c r="A375" s="693" t="s">
        <v>512</v>
      </c>
      <c r="B375" s="844" t="s">
        <v>513</v>
      </c>
      <c r="C375" s="747"/>
      <c r="D375" s="697"/>
      <c r="E375" s="695"/>
      <c r="F375" s="710"/>
      <c r="G375" s="693" t="s">
        <v>512</v>
      </c>
      <c r="H375" s="844" t="s">
        <v>513</v>
      </c>
      <c r="I375" s="747"/>
      <c r="J375" s="697"/>
      <c r="K375" s="695"/>
      <c r="L375" s="690"/>
    </row>
    <row r="376" spans="1:13" s="27" customFormat="1" ht="17.25" customHeight="1">
      <c r="A376" s="699" t="s">
        <v>79</v>
      </c>
      <c r="B376" s="845" t="s">
        <v>532</v>
      </c>
      <c r="C376" s="700"/>
      <c r="D376" s="701"/>
      <c r="E376" s="700"/>
      <c r="F376" s="710"/>
      <c r="G376" s="699" t="s">
        <v>79</v>
      </c>
      <c r="H376" s="845" t="s">
        <v>532</v>
      </c>
      <c r="I376" s="700"/>
      <c r="J376" s="701"/>
      <c r="K376" s="700"/>
      <c r="L376" s="690"/>
    </row>
    <row r="377" spans="1:13" s="27" customFormat="1" ht="17.25" customHeight="1">
      <c r="A377" s="702" t="s">
        <v>80</v>
      </c>
      <c r="B377" s="846" t="s">
        <v>533</v>
      </c>
      <c r="C377" s="700"/>
      <c r="D377" s="700"/>
      <c r="E377" s="700"/>
      <c r="F377" s="710"/>
      <c r="G377" s="702" t="s">
        <v>80</v>
      </c>
      <c r="H377" s="846" t="s">
        <v>533</v>
      </c>
      <c r="I377" s="700"/>
      <c r="J377" s="700"/>
      <c r="K377" s="700"/>
      <c r="L377" s="690"/>
      <c r="M377" s="703">
        <f>E377+K377</f>
        <v>0</v>
      </c>
    </row>
    <row r="378" spans="1:13" s="27" customFormat="1" ht="17.25" customHeight="1">
      <c r="A378" s="702" t="s">
        <v>81</v>
      </c>
      <c r="B378" s="847" t="s">
        <v>534</v>
      </c>
      <c r="C378" s="700"/>
      <c r="D378" s="700"/>
      <c r="E378" s="695">
        <f>SUM(E377)</f>
        <v>0</v>
      </c>
      <c r="F378" s="710"/>
      <c r="G378" s="702" t="s">
        <v>81</v>
      </c>
      <c r="H378" s="847" t="s">
        <v>534</v>
      </c>
      <c r="I378" s="700"/>
      <c r="J378" s="700"/>
      <c r="K378" s="695">
        <f>SUM(K377)</f>
        <v>0</v>
      </c>
      <c r="L378" s="707"/>
    </row>
    <row r="379" spans="1:13" s="27" customFormat="1" ht="17.25" customHeight="1">
      <c r="A379" s="704" t="s">
        <v>82</v>
      </c>
      <c r="B379" s="848" t="s">
        <v>438</v>
      </c>
      <c r="C379" s="705"/>
      <c r="D379" s="705"/>
      <c r="E379" s="705">
        <f>(E367+E368+E369+E370+E371+E372+E373+E374+E375)-E378</f>
        <v>966340.03200000012</v>
      </c>
      <c r="F379" s="710"/>
      <c r="G379" s="704" t="s">
        <v>82</v>
      </c>
      <c r="H379" s="848" t="s">
        <v>438</v>
      </c>
      <c r="I379" s="705"/>
      <c r="J379" s="705"/>
      <c r="K379" s="705">
        <f>(K367+K368+K369+K370+K371+K372+K373+K374+K375)-K378</f>
        <v>935506.50800000015</v>
      </c>
      <c r="L379" s="707">
        <f>E379+K379</f>
        <v>1901846.5400000003</v>
      </c>
    </row>
    <row r="380" spans="1:13" s="27" customFormat="1" ht="17.25" customHeight="1">
      <c r="A380" s="722"/>
      <c r="B380" s="718"/>
      <c r="C380" s="723"/>
      <c r="D380" s="723"/>
      <c r="E380" s="710"/>
      <c r="F380" s="714"/>
      <c r="G380" s="722"/>
      <c r="H380" s="718"/>
      <c r="I380" s="723"/>
      <c r="J380" s="710"/>
      <c r="K380" s="708"/>
      <c r="L380" s="690"/>
    </row>
    <row r="381" spans="1:13" s="27" customFormat="1" ht="17.25" customHeight="1">
      <c r="A381" s="1567" t="str">
        <f>G364</f>
        <v>LƯƠNG THÁNG 01/2025</v>
      </c>
      <c r="B381" s="1568"/>
      <c r="C381" s="1568"/>
      <c r="D381" s="1568"/>
      <c r="E381" s="766">
        <v>45</v>
      </c>
      <c r="F381" s="839"/>
      <c r="G381" s="1567" t="str">
        <f>A381</f>
        <v>LƯƠNG THÁNG 01/2025</v>
      </c>
      <c r="H381" s="1568"/>
      <c r="I381" s="1568"/>
      <c r="J381" s="1569"/>
      <c r="K381" s="766">
        <v>46</v>
      </c>
      <c r="L381" s="690"/>
    </row>
    <row r="382" spans="1:13" s="27" customFormat="1" ht="17.25" customHeight="1">
      <c r="A382" s="709" t="s">
        <v>15</v>
      </c>
      <c r="B382" s="840" t="str">
        <f>'CNKT '!D60</f>
        <v>T. Pông</v>
      </c>
      <c r="C382" s="691"/>
      <c r="D382" s="838" t="s">
        <v>396</v>
      </c>
      <c r="E382" s="838" t="s">
        <v>18</v>
      </c>
      <c r="F382" s="710"/>
      <c r="G382" s="709" t="s">
        <v>15</v>
      </c>
      <c r="H382" s="840" t="str">
        <f>'CNKT '!D61</f>
        <v>T. Lốp</v>
      </c>
      <c r="I382" s="691"/>
      <c r="J382" s="838" t="s">
        <v>396</v>
      </c>
      <c r="K382" s="838" t="s">
        <v>18</v>
      </c>
      <c r="L382" s="690"/>
    </row>
    <row r="383" spans="1:13" s="27" customFormat="1" ht="17.25" customHeight="1">
      <c r="A383" s="693" t="s">
        <v>397</v>
      </c>
      <c r="B383" s="842" t="s">
        <v>527</v>
      </c>
      <c r="C383" s="694">
        <f>VLOOKUP(B382,'BTH mủ tạp'!$D$17:$AN$94,36,0)</f>
        <v>1594.2526307108474</v>
      </c>
      <c r="D383" s="695"/>
      <c r="E383" s="695"/>
      <c r="F383" s="710"/>
      <c r="G383" s="693" t="s">
        <v>397</v>
      </c>
      <c r="H383" s="842" t="s">
        <v>527</v>
      </c>
      <c r="I383" s="694">
        <f>VLOOKUP(H382,'BTH mủ tạp'!$D$17:$AN$94,36,0)</f>
        <v>1382.3348144703423</v>
      </c>
      <c r="J383" s="695"/>
      <c r="K383" s="695"/>
      <c r="L383" s="690"/>
    </row>
    <row r="384" spans="1:13" s="27" customFormat="1" ht="17.25" customHeight="1">
      <c r="A384" s="693" t="s">
        <v>77</v>
      </c>
      <c r="B384" s="843" t="s">
        <v>432</v>
      </c>
      <c r="C384" s="696">
        <f>VLOOKUP(B382,'CNKT '!$D$16:$AA$96,3,0)</f>
        <v>0</v>
      </c>
      <c r="D384" s="697">
        <v>25000</v>
      </c>
      <c r="E384" s="695">
        <f>C384*D384</f>
        <v>0</v>
      </c>
      <c r="F384" s="710"/>
      <c r="G384" s="693" t="s">
        <v>77</v>
      </c>
      <c r="H384" s="843" t="s">
        <v>432</v>
      </c>
      <c r="I384" s="696">
        <f>VLOOKUP(H382,'CNKT '!$D$16:$AA$96,3,0)</f>
        <v>0</v>
      </c>
      <c r="J384" s="697">
        <v>25000</v>
      </c>
      <c r="K384" s="695">
        <f>I384*J384</f>
        <v>0</v>
      </c>
      <c r="L384" s="690"/>
    </row>
    <row r="385" spans="1:13" s="27" customFormat="1" ht="17.25" customHeight="1">
      <c r="A385" s="693" t="s">
        <v>307</v>
      </c>
      <c r="B385" s="844" t="s">
        <v>528</v>
      </c>
      <c r="C385" s="747">
        <f>VLOOKUP(B382,'CNKT '!$D$16:$AA$96,11,0)</f>
        <v>22</v>
      </c>
      <c r="D385" s="698">
        <f>46.1*$B$2</f>
        <v>30833.524000000001</v>
      </c>
      <c r="E385" s="695">
        <f t="shared" ref="E385:E389" si="44">C385*D385</f>
        <v>678337.52800000005</v>
      </c>
      <c r="F385" s="710"/>
      <c r="G385" s="693" t="s">
        <v>307</v>
      </c>
      <c r="H385" s="844" t="s">
        <v>528</v>
      </c>
      <c r="I385" s="747">
        <f>VLOOKUP(H382,'CNKT '!$D$16:$AA$96,11,0)</f>
        <v>23</v>
      </c>
      <c r="J385" s="698">
        <f>46.1*$B$2</f>
        <v>30833.524000000001</v>
      </c>
      <c r="K385" s="695">
        <f t="shared" ref="K385:K389" si="45">I385*J385</f>
        <v>709171.05200000003</v>
      </c>
      <c r="L385" s="690"/>
    </row>
    <row r="386" spans="1:13" s="27" customFormat="1" ht="17.25" customHeight="1">
      <c r="A386" s="693" t="s">
        <v>399</v>
      </c>
      <c r="B386" s="844" t="s">
        <v>529</v>
      </c>
      <c r="C386" s="747">
        <f>VLOOKUP(B382,'CNKT '!$D$16:$AA$96,12,0)</f>
        <v>5</v>
      </c>
      <c r="D386" s="697">
        <f>76.9*$B$2</f>
        <v>51433.796000000009</v>
      </c>
      <c r="E386" s="695">
        <f t="shared" si="44"/>
        <v>257168.98000000004</v>
      </c>
      <c r="F386" s="713"/>
      <c r="G386" s="693" t="s">
        <v>399</v>
      </c>
      <c r="H386" s="844" t="s">
        <v>529</v>
      </c>
      <c r="I386" s="747">
        <f>VLOOKUP(H382,'CNKT '!$D$16:$AA$96,12,0)</f>
        <v>5</v>
      </c>
      <c r="J386" s="697">
        <f>76.9*$B$2</f>
        <v>51433.796000000009</v>
      </c>
      <c r="K386" s="695">
        <f t="shared" si="45"/>
        <v>257168.98000000004</v>
      </c>
      <c r="L386" s="690"/>
    </row>
    <row r="387" spans="1:13" s="27" customFormat="1" ht="17.25" customHeight="1">
      <c r="A387" s="693" t="s">
        <v>78</v>
      </c>
      <c r="B387" s="844" t="s">
        <v>530</v>
      </c>
      <c r="C387" s="747">
        <f>VLOOKUP(B382,'CNKT '!$D$16:$AA$96,8,0)</f>
        <v>1594.2526307108478</v>
      </c>
      <c r="D387" s="697">
        <f>IF(C383="A",6.1,IF(C383="B",5.8,IF(C383="C",5.5,IF(C383="C.",5.5,IF(C383="D",5.2)))))*$B$2</f>
        <v>0</v>
      </c>
      <c r="E387" s="695">
        <f t="shared" si="44"/>
        <v>0</v>
      </c>
      <c r="F387" s="713"/>
      <c r="G387" s="693" t="s">
        <v>78</v>
      </c>
      <c r="H387" s="844" t="s">
        <v>530</v>
      </c>
      <c r="I387" s="747">
        <f>VLOOKUP(H382,'CNKT '!$D$16:$AA$96,8,0)</f>
        <v>1382.3348144703425</v>
      </c>
      <c r="J387" s="697">
        <f>IF(I383="A",6.1,IF(I383="B",5.8,IF(I383="C",5.5,IF(I383="C.",5.5,IF(I383="D",5.2)))))*$B$2</f>
        <v>0</v>
      </c>
      <c r="K387" s="695">
        <f t="shared" si="45"/>
        <v>0</v>
      </c>
      <c r="L387" s="690"/>
    </row>
    <row r="388" spans="1:13" s="27" customFormat="1" ht="17.25" customHeight="1">
      <c r="A388" s="693" t="s">
        <v>491</v>
      </c>
      <c r="B388" s="844" t="s">
        <v>531</v>
      </c>
      <c r="C388" s="747">
        <f>VLOOKUP(B382,'CNKT '!$D$16:$AA$96,15,0)</f>
        <v>0</v>
      </c>
      <c r="D388" s="698">
        <f>92.2*$B$2</f>
        <v>61667.048000000003</v>
      </c>
      <c r="E388" s="695">
        <f t="shared" si="44"/>
        <v>0</v>
      </c>
      <c r="F388" s="713"/>
      <c r="G388" s="693" t="s">
        <v>491</v>
      </c>
      <c r="H388" s="844" t="s">
        <v>531</v>
      </c>
      <c r="I388" s="747">
        <f>VLOOKUP(H382,'CNKT '!$D$16:$AA$96,15,0)</f>
        <v>0</v>
      </c>
      <c r="J388" s="698">
        <f>92.2*$B$2</f>
        <v>61667.048000000003</v>
      </c>
      <c r="K388" s="695">
        <f t="shared" si="45"/>
        <v>0</v>
      </c>
      <c r="L388" s="690"/>
    </row>
    <row r="389" spans="1:13" s="27" customFormat="1" ht="17.25" customHeight="1">
      <c r="A389" s="693" t="s">
        <v>492</v>
      </c>
      <c r="B389" s="844" t="s">
        <v>496</v>
      </c>
      <c r="C389" s="747">
        <f>VLOOKUP(B382,'CNKT '!$D$16:$AA$96,16,0)</f>
        <v>0</v>
      </c>
      <c r="D389" s="697">
        <f>153.8*$B$2</f>
        <v>102867.59200000002</v>
      </c>
      <c r="E389" s="695">
        <f t="shared" si="44"/>
        <v>0</v>
      </c>
      <c r="F389" s="713"/>
      <c r="G389" s="693" t="s">
        <v>492</v>
      </c>
      <c r="H389" s="844" t="s">
        <v>496</v>
      </c>
      <c r="I389" s="747">
        <f>VLOOKUP(H382,'CNKT '!$D$16:$AA$96,16,0)</f>
        <v>0</v>
      </c>
      <c r="J389" s="697">
        <f>153.8*$B$2</f>
        <v>102867.59200000002</v>
      </c>
      <c r="K389" s="695">
        <f t="shared" si="45"/>
        <v>0</v>
      </c>
      <c r="L389" s="690"/>
    </row>
    <row r="390" spans="1:13" s="27" customFormat="1" ht="17.25" customHeight="1">
      <c r="A390" s="693" t="s">
        <v>453</v>
      </c>
      <c r="B390" s="844" t="s">
        <v>497</v>
      </c>
      <c r="C390" s="747">
        <f>VLOOKUP(B382,'CNKT '!$D$16:$AA$96,18,0)</f>
        <v>0</v>
      </c>
      <c r="D390" s="697">
        <v>10000</v>
      </c>
      <c r="E390" s="695">
        <f>C390*D390</f>
        <v>0</v>
      </c>
      <c r="F390" s="713"/>
      <c r="G390" s="693" t="s">
        <v>453</v>
      </c>
      <c r="H390" s="844" t="s">
        <v>497</v>
      </c>
      <c r="I390" s="747">
        <f>VLOOKUP(H382,'CNKT '!$D$16:$AA$96,18,0)</f>
        <v>0</v>
      </c>
      <c r="J390" s="697">
        <v>10000</v>
      </c>
      <c r="K390" s="695">
        <f>I390*J390</f>
        <v>0</v>
      </c>
      <c r="L390" s="690"/>
    </row>
    <row r="391" spans="1:13" s="27" customFormat="1" ht="17.25" customHeight="1">
      <c r="A391" s="693" t="s">
        <v>453</v>
      </c>
      <c r="B391" s="844" t="s">
        <v>497</v>
      </c>
      <c r="C391" s="747">
        <f>VLOOKUP(B382,'CNKT '!$D$16:$AA$96,19,0)</f>
        <v>0</v>
      </c>
      <c r="D391" s="697">
        <v>20000</v>
      </c>
      <c r="E391" s="695">
        <f>C391*D391</f>
        <v>0</v>
      </c>
      <c r="F391" s="713"/>
      <c r="G391" s="693" t="s">
        <v>453</v>
      </c>
      <c r="H391" s="844" t="s">
        <v>497</v>
      </c>
      <c r="I391" s="747">
        <f>VLOOKUP(H382,'CNKT '!$D$16:$AA$96,19,0)</f>
        <v>0</v>
      </c>
      <c r="J391" s="697">
        <v>20000</v>
      </c>
      <c r="K391" s="695">
        <f>I391*J391</f>
        <v>0</v>
      </c>
      <c r="L391" s="690"/>
    </row>
    <row r="392" spans="1:13" s="27" customFormat="1" ht="17.25" customHeight="1">
      <c r="A392" s="693" t="s">
        <v>512</v>
      </c>
      <c r="B392" s="844" t="s">
        <v>513</v>
      </c>
      <c r="C392" s="747"/>
      <c r="D392" s="697"/>
      <c r="E392" s="695"/>
      <c r="F392" s="713"/>
      <c r="G392" s="693" t="s">
        <v>512</v>
      </c>
      <c r="H392" s="844" t="s">
        <v>513</v>
      </c>
      <c r="I392" s="747"/>
      <c r="J392" s="697"/>
      <c r="K392" s="695"/>
      <c r="L392" s="690"/>
    </row>
    <row r="393" spans="1:13" s="27" customFormat="1" ht="17.25" customHeight="1">
      <c r="A393" s="699" t="s">
        <v>79</v>
      </c>
      <c r="B393" s="845" t="s">
        <v>532</v>
      </c>
      <c r="C393" s="700"/>
      <c r="D393" s="701"/>
      <c r="E393" s="700"/>
      <c r="F393" s="839"/>
      <c r="G393" s="699" t="s">
        <v>79</v>
      </c>
      <c r="H393" s="845" t="s">
        <v>532</v>
      </c>
      <c r="I393" s="700"/>
      <c r="J393" s="701"/>
      <c r="K393" s="700"/>
      <c r="L393" s="690"/>
    </row>
    <row r="394" spans="1:13" s="27" customFormat="1" ht="17.25" customHeight="1">
      <c r="A394" s="702" t="s">
        <v>80</v>
      </c>
      <c r="B394" s="846" t="s">
        <v>533</v>
      </c>
      <c r="C394" s="700"/>
      <c r="D394" s="700"/>
      <c r="E394" s="700"/>
      <c r="F394" s="714"/>
      <c r="G394" s="702" t="s">
        <v>80</v>
      </c>
      <c r="H394" s="846" t="s">
        <v>533</v>
      </c>
      <c r="I394" s="700"/>
      <c r="J394" s="700"/>
      <c r="K394" s="700"/>
      <c r="L394" s="690"/>
    </row>
    <row r="395" spans="1:13" s="27" customFormat="1" ht="17.25" customHeight="1">
      <c r="A395" s="702" t="s">
        <v>81</v>
      </c>
      <c r="B395" s="847" t="s">
        <v>534</v>
      </c>
      <c r="C395" s="700"/>
      <c r="D395" s="700"/>
      <c r="E395" s="695">
        <f>SUM(E394)</f>
        <v>0</v>
      </c>
      <c r="F395" s="714"/>
      <c r="G395" s="702" t="s">
        <v>81</v>
      </c>
      <c r="H395" s="847" t="s">
        <v>534</v>
      </c>
      <c r="I395" s="700"/>
      <c r="J395" s="700"/>
      <c r="K395" s="695">
        <f>SUM(K394)</f>
        <v>0</v>
      </c>
      <c r="L395" s="690"/>
      <c r="M395" s="703">
        <f>E395+K395</f>
        <v>0</v>
      </c>
    </row>
    <row r="396" spans="1:13" s="27" customFormat="1" ht="17.25" customHeight="1">
      <c r="A396" s="704" t="s">
        <v>82</v>
      </c>
      <c r="B396" s="848" t="s">
        <v>438</v>
      </c>
      <c r="C396" s="705"/>
      <c r="D396" s="705"/>
      <c r="E396" s="705">
        <f>(E384+E385+E386+E387+E388+E389+E390+E391+E392)-E395</f>
        <v>935506.50800000015</v>
      </c>
      <c r="F396" s="714"/>
      <c r="G396" s="704" t="s">
        <v>82</v>
      </c>
      <c r="H396" s="848" t="s">
        <v>438</v>
      </c>
      <c r="I396" s="705"/>
      <c r="J396" s="705"/>
      <c r="K396" s="705">
        <f>(K384+K385+K386+K387+K388+K389+K390+K391+K392)-K395</f>
        <v>966340.03200000012</v>
      </c>
      <c r="L396" s="707">
        <f>E396+K396</f>
        <v>1901846.5400000003</v>
      </c>
    </row>
    <row r="397" spans="1:13" s="27" customFormat="1" ht="17.25" customHeight="1">
      <c r="A397" s="710"/>
      <c r="B397" s="715"/>
      <c r="C397" s="716"/>
      <c r="D397" s="716"/>
      <c r="E397" s="714"/>
      <c r="F397" s="714"/>
      <c r="G397" s="710"/>
      <c r="H397" s="715"/>
      <c r="I397" s="716"/>
      <c r="J397" s="714"/>
      <c r="K397" s="708"/>
      <c r="L397" s="690"/>
    </row>
    <row r="398" spans="1:13" s="27" customFormat="1" ht="185.25" customHeight="1">
      <c r="A398" s="722"/>
      <c r="B398" s="713"/>
      <c r="C398" s="839"/>
      <c r="D398" s="839"/>
      <c r="E398" s="710"/>
      <c r="F398" s="710"/>
      <c r="G398" s="722"/>
      <c r="H398" s="713"/>
      <c r="I398" s="839"/>
      <c r="J398" s="710"/>
      <c r="K398" s="708"/>
      <c r="L398" s="690"/>
    </row>
    <row r="399" spans="1:13" s="27" customFormat="1" ht="17.25" customHeight="1">
      <c r="A399" s="1567" t="str">
        <f>G381</f>
        <v>LƯƠNG THÁNG 01/2025</v>
      </c>
      <c r="B399" s="1568"/>
      <c r="C399" s="1568"/>
      <c r="D399" s="1568"/>
      <c r="E399" s="766">
        <v>47</v>
      </c>
      <c r="F399" s="710"/>
      <c r="G399" s="1567" t="str">
        <f>A399</f>
        <v>LƯƠNG THÁNG 01/2025</v>
      </c>
      <c r="H399" s="1568"/>
      <c r="I399" s="1568"/>
      <c r="J399" s="1569"/>
      <c r="K399" s="766">
        <v>48</v>
      </c>
      <c r="L399" s="690"/>
    </row>
    <row r="400" spans="1:13" s="27" customFormat="1" ht="17.25" customHeight="1">
      <c r="A400" s="709" t="s">
        <v>15</v>
      </c>
      <c r="B400" s="840" t="str">
        <f>'CNKT '!D62</f>
        <v>N. Nu Ni</v>
      </c>
      <c r="C400" s="691"/>
      <c r="D400" s="838" t="s">
        <v>396</v>
      </c>
      <c r="E400" s="838" t="s">
        <v>18</v>
      </c>
      <c r="F400" s="710"/>
      <c r="G400" s="709" t="s">
        <v>15</v>
      </c>
      <c r="H400" s="840" t="str">
        <f>'CNKT '!D63</f>
        <v>T. Đi</v>
      </c>
      <c r="I400" s="691"/>
      <c r="J400" s="838" t="s">
        <v>396</v>
      </c>
      <c r="K400" s="838" t="s">
        <v>18</v>
      </c>
      <c r="L400" s="690"/>
    </row>
    <row r="401" spans="1:13" s="27" customFormat="1" ht="17.25" customHeight="1">
      <c r="A401" s="693" t="s">
        <v>397</v>
      </c>
      <c r="B401" s="842" t="s">
        <v>527</v>
      </c>
      <c r="C401" s="694">
        <f>VLOOKUP(B400,'BTH mủ tạp'!$D$17:$AN$94,36,0)</f>
        <v>1393.0002625524683</v>
      </c>
      <c r="D401" s="695"/>
      <c r="E401" s="695"/>
      <c r="F401" s="713"/>
      <c r="G401" s="693" t="s">
        <v>397</v>
      </c>
      <c r="H401" s="842" t="s">
        <v>527</v>
      </c>
      <c r="I401" s="694">
        <f>VLOOKUP(H400,'BTH mủ tạp'!$D$17:$AN$94,36,0)</f>
        <v>662.64892649383387</v>
      </c>
      <c r="J401" s="695"/>
      <c r="K401" s="695"/>
      <c r="L401" s="690"/>
    </row>
    <row r="402" spans="1:13" s="27" customFormat="1" ht="17.25" customHeight="1">
      <c r="A402" s="693" t="s">
        <v>77</v>
      </c>
      <c r="B402" s="843" t="s">
        <v>432</v>
      </c>
      <c r="C402" s="696">
        <f>VLOOKUP(B400,'CNKT '!$D$16:$AA$96,3,0)</f>
        <v>0</v>
      </c>
      <c r="D402" s="697">
        <v>25000</v>
      </c>
      <c r="E402" s="695">
        <f>C402*D402</f>
        <v>0</v>
      </c>
      <c r="F402" s="713"/>
      <c r="G402" s="693" t="s">
        <v>77</v>
      </c>
      <c r="H402" s="843" t="s">
        <v>432</v>
      </c>
      <c r="I402" s="696">
        <f>VLOOKUP(H400,'CNKT '!$D$16:$AA$96,3,0)</f>
        <v>0</v>
      </c>
      <c r="J402" s="697">
        <v>25000</v>
      </c>
      <c r="K402" s="695">
        <f>I402*J402</f>
        <v>0</v>
      </c>
      <c r="L402" s="690"/>
    </row>
    <row r="403" spans="1:13" s="27" customFormat="1" ht="17.25" customHeight="1">
      <c r="A403" s="693" t="s">
        <v>307</v>
      </c>
      <c r="B403" s="844" t="s">
        <v>528</v>
      </c>
      <c r="C403" s="747">
        <f>VLOOKUP(B400,'CNKT '!$D$16:$AA$96,11,0)</f>
        <v>23</v>
      </c>
      <c r="D403" s="698">
        <f>46.1*$B$2</f>
        <v>30833.524000000001</v>
      </c>
      <c r="E403" s="695">
        <f t="shared" ref="E403:E407" si="46">C403*D403</f>
        <v>709171.05200000003</v>
      </c>
      <c r="F403" s="839"/>
      <c r="G403" s="693" t="s">
        <v>307</v>
      </c>
      <c r="H403" s="844" t="s">
        <v>528</v>
      </c>
      <c r="I403" s="747">
        <f>VLOOKUP(H400,'CNKT '!$D$16:$AA$96,11,0)</f>
        <v>16</v>
      </c>
      <c r="J403" s="698">
        <f>46.1*$B$2</f>
        <v>30833.524000000001</v>
      </c>
      <c r="K403" s="695">
        <f t="shared" ref="K403:K407" si="47">I403*J403</f>
        <v>493336.38400000002</v>
      </c>
      <c r="L403" s="690"/>
    </row>
    <row r="404" spans="1:13" s="27" customFormat="1" ht="17.25" customHeight="1">
      <c r="A404" s="693" t="s">
        <v>399</v>
      </c>
      <c r="B404" s="844" t="s">
        <v>529</v>
      </c>
      <c r="C404" s="747">
        <f>VLOOKUP(B400,'CNKT '!$D$16:$AA$96,12,0)</f>
        <v>5</v>
      </c>
      <c r="D404" s="697">
        <f>76.9*$B$2</f>
        <v>51433.796000000009</v>
      </c>
      <c r="E404" s="695">
        <f t="shared" si="46"/>
        <v>257168.98000000004</v>
      </c>
      <c r="F404" s="714"/>
      <c r="G404" s="693" t="s">
        <v>399</v>
      </c>
      <c r="H404" s="844" t="s">
        <v>529</v>
      </c>
      <c r="I404" s="747">
        <f>VLOOKUP(H400,'CNKT '!$D$16:$AA$96,12,0)</f>
        <v>4</v>
      </c>
      <c r="J404" s="697">
        <f>76.9*$B$2</f>
        <v>51433.796000000009</v>
      </c>
      <c r="K404" s="695">
        <f t="shared" si="47"/>
        <v>205735.18400000004</v>
      </c>
      <c r="L404" s="690"/>
    </row>
    <row r="405" spans="1:13" s="27" customFormat="1" ht="17.25" customHeight="1">
      <c r="A405" s="693" t="s">
        <v>78</v>
      </c>
      <c r="B405" s="844" t="s">
        <v>530</v>
      </c>
      <c r="C405" s="747">
        <f>VLOOKUP(B400,'CNKT '!$D$16:$AA$96,8,0)</f>
        <v>1393.0002625524685</v>
      </c>
      <c r="D405" s="697">
        <f>IF(C401="A",6.1,IF(C401="B",5.8,IF(C401="C",5.5,IF(C401="C.",5.5,IF(C401="D",5.2)))))*$B$2</f>
        <v>0</v>
      </c>
      <c r="E405" s="695">
        <f t="shared" si="46"/>
        <v>0</v>
      </c>
      <c r="F405" s="714"/>
      <c r="G405" s="693" t="s">
        <v>78</v>
      </c>
      <c r="H405" s="844" t="s">
        <v>530</v>
      </c>
      <c r="I405" s="747">
        <f>VLOOKUP(H400,'CNKT '!$D$16:$AA$96,8,0)</f>
        <v>662.6489264938341</v>
      </c>
      <c r="J405" s="697">
        <f>IF(I401="A",6.1,IF(I401="B",5.8,IF(I401="C",5.5,IF(I401="C.",5.5,IF(I401="D",5.2)))))*$B$2</f>
        <v>0</v>
      </c>
      <c r="K405" s="695">
        <f t="shared" si="47"/>
        <v>0</v>
      </c>
      <c r="L405" s="690"/>
    </row>
    <row r="406" spans="1:13" s="27" customFormat="1" ht="17.25" customHeight="1">
      <c r="A406" s="693" t="s">
        <v>491</v>
      </c>
      <c r="B406" s="844" t="s">
        <v>531</v>
      </c>
      <c r="C406" s="747">
        <f>VLOOKUP(B400,'CNKT '!$D$16:$AA$96,15,0)</f>
        <v>0</v>
      </c>
      <c r="D406" s="698">
        <f>92.2*$B$2</f>
        <v>61667.048000000003</v>
      </c>
      <c r="E406" s="695">
        <f t="shared" si="46"/>
        <v>0</v>
      </c>
      <c r="F406" s="714"/>
      <c r="G406" s="693" t="s">
        <v>491</v>
      </c>
      <c r="H406" s="844" t="s">
        <v>531</v>
      </c>
      <c r="I406" s="747">
        <f>VLOOKUP(H400,'CNKT '!$D$16:$AA$96,15,0)</f>
        <v>0</v>
      </c>
      <c r="J406" s="698">
        <f>92.2*$B$2</f>
        <v>61667.048000000003</v>
      </c>
      <c r="K406" s="695">
        <f t="shared" si="47"/>
        <v>0</v>
      </c>
      <c r="L406" s="690"/>
    </row>
    <row r="407" spans="1:13" s="27" customFormat="1" ht="17.25" customHeight="1">
      <c r="A407" s="693" t="s">
        <v>492</v>
      </c>
      <c r="B407" s="844" t="s">
        <v>496</v>
      </c>
      <c r="C407" s="747">
        <f>VLOOKUP(B400,'CNKT '!$D$16:$AA$96,16,0)</f>
        <v>0</v>
      </c>
      <c r="D407" s="697">
        <f>153.8*$B$2</f>
        <v>102867.59200000002</v>
      </c>
      <c r="E407" s="695">
        <f t="shared" si="46"/>
        <v>0</v>
      </c>
      <c r="F407" s="714"/>
      <c r="G407" s="693" t="s">
        <v>492</v>
      </c>
      <c r="H407" s="844" t="s">
        <v>496</v>
      </c>
      <c r="I407" s="747">
        <f>VLOOKUP(H400,'CNKT '!$D$16:$AA$96,16,0)</f>
        <v>0</v>
      </c>
      <c r="J407" s="697">
        <f>153.8*$B$2</f>
        <v>102867.59200000002</v>
      </c>
      <c r="K407" s="695">
        <f t="shared" si="47"/>
        <v>0</v>
      </c>
      <c r="L407" s="690"/>
    </row>
    <row r="408" spans="1:13" s="27" customFormat="1" ht="17.25" customHeight="1">
      <c r="A408" s="693" t="s">
        <v>453</v>
      </c>
      <c r="B408" s="844" t="s">
        <v>497</v>
      </c>
      <c r="C408" s="747">
        <f>VLOOKUP(B400,'CNKT '!$D$16:$AA$96,18,0)</f>
        <v>0</v>
      </c>
      <c r="D408" s="697">
        <v>10000</v>
      </c>
      <c r="E408" s="695">
        <f>C408*D408</f>
        <v>0</v>
      </c>
      <c r="F408" s="714"/>
      <c r="G408" s="693" t="s">
        <v>453</v>
      </c>
      <c r="H408" s="844" t="s">
        <v>497</v>
      </c>
      <c r="I408" s="747">
        <f>VLOOKUP(H400,'CNKT '!$D$16:$AA$96,18,0)</f>
        <v>0</v>
      </c>
      <c r="J408" s="697">
        <v>10000</v>
      </c>
      <c r="K408" s="695">
        <f>I408*J408</f>
        <v>0</v>
      </c>
      <c r="L408" s="690"/>
    </row>
    <row r="409" spans="1:13" s="27" customFormat="1" ht="17.25" customHeight="1">
      <c r="A409" s="693" t="s">
        <v>453</v>
      </c>
      <c r="B409" s="844" t="s">
        <v>497</v>
      </c>
      <c r="C409" s="747">
        <f>VLOOKUP(B400,'CNKT '!$D$16:$AA$96,19,0)</f>
        <v>0</v>
      </c>
      <c r="D409" s="697">
        <v>20000</v>
      </c>
      <c r="E409" s="695">
        <f>C409*D409</f>
        <v>0</v>
      </c>
      <c r="F409" s="714"/>
      <c r="G409" s="693" t="s">
        <v>453</v>
      </c>
      <c r="H409" s="844" t="s">
        <v>497</v>
      </c>
      <c r="I409" s="747">
        <f>VLOOKUP(H400,'CNKT '!$D$16:$AA$96,19,0)</f>
        <v>0</v>
      </c>
      <c r="J409" s="697">
        <v>20000</v>
      </c>
      <c r="K409" s="695">
        <f>I409*J409</f>
        <v>0</v>
      </c>
      <c r="L409" s="690"/>
    </row>
    <row r="410" spans="1:13" s="27" customFormat="1" ht="17.25" customHeight="1">
      <c r="A410" s="693" t="s">
        <v>512</v>
      </c>
      <c r="B410" s="844" t="s">
        <v>513</v>
      </c>
      <c r="C410" s="747"/>
      <c r="D410" s="697"/>
      <c r="E410" s="695"/>
      <c r="F410" s="714"/>
      <c r="G410" s="693" t="s">
        <v>512</v>
      </c>
      <c r="H410" s="844" t="s">
        <v>513</v>
      </c>
      <c r="I410" s="747"/>
      <c r="J410" s="697"/>
      <c r="K410" s="695"/>
      <c r="L410" s="690"/>
    </row>
    <row r="411" spans="1:13" s="27" customFormat="1" ht="17.25" customHeight="1">
      <c r="A411" s="699" t="s">
        <v>79</v>
      </c>
      <c r="B411" s="845" t="s">
        <v>532</v>
      </c>
      <c r="C411" s="700"/>
      <c r="D411" s="701"/>
      <c r="E411" s="700"/>
      <c r="F411" s="839"/>
      <c r="G411" s="699" t="s">
        <v>79</v>
      </c>
      <c r="H411" s="845" t="s">
        <v>532</v>
      </c>
      <c r="I411" s="700"/>
      <c r="J411" s="701"/>
      <c r="K411" s="700"/>
      <c r="L411" s="690"/>
    </row>
    <row r="412" spans="1:13" s="27" customFormat="1" ht="17.25" customHeight="1">
      <c r="A412" s="702" t="s">
        <v>80</v>
      </c>
      <c r="B412" s="846" t="s">
        <v>533</v>
      </c>
      <c r="C412" s="700"/>
      <c r="D412" s="700"/>
      <c r="E412" s="700"/>
      <c r="F412" s="710"/>
      <c r="G412" s="702" t="s">
        <v>80</v>
      </c>
      <c r="H412" s="846" t="s">
        <v>533</v>
      </c>
      <c r="I412" s="700"/>
      <c r="J412" s="700"/>
      <c r="K412" s="700"/>
      <c r="L412" s="690"/>
    </row>
    <row r="413" spans="1:13" s="27" customFormat="1" ht="17.25" customHeight="1">
      <c r="A413" s="702" t="s">
        <v>81</v>
      </c>
      <c r="B413" s="847" t="s">
        <v>534</v>
      </c>
      <c r="C413" s="700"/>
      <c r="D413" s="700"/>
      <c r="E413" s="695">
        <f>SUM(E412)</f>
        <v>0</v>
      </c>
      <c r="F413" s="710"/>
      <c r="G413" s="702" t="s">
        <v>81</v>
      </c>
      <c r="H413" s="847" t="s">
        <v>534</v>
      </c>
      <c r="I413" s="700"/>
      <c r="J413" s="700"/>
      <c r="K413" s="695">
        <f>SUM(K412)</f>
        <v>0</v>
      </c>
      <c r="L413" s="690"/>
      <c r="M413" s="703">
        <f>E413+K413</f>
        <v>0</v>
      </c>
    </row>
    <row r="414" spans="1:13" s="27" customFormat="1" ht="17.25" customHeight="1">
      <c r="A414" s="704" t="s">
        <v>82</v>
      </c>
      <c r="B414" s="848" t="s">
        <v>438</v>
      </c>
      <c r="C414" s="705"/>
      <c r="D414" s="705"/>
      <c r="E414" s="705">
        <f>(E402+E403+E404+E405+E406+E407+E408+E409+E410)-E413</f>
        <v>966340.03200000012</v>
      </c>
      <c r="F414" s="710"/>
      <c r="G414" s="704" t="s">
        <v>82</v>
      </c>
      <c r="H414" s="848" t="s">
        <v>438</v>
      </c>
      <c r="I414" s="705"/>
      <c r="J414" s="705"/>
      <c r="K414" s="705">
        <f>(K402+K403+K404+K405+K406+K407+K408+K409+K410)-K413</f>
        <v>699071.56800000009</v>
      </c>
      <c r="L414" s="707">
        <f>E414+K414</f>
        <v>1665411.6</v>
      </c>
    </row>
    <row r="415" spans="1:13" s="27" customFormat="1" ht="17.25" customHeight="1">
      <c r="A415" s="710"/>
      <c r="B415" s="715"/>
      <c r="C415" s="716"/>
      <c r="D415" s="716"/>
      <c r="E415" s="714"/>
      <c r="F415" s="710"/>
      <c r="G415" s="710"/>
      <c r="H415" s="715"/>
      <c r="I415" s="716"/>
      <c r="J415" s="714"/>
      <c r="K415" s="708"/>
      <c r="L415" s="690"/>
    </row>
    <row r="416" spans="1:13" s="27" customFormat="1" ht="17.25" customHeight="1">
      <c r="A416" s="1567" t="str">
        <f>G399</f>
        <v>LƯƠNG THÁNG 01/2025</v>
      </c>
      <c r="B416" s="1568"/>
      <c r="C416" s="1568"/>
      <c r="D416" s="1568"/>
      <c r="E416" s="766">
        <v>49</v>
      </c>
      <c r="F416" s="839"/>
      <c r="G416" s="1567" t="str">
        <f>A416</f>
        <v>LƯƠNG THÁNG 01/2025</v>
      </c>
      <c r="H416" s="1568"/>
      <c r="I416" s="1568"/>
      <c r="J416" s="1569"/>
      <c r="K416" s="766">
        <v>50</v>
      </c>
      <c r="L416" s="690"/>
    </row>
    <row r="417" spans="1:13" s="27" customFormat="1" ht="17.25" customHeight="1">
      <c r="A417" s="709" t="s">
        <v>15</v>
      </c>
      <c r="B417" s="840" t="str">
        <f>'CNKT '!D64</f>
        <v>N. On Xi</v>
      </c>
      <c r="C417" s="691"/>
      <c r="D417" s="838" t="s">
        <v>396</v>
      </c>
      <c r="E417" s="838" t="s">
        <v>18</v>
      </c>
      <c r="F417" s="714"/>
      <c r="G417" s="709" t="s">
        <v>15</v>
      </c>
      <c r="H417" s="840" t="str">
        <f>'CNKT '!D65</f>
        <v>N. Thông La</v>
      </c>
      <c r="I417" s="691"/>
      <c r="J417" s="838" t="s">
        <v>396</v>
      </c>
      <c r="K417" s="838" t="s">
        <v>18</v>
      </c>
      <c r="L417" s="690"/>
    </row>
    <row r="418" spans="1:13" s="27" customFormat="1" ht="17.25" customHeight="1">
      <c r="A418" s="693" t="s">
        <v>397</v>
      </c>
      <c r="B418" s="842" t="s">
        <v>527</v>
      </c>
      <c r="C418" s="694">
        <f>VLOOKUP(B417,'BTH mủ tạp'!$D$17:$AN$94,36,0)</f>
        <v>890.33305729052563</v>
      </c>
      <c r="D418" s="695"/>
      <c r="E418" s="695"/>
      <c r="F418" s="714"/>
      <c r="G418" s="693" t="s">
        <v>397</v>
      </c>
      <c r="H418" s="842" t="s">
        <v>527</v>
      </c>
      <c r="I418" s="694">
        <f>VLOOKUP(H417,'BTH mủ tạp'!$D$17:$AN$94,36,0)</f>
        <v>1154.6506836736505</v>
      </c>
      <c r="J418" s="695"/>
      <c r="K418" s="695"/>
      <c r="L418" s="690"/>
    </row>
    <row r="419" spans="1:13" s="27" customFormat="1" ht="17.25" customHeight="1">
      <c r="A419" s="693" t="s">
        <v>77</v>
      </c>
      <c r="B419" s="843" t="s">
        <v>432</v>
      </c>
      <c r="C419" s="696">
        <f>VLOOKUP(B417,'CNKT '!$D$16:$AA$96,3,0)</f>
        <v>0</v>
      </c>
      <c r="D419" s="697">
        <v>25000</v>
      </c>
      <c r="E419" s="695">
        <f>C419*D419</f>
        <v>0</v>
      </c>
      <c r="F419" s="714"/>
      <c r="G419" s="693" t="s">
        <v>77</v>
      </c>
      <c r="H419" s="843" t="s">
        <v>432</v>
      </c>
      <c r="I419" s="696">
        <f>VLOOKUP(H417,'CNKT '!$D$16:$AA$96,3,0)</f>
        <v>0</v>
      </c>
      <c r="J419" s="697">
        <v>25000</v>
      </c>
      <c r="K419" s="695">
        <f>I419*J419</f>
        <v>0</v>
      </c>
      <c r="L419" s="690"/>
    </row>
    <row r="420" spans="1:13" s="27" customFormat="1" ht="17.25" customHeight="1">
      <c r="A420" s="693" t="s">
        <v>307</v>
      </c>
      <c r="B420" s="844" t="s">
        <v>528</v>
      </c>
      <c r="C420" s="747">
        <f>VLOOKUP(B417,'CNKT '!$D$16:$AA$96,11,0)</f>
        <v>21</v>
      </c>
      <c r="D420" s="698">
        <f>46.1*$B$2</f>
        <v>30833.524000000001</v>
      </c>
      <c r="E420" s="695">
        <f t="shared" ref="E420:E424" si="48">C420*D420</f>
        <v>647504.00400000007</v>
      </c>
      <c r="F420" s="714"/>
      <c r="G420" s="693" t="s">
        <v>307</v>
      </c>
      <c r="H420" s="844" t="s">
        <v>528</v>
      </c>
      <c r="I420" s="747">
        <f>VLOOKUP(H417,'CNKT '!$D$16:$AA$96,11,0)</f>
        <v>23</v>
      </c>
      <c r="J420" s="698">
        <f>46.1*$B$2</f>
        <v>30833.524000000001</v>
      </c>
      <c r="K420" s="695">
        <f t="shared" ref="K420:K424" si="49">I420*J420</f>
        <v>709171.05200000003</v>
      </c>
      <c r="L420" s="690"/>
    </row>
    <row r="421" spans="1:13" s="27" customFormat="1" ht="17.25" customHeight="1">
      <c r="A421" s="693" t="s">
        <v>399</v>
      </c>
      <c r="B421" s="844" t="s">
        <v>529</v>
      </c>
      <c r="C421" s="747">
        <f>VLOOKUP(B417,'CNKT '!$D$16:$AA$96,12,0)</f>
        <v>5</v>
      </c>
      <c r="D421" s="697">
        <f>76.9*$B$2</f>
        <v>51433.796000000009</v>
      </c>
      <c r="E421" s="695">
        <f t="shared" si="48"/>
        <v>257168.98000000004</v>
      </c>
      <c r="F421" s="714"/>
      <c r="G421" s="693" t="s">
        <v>399</v>
      </c>
      <c r="H421" s="844" t="s">
        <v>529</v>
      </c>
      <c r="I421" s="747">
        <f>VLOOKUP(H417,'CNKT '!$D$16:$AA$96,12,0)</f>
        <v>5</v>
      </c>
      <c r="J421" s="697">
        <f>76.9*$B$2</f>
        <v>51433.796000000009</v>
      </c>
      <c r="K421" s="695">
        <f t="shared" si="49"/>
        <v>257168.98000000004</v>
      </c>
      <c r="L421" s="690"/>
    </row>
    <row r="422" spans="1:13" s="27" customFormat="1" ht="17.25" customHeight="1">
      <c r="A422" s="693" t="s">
        <v>78</v>
      </c>
      <c r="B422" s="844" t="s">
        <v>530</v>
      </c>
      <c r="C422" s="747">
        <f>VLOOKUP(B417,'CNKT '!$D$16:$AA$96,8,0)</f>
        <v>890.33305729052586</v>
      </c>
      <c r="D422" s="697">
        <f>IF(C418="A",6.1,IF(C418="B",5.8,IF(C418="C",5.5,IF(C418="C.",5.5,IF(C418="D",5.2)))))*$B$2</f>
        <v>0</v>
      </c>
      <c r="E422" s="695">
        <f t="shared" si="48"/>
        <v>0</v>
      </c>
      <c r="F422" s="839"/>
      <c r="G422" s="693" t="s">
        <v>78</v>
      </c>
      <c r="H422" s="844" t="s">
        <v>530</v>
      </c>
      <c r="I422" s="747">
        <f>VLOOKUP(H417,'CNKT '!$D$16:$AA$96,8,0)</f>
        <v>1154.6506836736507</v>
      </c>
      <c r="J422" s="697">
        <f>IF(I418="A",6.1,IF(I418="B",5.8,IF(I418="C",5.5,IF(I418="C.",5.5,IF(I418="D",5.2)))))*$B$2</f>
        <v>0</v>
      </c>
      <c r="K422" s="695">
        <f t="shared" si="49"/>
        <v>0</v>
      </c>
      <c r="L422" s="690"/>
    </row>
    <row r="423" spans="1:13" s="27" customFormat="1" ht="17.25" customHeight="1">
      <c r="A423" s="693" t="s">
        <v>491</v>
      </c>
      <c r="B423" s="844" t="s">
        <v>531</v>
      </c>
      <c r="C423" s="747">
        <f>VLOOKUP(B417,'CNKT '!$D$16:$AA$96,15,0)</f>
        <v>0</v>
      </c>
      <c r="D423" s="698">
        <f>92.2*$B$2</f>
        <v>61667.048000000003</v>
      </c>
      <c r="E423" s="695">
        <f t="shared" si="48"/>
        <v>0</v>
      </c>
      <c r="F423" s="839"/>
      <c r="G423" s="693" t="s">
        <v>491</v>
      </c>
      <c r="H423" s="844" t="s">
        <v>531</v>
      </c>
      <c r="I423" s="747">
        <f>VLOOKUP(H417,'CNKT '!$D$16:$AA$96,15,0)</f>
        <v>0</v>
      </c>
      <c r="J423" s="698">
        <f>92.2*$B$2</f>
        <v>61667.048000000003</v>
      </c>
      <c r="K423" s="695">
        <f t="shared" si="49"/>
        <v>0</v>
      </c>
      <c r="L423" s="690"/>
    </row>
    <row r="424" spans="1:13" s="27" customFormat="1" ht="17.25" customHeight="1">
      <c r="A424" s="693" t="s">
        <v>492</v>
      </c>
      <c r="B424" s="844" t="s">
        <v>496</v>
      </c>
      <c r="C424" s="747">
        <f>VLOOKUP(B417,'CNKT '!$D$16:$AA$96,16,0)</f>
        <v>0</v>
      </c>
      <c r="D424" s="697">
        <f>153.8*$B$2</f>
        <v>102867.59200000002</v>
      </c>
      <c r="E424" s="695">
        <f t="shared" si="48"/>
        <v>0</v>
      </c>
      <c r="F424" s="839"/>
      <c r="G424" s="693" t="s">
        <v>492</v>
      </c>
      <c r="H424" s="844" t="s">
        <v>496</v>
      </c>
      <c r="I424" s="747">
        <f>VLOOKUP(H417,'CNKT '!$D$16:$AA$96,16,0)</f>
        <v>0</v>
      </c>
      <c r="J424" s="697">
        <f>153.8*$B$2</f>
        <v>102867.59200000002</v>
      </c>
      <c r="K424" s="695">
        <f t="shared" si="49"/>
        <v>0</v>
      </c>
      <c r="L424" s="690"/>
    </row>
    <row r="425" spans="1:13" s="27" customFormat="1" ht="17.25" customHeight="1">
      <c r="A425" s="693" t="s">
        <v>453</v>
      </c>
      <c r="B425" s="844" t="s">
        <v>497</v>
      </c>
      <c r="C425" s="747">
        <f>VLOOKUP(B417,'CNKT '!$D$16:$AA$96,18,0)</f>
        <v>0</v>
      </c>
      <c r="D425" s="697">
        <v>10000</v>
      </c>
      <c r="E425" s="695">
        <f>C425*D425</f>
        <v>0</v>
      </c>
      <c r="F425" s="839"/>
      <c r="G425" s="693" t="s">
        <v>453</v>
      </c>
      <c r="H425" s="844" t="s">
        <v>497</v>
      </c>
      <c r="I425" s="747">
        <f>VLOOKUP(H417,'CNKT '!$D$16:$AA$96,18,0)</f>
        <v>0</v>
      </c>
      <c r="J425" s="697">
        <v>10000</v>
      </c>
      <c r="K425" s="695">
        <f>I425*J425</f>
        <v>0</v>
      </c>
      <c r="L425" s="690"/>
    </row>
    <row r="426" spans="1:13" s="27" customFormat="1" ht="17.25" customHeight="1">
      <c r="A426" s="693" t="s">
        <v>453</v>
      </c>
      <c r="B426" s="844" t="s">
        <v>497</v>
      </c>
      <c r="C426" s="747">
        <f>VLOOKUP(B417,'CNKT '!$D$16:$AA$96,19,0)</f>
        <v>0</v>
      </c>
      <c r="D426" s="697">
        <v>20000</v>
      </c>
      <c r="E426" s="695">
        <f>C426*D426</f>
        <v>0</v>
      </c>
      <c r="F426" s="839"/>
      <c r="G426" s="693" t="s">
        <v>453</v>
      </c>
      <c r="H426" s="844" t="s">
        <v>497</v>
      </c>
      <c r="I426" s="747">
        <f>VLOOKUP(H417,'CNKT '!$D$16:$AA$96,19,0)</f>
        <v>0</v>
      </c>
      <c r="J426" s="697">
        <v>20000</v>
      </c>
      <c r="K426" s="695">
        <f>I426*J426</f>
        <v>0</v>
      </c>
      <c r="L426" s="690"/>
    </row>
    <row r="427" spans="1:13" s="27" customFormat="1" ht="17.25" customHeight="1">
      <c r="A427" s="693" t="s">
        <v>512</v>
      </c>
      <c r="B427" s="844" t="s">
        <v>513</v>
      </c>
      <c r="C427" s="747"/>
      <c r="D427" s="697"/>
      <c r="E427" s="695"/>
      <c r="F427" s="839"/>
      <c r="G427" s="693" t="s">
        <v>512</v>
      </c>
      <c r="H427" s="844" t="s">
        <v>513</v>
      </c>
      <c r="I427" s="747"/>
      <c r="J427" s="697"/>
      <c r="K427" s="695"/>
      <c r="L427" s="690"/>
    </row>
    <row r="428" spans="1:13" s="27" customFormat="1" ht="17.25" customHeight="1">
      <c r="A428" s="699" t="s">
        <v>79</v>
      </c>
      <c r="B428" s="845" t="s">
        <v>532</v>
      </c>
      <c r="C428" s="700"/>
      <c r="D428" s="701"/>
      <c r="E428" s="700"/>
      <c r="F428" s="710"/>
      <c r="G428" s="699" t="s">
        <v>79</v>
      </c>
      <c r="H428" s="845" t="s">
        <v>532</v>
      </c>
      <c r="I428" s="700"/>
      <c r="J428" s="701"/>
      <c r="K428" s="700"/>
      <c r="L428" s="690"/>
    </row>
    <row r="429" spans="1:13" s="27" customFormat="1" ht="17.25" customHeight="1">
      <c r="A429" s="702" t="s">
        <v>80</v>
      </c>
      <c r="B429" s="846" t="s">
        <v>533</v>
      </c>
      <c r="C429" s="700"/>
      <c r="D429" s="700"/>
      <c r="E429" s="700"/>
      <c r="F429" s="710"/>
      <c r="G429" s="702" t="s">
        <v>80</v>
      </c>
      <c r="H429" s="846" t="s">
        <v>533</v>
      </c>
      <c r="I429" s="700"/>
      <c r="J429" s="700"/>
      <c r="K429" s="700"/>
      <c r="L429" s="690"/>
    </row>
    <row r="430" spans="1:13" s="27" customFormat="1" ht="17.25" customHeight="1">
      <c r="A430" s="702" t="s">
        <v>81</v>
      </c>
      <c r="B430" s="847" t="s">
        <v>534</v>
      </c>
      <c r="C430" s="700"/>
      <c r="D430" s="700"/>
      <c r="E430" s="695">
        <f>SUM(E429)</f>
        <v>0</v>
      </c>
      <c r="F430" s="710"/>
      <c r="G430" s="702" t="s">
        <v>81</v>
      </c>
      <c r="H430" s="847" t="s">
        <v>534</v>
      </c>
      <c r="I430" s="700"/>
      <c r="J430" s="700"/>
      <c r="K430" s="695">
        <f>SUM(K429)</f>
        <v>0</v>
      </c>
      <c r="L430" s="690"/>
      <c r="M430" s="703">
        <f>E430+K430</f>
        <v>0</v>
      </c>
    </row>
    <row r="431" spans="1:13" s="27" customFormat="1" ht="17.25" customHeight="1">
      <c r="A431" s="704" t="s">
        <v>82</v>
      </c>
      <c r="B431" s="848" t="s">
        <v>438</v>
      </c>
      <c r="C431" s="705"/>
      <c r="D431" s="705"/>
      <c r="E431" s="705">
        <f>(E419+E420+E421+E422+E423+E424+E425+E426+E427)-E430</f>
        <v>904672.98400000017</v>
      </c>
      <c r="F431" s="710"/>
      <c r="G431" s="704" t="s">
        <v>82</v>
      </c>
      <c r="H431" s="848" t="s">
        <v>438</v>
      </c>
      <c r="I431" s="705"/>
      <c r="J431" s="705"/>
      <c r="K431" s="705">
        <f>(K419+K420+K421+K422+K423+K424+K425+K426+K427)-K430</f>
        <v>966340.03200000012</v>
      </c>
      <c r="L431" s="707">
        <f>E431+K431</f>
        <v>1871013.0160000003</v>
      </c>
    </row>
    <row r="432" spans="1:13" s="27" customFormat="1" ht="17.25" customHeight="1">
      <c r="A432" s="710"/>
      <c r="B432" s="715"/>
      <c r="C432" s="716"/>
      <c r="D432" s="716"/>
      <c r="E432" s="714"/>
      <c r="F432" s="710"/>
      <c r="G432" s="710"/>
      <c r="H432" s="715"/>
      <c r="I432" s="716"/>
      <c r="J432" s="714"/>
      <c r="K432" s="708"/>
      <c r="L432" s="690"/>
    </row>
    <row r="433" spans="1:13" s="27" customFormat="1" ht="17.25" customHeight="1">
      <c r="A433" s="1567" t="str">
        <f>G416</f>
        <v>LƯƠNG THÁNG 01/2025</v>
      </c>
      <c r="B433" s="1568"/>
      <c r="C433" s="1568"/>
      <c r="D433" s="1568"/>
      <c r="E433" s="766">
        <v>51</v>
      </c>
      <c r="F433" s="714"/>
      <c r="G433" s="1567" t="str">
        <f>A433</f>
        <v>LƯƠNG THÁNG 01/2025</v>
      </c>
      <c r="H433" s="1568"/>
      <c r="I433" s="1568"/>
      <c r="J433" s="1569"/>
      <c r="K433" s="766">
        <v>52</v>
      </c>
      <c r="L433" s="690"/>
    </row>
    <row r="434" spans="1:13" s="27" customFormat="1" ht="17.25" customHeight="1">
      <c r="A434" s="709" t="s">
        <v>15</v>
      </c>
      <c r="B434" s="840" t="str">
        <f>'CNKT '!D66</f>
        <v>T. Son Xay</v>
      </c>
      <c r="C434" s="691"/>
      <c r="D434" s="838" t="s">
        <v>396</v>
      </c>
      <c r="E434" s="838" t="s">
        <v>18</v>
      </c>
      <c r="F434" s="714"/>
      <c r="G434" s="709" t="s">
        <v>15</v>
      </c>
      <c r="H434" s="840" t="str">
        <f>'CNKT '!D67</f>
        <v>N. Lăm Phay</v>
      </c>
      <c r="I434" s="691"/>
      <c r="J434" s="838" t="s">
        <v>396</v>
      </c>
      <c r="K434" s="838" t="s">
        <v>18</v>
      </c>
      <c r="L434" s="690"/>
    </row>
    <row r="435" spans="1:13" s="27" customFormat="1" ht="17.25" customHeight="1">
      <c r="A435" s="693" t="s">
        <v>397</v>
      </c>
      <c r="B435" s="842" t="s">
        <v>527</v>
      </c>
      <c r="C435" s="694">
        <f>VLOOKUP(B434,'BTH mủ tạp'!$D$17:$AN$94,36,0)</f>
        <v>1192.6753246621001</v>
      </c>
      <c r="D435" s="695"/>
      <c r="E435" s="695"/>
      <c r="F435" s="714"/>
      <c r="G435" s="693" t="s">
        <v>397</v>
      </c>
      <c r="H435" s="842" t="s">
        <v>527</v>
      </c>
      <c r="I435" s="694">
        <f>VLOOKUP(H434,'BTH mủ tạp'!$D$17:$AN$94,36,0)</f>
        <v>1202.4133424762151</v>
      </c>
      <c r="J435" s="695"/>
      <c r="K435" s="695"/>
      <c r="L435" s="690"/>
    </row>
    <row r="436" spans="1:13" s="27" customFormat="1" ht="17.25" customHeight="1">
      <c r="A436" s="693" t="s">
        <v>77</v>
      </c>
      <c r="B436" s="843" t="s">
        <v>432</v>
      </c>
      <c r="C436" s="696">
        <f>VLOOKUP(B434,'CNKT '!$D$16:$AA$96,3,0)</f>
        <v>0</v>
      </c>
      <c r="D436" s="697">
        <v>25000</v>
      </c>
      <c r="E436" s="695">
        <f>C436*D436</f>
        <v>0</v>
      </c>
      <c r="F436" s="839"/>
      <c r="G436" s="693" t="s">
        <v>77</v>
      </c>
      <c r="H436" s="843" t="s">
        <v>432</v>
      </c>
      <c r="I436" s="696">
        <f>VLOOKUP(H434,'CNKT '!$D$16:$AA$96,3,0)</f>
        <v>0</v>
      </c>
      <c r="J436" s="697">
        <v>25000</v>
      </c>
      <c r="K436" s="695">
        <f>I436*J436</f>
        <v>0</v>
      </c>
      <c r="L436" s="690"/>
    </row>
    <row r="437" spans="1:13" s="27" customFormat="1" ht="17.25" customHeight="1">
      <c r="A437" s="693" t="s">
        <v>307</v>
      </c>
      <c r="B437" s="844" t="s">
        <v>528</v>
      </c>
      <c r="C437" s="747">
        <f>VLOOKUP(B434,'CNKT '!$D$16:$AA$96,11,0)</f>
        <v>20</v>
      </c>
      <c r="D437" s="698">
        <f>46.1*$B$2</f>
        <v>30833.524000000001</v>
      </c>
      <c r="E437" s="695">
        <f t="shared" ref="E437:E441" si="50">C437*D437</f>
        <v>616670.48</v>
      </c>
      <c r="F437" s="710"/>
      <c r="G437" s="693" t="s">
        <v>307</v>
      </c>
      <c r="H437" s="844" t="s">
        <v>528</v>
      </c>
      <c r="I437" s="747">
        <f>VLOOKUP(H434,'CNKT '!$D$16:$AA$96,11,0)</f>
        <v>21</v>
      </c>
      <c r="J437" s="698">
        <f>46.1*$B$2</f>
        <v>30833.524000000001</v>
      </c>
      <c r="K437" s="695">
        <f t="shared" ref="K437:K441" si="51">I437*J437</f>
        <v>647504.00400000007</v>
      </c>
      <c r="L437" s="690"/>
    </row>
    <row r="438" spans="1:13" s="27" customFormat="1" ht="17.25" customHeight="1">
      <c r="A438" s="693" t="s">
        <v>399</v>
      </c>
      <c r="B438" s="844" t="s">
        <v>529</v>
      </c>
      <c r="C438" s="747">
        <f>VLOOKUP(B434,'CNKT '!$D$16:$AA$96,12,0)</f>
        <v>5</v>
      </c>
      <c r="D438" s="697">
        <f>76.9*$B$2</f>
        <v>51433.796000000009</v>
      </c>
      <c r="E438" s="695">
        <f t="shared" si="50"/>
        <v>257168.98000000004</v>
      </c>
      <c r="F438" s="710"/>
      <c r="G438" s="693" t="s">
        <v>399</v>
      </c>
      <c r="H438" s="844" t="s">
        <v>529</v>
      </c>
      <c r="I438" s="747">
        <f>VLOOKUP(H434,'CNKT '!$D$16:$AA$96,12,0)</f>
        <v>5</v>
      </c>
      <c r="J438" s="697">
        <f>76.9*$B$2</f>
        <v>51433.796000000009</v>
      </c>
      <c r="K438" s="695">
        <f t="shared" si="51"/>
        <v>257168.98000000004</v>
      </c>
      <c r="L438" s="690"/>
    </row>
    <row r="439" spans="1:13" s="27" customFormat="1" ht="17.25" customHeight="1">
      <c r="A439" s="693" t="s">
        <v>78</v>
      </c>
      <c r="B439" s="844" t="s">
        <v>530</v>
      </c>
      <c r="C439" s="747">
        <f>VLOOKUP(B434,'CNKT '!$D$16:$AA$96,8,0)</f>
        <v>1192.6753246621001</v>
      </c>
      <c r="D439" s="697">
        <f>IF(C435="A",6.1,IF(C435="B",5.8,IF(C435="C",5.5,IF(C435="C.",5.5,IF(C435="D",5.2)))))*$B$2</f>
        <v>0</v>
      </c>
      <c r="E439" s="695">
        <f t="shared" si="50"/>
        <v>0</v>
      </c>
      <c r="F439" s="710"/>
      <c r="G439" s="693" t="s">
        <v>78</v>
      </c>
      <c r="H439" s="844" t="s">
        <v>530</v>
      </c>
      <c r="I439" s="747">
        <f>VLOOKUP(H434,'CNKT '!$D$16:$AA$96,8,0)</f>
        <v>1202.4133424762153</v>
      </c>
      <c r="J439" s="697">
        <f>IF(I435="A",6.1,IF(I435="B",5.8,IF(I435="C",5.5,IF(I435="C.",5.5,IF(I435="D",5.2)))))*$B$2</f>
        <v>0</v>
      </c>
      <c r="K439" s="695">
        <f t="shared" si="51"/>
        <v>0</v>
      </c>
      <c r="L439" s="690"/>
    </row>
    <row r="440" spans="1:13" s="27" customFormat="1" ht="17.25" customHeight="1">
      <c r="A440" s="693" t="s">
        <v>491</v>
      </c>
      <c r="B440" s="844" t="s">
        <v>531</v>
      </c>
      <c r="C440" s="747">
        <f>VLOOKUP(B434,'CNKT '!$D$16:$AA$96,15,0)</f>
        <v>0</v>
      </c>
      <c r="D440" s="698">
        <f>92.2*$B$2</f>
        <v>61667.048000000003</v>
      </c>
      <c r="E440" s="695">
        <f t="shared" si="50"/>
        <v>0</v>
      </c>
      <c r="F440" s="710"/>
      <c r="G440" s="693" t="s">
        <v>491</v>
      </c>
      <c r="H440" s="844" t="s">
        <v>531</v>
      </c>
      <c r="I440" s="747">
        <f>VLOOKUP(H434,'CNKT '!$D$16:$AA$96,15,0)</f>
        <v>0</v>
      </c>
      <c r="J440" s="698">
        <f>92.2*$B$2</f>
        <v>61667.048000000003</v>
      </c>
      <c r="K440" s="695">
        <f t="shared" si="51"/>
        <v>0</v>
      </c>
      <c r="L440" s="690"/>
    </row>
    <row r="441" spans="1:13" s="27" customFormat="1" ht="17.25" customHeight="1">
      <c r="A441" s="693" t="s">
        <v>492</v>
      </c>
      <c r="B441" s="844" t="s">
        <v>496</v>
      </c>
      <c r="C441" s="747">
        <f>VLOOKUP(B434,'CNKT '!$D$16:$AA$96,16,0)</f>
        <v>0</v>
      </c>
      <c r="D441" s="697">
        <f>153.8*$B$2</f>
        <v>102867.59200000002</v>
      </c>
      <c r="E441" s="695">
        <f t="shared" si="50"/>
        <v>0</v>
      </c>
      <c r="F441" s="713"/>
      <c r="G441" s="693" t="s">
        <v>492</v>
      </c>
      <c r="H441" s="844" t="s">
        <v>496</v>
      </c>
      <c r="I441" s="747">
        <f>VLOOKUP(H434,'CNKT '!$D$16:$AA$96,16,0)</f>
        <v>0</v>
      </c>
      <c r="J441" s="697">
        <f>153.8*$B$2</f>
        <v>102867.59200000002</v>
      </c>
      <c r="K441" s="695">
        <f t="shared" si="51"/>
        <v>0</v>
      </c>
      <c r="L441" s="690"/>
    </row>
    <row r="442" spans="1:13" s="27" customFormat="1" ht="17.25" customHeight="1">
      <c r="A442" s="693" t="s">
        <v>453</v>
      </c>
      <c r="B442" s="844" t="s">
        <v>497</v>
      </c>
      <c r="C442" s="747">
        <f>VLOOKUP(B434,'CNKT '!$D$16:$AA$96,18,0)</f>
        <v>0</v>
      </c>
      <c r="D442" s="697">
        <v>10000</v>
      </c>
      <c r="E442" s="695">
        <f>C442*D442</f>
        <v>0</v>
      </c>
      <c r="F442" s="713"/>
      <c r="G442" s="693" t="s">
        <v>453</v>
      </c>
      <c r="H442" s="844" t="s">
        <v>497</v>
      </c>
      <c r="I442" s="747">
        <f>VLOOKUP(H434,'CNKT '!$D$16:$AA$96,18,0)</f>
        <v>0</v>
      </c>
      <c r="J442" s="697">
        <v>10000</v>
      </c>
      <c r="K442" s="695">
        <f>I442*J442</f>
        <v>0</v>
      </c>
      <c r="L442" s="690"/>
    </row>
    <row r="443" spans="1:13" s="27" customFormat="1" ht="17.25" customHeight="1">
      <c r="A443" s="693" t="s">
        <v>453</v>
      </c>
      <c r="B443" s="844" t="s">
        <v>497</v>
      </c>
      <c r="C443" s="747">
        <f>VLOOKUP(B434,'CNKT '!$D$16:$AA$96,19,0)</f>
        <v>0</v>
      </c>
      <c r="D443" s="697">
        <v>20000</v>
      </c>
      <c r="E443" s="695">
        <f>C443*D443</f>
        <v>0</v>
      </c>
      <c r="F443" s="713"/>
      <c r="G443" s="693" t="s">
        <v>453</v>
      </c>
      <c r="H443" s="844" t="s">
        <v>497</v>
      </c>
      <c r="I443" s="747">
        <f>VLOOKUP(H434,'CNKT '!$D$16:$AA$96,19,0)</f>
        <v>0</v>
      </c>
      <c r="J443" s="697">
        <v>20000</v>
      </c>
      <c r="K443" s="695">
        <f>I443*J443</f>
        <v>0</v>
      </c>
      <c r="L443" s="690"/>
    </row>
    <row r="444" spans="1:13" s="27" customFormat="1" ht="17.25" customHeight="1">
      <c r="A444" s="693" t="s">
        <v>512</v>
      </c>
      <c r="B444" s="844" t="s">
        <v>513</v>
      </c>
      <c r="C444" s="747"/>
      <c r="D444" s="697"/>
      <c r="E444" s="695"/>
      <c r="F444" s="713"/>
      <c r="G444" s="693" t="s">
        <v>512</v>
      </c>
      <c r="H444" s="844" t="s">
        <v>513</v>
      </c>
      <c r="I444" s="747"/>
      <c r="J444" s="697"/>
      <c r="K444" s="695"/>
      <c r="L444" s="690"/>
    </row>
    <row r="445" spans="1:13" s="27" customFormat="1" ht="17.25" customHeight="1">
      <c r="A445" s="699" t="s">
        <v>79</v>
      </c>
      <c r="B445" s="845" t="s">
        <v>532</v>
      </c>
      <c r="C445" s="700"/>
      <c r="D445" s="701"/>
      <c r="E445" s="700"/>
      <c r="F445" s="713"/>
      <c r="G445" s="699" t="s">
        <v>79</v>
      </c>
      <c r="H445" s="845" t="s">
        <v>532</v>
      </c>
      <c r="I445" s="700"/>
      <c r="J445" s="701"/>
      <c r="K445" s="700"/>
      <c r="L445" s="690"/>
    </row>
    <row r="446" spans="1:13" s="27" customFormat="1" ht="17.25" customHeight="1">
      <c r="A446" s="702" t="s">
        <v>80</v>
      </c>
      <c r="B446" s="846" t="s">
        <v>533</v>
      </c>
      <c r="C446" s="700"/>
      <c r="D446" s="700"/>
      <c r="E446" s="700"/>
      <c r="F446" s="713"/>
      <c r="G446" s="702" t="s">
        <v>80</v>
      </c>
      <c r="H446" s="846" t="s">
        <v>533</v>
      </c>
      <c r="I446" s="700"/>
      <c r="J446" s="700"/>
      <c r="K446" s="700"/>
      <c r="L446" s="707"/>
    </row>
    <row r="447" spans="1:13" s="27" customFormat="1" ht="17.25" customHeight="1">
      <c r="A447" s="702" t="s">
        <v>81</v>
      </c>
      <c r="B447" s="847" t="s">
        <v>534</v>
      </c>
      <c r="C447" s="700"/>
      <c r="D447" s="700"/>
      <c r="E447" s="695">
        <f>SUM(E446)</f>
        <v>0</v>
      </c>
      <c r="F447" s="713"/>
      <c r="G447" s="702" t="s">
        <v>81</v>
      </c>
      <c r="H447" s="847" t="s">
        <v>534</v>
      </c>
      <c r="I447" s="700"/>
      <c r="J447" s="700"/>
      <c r="K447" s="695">
        <f>SUM(K446)</f>
        <v>0</v>
      </c>
      <c r="L447" s="690"/>
      <c r="M447" s="703">
        <f>E447+K447</f>
        <v>0</v>
      </c>
    </row>
    <row r="448" spans="1:13" s="27" customFormat="1" ht="17.25" customHeight="1">
      <c r="A448" s="704" t="s">
        <v>82</v>
      </c>
      <c r="B448" s="848" t="s">
        <v>438</v>
      </c>
      <c r="C448" s="705"/>
      <c r="D448" s="705"/>
      <c r="E448" s="705">
        <f>(E436+E437+E438+E439+E440+E441+E442+E443+E444)-E447</f>
        <v>873839.46</v>
      </c>
      <c r="F448" s="839"/>
      <c r="G448" s="704" t="s">
        <v>82</v>
      </c>
      <c r="H448" s="848" t="s">
        <v>438</v>
      </c>
      <c r="I448" s="705"/>
      <c r="J448" s="705"/>
      <c r="K448" s="705">
        <f>(K436+K437+K438+K439+K440+K441+K442+K443+K444)-K447</f>
        <v>904672.98400000017</v>
      </c>
      <c r="L448" s="707">
        <f>E448+K448</f>
        <v>1778512.4440000001</v>
      </c>
    </row>
    <row r="449" spans="1:13" s="27" customFormat="1" ht="17.25" customHeight="1">
      <c r="A449" s="1567" t="str">
        <f>G433</f>
        <v>LƯƠNG THÁNG 01/2025</v>
      </c>
      <c r="B449" s="1568"/>
      <c r="C449" s="1568"/>
      <c r="D449" s="1568"/>
      <c r="E449" s="766">
        <v>53</v>
      </c>
      <c r="F449" s="714"/>
      <c r="G449" s="1567" t="str">
        <f>A449</f>
        <v>LƯƠNG THÁNG 01/2025</v>
      </c>
      <c r="H449" s="1568"/>
      <c r="I449" s="1568"/>
      <c r="J449" s="1569"/>
      <c r="K449" s="766">
        <v>54</v>
      </c>
      <c r="L449" s="690"/>
    </row>
    <row r="450" spans="1:13" s="27" customFormat="1" ht="17.25" customHeight="1">
      <c r="A450" s="709" t="s">
        <v>15</v>
      </c>
      <c r="B450" s="840" t="str">
        <f>'CNKT '!D68</f>
        <v>T. Nhung</v>
      </c>
      <c r="C450" s="691"/>
      <c r="D450" s="838" t="s">
        <v>396</v>
      </c>
      <c r="E450" s="838" t="s">
        <v>18</v>
      </c>
      <c r="F450" s="714"/>
      <c r="G450" s="709" t="s">
        <v>15</v>
      </c>
      <c r="H450" s="840" t="str">
        <f>'CNKT '!D69</f>
        <v>T. Khay Khăm</v>
      </c>
      <c r="I450" s="691"/>
      <c r="J450" s="838" t="s">
        <v>396</v>
      </c>
      <c r="K450" s="838" t="s">
        <v>18</v>
      </c>
      <c r="L450" s="690"/>
    </row>
    <row r="451" spans="1:13" s="27" customFormat="1" ht="17.25" customHeight="1">
      <c r="A451" s="693" t="s">
        <v>397</v>
      </c>
      <c r="B451" s="842" t="s">
        <v>527</v>
      </c>
      <c r="C451" s="694">
        <f>VLOOKUP(B450,'BTH mủ tạp'!$D$17:$AN$94,36,0)</f>
        <v>1255.27686775284</v>
      </c>
      <c r="D451" s="695"/>
      <c r="E451" s="695"/>
      <c r="F451" s="714"/>
      <c r="G451" s="693" t="s">
        <v>397</v>
      </c>
      <c r="H451" s="842" t="s">
        <v>527</v>
      </c>
      <c r="I451" s="694">
        <f>VLOOKUP(H450,'BTH mủ tạp'!$D$17:$AN$94,36,0)</f>
        <v>506.84064146799193</v>
      </c>
      <c r="J451" s="695"/>
      <c r="K451" s="695"/>
      <c r="L451" s="690"/>
    </row>
    <row r="452" spans="1:13" s="27" customFormat="1" ht="17.25" customHeight="1">
      <c r="A452" s="693" t="s">
        <v>77</v>
      </c>
      <c r="B452" s="843" t="s">
        <v>432</v>
      </c>
      <c r="C452" s="696">
        <f>VLOOKUP(B450,'CNKT '!$D$16:$AA$96,3,0)</f>
        <v>0</v>
      </c>
      <c r="D452" s="697">
        <v>25000</v>
      </c>
      <c r="E452" s="695">
        <f>C452*D452</f>
        <v>0</v>
      </c>
      <c r="F452" s="839"/>
      <c r="G452" s="693" t="s">
        <v>77</v>
      </c>
      <c r="H452" s="843" t="s">
        <v>432</v>
      </c>
      <c r="I452" s="696">
        <f>VLOOKUP(H450,'CNKT '!$D$16:$AA$96,3,0)</f>
        <v>0</v>
      </c>
      <c r="J452" s="697">
        <v>25000</v>
      </c>
      <c r="K452" s="695">
        <f>I452*J452</f>
        <v>0</v>
      </c>
      <c r="L452" s="690"/>
    </row>
    <row r="453" spans="1:13" s="27" customFormat="1" ht="17.25" customHeight="1">
      <c r="A453" s="693" t="s">
        <v>307</v>
      </c>
      <c r="B453" s="844" t="s">
        <v>528</v>
      </c>
      <c r="C453" s="747">
        <f>VLOOKUP(B450,'CNKT '!$D$16:$AA$96,11,0)</f>
        <v>22</v>
      </c>
      <c r="D453" s="698">
        <f>46.1*$B$2</f>
        <v>30833.524000000001</v>
      </c>
      <c r="E453" s="695">
        <f t="shared" ref="E453:E457" si="52">C453*D453</f>
        <v>678337.52800000005</v>
      </c>
      <c r="F453" s="710"/>
      <c r="G453" s="693" t="s">
        <v>307</v>
      </c>
      <c r="H453" s="844" t="s">
        <v>528</v>
      </c>
      <c r="I453" s="747">
        <f>VLOOKUP(H450,'CNKT '!$D$16:$AA$96,11,0)</f>
        <v>18</v>
      </c>
      <c r="J453" s="698">
        <f>46.1*$B$2</f>
        <v>30833.524000000001</v>
      </c>
      <c r="K453" s="695">
        <f t="shared" ref="K453:K457" si="53">I453*J453</f>
        <v>555003.43200000003</v>
      </c>
      <c r="L453" s="690"/>
    </row>
    <row r="454" spans="1:13" s="27" customFormat="1" ht="17.25" customHeight="1">
      <c r="A454" s="693" t="s">
        <v>399</v>
      </c>
      <c r="B454" s="844" t="s">
        <v>529</v>
      </c>
      <c r="C454" s="747">
        <f>VLOOKUP(B450,'CNKT '!$D$16:$AA$96,12,0)</f>
        <v>5</v>
      </c>
      <c r="D454" s="697">
        <f>76.9*$B$2</f>
        <v>51433.796000000009</v>
      </c>
      <c r="E454" s="695">
        <f t="shared" si="52"/>
        <v>257168.98000000004</v>
      </c>
      <c r="F454" s="710"/>
      <c r="G454" s="693" t="s">
        <v>399</v>
      </c>
      <c r="H454" s="844" t="s">
        <v>529</v>
      </c>
      <c r="I454" s="747">
        <f>VLOOKUP(H450,'CNKT '!$D$16:$AA$96,12,0)</f>
        <v>3</v>
      </c>
      <c r="J454" s="697">
        <f>76.9*$B$2</f>
        <v>51433.796000000009</v>
      </c>
      <c r="K454" s="695">
        <f t="shared" si="53"/>
        <v>154301.38800000004</v>
      </c>
      <c r="L454" s="690"/>
    </row>
    <row r="455" spans="1:13" s="27" customFormat="1" ht="17.25" customHeight="1">
      <c r="A455" s="693" t="s">
        <v>78</v>
      </c>
      <c r="B455" s="844" t="s">
        <v>530</v>
      </c>
      <c r="C455" s="747">
        <f>VLOOKUP(B450,'CNKT '!$D$16:$AA$96,8,0)</f>
        <v>1255.2768677528404</v>
      </c>
      <c r="D455" s="697">
        <f>IF(C451="A",6.1,IF(C451="B",5.8,IF(C451="C",5.5,IF(C451="C.",5.5,IF(C451="D",5.2)))))*$B$2</f>
        <v>0</v>
      </c>
      <c r="E455" s="695">
        <f t="shared" si="52"/>
        <v>0</v>
      </c>
      <c r="F455" s="710"/>
      <c r="G455" s="693" t="s">
        <v>78</v>
      </c>
      <c r="H455" s="844" t="s">
        <v>530</v>
      </c>
      <c r="I455" s="747">
        <f>VLOOKUP(H450,'CNKT '!$D$16:$AA$96,8,0)</f>
        <v>506.84064146799204</v>
      </c>
      <c r="J455" s="697">
        <f>IF(I451="A",6.1,IF(I451="B",5.8,IF(I451="C",5.5,IF(I451="C.",5.5,IF(I451="D",5.2)))))*$B$2</f>
        <v>0</v>
      </c>
      <c r="K455" s="695">
        <f t="shared" si="53"/>
        <v>0</v>
      </c>
      <c r="L455" s="690"/>
    </row>
    <row r="456" spans="1:13" s="27" customFormat="1" ht="17.25" customHeight="1">
      <c r="A456" s="693" t="s">
        <v>491</v>
      </c>
      <c r="B456" s="844" t="s">
        <v>531</v>
      </c>
      <c r="C456" s="747">
        <f>VLOOKUP(B450,'CNKT '!$D$16:$AA$96,15,0)</f>
        <v>0</v>
      </c>
      <c r="D456" s="698">
        <f>92.2*$B$2</f>
        <v>61667.048000000003</v>
      </c>
      <c r="E456" s="695">
        <f t="shared" si="52"/>
        <v>0</v>
      </c>
      <c r="F456" s="710"/>
      <c r="G456" s="693" t="s">
        <v>491</v>
      </c>
      <c r="H456" s="844" t="s">
        <v>531</v>
      </c>
      <c r="I456" s="747">
        <f>VLOOKUP(H450,'CNKT '!$D$16:$AA$96,15,0)</f>
        <v>0</v>
      </c>
      <c r="J456" s="698">
        <f>92.2*$B$2</f>
        <v>61667.048000000003</v>
      </c>
      <c r="K456" s="695">
        <f t="shared" si="53"/>
        <v>0</v>
      </c>
      <c r="L456" s="690"/>
    </row>
    <row r="457" spans="1:13" s="27" customFormat="1" ht="17.25" customHeight="1">
      <c r="A457" s="693" t="s">
        <v>492</v>
      </c>
      <c r="B457" s="844" t="s">
        <v>496</v>
      </c>
      <c r="C457" s="747">
        <f>VLOOKUP(B450,'CNKT '!$D$16:$AA$96,16,0)</f>
        <v>0</v>
      </c>
      <c r="D457" s="697">
        <f>153.8*$B$2</f>
        <v>102867.59200000002</v>
      </c>
      <c r="E457" s="695">
        <f t="shared" si="52"/>
        <v>0</v>
      </c>
      <c r="F457" s="710"/>
      <c r="G457" s="693" t="s">
        <v>492</v>
      </c>
      <c r="H457" s="844" t="s">
        <v>496</v>
      </c>
      <c r="I457" s="747">
        <f>VLOOKUP(H450,'CNKT '!$D$16:$AA$96,16,0)</f>
        <v>0</v>
      </c>
      <c r="J457" s="697">
        <f>153.8*$B$2</f>
        <v>102867.59200000002</v>
      </c>
      <c r="K457" s="695">
        <f t="shared" si="53"/>
        <v>0</v>
      </c>
      <c r="L457" s="690"/>
    </row>
    <row r="458" spans="1:13" s="27" customFormat="1" ht="17.25" customHeight="1">
      <c r="A458" s="693" t="s">
        <v>453</v>
      </c>
      <c r="B458" s="844" t="s">
        <v>497</v>
      </c>
      <c r="C458" s="747">
        <f>VLOOKUP(B450,'CNKT '!$D$16:$AA$96,18,0)</f>
        <v>0</v>
      </c>
      <c r="D458" s="697">
        <v>10000</v>
      </c>
      <c r="E458" s="695">
        <f>C458*D458</f>
        <v>0</v>
      </c>
      <c r="F458" s="710"/>
      <c r="G458" s="693" t="s">
        <v>453</v>
      </c>
      <c r="H458" s="844" t="s">
        <v>497</v>
      </c>
      <c r="I458" s="747">
        <f>VLOOKUP(H450,'CNKT '!$D$16:$AA$96,18,0)</f>
        <v>0</v>
      </c>
      <c r="J458" s="697">
        <v>10000</v>
      </c>
      <c r="K458" s="695">
        <f>I458*J458</f>
        <v>0</v>
      </c>
      <c r="L458" s="690"/>
    </row>
    <row r="459" spans="1:13" s="27" customFormat="1" ht="17.25" customHeight="1">
      <c r="A459" s="693" t="s">
        <v>453</v>
      </c>
      <c r="B459" s="844" t="s">
        <v>497</v>
      </c>
      <c r="C459" s="747">
        <f>VLOOKUP(B450,'CNKT '!$D$16:$AA$96,19,0)</f>
        <v>0</v>
      </c>
      <c r="D459" s="697">
        <v>20000</v>
      </c>
      <c r="E459" s="695">
        <f>C459*D459</f>
        <v>0</v>
      </c>
      <c r="F459" s="710"/>
      <c r="G459" s="693" t="s">
        <v>453</v>
      </c>
      <c r="H459" s="844" t="s">
        <v>497</v>
      </c>
      <c r="I459" s="747">
        <f>VLOOKUP(H450,'CNKT '!$D$16:$AA$96,19,0)</f>
        <v>0</v>
      </c>
      <c r="J459" s="697">
        <v>20000</v>
      </c>
      <c r="K459" s="695">
        <f>I459*J459</f>
        <v>0</v>
      </c>
      <c r="L459" s="690"/>
    </row>
    <row r="460" spans="1:13" s="27" customFormat="1" ht="17.25" customHeight="1">
      <c r="A460" s="693" t="s">
        <v>512</v>
      </c>
      <c r="B460" s="844" t="s">
        <v>513</v>
      </c>
      <c r="C460" s="747"/>
      <c r="D460" s="697"/>
      <c r="E460" s="695"/>
      <c r="F460" s="710"/>
      <c r="G460" s="693" t="s">
        <v>512</v>
      </c>
      <c r="H460" s="844" t="s">
        <v>513</v>
      </c>
      <c r="I460" s="747"/>
      <c r="J460" s="697"/>
      <c r="K460" s="695"/>
      <c r="L460" s="690"/>
    </row>
    <row r="461" spans="1:13" s="27" customFormat="1" ht="17.25" customHeight="1">
      <c r="A461" s="699" t="s">
        <v>79</v>
      </c>
      <c r="B461" s="845" t="s">
        <v>532</v>
      </c>
      <c r="C461" s="700"/>
      <c r="D461" s="701"/>
      <c r="E461" s="700"/>
      <c r="F461" s="710"/>
      <c r="G461" s="699" t="s">
        <v>79</v>
      </c>
      <c r="H461" s="845" t="s">
        <v>532</v>
      </c>
      <c r="I461" s="700"/>
      <c r="J461" s="701"/>
      <c r="K461" s="700"/>
      <c r="L461" s="690"/>
    </row>
    <row r="462" spans="1:13" s="27" customFormat="1" ht="17.25" customHeight="1">
      <c r="A462" s="702" t="s">
        <v>80</v>
      </c>
      <c r="B462" s="846" t="s">
        <v>533</v>
      </c>
      <c r="C462" s="700"/>
      <c r="D462" s="700"/>
      <c r="E462" s="700"/>
      <c r="F462" s="713"/>
      <c r="G462" s="702" t="s">
        <v>80</v>
      </c>
      <c r="H462" s="846" t="s">
        <v>533</v>
      </c>
      <c r="I462" s="700"/>
      <c r="J462" s="700"/>
      <c r="K462" s="700"/>
      <c r="L462" s="690"/>
    </row>
    <row r="463" spans="1:13" s="27" customFormat="1" ht="17.25" customHeight="1">
      <c r="A463" s="702" t="s">
        <v>81</v>
      </c>
      <c r="B463" s="847" t="s">
        <v>534</v>
      </c>
      <c r="C463" s="700"/>
      <c r="D463" s="700"/>
      <c r="E463" s="695">
        <f>SUM(E462)</f>
        <v>0</v>
      </c>
      <c r="F463" s="713"/>
      <c r="G463" s="702" t="s">
        <v>81</v>
      </c>
      <c r="H463" s="847" t="s">
        <v>534</v>
      </c>
      <c r="I463" s="700"/>
      <c r="J463" s="700"/>
      <c r="K463" s="695">
        <f>SUM(K462)</f>
        <v>0</v>
      </c>
      <c r="L463" s="690"/>
      <c r="M463" s="703">
        <f>E463+K463</f>
        <v>0</v>
      </c>
    </row>
    <row r="464" spans="1:13" s="27" customFormat="1" ht="17.25" customHeight="1">
      <c r="A464" s="704" t="s">
        <v>82</v>
      </c>
      <c r="B464" s="848" t="s">
        <v>438</v>
      </c>
      <c r="C464" s="705"/>
      <c r="D464" s="705"/>
      <c r="E464" s="705">
        <f>(E452+E453+E454+E455+E456+E457+E458+E459+E460)-E463</f>
        <v>935506.50800000015</v>
      </c>
      <c r="F464" s="713"/>
      <c r="G464" s="704" t="s">
        <v>82</v>
      </c>
      <c r="H464" s="848" t="s">
        <v>438</v>
      </c>
      <c r="I464" s="705"/>
      <c r="J464" s="705"/>
      <c r="K464" s="705">
        <f>(K452+K453+K454+K455+K456+K457+K458+K459+K460)-K463</f>
        <v>709304.82000000007</v>
      </c>
      <c r="L464" s="707">
        <f>E464+K464</f>
        <v>1644811.3280000002</v>
      </c>
    </row>
    <row r="465" spans="1:12" s="27" customFormat="1" ht="2.25" customHeight="1">
      <c r="A465" s="710"/>
      <c r="B465" s="715"/>
      <c r="C465" s="716"/>
      <c r="D465" s="716"/>
      <c r="E465" s="714"/>
      <c r="F465" s="713"/>
      <c r="G465" s="710"/>
      <c r="H465" s="715"/>
      <c r="I465" s="716"/>
      <c r="J465" s="714"/>
      <c r="K465" s="724"/>
      <c r="L465" s="690"/>
    </row>
    <row r="466" spans="1:12" s="27" customFormat="1" ht="5.25" customHeight="1">
      <c r="A466" s="722"/>
      <c r="B466" s="713"/>
      <c r="C466" s="839"/>
      <c r="D466" s="839"/>
      <c r="E466" s="710"/>
      <c r="F466" s="839"/>
      <c r="G466" s="722"/>
      <c r="H466" s="713"/>
      <c r="I466" s="839"/>
      <c r="J466" s="710"/>
      <c r="K466" s="724"/>
      <c r="L466" s="690"/>
    </row>
    <row r="467" spans="1:12" s="27" customFormat="1" ht="17.25" customHeight="1">
      <c r="A467" s="1567" t="str">
        <f>G433</f>
        <v>LƯƠNG THÁNG 01/2025</v>
      </c>
      <c r="B467" s="1568"/>
      <c r="C467" s="1568"/>
      <c r="D467" s="1568"/>
      <c r="E467" s="766">
        <v>55</v>
      </c>
      <c r="F467" s="710"/>
      <c r="G467" s="1567" t="str">
        <f>A467</f>
        <v>LƯƠNG THÁNG 01/2025</v>
      </c>
      <c r="H467" s="1568"/>
      <c r="I467" s="1568"/>
      <c r="J467" s="1569"/>
      <c r="K467" s="766">
        <v>56</v>
      </c>
      <c r="L467" s="690"/>
    </row>
    <row r="468" spans="1:12" s="27" customFormat="1" ht="17.25" customHeight="1">
      <c r="A468" s="709" t="s">
        <v>15</v>
      </c>
      <c r="B468" s="840" t="str">
        <f>'CNKT '!D70</f>
        <v>N. Khay Chăn</v>
      </c>
      <c r="C468" s="691"/>
      <c r="D468" s="838" t="s">
        <v>396</v>
      </c>
      <c r="E468" s="838" t="s">
        <v>18</v>
      </c>
      <c r="F468" s="710"/>
      <c r="G468" s="709" t="s">
        <v>15</v>
      </c>
      <c r="H468" s="840" t="str">
        <f>'CNKT '!D71</f>
        <v>T Dăn</v>
      </c>
      <c r="I468" s="691"/>
      <c r="J468" s="838" t="s">
        <v>396</v>
      </c>
      <c r="K468" s="838" t="s">
        <v>18</v>
      </c>
      <c r="L468" s="690"/>
    </row>
    <row r="469" spans="1:12" s="27" customFormat="1" ht="17.25" customHeight="1">
      <c r="A469" s="693" t="s">
        <v>397</v>
      </c>
      <c r="B469" s="842" t="s">
        <v>527</v>
      </c>
      <c r="C469" s="694">
        <f>VLOOKUP(B468,'BTH mủ tạp'!$D$17:$AN$94,36,0)</f>
        <v>1251.5671466807962</v>
      </c>
      <c r="D469" s="695"/>
      <c r="E469" s="695"/>
      <c r="F469" s="710"/>
      <c r="G469" s="693" t="s">
        <v>397</v>
      </c>
      <c r="H469" s="842" t="s">
        <v>527</v>
      </c>
      <c r="I469" s="694">
        <f>VLOOKUP(H468,'BTH mủ tạp'!$D$17:$AN$94,36,0)</f>
        <v>1003.9432651218688</v>
      </c>
      <c r="J469" s="695"/>
      <c r="K469" s="695"/>
      <c r="L469" s="690"/>
    </row>
    <row r="470" spans="1:12" s="27" customFormat="1" ht="17.25" customHeight="1">
      <c r="A470" s="693" t="s">
        <v>77</v>
      </c>
      <c r="B470" s="843" t="s">
        <v>432</v>
      </c>
      <c r="C470" s="696">
        <f>VLOOKUP(B468,'CNKT '!$D$16:$AA$96,3,0)</f>
        <v>0</v>
      </c>
      <c r="D470" s="697">
        <v>25000</v>
      </c>
      <c r="E470" s="695">
        <f>C470*D470</f>
        <v>0</v>
      </c>
      <c r="F470" s="710"/>
      <c r="G470" s="693" t="s">
        <v>77</v>
      </c>
      <c r="H470" s="843" t="s">
        <v>432</v>
      </c>
      <c r="I470" s="696">
        <f>VLOOKUP(H468,'CNKT '!$D$16:$AA$96,3,0)</f>
        <v>0</v>
      </c>
      <c r="J470" s="697">
        <v>25000</v>
      </c>
      <c r="K470" s="695">
        <f>I470*J470</f>
        <v>0</v>
      </c>
      <c r="L470" s="690"/>
    </row>
    <row r="471" spans="1:12" s="27" customFormat="1" ht="17.25" customHeight="1">
      <c r="A471" s="693" t="s">
        <v>307</v>
      </c>
      <c r="B471" s="844" t="s">
        <v>528</v>
      </c>
      <c r="C471" s="747">
        <f>VLOOKUP(B468,'CNKT '!$D$16:$AA$96,11,0)</f>
        <v>23</v>
      </c>
      <c r="D471" s="698">
        <f>46.1*$B$2</f>
        <v>30833.524000000001</v>
      </c>
      <c r="E471" s="695">
        <f t="shared" ref="E471:E475" si="54">C471*D471</f>
        <v>709171.05200000003</v>
      </c>
      <c r="F471" s="710"/>
      <c r="G471" s="693" t="s">
        <v>307</v>
      </c>
      <c r="H471" s="844" t="s">
        <v>528</v>
      </c>
      <c r="I471" s="747">
        <f>VLOOKUP(H468,'CNKT '!$D$16:$AA$96,11,0)</f>
        <v>22</v>
      </c>
      <c r="J471" s="698">
        <f>46.1*$B$2</f>
        <v>30833.524000000001</v>
      </c>
      <c r="K471" s="695">
        <f t="shared" ref="K471:K475" si="55">I471*J471</f>
        <v>678337.52800000005</v>
      </c>
      <c r="L471" s="690"/>
    </row>
    <row r="472" spans="1:12" s="27" customFormat="1" ht="17.25" customHeight="1">
      <c r="A472" s="693" t="s">
        <v>399</v>
      </c>
      <c r="B472" s="844" t="s">
        <v>529</v>
      </c>
      <c r="C472" s="747">
        <f>VLOOKUP(B468,'CNKT '!$D$16:$AA$96,12,0)</f>
        <v>5</v>
      </c>
      <c r="D472" s="697">
        <f>76.9*$B$2</f>
        <v>51433.796000000009</v>
      </c>
      <c r="E472" s="695">
        <f t="shared" si="54"/>
        <v>257168.98000000004</v>
      </c>
      <c r="F472" s="713"/>
      <c r="G472" s="693" t="s">
        <v>399</v>
      </c>
      <c r="H472" s="844" t="s">
        <v>529</v>
      </c>
      <c r="I472" s="747">
        <f>VLOOKUP(H468,'CNKT '!$D$16:$AA$96,12,0)</f>
        <v>5</v>
      </c>
      <c r="J472" s="697">
        <f>76.9*$B$2</f>
        <v>51433.796000000009</v>
      </c>
      <c r="K472" s="695">
        <f t="shared" si="55"/>
        <v>257168.98000000004</v>
      </c>
      <c r="L472" s="690"/>
    </row>
    <row r="473" spans="1:12" s="27" customFormat="1" ht="17.25" customHeight="1">
      <c r="A473" s="693" t="s">
        <v>78</v>
      </c>
      <c r="B473" s="844" t="s">
        <v>530</v>
      </c>
      <c r="C473" s="747">
        <f>VLOOKUP(B468,'CNKT '!$D$16:$AA$96,8,0)</f>
        <v>1251.5671466807964</v>
      </c>
      <c r="D473" s="697">
        <f>IF(C469="A",6.1,IF(C469="B",5.8,IF(C469="C",5.5,IF(C469="C.",5.5,IF(C469="D",5.2)))))*$B$2</f>
        <v>0</v>
      </c>
      <c r="E473" s="695">
        <f t="shared" si="54"/>
        <v>0</v>
      </c>
      <c r="F473" s="839"/>
      <c r="G473" s="693" t="s">
        <v>78</v>
      </c>
      <c r="H473" s="844" t="s">
        <v>530</v>
      </c>
      <c r="I473" s="747">
        <f>VLOOKUP(H468,'CNKT '!$D$16:$AA$96,8,0)</f>
        <v>1003.943265121869</v>
      </c>
      <c r="J473" s="697">
        <f>IF(I469="A",6.1,IF(I469="B",5.8,IF(I469="C",5.5,IF(I469="C.",5.5,IF(I469="D",5.2)))))*$B$2</f>
        <v>0</v>
      </c>
      <c r="K473" s="695">
        <f t="shared" si="55"/>
        <v>0</v>
      </c>
      <c r="L473" s="690"/>
    </row>
    <row r="474" spans="1:12" s="27" customFormat="1" ht="17.25" customHeight="1">
      <c r="A474" s="693" t="s">
        <v>491</v>
      </c>
      <c r="B474" s="844" t="s">
        <v>531</v>
      </c>
      <c r="C474" s="747">
        <f>VLOOKUP(B468,'CNKT '!$D$16:$AA$96,15,0)</f>
        <v>0</v>
      </c>
      <c r="D474" s="698">
        <f>92.2*$B$2</f>
        <v>61667.048000000003</v>
      </c>
      <c r="E474" s="695">
        <f t="shared" si="54"/>
        <v>0</v>
      </c>
      <c r="F474" s="839"/>
      <c r="G474" s="693" t="s">
        <v>491</v>
      </c>
      <c r="H474" s="844" t="s">
        <v>531</v>
      </c>
      <c r="I474" s="747">
        <f>VLOOKUP(H468,'CNKT '!$D$16:$AA$96,15,0)</f>
        <v>0</v>
      </c>
      <c r="J474" s="698">
        <f>92.2*$B$2</f>
        <v>61667.048000000003</v>
      </c>
      <c r="K474" s="695">
        <f t="shared" si="55"/>
        <v>0</v>
      </c>
      <c r="L474" s="690"/>
    </row>
    <row r="475" spans="1:12" s="27" customFormat="1" ht="17.25" customHeight="1">
      <c r="A475" s="693" t="s">
        <v>492</v>
      </c>
      <c r="B475" s="844" t="s">
        <v>496</v>
      </c>
      <c r="C475" s="747">
        <f>VLOOKUP(B468,'CNKT '!$D$16:$AA$96,16,0)</f>
        <v>0</v>
      </c>
      <c r="D475" s="697">
        <f>153.8*$B$2</f>
        <v>102867.59200000002</v>
      </c>
      <c r="E475" s="695">
        <f t="shared" si="54"/>
        <v>0</v>
      </c>
      <c r="F475" s="839"/>
      <c r="G475" s="693" t="s">
        <v>492</v>
      </c>
      <c r="H475" s="844" t="s">
        <v>496</v>
      </c>
      <c r="I475" s="747">
        <f>VLOOKUP(H468,'CNKT '!$D$16:$AA$96,16,0)</f>
        <v>0</v>
      </c>
      <c r="J475" s="697">
        <f>153.8*$B$2</f>
        <v>102867.59200000002</v>
      </c>
      <c r="K475" s="695">
        <f t="shared" si="55"/>
        <v>0</v>
      </c>
      <c r="L475" s="690"/>
    </row>
    <row r="476" spans="1:12" s="27" customFormat="1" ht="17.25" customHeight="1">
      <c r="A476" s="693" t="s">
        <v>453</v>
      </c>
      <c r="B476" s="844" t="s">
        <v>497</v>
      </c>
      <c r="C476" s="747">
        <f>VLOOKUP(B468,'CNKT '!$D$16:$AA$96,18,0)</f>
        <v>0</v>
      </c>
      <c r="D476" s="697">
        <v>10000</v>
      </c>
      <c r="E476" s="695">
        <f>C476*D476</f>
        <v>0</v>
      </c>
      <c r="F476" s="839"/>
      <c r="G476" s="693" t="s">
        <v>453</v>
      </c>
      <c r="H476" s="844" t="s">
        <v>497</v>
      </c>
      <c r="I476" s="747">
        <f>VLOOKUP(H468,'CNKT '!$D$16:$AA$96,18,0)</f>
        <v>0</v>
      </c>
      <c r="J476" s="697">
        <v>10000</v>
      </c>
      <c r="K476" s="695">
        <f>I476*J476</f>
        <v>0</v>
      </c>
      <c r="L476" s="690"/>
    </row>
    <row r="477" spans="1:12" s="27" customFormat="1" ht="17.25" customHeight="1">
      <c r="A477" s="693" t="s">
        <v>453</v>
      </c>
      <c r="B477" s="844" t="s">
        <v>497</v>
      </c>
      <c r="C477" s="747">
        <f>VLOOKUP(B468,'CNKT '!$D$16:$AA$96,19,0)</f>
        <v>0</v>
      </c>
      <c r="D477" s="697">
        <v>20000</v>
      </c>
      <c r="E477" s="695">
        <f>C477*D477</f>
        <v>0</v>
      </c>
      <c r="F477" s="839"/>
      <c r="G477" s="693" t="s">
        <v>453</v>
      </c>
      <c r="H477" s="844" t="s">
        <v>497</v>
      </c>
      <c r="I477" s="747">
        <f>VLOOKUP(H468,'CNKT '!$D$16:$AA$96,19,0)</f>
        <v>0</v>
      </c>
      <c r="J477" s="697">
        <v>20000</v>
      </c>
      <c r="K477" s="695">
        <f>I477*J477</f>
        <v>0</v>
      </c>
      <c r="L477" s="690"/>
    </row>
    <row r="478" spans="1:12" s="27" customFormat="1" ht="17.25" customHeight="1">
      <c r="A478" s="693" t="s">
        <v>512</v>
      </c>
      <c r="B478" s="844" t="s">
        <v>513</v>
      </c>
      <c r="C478" s="747"/>
      <c r="D478" s="697"/>
      <c r="E478" s="695"/>
      <c r="F478" s="839"/>
      <c r="G478" s="693" t="s">
        <v>512</v>
      </c>
      <c r="H478" s="844" t="s">
        <v>513</v>
      </c>
      <c r="I478" s="747"/>
      <c r="J478" s="697"/>
      <c r="K478" s="695"/>
      <c r="L478" s="690"/>
    </row>
    <row r="479" spans="1:12" s="27" customFormat="1" ht="17.25" customHeight="1">
      <c r="A479" s="699" t="s">
        <v>79</v>
      </c>
      <c r="B479" s="845" t="s">
        <v>532</v>
      </c>
      <c r="C479" s="700"/>
      <c r="D479" s="701"/>
      <c r="E479" s="700"/>
      <c r="F479" s="714"/>
      <c r="G479" s="699" t="s">
        <v>79</v>
      </c>
      <c r="H479" s="845" t="s">
        <v>532</v>
      </c>
      <c r="I479" s="700"/>
      <c r="J479" s="701"/>
      <c r="K479" s="700"/>
      <c r="L479" s="690"/>
    </row>
    <row r="480" spans="1:12" s="27" customFormat="1" ht="17.25" customHeight="1">
      <c r="A480" s="702" t="s">
        <v>80</v>
      </c>
      <c r="B480" s="846" t="s">
        <v>533</v>
      </c>
      <c r="C480" s="700"/>
      <c r="D480" s="700"/>
      <c r="E480" s="700"/>
      <c r="F480" s="714"/>
      <c r="G480" s="702" t="s">
        <v>80</v>
      </c>
      <c r="H480" s="846" t="s">
        <v>533</v>
      </c>
      <c r="I480" s="700"/>
      <c r="J480" s="700"/>
      <c r="K480" s="700"/>
      <c r="L480" s="690"/>
    </row>
    <row r="481" spans="1:14" s="27" customFormat="1" ht="17.25" customHeight="1">
      <c r="A481" s="702" t="s">
        <v>81</v>
      </c>
      <c r="B481" s="847" t="s">
        <v>534</v>
      </c>
      <c r="C481" s="700"/>
      <c r="D481" s="700"/>
      <c r="E481" s="695">
        <f>SUM(E480)</f>
        <v>0</v>
      </c>
      <c r="F481" s="714"/>
      <c r="G481" s="702" t="s">
        <v>81</v>
      </c>
      <c r="H481" s="847" t="s">
        <v>534</v>
      </c>
      <c r="I481" s="700"/>
      <c r="J481" s="700"/>
      <c r="K481" s="695">
        <f>SUM(K480)</f>
        <v>0</v>
      </c>
      <c r="L481" s="690"/>
      <c r="M481" s="703">
        <f>E481+K481</f>
        <v>0</v>
      </c>
    </row>
    <row r="482" spans="1:14" s="27" customFormat="1" ht="17.25" customHeight="1">
      <c r="A482" s="704" t="s">
        <v>82</v>
      </c>
      <c r="B482" s="848" t="s">
        <v>438</v>
      </c>
      <c r="C482" s="705"/>
      <c r="D482" s="705"/>
      <c r="E482" s="705">
        <f>(E470+E471+E472+E473+E474+E475+E476+E477+E478)-E481</f>
        <v>966340.03200000012</v>
      </c>
      <c r="F482" s="714"/>
      <c r="G482" s="704" t="s">
        <v>82</v>
      </c>
      <c r="H482" s="848" t="s">
        <v>438</v>
      </c>
      <c r="I482" s="705"/>
      <c r="J482" s="705"/>
      <c r="K482" s="705">
        <f>(K470+K471+K472+K473+K474+K475+K476+K477+K478)-K481</f>
        <v>935506.50800000015</v>
      </c>
      <c r="L482" s="707">
        <f>E482+K482</f>
        <v>1901846.5400000003</v>
      </c>
    </row>
    <row r="483" spans="1:14" s="27" customFormat="1" ht="17.25" customHeight="1">
      <c r="A483" s="710"/>
      <c r="B483" s="715"/>
      <c r="C483" s="716"/>
      <c r="D483" s="716"/>
      <c r="E483" s="714"/>
      <c r="F483" s="714"/>
      <c r="G483" s="710"/>
      <c r="H483" s="715"/>
      <c r="I483" s="716"/>
      <c r="J483" s="714"/>
      <c r="K483" s="724"/>
      <c r="L483" s="690"/>
    </row>
    <row r="484" spans="1:14" s="27" customFormat="1" ht="17.25" customHeight="1">
      <c r="A484" s="722"/>
      <c r="B484" s="713"/>
      <c r="C484" s="839"/>
      <c r="D484" s="839"/>
      <c r="E484" s="710"/>
      <c r="F484" s="710"/>
      <c r="G484" s="722"/>
      <c r="H484" s="713"/>
      <c r="I484" s="839"/>
      <c r="J484" s="710"/>
      <c r="K484" s="708"/>
      <c r="L484" s="690"/>
    </row>
    <row r="485" spans="1:14" s="27" customFormat="1" ht="17.25" customHeight="1">
      <c r="A485" s="1567" t="str">
        <f>G467</f>
        <v>LƯƠNG THÁNG 01/2025</v>
      </c>
      <c r="B485" s="1568"/>
      <c r="C485" s="1568"/>
      <c r="D485" s="1568"/>
      <c r="E485" s="766">
        <v>57</v>
      </c>
      <c r="F485" s="710"/>
      <c r="G485" s="1567" t="str">
        <f>A485</f>
        <v>LƯƠNG THÁNG 01/2025</v>
      </c>
      <c r="H485" s="1568"/>
      <c r="I485" s="1568"/>
      <c r="J485" s="1569"/>
      <c r="K485" s="766">
        <v>58</v>
      </c>
      <c r="L485" s="690"/>
    </row>
    <row r="486" spans="1:14" s="27" customFormat="1" ht="17.25" customHeight="1">
      <c r="A486" s="709" t="s">
        <v>15</v>
      </c>
      <c r="B486" s="840" t="str">
        <f>'CNKT '!D72</f>
        <v>T. Xợt</v>
      </c>
      <c r="C486" s="691"/>
      <c r="D486" s="838" t="s">
        <v>396</v>
      </c>
      <c r="E486" s="838" t="s">
        <v>18</v>
      </c>
      <c r="F486" s="713"/>
      <c r="G486" s="709" t="s">
        <v>15</v>
      </c>
      <c r="H486" s="840" t="str">
        <f>'CNKT '!D73</f>
        <v>N. Phết 2</v>
      </c>
      <c r="I486" s="691"/>
      <c r="J486" s="838" t="s">
        <v>396</v>
      </c>
      <c r="K486" s="838" t="s">
        <v>18</v>
      </c>
      <c r="L486" s="690"/>
    </row>
    <row r="487" spans="1:14" s="27" customFormat="1" ht="17.25" customHeight="1">
      <c r="A487" s="693" t="s">
        <v>397</v>
      </c>
      <c r="B487" s="842" t="s">
        <v>527</v>
      </c>
      <c r="C487" s="694">
        <f>VLOOKUP(B486,'BTH mủ tạp'!$D$17:$AN$94,36,0)</f>
        <v>1094.3677162529377</v>
      </c>
      <c r="D487" s="695"/>
      <c r="E487" s="695"/>
      <c r="F487" s="713"/>
      <c r="G487" s="693" t="s">
        <v>397</v>
      </c>
      <c r="H487" s="842" t="s">
        <v>527</v>
      </c>
      <c r="I487" s="694">
        <f>VLOOKUP(H486,'BTH mủ tạp'!$D$17:$AN$94,36,0)</f>
        <v>1189.4293187240617</v>
      </c>
      <c r="J487" s="695"/>
      <c r="K487" s="695"/>
      <c r="L487" s="690"/>
    </row>
    <row r="488" spans="1:14" s="27" customFormat="1" ht="17.25" customHeight="1">
      <c r="A488" s="693" t="s">
        <v>77</v>
      </c>
      <c r="B488" s="843" t="s">
        <v>432</v>
      </c>
      <c r="C488" s="696">
        <f>VLOOKUP(B486,'CNKT '!$D$16:$AA$96,3,0)</f>
        <v>0</v>
      </c>
      <c r="D488" s="697">
        <v>25000</v>
      </c>
      <c r="E488" s="695">
        <f>C488*D488</f>
        <v>0</v>
      </c>
      <c r="F488" s="839"/>
      <c r="G488" s="693" t="s">
        <v>77</v>
      </c>
      <c r="H488" s="843" t="s">
        <v>432</v>
      </c>
      <c r="I488" s="696">
        <f>VLOOKUP(H486,'CNKT '!$D$16:$AA$96,3,0)</f>
        <v>0</v>
      </c>
      <c r="J488" s="697">
        <v>25000</v>
      </c>
      <c r="K488" s="695">
        <f>I488*J488</f>
        <v>0</v>
      </c>
      <c r="L488" s="690"/>
    </row>
    <row r="489" spans="1:14" s="27" customFormat="1" ht="17.25" customHeight="1">
      <c r="A489" s="693" t="s">
        <v>307</v>
      </c>
      <c r="B489" s="844" t="s">
        <v>528</v>
      </c>
      <c r="C489" s="747">
        <f>VLOOKUP(B486,'CNKT '!$D$16:$AA$96,11,0)</f>
        <v>23</v>
      </c>
      <c r="D489" s="698">
        <f>46.1*$B$2</f>
        <v>30833.524000000001</v>
      </c>
      <c r="E489" s="695">
        <f t="shared" ref="E489:E493" si="56">C489*D489</f>
        <v>709171.05200000003</v>
      </c>
      <c r="F489" s="714"/>
      <c r="G489" s="693" t="s">
        <v>307</v>
      </c>
      <c r="H489" s="844" t="s">
        <v>528</v>
      </c>
      <c r="I489" s="747">
        <f>VLOOKUP(H486,'CNKT '!$D$16:$AA$96,11,0)</f>
        <v>21</v>
      </c>
      <c r="J489" s="698">
        <f>46.1*$B$2</f>
        <v>30833.524000000001</v>
      </c>
      <c r="K489" s="695">
        <f t="shared" ref="K489:K493" si="57">I489*J489</f>
        <v>647504.00400000007</v>
      </c>
      <c r="L489" s="690"/>
    </row>
    <row r="490" spans="1:14" s="27" customFormat="1" ht="17.25" customHeight="1">
      <c r="A490" s="693" t="s">
        <v>399</v>
      </c>
      <c r="B490" s="844" t="s">
        <v>529</v>
      </c>
      <c r="C490" s="747">
        <f>VLOOKUP(B486,'CNKT '!$D$16:$AA$96,12,0)</f>
        <v>5</v>
      </c>
      <c r="D490" s="697">
        <f>76.9*$B$2</f>
        <v>51433.796000000009</v>
      </c>
      <c r="E490" s="695">
        <f t="shared" si="56"/>
        <v>257168.98000000004</v>
      </c>
      <c r="F490" s="714"/>
      <c r="G490" s="693" t="s">
        <v>399</v>
      </c>
      <c r="H490" s="844" t="s">
        <v>529</v>
      </c>
      <c r="I490" s="747">
        <f>VLOOKUP(H486,'CNKT '!$D$16:$AA$96,12,0)</f>
        <v>4</v>
      </c>
      <c r="J490" s="697">
        <f>76.9*$B$2</f>
        <v>51433.796000000009</v>
      </c>
      <c r="K490" s="695">
        <f t="shared" si="57"/>
        <v>205735.18400000004</v>
      </c>
      <c r="L490" s="690"/>
    </row>
    <row r="491" spans="1:14" s="27" customFormat="1" ht="17.25" customHeight="1">
      <c r="A491" s="693" t="s">
        <v>78</v>
      </c>
      <c r="B491" s="844" t="s">
        <v>530</v>
      </c>
      <c r="C491" s="747">
        <f>VLOOKUP(B486,'CNKT '!$D$16:$AA$96,8,0)</f>
        <v>1094.367716252938</v>
      </c>
      <c r="D491" s="697">
        <f>IF(C487="A",6.1,IF(C487="B",5.8,IF(C487="C",5.5,IF(C487="C.",5.5,IF(C487="D",5.2)))))*$B$2</f>
        <v>0</v>
      </c>
      <c r="E491" s="695">
        <f t="shared" si="56"/>
        <v>0</v>
      </c>
      <c r="F491" s="724"/>
      <c r="G491" s="693" t="s">
        <v>78</v>
      </c>
      <c r="H491" s="844" t="s">
        <v>530</v>
      </c>
      <c r="I491" s="747">
        <f>VLOOKUP(H486,'CNKT '!$D$16:$AA$96,8,0)</f>
        <v>1189.4293187240619</v>
      </c>
      <c r="J491" s="697">
        <f>IF(I487="A",6.1,IF(I487="B",5.8,IF(I487="C",5.5,IF(I487="C.",5.5,IF(I487="D",5.2)))))*$B$2</f>
        <v>0</v>
      </c>
      <c r="K491" s="695">
        <f t="shared" si="57"/>
        <v>0</v>
      </c>
      <c r="L491" s="725"/>
      <c r="M491" s="674"/>
      <c r="N491" s="726"/>
    </row>
    <row r="492" spans="1:14" s="27" customFormat="1" ht="17.25" customHeight="1">
      <c r="A492" s="693" t="s">
        <v>491</v>
      </c>
      <c r="B492" s="844" t="s">
        <v>531</v>
      </c>
      <c r="C492" s="747">
        <f>VLOOKUP(B486,'CNKT '!$D$16:$AA$96,15,0)</f>
        <v>0</v>
      </c>
      <c r="D492" s="698">
        <f>92.2*$B$2</f>
        <v>61667.048000000003</v>
      </c>
      <c r="E492" s="695">
        <f t="shared" si="56"/>
        <v>0</v>
      </c>
      <c r="F492" s="724"/>
      <c r="G492" s="693" t="s">
        <v>491</v>
      </c>
      <c r="H492" s="844" t="s">
        <v>531</v>
      </c>
      <c r="I492" s="747">
        <f>VLOOKUP(H486,'CNKT '!$D$16:$AA$96,15,0)</f>
        <v>0</v>
      </c>
      <c r="J492" s="698">
        <f>92.2*$B$2</f>
        <v>61667.048000000003</v>
      </c>
      <c r="K492" s="695">
        <f t="shared" si="57"/>
        <v>0</v>
      </c>
      <c r="L492" s="725"/>
      <c r="M492" s="674"/>
      <c r="N492" s="726"/>
    </row>
    <row r="493" spans="1:14" s="27" customFormat="1" ht="17.25" customHeight="1">
      <c r="A493" s="693" t="s">
        <v>492</v>
      </c>
      <c r="B493" s="844" t="s">
        <v>496</v>
      </c>
      <c r="C493" s="747">
        <f>VLOOKUP(B486,'CNKT '!$D$16:$AA$96,16,0)</f>
        <v>0</v>
      </c>
      <c r="D493" s="697">
        <f>153.8*$B$2</f>
        <v>102867.59200000002</v>
      </c>
      <c r="E493" s="695">
        <f t="shared" si="56"/>
        <v>0</v>
      </c>
      <c r="F493" s="724"/>
      <c r="G493" s="693" t="s">
        <v>492</v>
      </c>
      <c r="H493" s="844" t="s">
        <v>496</v>
      </c>
      <c r="I493" s="747">
        <f>VLOOKUP(H486,'CNKT '!$D$16:$AA$96,16,0)</f>
        <v>0</v>
      </c>
      <c r="J493" s="697">
        <f>153.8*$B$2</f>
        <v>102867.59200000002</v>
      </c>
      <c r="K493" s="695">
        <f t="shared" si="57"/>
        <v>0</v>
      </c>
      <c r="L493" s="725"/>
      <c r="M493" s="674"/>
      <c r="N493" s="726"/>
    </row>
    <row r="494" spans="1:14" s="27" customFormat="1" ht="17.25" customHeight="1">
      <c r="A494" s="693" t="s">
        <v>453</v>
      </c>
      <c r="B494" s="844" t="s">
        <v>497</v>
      </c>
      <c r="C494" s="747">
        <f>VLOOKUP(B486,'CNKT '!$D$16:$AA$96,18,0)</f>
        <v>0</v>
      </c>
      <c r="D494" s="697">
        <v>10000</v>
      </c>
      <c r="E494" s="695">
        <f>C494*D494</f>
        <v>0</v>
      </c>
      <c r="F494" s="724"/>
      <c r="G494" s="693" t="s">
        <v>453</v>
      </c>
      <c r="H494" s="844" t="s">
        <v>497</v>
      </c>
      <c r="I494" s="747">
        <f>VLOOKUP(H486,'CNKT '!$D$16:$AA$96,18,0)</f>
        <v>0</v>
      </c>
      <c r="J494" s="697">
        <v>10000</v>
      </c>
      <c r="K494" s="695">
        <f>I494*J494</f>
        <v>0</v>
      </c>
      <c r="L494" s="725"/>
      <c r="M494" s="674"/>
      <c r="N494" s="726"/>
    </row>
    <row r="495" spans="1:14" s="27" customFormat="1" ht="17.25" customHeight="1">
      <c r="A495" s="693" t="s">
        <v>453</v>
      </c>
      <c r="B495" s="844" t="s">
        <v>497</v>
      </c>
      <c r="C495" s="747">
        <f>VLOOKUP(B486,'CNKT '!$D$16:$AA$96,19,0)</f>
        <v>0</v>
      </c>
      <c r="D495" s="697">
        <v>20000</v>
      </c>
      <c r="E495" s="695">
        <f>C495*D495</f>
        <v>0</v>
      </c>
      <c r="F495" s="724"/>
      <c r="G495" s="693" t="s">
        <v>453</v>
      </c>
      <c r="H495" s="844" t="s">
        <v>497</v>
      </c>
      <c r="I495" s="747">
        <f>VLOOKUP(H486,'CNKT '!$D$16:$AA$96,19,0)</f>
        <v>0</v>
      </c>
      <c r="J495" s="697">
        <v>20000</v>
      </c>
      <c r="K495" s="695">
        <f>I495*J495</f>
        <v>0</v>
      </c>
      <c r="L495" s="725"/>
      <c r="M495" s="674"/>
      <c r="N495" s="726"/>
    </row>
    <row r="496" spans="1:14" s="27" customFormat="1" ht="17.25" customHeight="1">
      <c r="A496" s="693" t="s">
        <v>512</v>
      </c>
      <c r="B496" s="844" t="s">
        <v>513</v>
      </c>
      <c r="C496" s="747"/>
      <c r="D496" s="697"/>
      <c r="E496" s="695"/>
      <c r="F496" s="724"/>
      <c r="G496" s="693" t="s">
        <v>512</v>
      </c>
      <c r="H496" s="844" t="s">
        <v>513</v>
      </c>
      <c r="I496" s="747"/>
      <c r="J496" s="697"/>
      <c r="K496" s="695"/>
      <c r="L496" s="725"/>
      <c r="M496" s="674"/>
      <c r="N496" s="726"/>
    </row>
    <row r="497" spans="1:14" s="27" customFormat="1" ht="17.25" customHeight="1">
      <c r="A497" s="699" t="s">
        <v>79</v>
      </c>
      <c r="B497" s="845" t="s">
        <v>532</v>
      </c>
      <c r="C497" s="700"/>
      <c r="D497" s="701"/>
      <c r="E497" s="700"/>
      <c r="F497" s="724"/>
      <c r="G497" s="699" t="s">
        <v>79</v>
      </c>
      <c r="H497" s="845" t="s">
        <v>532</v>
      </c>
      <c r="I497" s="700"/>
      <c r="J497" s="701"/>
      <c r="K497" s="700"/>
      <c r="L497" s="725"/>
      <c r="M497" s="674"/>
      <c r="N497" s="726"/>
    </row>
    <row r="498" spans="1:14" s="27" customFormat="1" ht="17.25" customHeight="1">
      <c r="A498" s="702" t="s">
        <v>80</v>
      </c>
      <c r="B498" s="846" t="s">
        <v>533</v>
      </c>
      <c r="C498" s="700"/>
      <c r="D498" s="700"/>
      <c r="E498" s="700"/>
      <c r="F498" s="724"/>
      <c r="G498" s="702" t="s">
        <v>80</v>
      </c>
      <c r="H498" s="846" t="s">
        <v>533</v>
      </c>
      <c r="I498" s="700"/>
      <c r="J498" s="700"/>
      <c r="K498" s="700"/>
      <c r="L498" s="725"/>
      <c r="M498" s="674"/>
      <c r="N498" s="726"/>
    </row>
    <row r="499" spans="1:14" s="27" customFormat="1" ht="17.25" customHeight="1">
      <c r="A499" s="702" t="s">
        <v>81</v>
      </c>
      <c r="B499" s="847" t="s">
        <v>534</v>
      </c>
      <c r="C499" s="700"/>
      <c r="D499" s="700"/>
      <c r="E499" s="695">
        <f>SUM(E498)</f>
        <v>0</v>
      </c>
      <c r="F499" s="724"/>
      <c r="G499" s="702" t="s">
        <v>81</v>
      </c>
      <c r="H499" s="847" t="s">
        <v>534</v>
      </c>
      <c r="I499" s="700"/>
      <c r="J499" s="700"/>
      <c r="K499" s="695">
        <f>SUM(K498)</f>
        <v>0</v>
      </c>
      <c r="L499" s="725"/>
      <c r="M499" s="703">
        <f>E499+K499</f>
        <v>0</v>
      </c>
      <c r="N499" s="726"/>
    </row>
    <row r="500" spans="1:14" s="27" customFormat="1" ht="17.25" customHeight="1">
      <c r="A500" s="704" t="s">
        <v>82</v>
      </c>
      <c r="B500" s="848" t="s">
        <v>438</v>
      </c>
      <c r="C500" s="705"/>
      <c r="D500" s="705"/>
      <c r="E500" s="705">
        <f>(E488+E489+E490+E491+E492+E493+E494+E495+E496)-E499</f>
        <v>966340.03200000012</v>
      </c>
      <c r="F500" s="724"/>
      <c r="G500" s="704" t="s">
        <v>82</v>
      </c>
      <c r="H500" s="848" t="s">
        <v>438</v>
      </c>
      <c r="I500" s="705"/>
      <c r="J500" s="705"/>
      <c r="K500" s="705">
        <f>(K488+K489+K490+K491+K492+K493+K494+K495+K496)-K499</f>
        <v>853239.18800000008</v>
      </c>
      <c r="L500" s="707">
        <f>E500+K500</f>
        <v>1819579.2200000002</v>
      </c>
      <c r="M500" s="674"/>
      <c r="N500" s="726"/>
    </row>
    <row r="501" spans="1:14" s="27" customFormat="1" ht="17.25" customHeight="1">
      <c r="A501" s="710"/>
      <c r="B501" s="715"/>
      <c r="C501" s="716"/>
      <c r="D501" s="716"/>
      <c r="E501" s="714"/>
      <c r="F501" s="724"/>
      <c r="G501" s="710"/>
      <c r="H501" s="715"/>
      <c r="I501" s="716"/>
      <c r="J501" s="714"/>
      <c r="K501" s="708"/>
      <c r="L501" s="725"/>
      <c r="M501" s="674"/>
      <c r="N501" s="726"/>
    </row>
    <row r="502" spans="1:14" s="27" customFormat="1" ht="17.25" customHeight="1">
      <c r="A502" s="1567" t="str">
        <f>G485</f>
        <v>LƯƠNG THÁNG 01/2025</v>
      </c>
      <c r="B502" s="1568"/>
      <c r="C502" s="1568"/>
      <c r="D502" s="1568"/>
      <c r="E502" s="766">
        <v>59</v>
      </c>
      <c r="F502" s="724"/>
      <c r="G502" s="1567" t="str">
        <f>A502</f>
        <v>LƯƠNG THÁNG 01/2025</v>
      </c>
      <c r="H502" s="1568"/>
      <c r="I502" s="1568"/>
      <c r="J502" s="1569"/>
      <c r="K502" s="766">
        <v>60</v>
      </c>
      <c r="L502" s="725"/>
      <c r="M502" s="674"/>
      <c r="N502" s="726"/>
    </row>
    <row r="503" spans="1:14" s="27" customFormat="1" ht="17.25" customHeight="1">
      <c r="A503" s="709" t="s">
        <v>15</v>
      </c>
      <c r="B503" s="840" t="str">
        <f>'CNKT '!D74</f>
        <v>T. Cạp</v>
      </c>
      <c r="C503" s="691"/>
      <c r="D503" s="838" t="s">
        <v>396</v>
      </c>
      <c r="E503" s="838" t="s">
        <v>18</v>
      </c>
      <c r="F503" s="724"/>
      <c r="G503" s="709" t="s">
        <v>15</v>
      </c>
      <c r="H503" s="840" t="str">
        <f>'CNKT '!D75</f>
        <v>T. Toi</v>
      </c>
      <c r="I503" s="691"/>
      <c r="J503" s="838" t="s">
        <v>396</v>
      </c>
      <c r="K503" s="838" t="s">
        <v>18</v>
      </c>
      <c r="L503" s="725"/>
      <c r="M503" s="674"/>
      <c r="N503" s="726"/>
    </row>
    <row r="504" spans="1:14" s="27" customFormat="1" ht="17.25" customHeight="1">
      <c r="A504" s="693" t="s">
        <v>397</v>
      </c>
      <c r="B504" s="842" t="s">
        <v>527</v>
      </c>
      <c r="C504" s="694">
        <f>VLOOKUP(B503,'BTH mủ tạp'!$D$17:$AN$94,36,0)</f>
        <v>660.3303508238065</v>
      </c>
      <c r="D504" s="695"/>
      <c r="E504" s="695"/>
      <c r="F504" s="724"/>
      <c r="G504" s="693" t="s">
        <v>397</v>
      </c>
      <c r="H504" s="842" t="s">
        <v>527</v>
      </c>
      <c r="I504" s="694">
        <f>VLOOKUP(H503,'BTH mủ tạp'!$D$17:$AN$94,36,0)</f>
        <v>1031.3024580281922</v>
      </c>
      <c r="J504" s="695"/>
      <c r="K504" s="695"/>
      <c r="L504" s="725"/>
      <c r="M504" s="674"/>
      <c r="N504" s="726"/>
    </row>
    <row r="505" spans="1:14" s="27" customFormat="1" ht="17.25" customHeight="1">
      <c r="A505" s="693" t="s">
        <v>77</v>
      </c>
      <c r="B505" s="843" t="s">
        <v>432</v>
      </c>
      <c r="C505" s="696">
        <f>VLOOKUP(B503,'CNKT '!$D$16:$AA$96,3,0)</f>
        <v>0</v>
      </c>
      <c r="D505" s="697">
        <v>25000</v>
      </c>
      <c r="E505" s="695">
        <f>C505*D505</f>
        <v>0</v>
      </c>
      <c r="F505" s="724"/>
      <c r="G505" s="693" t="s">
        <v>77</v>
      </c>
      <c r="H505" s="843" t="s">
        <v>432</v>
      </c>
      <c r="I505" s="696">
        <f>VLOOKUP(H503,'CNKT '!$D$16:$AA$96,3,0)</f>
        <v>0</v>
      </c>
      <c r="J505" s="697">
        <v>25000</v>
      </c>
      <c r="K505" s="695">
        <f>I505*J505</f>
        <v>0</v>
      </c>
      <c r="L505" s="725"/>
      <c r="M505" s="674"/>
      <c r="N505" s="726"/>
    </row>
    <row r="506" spans="1:14" s="27" customFormat="1" ht="17.25" customHeight="1">
      <c r="A506" s="693" t="s">
        <v>307</v>
      </c>
      <c r="B506" s="844" t="s">
        <v>528</v>
      </c>
      <c r="C506" s="747">
        <f>VLOOKUP(B503,'CNKT '!$D$16:$AA$96,11,0)</f>
        <v>18</v>
      </c>
      <c r="D506" s="698">
        <f>46.1*$B$2</f>
        <v>30833.524000000001</v>
      </c>
      <c r="E506" s="695">
        <f t="shared" ref="E506:E510" si="58">C506*D506</f>
        <v>555003.43200000003</v>
      </c>
      <c r="F506" s="724"/>
      <c r="G506" s="693" t="s">
        <v>307</v>
      </c>
      <c r="H506" s="844" t="s">
        <v>528</v>
      </c>
      <c r="I506" s="747">
        <f>VLOOKUP(H503,'CNKT '!$D$16:$AA$96,11,0)</f>
        <v>20</v>
      </c>
      <c r="J506" s="698">
        <f>46.1*$B$2</f>
        <v>30833.524000000001</v>
      </c>
      <c r="K506" s="695">
        <f t="shared" ref="K506:K510" si="59">I506*J506</f>
        <v>616670.48</v>
      </c>
      <c r="L506" s="725"/>
      <c r="M506" s="674"/>
      <c r="N506" s="726"/>
    </row>
    <row r="507" spans="1:14" s="27" customFormat="1" ht="17.25" customHeight="1">
      <c r="A507" s="693" t="s">
        <v>399</v>
      </c>
      <c r="B507" s="844" t="s">
        <v>529</v>
      </c>
      <c r="C507" s="747">
        <f>VLOOKUP(B503,'CNKT '!$D$16:$AA$96,12,0)</f>
        <v>4</v>
      </c>
      <c r="D507" s="697">
        <f>76.9*$B$2</f>
        <v>51433.796000000009</v>
      </c>
      <c r="E507" s="695">
        <f t="shared" si="58"/>
        <v>205735.18400000004</v>
      </c>
      <c r="F507" s="724"/>
      <c r="G507" s="693" t="s">
        <v>399</v>
      </c>
      <c r="H507" s="844" t="s">
        <v>529</v>
      </c>
      <c r="I507" s="747">
        <f>VLOOKUP(H503,'CNKT '!$D$16:$AA$96,12,0)</f>
        <v>4</v>
      </c>
      <c r="J507" s="697">
        <f>76.9*$B$2</f>
        <v>51433.796000000009</v>
      </c>
      <c r="K507" s="695">
        <f t="shared" si="59"/>
        <v>205735.18400000004</v>
      </c>
      <c r="L507" s="725"/>
      <c r="M507" s="674"/>
      <c r="N507" s="726"/>
    </row>
    <row r="508" spans="1:14" s="27" customFormat="1" ht="17.25" customHeight="1">
      <c r="A508" s="693" t="s">
        <v>78</v>
      </c>
      <c r="B508" s="844" t="s">
        <v>530</v>
      </c>
      <c r="C508" s="747">
        <f>VLOOKUP(B503,'CNKT '!$D$16:$AA$96,8,0)</f>
        <v>660.33035082380661</v>
      </c>
      <c r="D508" s="697">
        <f>IF(C504="A",6.1,IF(C504="B",5.8,IF(C504="C",5.5,IF(C504="C.",5.5,IF(C504="D",5.2)))))*$B$2</f>
        <v>0</v>
      </c>
      <c r="E508" s="695">
        <f t="shared" si="58"/>
        <v>0</v>
      </c>
      <c r="F508" s="724"/>
      <c r="G508" s="693" t="s">
        <v>78</v>
      </c>
      <c r="H508" s="844" t="s">
        <v>530</v>
      </c>
      <c r="I508" s="747">
        <f>VLOOKUP(H503,'CNKT '!$D$16:$AA$96,8,0)</f>
        <v>1031.3024580281924</v>
      </c>
      <c r="J508" s="697">
        <f>IF(I504="A",6.1,IF(I504="B",5.8,IF(I504="C",5.5,IF(I504="C.",5.5,IF(I504="D",5.2)))))*$B$2</f>
        <v>0</v>
      </c>
      <c r="K508" s="695">
        <f t="shared" si="59"/>
        <v>0</v>
      </c>
      <c r="L508" s="725"/>
      <c r="M508" s="674"/>
      <c r="N508" s="726"/>
    </row>
    <row r="509" spans="1:14" s="27" customFormat="1" ht="17.25" customHeight="1">
      <c r="A509" s="693" t="s">
        <v>491</v>
      </c>
      <c r="B509" s="844" t="s">
        <v>531</v>
      </c>
      <c r="C509" s="747">
        <f>VLOOKUP(B503,'CNKT '!$D$16:$AA$96,15,0)</f>
        <v>0</v>
      </c>
      <c r="D509" s="698">
        <f>92.2*$B$2</f>
        <v>61667.048000000003</v>
      </c>
      <c r="E509" s="695">
        <f t="shared" si="58"/>
        <v>0</v>
      </c>
      <c r="F509" s="724"/>
      <c r="G509" s="693" t="s">
        <v>491</v>
      </c>
      <c r="H509" s="844" t="s">
        <v>531</v>
      </c>
      <c r="I509" s="747">
        <f>VLOOKUP(H503,'CNKT '!$D$16:$AA$96,15,0)</f>
        <v>0</v>
      </c>
      <c r="J509" s="698">
        <f>92.2*$B$2</f>
        <v>61667.048000000003</v>
      </c>
      <c r="K509" s="695">
        <f t="shared" si="59"/>
        <v>0</v>
      </c>
      <c r="L509" s="725"/>
      <c r="M509" s="674"/>
      <c r="N509" s="726"/>
    </row>
    <row r="510" spans="1:14" s="27" customFormat="1" ht="17.25" customHeight="1">
      <c r="A510" s="693" t="s">
        <v>492</v>
      </c>
      <c r="B510" s="844" t="s">
        <v>496</v>
      </c>
      <c r="C510" s="747">
        <f>VLOOKUP(B503,'CNKT '!$D$16:$AA$96,16,0)</f>
        <v>0</v>
      </c>
      <c r="D510" s="697">
        <f>153.8*$B$2</f>
        <v>102867.59200000002</v>
      </c>
      <c r="E510" s="695">
        <f t="shared" si="58"/>
        <v>0</v>
      </c>
      <c r="F510" s="724"/>
      <c r="G510" s="693" t="s">
        <v>492</v>
      </c>
      <c r="H510" s="844" t="s">
        <v>496</v>
      </c>
      <c r="I510" s="747">
        <f>VLOOKUP(H503,'CNKT '!$D$16:$AA$96,16,0)</f>
        <v>0</v>
      </c>
      <c r="J510" s="697">
        <f>153.8*$B$2</f>
        <v>102867.59200000002</v>
      </c>
      <c r="K510" s="695">
        <f t="shared" si="59"/>
        <v>0</v>
      </c>
      <c r="L510" s="725"/>
      <c r="M510" s="674"/>
      <c r="N510" s="726"/>
    </row>
    <row r="511" spans="1:14" s="27" customFormat="1" ht="17.25" customHeight="1">
      <c r="A511" s="693" t="s">
        <v>453</v>
      </c>
      <c r="B511" s="844" t="s">
        <v>497</v>
      </c>
      <c r="C511" s="747">
        <f>VLOOKUP(B503,'CNKT '!$D$16:$AA$96,18,0)</f>
        <v>0</v>
      </c>
      <c r="D511" s="697">
        <v>10000</v>
      </c>
      <c r="E511" s="695">
        <f>C511*D511</f>
        <v>0</v>
      </c>
      <c r="F511" s="724"/>
      <c r="G511" s="693" t="s">
        <v>453</v>
      </c>
      <c r="H511" s="844" t="s">
        <v>497</v>
      </c>
      <c r="I511" s="747">
        <f>VLOOKUP(H503,'CNKT '!$D$16:$AA$96,18,0)</f>
        <v>0</v>
      </c>
      <c r="J511" s="697">
        <v>10000</v>
      </c>
      <c r="K511" s="695">
        <f>I511*J511</f>
        <v>0</v>
      </c>
      <c r="L511" s="725"/>
      <c r="M511" s="674"/>
      <c r="N511" s="726"/>
    </row>
    <row r="512" spans="1:14" s="27" customFormat="1" ht="17.25" customHeight="1">
      <c r="A512" s="693" t="s">
        <v>453</v>
      </c>
      <c r="B512" s="844" t="s">
        <v>497</v>
      </c>
      <c r="C512" s="747">
        <f>VLOOKUP(B503,'CNKT '!$D$16:$AA$96,19,0)</f>
        <v>0</v>
      </c>
      <c r="D512" s="697">
        <v>20000</v>
      </c>
      <c r="E512" s="695">
        <f>C512*D512</f>
        <v>0</v>
      </c>
      <c r="F512" s="724"/>
      <c r="G512" s="693" t="s">
        <v>453</v>
      </c>
      <c r="H512" s="844" t="s">
        <v>497</v>
      </c>
      <c r="I512" s="747">
        <f>VLOOKUP(H503,'CNKT '!$D$16:$AA$96,19,0)</f>
        <v>0</v>
      </c>
      <c r="J512" s="697">
        <v>20000</v>
      </c>
      <c r="K512" s="695">
        <f>I512*J512</f>
        <v>0</v>
      </c>
      <c r="L512" s="725"/>
      <c r="M512" s="674"/>
      <c r="N512" s="726"/>
    </row>
    <row r="513" spans="1:14" s="27" customFormat="1" ht="17.25" customHeight="1">
      <c r="A513" s="693" t="s">
        <v>512</v>
      </c>
      <c r="B513" s="844" t="s">
        <v>513</v>
      </c>
      <c r="C513" s="747"/>
      <c r="D513" s="697"/>
      <c r="E513" s="695"/>
      <c r="F513" s="724"/>
      <c r="G513" s="693" t="s">
        <v>512</v>
      </c>
      <c r="H513" s="844" t="s">
        <v>513</v>
      </c>
      <c r="I513" s="747"/>
      <c r="J513" s="697"/>
      <c r="K513" s="695"/>
      <c r="L513" s="725"/>
      <c r="M513" s="674"/>
      <c r="N513" s="726"/>
    </row>
    <row r="514" spans="1:14" s="27" customFormat="1" ht="17.25" customHeight="1">
      <c r="A514" s="699" t="s">
        <v>79</v>
      </c>
      <c r="B514" s="845" t="s">
        <v>532</v>
      </c>
      <c r="C514" s="700"/>
      <c r="D514" s="701"/>
      <c r="E514" s="700"/>
      <c r="F514" s="724"/>
      <c r="G514" s="699" t="s">
        <v>79</v>
      </c>
      <c r="H514" s="845" t="s">
        <v>532</v>
      </c>
      <c r="I514" s="700"/>
      <c r="J514" s="701"/>
      <c r="K514" s="700"/>
      <c r="L514" s="725"/>
      <c r="M514" s="674"/>
      <c r="N514" s="726"/>
    </row>
    <row r="515" spans="1:14" s="27" customFormat="1" ht="17.25" customHeight="1">
      <c r="A515" s="702" t="s">
        <v>80</v>
      </c>
      <c r="B515" s="846" t="s">
        <v>533</v>
      </c>
      <c r="C515" s="700"/>
      <c r="D515" s="700"/>
      <c r="E515" s="700"/>
      <c r="F515" s="724"/>
      <c r="G515" s="702" t="s">
        <v>80</v>
      </c>
      <c r="H515" s="846" t="s">
        <v>533</v>
      </c>
      <c r="I515" s="700"/>
      <c r="J515" s="700"/>
      <c r="K515" s="700"/>
      <c r="L515" s="725"/>
      <c r="M515" s="674"/>
      <c r="N515" s="726"/>
    </row>
    <row r="516" spans="1:14" s="27" customFormat="1" ht="17.25" customHeight="1">
      <c r="A516" s="702" t="s">
        <v>81</v>
      </c>
      <c r="B516" s="847" t="s">
        <v>534</v>
      </c>
      <c r="C516" s="700"/>
      <c r="D516" s="700"/>
      <c r="E516" s="695">
        <f>SUM(E515)</f>
        <v>0</v>
      </c>
      <c r="F516" s="724"/>
      <c r="G516" s="702" t="s">
        <v>81</v>
      </c>
      <c r="H516" s="847" t="s">
        <v>534</v>
      </c>
      <c r="I516" s="700"/>
      <c r="J516" s="700"/>
      <c r="K516" s="695">
        <f>SUM(K515)</f>
        <v>0</v>
      </c>
      <c r="L516" s="725"/>
      <c r="M516" s="703">
        <f>E516+K516</f>
        <v>0</v>
      </c>
      <c r="N516" s="726"/>
    </row>
    <row r="517" spans="1:14" s="27" customFormat="1" ht="17.25" customHeight="1">
      <c r="A517" s="704" t="s">
        <v>82</v>
      </c>
      <c r="B517" s="848" t="s">
        <v>438</v>
      </c>
      <c r="C517" s="705"/>
      <c r="D517" s="705"/>
      <c r="E517" s="705">
        <f>(E505+E506+E507+E508+E509+E510+E511+E512+E513)-E516</f>
        <v>760738.61600000004</v>
      </c>
      <c r="F517" s="724"/>
      <c r="G517" s="704" t="s">
        <v>82</v>
      </c>
      <c r="H517" s="848" t="s">
        <v>438</v>
      </c>
      <c r="I517" s="705"/>
      <c r="J517" s="705"/>
      <c r="K517" s="705">
        <f>(K505+K506+K507+K508+K509+K510+K511+K512+K513)-K516</f>
        <v>822405.66399999999</v>
      </c>
      <c r="L517" s="707">
        <f>E517+K517</f>
        <v>1583144.28</v>
      </c>
      <c r="M517" s="674"/>
      <c r="N517" s="726"/>
    </row>
    <row r="518" spans="1:14" s="27" customFormat="1" ht="7.5" customHeight="1">
      <c r="A518" s="710"/>
      <c r="B518" s="715"/>
      <c r="C518" s="716"/>
      <c r="D518" s="716"/>
      <c r="E518" s="714"/>
      <c r="F518" s="724"/>
      <c r="G518" s="710"/>
      <c r="H518" s="715"/>
      <c r="I518" s="716"/>
      <c r="J518" s="714"/>
      <c r="K518" s="724"/>
      <c r="L518" s="725"/>
      <c r="M518" s="674"/>
      <c r="N518" s="726"/>
    </row>
    <row r="519" spans="1:14" s="27" customFormat="1" ht="17.25" customHeight="1">
      <c r="A519" s="1567" t="str">
        <f>G502</f>
        <v>LƯƠNG THÁNG 01/2025</v>
      </c>
      <c r="B519" s="1568"/>
      <c r="C519" s="1568"/>
      <c r="D519" s="1568"/>
      <c r="E519" s="766">
        <v>61</v>
      </c>
      <c r="F519" s="724"/>
      <c r="G519" s="1567" t="str">
        <f>A519</f>
        <v>LƯƠNG THÁNG 01/2025</v>
      </c>
      <c r="H519" s="1568"/>
      <c r="I519" s="1568"/>
      <c r="J519" s="1569"/>
      <c r="K519" s="766">
        <v>62</v>
      </c>
      <c r="L519" s="725"/>
      <c r="M519" s="674"/>
      <c r="N519" s="726"/>
    </row>
    <row r="520" spans="1:14" s="27" customFormat="1" ht="17.25" customHeight="1">
      <c r="A520" s="709" t="s">
        <v>15</v>
      </c>
      <c r="B520" s="840" t="str">
        <f>'CNKT '!D76</f>
        <v>N. Bua Hom</v>
      </c>
      <c r="C520" s="691"/>
      <c r="D520" s="838" t="s">
        <v>396</v>
      </c>
      <c r="E520" s="838" t="s">
        <v>18</v>
      </c>
      <c r="F520" s="724"/>
      <c r="G520" s="709" t="s">
        <v>15</v>
      </c>
      <c r="H520" s="840" t="str">
        <f>'CNKT '!D77</f>
        <v>N. Lăm Phay (2)</v>
      </c>
      <c r="I520" s="691"/>
      <c r="J520" s="838" t="s">
        <v>396</v>
      </c>
      <c r="K520" s="838" t="s">
        <v>18</v>
      </c>
      <c r="L520" s="725"/>
      <c r="M520" s="674"/>
      <c r="N520" s="726"/>
    </row>
    <row r="521" spans="1:14" s="27" customFormat="1" ht="17.25" customHeight="1">
      <c r="A521" s="693" t="s">
        <v>397</v>
      </c>
      <c r="B521" s="842" t="s">
        <v>527</v>
      </c>
      <c r="C521" s="694">
        <f>VLOOKUP(B520,'BTH mủ tạp'!$D$17:$AN$94,36,0)</f>
        <v>1264.5511704329497</v>
      </c>
      <c r="D521" s="695"/>
      <c r="E521" s="695"/>
      <c r="F521" s="724"/>
      <c r="G521" s="693" t="s">
        <v>397</v>
      </c>
      <c r="H521" s="842" t="s">
        <v>527</v>
      </c>
      <c r="I521" s="694">
        <f>VLOOKUP(H520,'BTH mủ tạp'!$D$17:$AN$94,36,0)</f>
        <v>1035.0121791002362</v>
      </c>
      <c r="J521" s="695"/>
      <c r="K521" s="695"/>
      <c r="L521" s="725"/>
      <c r="M521" s="674"/>
      <c r="N521" s="726"/>
    </row>
    <row r="522" spans="1:14" s="27" customFormat="1" ht="17.25" customHeight="1">
      <c r="A522" s="693" t="s">
        <v>77</v>
      </c>
      <c r="B522" s="843" t="s">
        <v>432</v>
      </c>
      <c r="C522" s="696">
        <f>VLOOKUP(B520,'CNKT '!$D$16:$AA$96,3,0)</f>
        <v>0</v>
      </c>
      <c r="D522" s="697">
        <v>25000</v>
      </c>
      <c r="E522" s="695">
        <f>C522*D522</f>
        <v>0</v>
      </c>
      <c r="F522" s="724"/>
      <c r="G522" s="693" t="s">
        <v>77</v>
      </c>
      <c r="H522" s="843" t="s">
        <v>432</v>
      </c>
      <c r="I522" s="696">
        <f>VLOOKUP(H520,'CNKT '!$D$16:$AA$96,3,0)</f>
        <v>0</v>
      </c>
      <c r="J522" s="697">
        <v>25000</v>
      </c>
      <c r="K522" s="695">
        <f>I522*J522</f>
        <v>0</v>
      </c>
      <c r="L522" s="725"/>
      <c r="M522" s="674"/>
      <c r="N522" s="726"/>
    </row>
    <row r="523" spans="1:14" s="27" customFormat="1" ht="17.25" customHeight="1">
      <c r="A523" s="693" t="s">
        <v>307</v>
      </c>
      <c r="B523" s="844" t="s">
        <v>528</v>
      </c>
      <c r="C523" s="747">
        <f>VLOOKUP(B520,'CNKT '!$D$16:$AA$96,11,0)</f>
        <v>22</v>
      </c>
      <c r="D523" s="698">
        <f>46.1*$B$2</f>
        <v>30833.524000000001</v>
      </c>
      <c r="E523" s="695">
        <f t="shared" ref="E523:E527" si="60">C523*D523</f>
        <v>678337.52800000005</v>
      </c>
      <c r="F523" s="724"/>
      <c r="G523" s="693" t="s">
        <v>307</v>
      </c>
      <c r="H523" s="844" t="s">
        <v>528</v>
      </c>
      <c r="I523" s="747">
        <f>VLOOKUP(H520,'CNKT '!$D$16:$AA$96,11,0)</f>
        <v>20</v>
      </c>
      <c r="J523" s="698">
        <f>46.1*$B$2</f>
        <v>30833.524000000001</v>
      </c>
      <c r="K523" s="695">
        <f t="shared" ref="K523:K527" si="61">I523*J523</f>
        <v>616670.48</v>
      </c>
      <c r="L523" s="725"/>
      <c r="M523" s="674"/>
      <c r="N523" s="726"/>
    </row>
    <row r="524" spans="1:14" s="27" customFormat="1" ht="17.25" customHeight="1">
      <c r="A524" s="693" t="s">
        <v>399</v>
      </c>
      <c r="B524" s="844" t="s">
        <v>529</v>
      </c>
      <c r="C524" s="747">
        <f>VLOOKUP(B520,'CNKT '!$D$16:$AA$96,12,0)</f>
        <v>4</v>
      </c>
      <c r="D524" s="697">
        <f>76.9*$B$2</f>
        <v>51433.796000000009</v>
      </c>
      <c r="E524" s="695">
        <f t="shared" si="60"/>
        <v>205735.18400000004</v>
      </c>
      <c r="F524" s="724"/>
      <c r="G524" s="693" t="s">
        <v>399</v>
      </c>
      <c r="H524" s="844" t="s">
        <v>529</v>
      </c>
      <c r="I524" s="747">
        <f>VLOOKUP(H520,'CNKT '!$D$16:$AA$96,12,0)</f>
        <v>5</v>
      </c>
      <c r="J524" s="697">
        <f>76.9*$B$2</f>
        <v>51433.796000000009</v>
      </c>
      <c r="K524" s="695">
        <f t="shared" si="61"/>
        <v>257168.98000000004</v>
      </c>
      <c r="L524" s="725"/>
      <c r="M524" s="674"/>
      <c r="N524" s="726"/>
    </row>
    <row r="525" spans="1:14" s="27" customFormat="1" ht="17.25" customHeight="1">
      <c r="A525" s="693" t="s">
        <v>78</v>
      </c>
      <c r="B525" s="844" t="s">
        <v>530</v>
      </c>
      <c r="C525" s="747">
        <f>VLOOKUP(B520,'CNKT '!$D$16:$AA$96,8,0)</f>
        <v>1264.5511704329499</v>
      </c>
      <c r="D525" s="697">
        <f>IF(C521="A",6.1,IF(C521="B",5.8,IF(C521="C",5.5,IF(C521="C.",5.5,IF(C521="D",5.2)))))*$B$2</f>
        <v>0</v>
      </c>
      <c r="E525" s="695">
        <f t="shared" si="60"/>
        <v>0</v>
      </c>
      <c r="F525" s="724"/>
      <c r="G525" s="693" t="s">
        <v>78</v>
      </c>
      <c r="H525" s="844" t="s">
        <v>530</v>
      </c>
      <c r="I525" s="747">
        <f>VLOOKUP(H520,'CNKT '!$D$16:$AA$96,8,0)</f>
        <v>1035.0121791002364</v>
      </c>
      <c r="J525" s="697">
        <f>IF(I521="A",6.1,IF(I521="B",5.8,IF(I521="C",5.5,IF(I521="C.",5.5,IF(I521="D",5.2)))))*$B$2</f>
        <v>0</v>
      </c>
      <c r="K525" s="695">
        <f t="shared" si="61"/>
        <v>0</v>
      </c>
      <c r="L525" s="725"/>
      <c r="M525" s="674"/>
      <c r="N525" s="726"/>
    </row>
    <row r="526" spans="1:14" s="27" customFormat="1" ht="17.25" customHeight="1">
      <c r="A526" s="693" t="s">
        <v>491</v>
      </c>
      <c r="B526" s="844" t="s">
        <v>531</v>
      </c>
      <c r="C526" s="747">
        <f>VLOOKUP(B520,'CNKT '!$D$16:$AA$96,15,0)</f>
        <v>0</v>
      </c>
      <c r="D526" s="698">
        <f>92.2*$B$2</f>
        <v>61667.048000000003</v>
      </c>
      <c r="E526" s="695">
        <f t="shared" si="60"/>
        <v>0</v>
      </c>
      <c r="F526" s="724"/>
      <c r="G526" s="693" t="s">
        <v>491</v>
      </c>
      <c r="H526" s="844" t="s">
        <v>531</v>
      </c>
      <c r="I526" s="747">
        <f>VLOOKUP(H520,'CNKT '!$D$16:$AA$96,15,0)</f>
        <v>0</v>
      </c>
      <c r="J526" s="698">
        <f>92.2*$B$2</f>
        <v>61667.048000000003</v>
      </c>
      <c r="K526" s="695">
        <f t="shared" si="61"/>
        <v>0</v>
      </c>
      <c r="L526" s="725"/>
      <c r="M526" s="674"/>
      <c r="N526" s="726"/>
    </row>
    <row r="527" spans="1:14" s="27" customFormat="1" ht="17.25" customHeight="1">
      <c r="A527" s="693" t="s">
        <v>492</v>
      </c>
      <c r="B527" s="844" t="s">
        <v>496</v>
      </c>
      <c r="C527" s="747">
        <f>VLOOKUP(B520,'CNKT '!$D$16:$AA$96,16,0)</f>
        <v>0</v>
      </c>
      <c r="D527" s="697">
        <f>153.8*$B$2</f>
        <v>102867.59200000002</v>
      </c>
      <c r="E527" s="695">
        <f t="shared" si="60"/>
        <v>0</v>
      </c>
      <c r="F527" s="724"/>
      <c r="G527" s="693" t="s">
        <v>492</v>
      </c>
      <c r="H527" s="844" t="s">
        <v>496</v>
      </c>
      <c r="I527" s="747">
        <f>VLOOKUP(H520,'CNKT '!$D$16:$AA$96,16,0)</f>
        <v>0</v>
      </c>
      <c r="J527" s="697">
        <f>153.8*$B$2</f>
        <v>102867.59200000002</v>
      </c>
      <c r="K527" s="695">
        <f t="shared" si="61"/>
        <v>0</v>
      </c>
      <c r="L527" s="725"/>
      <c r="M527" s="674"/>
      <c r="N527" s="726"/>
    </row>
    <row r="528" spans="1:14" s="27" customFormat="1" ht="17.25" customHeight="1">
      <c r="A528" s="693" t="s">
        <v>453</v>
      </c>
      <c r="B528" s="844" t="s">
        <v>497</v>
      </c>
      <c r="C528" s="747">
        <f>VLOOKUP(B520,'CNKT '!$D$16:$AA$96,18,0)</f>
        <v>0</v>
      </c>
      <c r="D528" s="697">
        <v>10000</v>
      </c>
      <c r="E528" s="695">
        <f>C528*D528</f>
        <v>0</v>
      </c>
      <c r="F528" s="724"/>
      <c r="G528" s="693" t="s">
        <v>453</v>
      </c>
      <c r="H528" s="844" t="s">
        <v>497</v>
      </c>
      <c r="I528" s="747">
        <f>VLOOKUP(H520,'CNKT '!$D$16:$AA$96,18,0)</f>
        <v>0</v>
      </c>
      <c r="J528" s="697">
        <v>10000</v>
      </c>
      <c r="K528" s="695">
        <f>I528*J528</f>
        <v>0</v>
      </c>
      <c r="L528" s="725"/>
      <c r="M528" s="674"/>
      <c r="N528" s="726"/>
    </row>
    <row r="529" spans="1:14" s="27" customFormat="1" ht="17.25" customHeight="1">
      <c r="A529" s="693" t="s">
        <v>453</v>
      </c>
      <c r="B529" s="844" t="s">
        <v>497</v>
      </c>
      <c r="C529" s="747">
        <f>VLOOKUP(B520,'CNKT '!$D$16:$AA$96,19,0)</f>
        <v>0</v>
      </c>
      <c r="D529" s="697">
        <v>20000</v>
      </c>
      <c r="E529" s="695">
        <f>C529*D529</f>
        <v>0</v>
      </c>
      <c r="F529" s="724"/>
      <c r="G529" s="693" t="s">
        <v>453</v>
      </c>
      <c r="H529" s="844" t="s">
        <v>497</v>
      </c>
      <c r="I529" s="747">
        <f>VLOOKUP(H520,'CNKT '!$D$16:$AA$96,19,0)</f>
        <v>0</v>
      </c>
      <c r="J529" s="697">
        <v>20000</v>
      </c>
      <c r="K529" s="695">
        <f>I529*J529</f>
        <v>0</v>
      </c>
      <c r="L529" s="725"/>
      <c r="M529" s="674"/>
      <c r="N529" s="726"/>
    </row>
    <row r="530" spans="1:14" s="27" customFormat="1" ht="17.25" customHeight="1">
      <c r="A530" s="693" t="s">
        <v>512</v>
      </c>
      <c r="B530" s="844" t="s">
        <v>513</v>
      </c>
      <c r="C530" s="747"/>
      <c r="D530" s="697"/>
      <c r="E530" s="695"/>
      <c r="F530" s="724"/>
      <c r="G530" s="693" t="s">
        <v>512</v>
      </c>
      <c r="H530" s="844" t="s">
        <v>513</v>
      </c>
      <c r="I530" s="747"/>
      <c r="J530" s="697"/>
      <c r="K530" s="695"/>
      <c r="L530" s="725"/>
      <c r="M530" s="674"/>
      <c r="N530" s="726"/>
    </row>
    <row r="531" spans="1:14" s="27" customFormat="1" ht="17.25" customHeight="1">
      <c r="A531" s="699" t="s">
        <v>79</v>
      </c>
      <c r="B531" s="845" t="s">
        <v>532</v>
      </c>
      <c r="C531" s="700"/>
      <c r="D531" s="701"/>
      <c r="E531" s="700"/>
      <c r="F531" s="724"/>
      <c r="G531" s="699" t="s">
        <v>79</v>
      </c>
      <c r="H531" s="845" t="s">
        <v>532</v>
      </c>
      <c r="I531" s="700"/>
      <c r="J531" s="701"/>
      <c r="K531" s="700"/>
      <c r="L531" s="725"/>
      <c r="M531" s="674"/>
      <c r="N531" s="726"/>
    </row>
    <row r="532" spans="1:14" s="27" customFormat="1" ht="17.25" customHeight="1">
      <c r="A532" s="702" t="s">
        <v>80</v>
      </c>
      <c r="B532" s="846" t="s">
        <v>533</v>
      </c>
      <c r="C532" s="700"/>
      <c r="D532" s="700"/>
      <c r="E532" s="700"/>
      <c r="F532" s="724"/>
      <c r="G532" s="702" t="s">
        <v>80</v>
      </c>
      <c r="H532" s="846" t="s">
        <v>533</v>
      </c>
      <c r="I532" s="700"/>
      <c r="J532" s="700"/>
      <c r="K532" s="700"/>
      <c r="L532" s="707">
        <f>E532+K532</f>
        <v>0</v>
      </c>
      <c r="M532" s="674"/>
      <c r="N532" s="726"/>
    </row>
    <row r="533" spans="1:14" s="27" customFormat="1" ht="17.25" customHeight="1">
      <c r="A533" s="702" t="s">
        <v>81</v>
      </c>
      <c r="B533" s="847" t="s">
        <v>534</v>
      </c>
      <c r="C533" s="700"/>
      <c r="D533" s="700"/>
      <c r="E533" s="695">
        <f>SUM(E532)</f>
        <v>0</v>
      </c>
      <c r="F533" s="724"/>
      <c r="G533" s="702" t="s">
        <v>81</v>
      </c>
      <c r="H533" s="847" t="s">
        <v>534</v>
      </c>
      <c r="I533" s="700"/>
      <c r="J533" s="700"/>
      <c r="K533" s="695">
        <f>SUM(K532)</f>
        <v>0</v>
      </c>
      <c r="L533" s="725"/>
      <c r="M533" s="703">
        <f>E533+K533</f>
        <v>0</v>
      </c>
      <c r="N533" s="726"/>
    </row>
    <row r="534" spans="1:14" s="27" customFormat="1" ht="17.25" customHeight="1">
      <c r="A534" s="704" t="s">
        <v>82</v>
      </c>
      <c r="B534" s="848" t="s">
        <v>438</v>
      </c>
      <c r="C534" s="705"/>
      <c r="D534" s="705"/>
      <c r="E534" s="705">
        <f>(E522+E523+E524+E525+E526+E527+E528+E529+E530)-E533</f>
        <v>884072.71200000006</v>
      </c>
      <c r="F534" s="724"/>
      <c r="G534" s="704" t="s">
        <v>82</v>
      </c>
      <c r="H534" s="848" t="s">
        <v>438</v>
      </c>
      <c r="I534" s="705"/>
      <c r="J534" s="705"/>
      <c r="K534" s="705">
        <f>(K522+K523+K524+K525+K526+K527+K528+K529+K530)-K533</f>
        <v>873839.46</v>
      </c>
      <c r="L534" s="707">
        <f>E534+K534</f>
        <v>1757912.172</v>
      </c>
      <c r="M534" s="674"/>
      <c r="N534" s="726"/>
    </row>
    <row r="535" spans="1:14" s="27" customFormat="1" ht="17.25" customHeight="1">
      <c r="A535" s="1567" t="str">
        <f>G519</f>
        <v>LƯƠNG THÁNG 01/2025</v>
      </c>
      <c r="B535" s="1568"/>
      <c r="C535" s="1568"/>
      <c r="D535" s="1568"/>
      <c r="E535" s="766">
        <v>63</v>
      </c>
      <c r="F535" s="724"/>
      <c r="G535" s="1567" t="str">
        <f>A535</f>
        <v>LƯƠNG THÁNG 01/2025</v>
      </c>
      <c r="H535" s="1568"/>
      <c r="I535" s="1568"/>
      <c r="J535" s="1569"/>
      <c r="K535" s="766">
        <v>64</v>
      </c>
      <c r="L535" s="725"/>
      <c r="M535" s="674"/>
      <c r="N535" s="726"/>
    </row>
    <row r="536" spans="1:14" s="27" customFormat="1" ht="17.25" customHeight="1">
      <c r="A536" s="709" t="s">
        <v>15</v>
      </c>
      <c r="B536" s="840" t="str">
        <f>'CNKT '!D78</f>
        <v>T. Đèng</v>
      </c>
      <c r="C536" s="691"/>
      <c r="D536" s="838" t="s">
        <v>396</v>
      </c>
      <c r="E536" s="838" t="s">
        <v>18</v>
      </c>
      <c r="F536" s="724"/>
      <c r="G536" s="709" t="s">
        <v>15</v>
      </c>
      <c r="H536" s="840" t="str">
        <f>'CNKT '!D79</f>
        <v>N. Đon</v>
      </c>
      <c r="I536" s="691"/>
      <c r="J536" s="838" t="s">
        <v>396</v>
      </c>
      <c r="K536" s="838" t="s">
        <v>18</v>
      </c>
      <c r="L536" s="725"/>
      <c r="M536" s="674"/>
      <c r="N536" s="726"/>
    </row>
    <row r="537" spans="1:14" s="27" customFormat="1" ht="17.25" customHeight="1">
      <c r="A537" s="693" t="s">
        <v>397</v>
      </c>
      <c r="B537" s="842" t="s">
        <v>527</v>
      </c>
      <c r="C537" s="694">
        <f>VLOOKUP(B536,'BTH mủ tạp'!$D$17:$AN$94,36,0)</f>
        <v>612.56769202124178</v>
      </c>
      <c r="D537" s="695"/>
      <c r="E537" s="695"/>
      <c r="F537" s="724"/>
      <c r="G537" s="693" t="s">
        <v>397</v>
      </c>
      <c r="H537" s="842" t="s">
        <v>527</v>
      </c>
      <c r="I537" s="694">
        <f>VLOOKUP(H536,'BTH mủ tạp'!$D$17:$AN$94,36,0)</f>
        <v>850.91727090005963</v>
      </c>
      <c r="J537" s="695"/>
      <c r="K537" s="695"/>
      <c r="L537" s="725"/>
      <c r="M537" s="674"/>
      <c r="N537" s="726"/>
    </row>
    <row r="538" spans="1:14" s="27" customFormat="1" ht="17.25" customHeight="1">
      <c r="A538" s="693" t="s">
        <v>77</v>
      </c>
      <c r="B538" s="843" t="s">
        <v>432</v>
      </c>
      <c r="C538" s="696">
        <f>VLOOKUP(B536,'CNKT '!$D$16:$AA$96,3,0)</f>
        <v>0</v>
      </c>
      <c r="D538" s="697">
        <v>25000</v>
      </c>
      <c r="E538" s="695">
        <f>C538*D538</f>
        <v>0</v>
      </c>
      <c r="F538" s="724"/>
      <c r="G538" s="693" t="s">
        <v>77</v>
      </c>
      <c r="H538" s="843" t="s">
        <v>432</v>
      </c>
      <c r="I538" s="696">
        <f>VLOOKUP(H536,'CNKT '!$D$16:$AA$96,3,0)</f>
        <v>0</v>
      </c>
      <c r="J538" s="697">
        <v>25000</v>
      </c>
      <c r="K538" s="695">
        <f>I538*J538</f>
        <v>0</v>
      </c>
      <c r="L538" s="725"/>
      <c r="M538" s="674"/>
      <c r="N538" s="726"/>
    </row>
    <row r="539" spans="1:14" s="27" customFormat="1" ht="17.25" customHeight="1">
      <c r="A539" s="693" t="s">
        <v>307</v>
      </c>
      <c r="B539" s="844" t="s">
        <v>528</v>
      </c>
      <c r="C539" s="747">
        <f>VLOOKUP(B536,'CNKT '!$D$16:$AA$96,11,0)</f>
        <v>24</v>
      </c>
      <c r="D539" s="698">
        <f>46.1*$B$2</f>
        <v>30833.524000000001</v>
      </c>
      <c r="E539" s="695">
        <f t="shared" ref="E539:E543" si="62">C539*D539</f>
        <v>740004.576</v>
      </c>
      <c r="F539" s="724"/>
      <c r="G539" s="693" t="s">
        <v>307</v>
      </c>
      <c r="H539" s="844" t="s">
        <v>528</v>
      </c>
      <c r="I539" s="747">
        <f>VLOOKUP(H536,'CNKT '!$D$16:$AA$96,11,0)</f>
        <v>22</v>
      </c>
      <c r="J539" s="698">
        <f>46.1*$B$2</f>
        <v>30833.524000000001</v>
      </c>
      <c r="K539" s="695">
        <f t="shared" ref="K539:K543" si="63">I539*J539</f>
        <v>678337.52800000005</v>
      </c>
      <c r="L539" s="725"/>
      <c r="M539" s="674"/>
      <c r="N539" s="726"/>
    </row>
    <row r="540" spans="1:14" s="27" customFormat="1" ht="17.25" customHeight="1">
      <c r="A540" s="693" t="s">
        <v>399</v>
      </c>
      <c r="B540" s="844" t="s">
        <v>529</v>
      </c>
      <c r="C540" s="747">
        <f>VLOOKUP(B536,'CNKT '!$D$16:$AA$96,12,0)</f>
        <v>5</v>
      </c>
      <c r="D540" s="697">
        <f>76.9*$B$2</f>
        <v>51433.796000000009</v>
      </c>
      <c r="E540" s="695">
        <f t="shared" si="62"/>
        <v>257168.98000000004</v>
      </c>
      <c r="F540" s="724"/>
      <c r="G540" s="693" t="s">
        <v>399</v>
      </c>
      <c r="H540" s="844" t="s">
        <v>529</v>
      </c>
      <c r="I540" s="747">
        <f>VLOOKUP(H536,'CNKT '!$D$16:$AA$96,12,0)</f>
        <v>4</v>
      </c>
      <c r="J540" s="697">
        <f>76.9*$B$2</f>
        <v>51433.796000000009</v>
      </c>
      <c r="K540" s="695">
        <f t="shared" si="63"/>
        <v>205735.18400000004</v>
      </c>
      <c r="L540" s="725"/>
      <c r="M540" s="674"/>
      <c r="N540" s="726"/>
    </row>
    <row r="541" spans="1:14" s="27" customFormat="1" ht="17.25" customHeight="1">
      <c r="A541" s="693" t="s">
        <v>78</v>
      </c>
      <c r="B541" s="844" t="s">
        <v>530</v>
      </c>
      <c r="C541" s="747">
        <f>VLOOKUP(B536,'CNKT '!$D$16:$AA$96,8,0)</f>
        <v>612.56769202124201</v>
      </c>
      <c r="D541" s="697">
        <f>IF(C537="A",6.1,IF(C537="B",5.8,IF(C537="C",5.5,IF(C537="C.",5.5,IF(C537="D",5.2)))))*$B$2</f>
        <v>0</v>
      </c>
      <c r="E541" s="695">
        <f t="shared" si="62"/>
        <v>0</v>
      </c>
      <c r="F541" s="724"/>
      <c r="G541" s="693" t="s">
        <v>78</v>
      </c>
      <c r="H541" s="844" t="s">
        <v>530</v>
      </c>
      <c r="I541" s="747">
        <f>VLOOKUP(H536,'CNKT '!$D$16:$AA$96,8,0)</f>
        <v>850.91727090005986</v>
      </c>
      <c r="J541" s="697">
        <f>IF(I537="A",6.1,IF(I537="B",5.8,IF(I537="C",5.5,IF(I537="C.",5.5,IF(I537="D",5.2)))))*$B$2</f>
        <v>0</v>
      </c>
      <c r="K541" s="695">
        <f t="shared" si="63"/>
        <v>0</v>
      </c>
      <c r="L541" s="725"/>
      <c r="M541" s="674"/>
      <c r="N541" s="726"/>
    </row>
    <row r="542" spans="1:14" s="27" customFormat="1" ht="17.25" customHeight="1">
      <c r="A542" s="693" t="s">
        <v>491</v>
      </c>
      <c r="B542" s="844" t="s">
        <v>531</v>
      </c>
      <c r="C542" s="747">
        <f>VLOOKUP(B536,'CNKT '!$D$16:$AA$96,15,0)</f>
        <v>0</v>
      </c>
      <c r="D542" s="698">
        <f>92.2*$B$2</f>
        <v>61667.048000000003</v>
      </c>
      <c r="E542" s="695">
        <f t="shared" si="62"/>
        <v>0</v>
      </c>
      <c r="F542" s="724"/>
      <c r="G542" s="693" t="s">
        <v>491</v>
      </c>
      <c r="H542" s="844" t="s">
        <v>531</v>
      </c>
      <c r="I542" s="747">
        <f>VLOOKUP(H536,'CNKT '!$D$16:$AA$96,15,0)</f>
        <v>0</v>
      </c>
      <c r="J542" s="698">
        <f>92.2*$B$2</f>
        <v>61667.048000000003</v>
      </c>
      <c r="K542" s="695">
        <f t="shared" si="63"/>
        <v>0</v>
      </c>
      <c r="L542" s="725"/>
      <c r="M542" s="674"/>
      <c r="N542" s="726"/>
    </row>
    <row r="543" spans="1:14" s="27" customFormat="1" ht="17.25" customHeight="1">
      <c r="A543" s="693" t="s">
        <v>492</v>
      </c>
      <c r="B543" s="844" t="s">
        <v>496</v>
      </c>
      <c r="C543" s="747">
        <f>VLOOKUP(B536,'CNKT '!$D$16:$AA$96,16,0)</f>
        <v>0</v>
      </c>
      <c r="D543" s="697">
        <f>153.8*$B$2</f>
        <v>102867.59200000002</v>
      </c>
      <c r="E543" s="695">
        <f t="shared" si="62"/>
        <v>0</v>
      </c>
      <c r="F543" s="724"/>
      <c r="G543" s="693" t="s">
        <v>492</v>
      </c>
      <c r="H543" s="844" t="s">
        <v>496</v>
      </c>
      <c r="I543" s="747">
        <f>VLOOKUP(H536,'CNKT '!$D$16:$AA$96,16,0)</f>
        <v>0</v>
      </c>
      <c r="J543" s="697">
        <f>153.8*$B$2</f>
        <v>102867.59200000002</v>
      </c>
      <c r="K543" s="695">
        <f t="shared" si="63"/>
        <v>0</v>
      </c>
      <c r="L543" s="725"/>
      <c r="M543" s="674"/>
      <c r="N543" s="726"/>
    </row>
    <row r="544" spans="1:14" s="27" customFormat="1" ht="17.25" customHeight="1">
      <c r="A544" s="693" t="s">
        <v>453</v>
      </c>
      <c r="B544" s="844" t="s">
        <v>497</v>
      </c>
      <c r="C544" s="747">
        <f>VLOOKUP(B536,'CNKT '!$D$16:$AA$96,18,0)</f>
        <v>0</v>
      </c>
      <c r="D544" s="697">
        <v>10000</v>
      </c>
      <c r="E544" s="695">
        <f>C544*D544</f>
        <v>0</v>
      </c>
      <c r="F544" s="724"/>
      <c r="G544" s="693" t="s">
        <v>453</v>
      </c>
      <c r="H544" s="844" t="s">
        <v>497</v>
      </c>
      <c r="I544" s="747">
        <f>VLOOKUP(H536,'CNKT '!$D$16:$AA$96,18,0)</f>
        <v>0</v>
      </c>
      <c r="J544" s="697">
        <v>10000</v>
      </c>
      <c r="K544" s="695">
        <f>I544*J544</f>
        <v>0</v>
      </c>
      <c r="L544" s="725"/>
      <c r="M544" s="674"/>
      <c r="N544" s="726"/>
    </row>
    <row r="545" spans="1:14" s="27" customFormat="1" ht="17.25" customHeight="1">
      <c r="A545" s="693" t="s">
        <v>453</v>
      </c>
      <c r="B545" s="844" t="s">
        <v>497</v>
      </c>
      <c r="C545" s="747">
        <f>VLOOKUP(B536,'CNKT '!$D$16:$AA$96,19,0)</f>
        <v>0</v>
      </c>
      <c r="D545" s="697">
        <v>20000</v>
      </c>
      <c r="E545" s="695">
        <f>C545*D545</f>
        <v>0</v>
      </c>
      <c r="F545" s="724"/>
      <c r="G545" s="693" t="s">
        <v>453</v>
      </c>
      <c r="H545" s="844" t="s">
        <v>497</v>
      </c>
      <c r="I545" s="747">
        <f>VLOOKUP(H536,'CNKT '!$D$16:$AA$96,19,0)</f>
        <v>0</v>
      </c>
      <c r="J545" s="697">
        <v>20000</v>
      </c>
      <c r="K545" s="695">
        <f>I545*J545</f>
        <v>0</v>
      </c>
      <c r="L545" s="725"/>
      <c r="M545" s="674"/>
      <c r="N545" s="726"/>
    </row>
    <row r="546" spans="1:14" s="27" customFormat="1" ht="17.25" customHeight="1">
      <c r="A546" s="693" t="s">
        <v>512</v>
      </c>
      <c r="B546" s="844" t="s">
        <v>513</v>
      </c>
      <c r="C546" s="747"/>
      <c r="D546" s="697"/>
      <c r="E546" s="695"/>
      <c r="F546" s="724"/>
      <c r="G546" s="693" t="s">
        <v>512</v>
      </c>
      <c r="H546" s="844" t="s">
        <v>513</v>
      </c>
      <c r="I546" s="747"/>
      <c r="J546" s="697"/>
      <c r="K546" s="695"/>
      <c r="L546" s="725"/>
      <c r="M546" s="674"/>
      <c r="N546" s="726"/>
    </row>
    <row r="547" spans="1:14" s="27" customFormat="1" ht="17.25" customHeight="1">
      <c r="A547" s="699" t="s">
        <v>79</v>
      </c>
      <c r="B547" s="845" t="s">
        <v>532</v>
      </c>
      <c r="C547" s="700"/>
      <c r="D547" s="701"/>
      <c r="E547" s="700"/>
      <c r="F547" s="724"/>
      <c r="G547" s="699" t="s">
        <v>79</v>
      </c>
      <c r="H547" s="845" t="s">
        <v>532</v>
      </c>
      <c r="I547" s="700"/>
      <c r="J547" s="701"/>
      <c r="K547" s="700"/>
      <c r="L547" s="725"/>
      <c r="M547" s="674"/>
      <c r="N547" s="726"/>
    </row>
    <row r="548" spans="1:14" s="27" customFormat="1" ht="17.25" customHeight="1">
      <c r="A548" s="702" t="s">
        <v>80</v>
      </c>
      <c r="B548" s="846" t="s">
        <v>533</v>
      </c>
      <c r="C548" s="700"/>
      <c r="D548" s="700"/>
      <c r="E548" s="700"/>
      <c r="F548" s="724"/>
      <c r="G548" s="702" t="s">
        <v>80</v>
      </c>
      <c r="H548" s="846" t="s">
        <v>533</v>
      </c>
      <c r="I548" s="700"/>
      <c r="J548" s="700"/>
      <c r="K548" s="700"/>
      <c r="L548" s="725"/>
      <c r="M548" s="674"/>
      <c r="N548" s="726"/>
    </row>
    <row r="549" spans="1:14" s="27" customFormat="1" ht="17.25" customHeight="1">
      <c r="A549" s="702" t="s">
        <v>81</v>
      </c>
      <c r="B549" s="847" t="s">
        <v>534</v>
      </c>
      <c r="C549" s="700"/>
      <c r="D549" s="700"/>
      <c r="E549" s="695">
        <f>SUM(E548)</f>
        <v>0</v>
      </c>
      <c r="F549" s="724"/>
      <c r="G549" s="702" t="s">
        <v>81</v>
      </c>
      <c r="H549" s="847" t="s">
        <v>534</v>
      </c>
      <c r="I549" s="700"/>
      <c r="J549" s="700"/>
      <c r="K549" s="695">
        <f>SUM(K548)</f>
        <v>0</v>
      </c>
      <c r="L549" s="725"/>
      <c r="M549" s="703">
        <f>E549+K549</f>
        <v>0</v>
      </c>
      <c r="N549" s="726"/>
    </row>
    <row r="550" spans="1:14" s="27" customFormat="1" ht="17.25" customHeight="1">
      <c r="A550" s="704" t="s">
        <v>82</v>
      </c>
      <c r="B550" s="848" t="s">
        <v>438</v>
      </c>
      <c r="C550" s="705"/>
      <c r="D550" s="705"/>
      <c r="E550" s="705">
        <f>(E538+E539+E540+E541+E542+E543+E544+E545+E546)-E549</f>
        <v>997173.5560000001</v>
      </c>
      <c r="F550" s="724"/>
      <c r="G550" s="704" t="s">
        <v>82</v>
      </c>
      <c r="H550" s="848" t="s">
        <v>438</v>
      </c>
      <c r="I550" s="705"/>
      <c r="J550" s="705"/>
      <c r="K550" s="705">
        <f>(K538+K539+K540+K541+K542+K543+K544+K545+K546)-K549</f>
        <v>884072.71200000006</v>
      </c>
      <c r="L550" s="707">
        <f>E550+K550</f>
        <v>1881246.2680000002</v>
      </c>
      <c r="M550" s="674"/>
      <c r="N550" s="726"/>
    </row>
    <row r="551" spans="1:14" s="27" customFormat="1" ht="9.75" customHeight="1">
      <c r="A551" s="710"/>
      <c r="B551" s="715"/>
      <c r="C551" s="716"/>
      <c r="D551" s="716"/>
      <c r="E551" s="714"/>
      <c r="F551" s="724"/>
      <c r="G551" s="710"/>
      <c r="H551" s="715"/>
      <c r="I551" s="716"/>
      <c r="J551" s="714"/>
      <c r="K551" s="724"/>
      <c r="L551" s="725"/>
      <c r="M551" s="674"/>
      <c r="N551" s="726"/>
    </row>
    <row r="552" spans="1:14" s="27" customFormat="1" ht="17.25" customHeight="1">
      <c r="A552" s="1567" t="str">
        <f>G535</f>
        <v>LƯƠNG THÁNG 01/2025</v>
      </c>
      <c r="B552" s="1568"/>
      <c r="C552" s="1568"/>
      <c r="D552" s="1568"/>
      <c r="E552" s="766">
        <v>65</v>
      </c>
      <c r="F552" s="724"/>
      <c r="G552" s="1567" t="str">
        <f>A552</f>
        <v>LƯƠNG THÁNG 01/2025</v>
      </c>
      <c r="H552" s="1568"/>
      <c r="I552" s="1568"/>
      <c r="J552" s="1569"/>
      <c r="K552" s="766">
        <v>66</v>
      </c>
      <c r="L552" s="725"/>
      <c r="M552" s="674"/>
      <c r="N552" s="726"/>
    </row>
    <row r="553" spans="1:14" s="27" customFormat="1" ht="17.25" customHeight="1">
      <c r="A553" s="709" t="s">
        <v>15</v>
      </c>
      <c r="B553" s="840" t="str">
        <f>'CNKT '!D80</f>
        <v xml:space="preserve">T. La </v>
      </c>
      <c r="C553" s="691"/>
      <c r="D553" s="838" t="s">
        <v>396</v>
      </c>
      <c r="E553" s="838" t="s">
        <v>18</v>
      </c>
      <c r="F553" s="724"/>
      <c r="G553" s="709" t="s">
        <v>15</v>
      </c>
      <c r="H553" s="840" t="str">
        <f>'CNKT '!D81</f>
        <v>T. Bờm</v>
      </c>
      <c r="I553" s="691"/>
      <c r="J553" s="838" t="s">
        <v>396</v>
      </c>
      <c r="K553" s="838" t="s">
        <v>18</v>
      </c>
      <c r="L553" s="725"/>
      <c r="M553" s="674"/>
      <c r="N553" s="726"/>
    </row>
    <row r="554" spans="1:14" s="27" customFormat="1" ht="17.25" customHeight="1">
      <c r="A554" s="693" t="s">
        <v>397</v>
      </c>
      <c r="B554" s="842" t="s">
        <v>527</v>
      </c>
      <c r="C554" s="694">
        <f>VLOOKUP(B553,'BTH mủ tạp'!$D$17:$AN$94,36,0)</f>
        <v>595.87394719704446</v>
      </c>
      <c r="D554" s="695"/>
      <c r="E554" s="695"/>
      <c r="F554" s="724"/>
      <c r="G554" s="693" t="s">
        <v>397</v>
      </c>
      <c r="H554" s="842" t="s">
        <v>527</v>
      </c>
      <c r="I554" s="694">
        <f>VLOOKUP(H553,'BTH mủ tạp'!$D$17:$AN$94,36,0)</f>
        <v>827.73151419978558</v>
      </c>
      <c r="J554" s="695"/>
      <c r="K554" s="695"/>
      <c r="L554" s="725"/>
      <c r="M554" s="674"/>
      <c r="N554" s="726"/>
    </row>
    <row r="555" spans="1:14" s="27" customFormat="1" ht="17.25" customHeight="1">
      <c r="A555" s="693" t="s">
        <v>77</v>
      </c>
      <c r="B555" s="843" t="s">
        <v>432</v>
      </c>
      <c r="C555" s="696">
        <f>VLOOKUP(B553,'CNKT '!$D$16:$AA$96,3,0)</f>
        <v>0</v>
      </c>
      <c r="D555" s="697">
        <v>25000</v>
      </c>
      <c r="E555" s="695">
        <f>C555*D555</f>
        <v>0</v>
      </c>
      <c r="F555" s="724"/>
      <c r="G555" s="693" t="s">
        <v>77</v>
      </c>
      <c r="H555" s="843" t="s">
        <v>432</v>
      </c>
      <c r="I555" s="696">
        <f>VLOOKUP(H553,'CNKT '!$D$16:$AA$96,3,0)</f>
        <v>0</v>
      </c>
      <c r="J555" s="697">
        <v>25000</v>
      </c>
      <c r="K555" s="695">
        <f>I555*J555</f>
        <v>0</v>
      </c>
      <c r="L555" s="725"/>
      <c r="M555" s="674"/>
      <c r="N555" s="726"/>
    </row>
    <row r="556" spans="1:14" s="27" customFormat="1" ht="17.25" customHeight="1">
      <c r="A556" s="693" t="s">
        <v>307</v>
      </c>
      <c r="B556" s="844" t="s">
        <v>528</v>
      </c>
      <c r="C556" s="747">
        <f>VLOOKUP(B553,'CNKT '!$D$16:$AA$96,11,0)</f>
        <v>20</v>
      </c>
      <c r="D556" s="698">
        <f>46.1*$B$2</f>
        <v>30833.524000000001</v>
      </c>
      <c r="E556" s="695">
        <f t="shared" ref="E556:E560" si="64">C556*D556</f>
        <v>616670.48</v>
      </c>
      <c r="F556" s="724"/>
      <c r="G556" s="693" t="s">
        <v>307</v>
      </c>
      <c r="H556" s="844" t="s">
        <v>528</v>
      </c>
      <c r="I556" s="747">
        <f>VLOOKUP(H553,'CNKT '!$D$16:$AA$96,11,0)</f>
        <v>22</v>
      </c>
      <c r="J556" s="698">
        <f>46.1*$B$2</f>
        <v>30833.524000000001</v>
      </c>
      <c r="K556" s="695">
        <f t="shared" ref="K556:K560" si="65">I556*J556</f>
        <v>678337.52800000005</v>
      </c>
      <c r="L556" s="725"/>
      <c r="M556" s="674"/>
      <c r="N556" s="726"/>
    </row>
    <row r="557" spans="1:14" s="27" customFormat="1" ht="17.25" customHeight="1">
      <c r="A557" s="693" t="s">
        <v>399</v>
      </c>
      <c r="B557" s="844" t="s">
        <v>529</v>
      </c>
      <c r="C557" s="747">
        <f>VLOOKUP(B553,'CNKT '!$D$16:$AA$96,12,0)</f>
        <v>4</v>
      </c>
      <c r="D557" s="697">
        <f>76.9*$B$2</f>
        <v>51433.796000000009</v>
      </c>
      <c r="E557" s="695">
        <f t="shared" si="64"/>
        <v>205735.18400000004</v>
      </c>
      <c r="F557" s="724"/>
      <c r="G557" s="693" t="s">
        <v>399</v>
      </c>
      <c r="H557" s="844" t="s">
        <v>529</v>
      </c>
      <c r="I557" s="747">
        <f>VLOOKUP(H553,'CNKT '!$D$16:$AA$96,12,0)</f>
        <v>4</v>
      </c>
      <c r="J557" s="697">
        <f>76.9*$B$2</f>
        <v>51433.796000000009</v>
      </c>
      <c r="K557" s="695">
        <f t="shared" si="65"/>
        <v>205735.18400000004</v>
      </c>
      <c r="L557" s="725"/>
      <c r="M557" s="674"/>
      <c r="N557" s="726"/>
    </row>
    <row r="558" spans="1:14" s="27" customFormat="1" ht="17.25" customHeight="1">
      <c r="A558" s="693" t="s">
        <v>78</v>
      </c>
      <c r="B558" s="844" t="s">
        <v>530</v>
      </c>
      <c r="C558" s="747">
        <f>VLOOKUP(B553,'CNKT '!$D$16:$AA$96,8,0)</f>
        <v>595.87394719704457</v>
      </c>
      <c r="D558" s="697">
        <f>IF(C554="A",6.1,IF(C554="B",5.8,IF(C554="C",5.5,IF(C554="C.",5.5,IF(C554="D",5.2)))))*$B$2</f>
        <v>0</v>
      </c>
      <c r="E558" s="695">
        <f t="shared" si="64"/>
        <v>0</v>
      </c>
      <c r="F558" s="724"/>
      <c r="G558" s="693" t="s">
        <v>78</v>
      </c>
      <c r="H558" s="844" t="s">
        <v>530</v>
      </c>
      <c r="I558" s="747">
        <f>VLOOKUP(H553,'CNKT '!$D$16:$AA$96,8,0)</f>
        <v>827.73151419978569</v>
      </c>
      <c r="J558" s="697">
        <f>IF(I554="A",6.1,IF(I554="B",5.8,IF(I554="C",5.5,IF(I554="C.",5.5,IF(I554="D",5.2)))))*$B$2</f>
        <v>0</v>
      </c>
      <c r="K558" s="695">
        <f t="shared" si="65"/>
        <v>0</v>
      </c>
      <c r="L558" s="725"/>
      <c r="M558" s="674"/>
      <c r="N558" s="726"/>
    </row>
    <row r="559" spans="1:14" s="27" customFormat="1" ht="17.25" customHeight="1">
      <c r="A559" s="693" t="s">
        <v>491</v>
      </c>
      <c r="B559" s="844" t="s">
        <v>531</v>
      </c>
      <c r="C559" s="747">
        <f>VLOOKUP(B553,'CNKT '!$D$16:$AA$96,15,0)</f>
        <v>0</v>
      </c>
      <c r="D559" s="698">
        <f>92.2*$B$2</f>
        <v>61667.048000000003</v>
      </c>
      <c r="E559" s="695">
        <f t="shared" si="64"/>
        <v>0</v>
      </c>
      <c r="F559" s="724"/>
      <c r="G559" s="693" t="s">
        <v>491</v>
      </c>
      <c r="H559" s="844" t="s">
        <v>531</v>
      </c>
      <c r="I559" s="747">
        <f>VLOOKUP(H553,'CNKT '!$D$16:$AA$96,15,0)</f>
        <v>0</v>
      </c>
      <c r="J559" s="698">
        <f>92.2*$B$2</f>
        <v>61667.048000000003</v>
      </c>
      <c r="K559" s="695">
        <f t="shared" si="65"/>
        <v>0</v>
      </c>
      <c r="L559" s="725"/>
      <c r="M559" s="674"/>
      <c r="N559" s="726"/>
    </row>
    <row r="560" spans="1:14" s="27" customFormat="1" ht="17.25" customHeight="1">
      <c r="A560" s="693" t="s">
        <v>492</v>
      </c>
      <c r="B560" s="844" t="s">
        <v>496</v>
      </c>
      <c r="C560" s="747">
        <f>VLOOKUP(B553,'CNKT '!$D$16:$AA$96,16,0)</f>
        <v>0</v>
      </c>
      <c r="D560" s="697">
        <f>153.8*$B$2</f>
        <v>102867.59200000002</v>
      </c>
      <c r="E560" s="695">
        <f t="shared" si="64"/>
        <v>0</v>
      </c>
      <c r="F560" s="724"/>
      <c r="G560" s="693" t="s">
        <v>492</v>
      </c>
      <c r="H560" s="844" t="s">
        <v>496</v>
      </c>
      <c r="I560" s="747">
        <f>VLOOKUP(H553,'CNKT '!$D$16:$AA$96,16,0)</f>
        <v>0</v>
      </c>
      <c r="J560" s="697">
        <f>153.8*$B$2</f>
        <v>102867.59200000002</v>
      </c>
      <c r="K560" s="695">
        <f t="shared" si="65"/>
        <v>0</v>
      </c>
      <c r="L560" s="725"/>
      <c r="M560" s="674"/>
      <c r="N560" s="726"/>
    </row>
    <row r="561" spans="1:14" s="27" customFormat="1" ht="17.25" customHeight="1">
      <c r="A561" s="693" t="s">
        <v>453</v>
      </c>
      <c r="B561" s="844" t="s">
        <v>497</v>
      </c>
      <c r="C561" s="747">
        <f>VLOOKUP(B553,'CNKT '!$D$16:$AA$96,18,0)</f>
        <v>0</v>
      </c>
      <c r="D561" s="697">
        <v>10000</v>
      </c>
      <c r="E561" s="695">
        <f>C561*D561</f>
        <v>0</v>
      </c>
      <c r="F561" s="724"/>
      <c r="G561" s="693" t="s">
        <v>453</v>
      </c>
      <c r="H561" s="844" t="s">
        <v>497</v>
      </c>
      <c r="I561" s="747">
        <f>VLOOKUP(H553,'CNKT '!$D$16:$AA$96,18,0)</f>
        <v>0</v>
      </c>
      <c r="J561" s="697">
        <v>10000</v>
      </c>
      <c r="K561" s="695">
        <f>I561*J561</f>
        <v>0</v>
      </c>
      <c r="L561" s="725"/>
      <c r="M561" s="674"/>
      <c r="N561" s="726"/>
    </row>
    <row r="562" spans="1:14" s="27" customFormat="1" ht="17.25" customHeight="1">
      <c r="A562" s="693" t="s">
        <v>453</v>
      </c>
      <c r="B562" s="844" t="s">
        <v>497</v>
      </c>
      <c r="C562" s="747">
        <f>VLOOKUP(B553,'CNKT '!$D$16:$AA$96,19,0)</f>
        <v>0</v>
      </c>
      <c r="D562" s="697">
        <v>20000</v>
      </c>
      <c r="E562" s="695">
        <f>C562*D562</f>
        <v>0</v>
      </c>
      <c r="F562" s="724"/>
      <c r="G562" s="693" t="s">
        <v>453</v>
      </c>
      <c r="H562" s="844" t="s">
        <v>497</v>
      </c>
      <c r="I562" s="747">
        <f>VLOOKUP(H553,'CNKT '!$D$16:$AA$96,19,0)</f>
        <v>0</v>
      </c>
      <c r="J562" s="697">
        <v>20000</v>
      </c>
      <c r="K562" s="695">
        <f>I562*J562</f>
        <v>0</v>
      </c>
      <c r="L562" s="725"/>
      <c r="M562" s="674"/>
      <c r="N562" s="726"/>
    </row>
    <row r="563" spans="1:14" s="27" customFormat="1" ht="17.25" customHeight="1">
      <c r="A563" s="693" t="s">
        <v>512</v>
      </c>
      <c r="B563" s="844" t="s">
        <v>513</v>
      </c>
      <c r="C563" s="747"/>
      <c r="D563" s="697"/>
      <c r="E563" s="695"/>
      <c r="F563" s="724"/>
      <c r="G563" s="693" t="s">
        <v>512</v>
      </c>
      <c r="H563" s="844" t="s">
        <v>513</v>
      </c>
      <c r="I563" s="747"/>
      <c r="J563" s="697"/>
      <c r="K563" s="695"/>
      <c r="L563" s="725"/>
      <c r="M563" s="674"/>
      <c r="N563" s="726"/>
    </row>
    <row r="564" spans="1:14" s="27" customFormat="1" ht="17.25" customHeight="1">
      <c r="A564" s="699" t="s">
        <v>79</v>
      </c>
      <c r="B564" s="845" t="s">
        <v>532</v>
      </c>
      <c r="C564" s="700"/>
      <c r="D564" s="701"/>
      <c r="E564" s="700"/>
      <c r="F564" s="724"/>
      <c r="G564" s="699" t="s">
        <v>79</v>
      </c>
      <c r="H564" s="845" t="s">
        <v>532</v>
      </c>
      <c r="I564" s="700"/>
      <c r="J564" s="701"/>
      <c r="K564" s="700"/>
      <c r="L564" s="725"/>
      <c r="M564" s="674"/>
      <c r="N564" s="726"/>
    </row>
    <row r="565" spans="1:14" s="27" customFormat="1" ht="17.25" customHeight="1">
      <c r="A565" s="702" t="s">
        <v>80</v>
      </c>
      <c r="B565" s="846" t="s">
        <v>533</v>
      </c>
      <c r="C565" s="700"/>
      <c r="D565" s="700"/>
      <c r="E565" s="700"/>
      <c r="F565" s="724"/>
      <c r="G565" s="702" t="s">
        <v>80</v>
      </c>
      <c r="H565" s="846" t="s">
        <v>533</v>
      </c>
      <c r="I565" s="700"/>
      <c r="J565" s="700"/>
      <c r="K565" s="700"/>
      <c r="L565" s="725"/>
      <c r="M565" s="674"/>
      <c r="N565" s="726"/>
    </row>
    <row r="566" spans="1:14" s="27" customFormat="1" ht="17.25" customHeight="1">
      <c r="A566" s="702" t="s">
        <v>81</v>
      </c>
      <c r="B566" s="847" t="s">
        <v>534</v>
      </c>
      <c r="C566" s="700"/>
      <c r="D566" s="700"/>
      <c r="E566" s="695">
        <f>SUM(E565)</f>
        <v>0</v>
      </c>
      <c r="F566" s="724"/>
      <c r="G566" s="702" t="s">
        <v>81</v>
      </c>
      <c r="H566" s="847" t="s">
        <v>534</v>
      </c>
      <c r="I566" s="700"/>
      <c r="J566" s="700"/>
      <c r="K566" s="695">
        <f>SUM(K565)</f>
        <v>0</v>
      </c>
      <c r="L566" s="725"/>
      <c r="M566" s="703">
        <f>E566+K566</f>
        <v>0</v>
      </c>
      <c r="N566" s="726"/>
    </row>
    <row r="567" spans="1:14" s="27" customFormat="1" ht="17.25" customHeight="1">
      <c r="A567" s="704" t="s">
        <v>82</v>
      </c>
      <c r="B567" s="848" t="s">
        <v>438</v>
      </c>
      <c r="C567" s="705"/>
      <c r="D567" s="705"/>
      <c r="E567" s="705">
        <f>(E555+E556+E557+E558+E559+E560+E561+E562+E563)-E566</f>
        <v>822405.66399999999</v>
      </c>
      <c r="F567" s="724"/>
      <c r="G567" s="704" t="s">
        <v>82</v>
      </c>
      <c r="H567" s="848" t="s">
        <v>438</v>
      </c>
      <c r="I567" s="705"/>
      <c r="J567" s="705"/>
      <c r="K567" s="705">
        <f>(K555+K556+K557+K558+K559+K560+K561+K562+K563)-K566</f>
        <v>884072.71200000006</v>
      </c>
      <c r="L567" s="707">
        <f>E567+K567</f>
        <v>1706478.3760000002</v>
      </c>
      <c r="M567" s="674"/>
      <c r="N567" s="726"/>
    </row>
    <row r="568" spans="1:14" s="27" customFormat="1" ht="17.25" customHeight="1">
      <c r="A568" s="710"/>
      <c r="B568" s="715"/>
      <c r="C568" s="716"/>
      <c r="D568" s="716"/>
      <c r="E568" s="714"/>
      <c r="F568" s="724"/>
      <c r="G568" s="710"/>
      <c r="H568" s="715"/>
      <c r="I568" s="716"/>
      <c r="J568" s="714"/>
      <c r="K568" s="724"/>
      <c r="L568" s="725"/>
      <c r="M568" s="674"/>
      <c r="N568" s="726"/>
    </row>
    <row r="569" spans="1:14" s="27" customFormat="1" ht="17.25" customHeight="1">
      <c r="A569" s="1567" t="str">
        <f>A552</f>
        <v>LƯƠNG THÁNG 01/2025</v>
      </c>
      <c r="B569" s="1568"/>
      <c r="C569" s="1568"/>
      <c r="D569" s="1568"/>
      <c r="E569" s="766">
        <v>67</v>
      </c>
      <c r="F569" s="724"/>
      <c r="G569" s="1567" t="str">
        <f>A569</f>
        <v>LƯƠNG THÁNG 01/2025</v>
      </c>
      <c r="H569" s="1568"/>
      <c r="I569" s="1568"/>
      <c r="J569" s="1569"/>
      <c r="K569" s="766">
        <v>68</v>
      </c>
      <c r="L569" s="725"/>
      <c r="M569" s="674"/>
      <c r="N569" s="726"/>
    </row>
    <row r="570" spans="1:14" s="27" customFormat="1" ht="17.25" customHeight="1">
      <c r="A570" s="709" t="s">
        <v>15</v>
      </c>
      <c r="B570" s="840" t="str">
        <f>'CNKT '!D82</f>
        <v>T. Nọi</v>
      </c>
      <c r="C570" s="691"/>
      <c r="D570" s="838" t="s">
        <v>396</v>
      </c>
      <c r="E570" s="838" t="s">
        <v>18</v>
      </c>
      <c r="F570" s="724"/>
      <c r="G570" s="709" t="s">
        <v>15</v>
      </c>
      <c r="H570" s="840" t="str">
        <f>'CNKT '!D83</f>
        <v>T. Ê</v>
      </c>
      <c r="I570" s="691"/>
      <c r="J570" s="838" t="s">
        <v>396</v>
      </c>
      <c r="K570" s="838" t="s">
        <v>18</v>
      </c>
      <c r="L570" s="725"/>
      <c r="M570" s="674"/>
      <c r="N570" s="726"/>
    </row>
    <row r="571" spans="1:14" s="27" customFormat="1" ht="17.25" customHeight="1">
      <c r="A571" s="693" t="s">
        <v>397</v>
      </c>
      <c r="B571" s="842" t="s">
        <v>527</v>
      </c>
      <c r="C571" s="694">
        <f>VLOOKUP(B570,'BTH mủ tạp'!$D$17:$AN$94,36,0)</f>
        <v>830.97752013782383</v>
      </c>
      <c r="D571" s="695"/>
      <c r="E571" s="695"/>
      <c r="F571" s="724"/>
      <c r="G571" s="693" t="s">
        <v>397</v>
      </c>
      <c r="H571" s="842" t="s">
        <v>527</v>
      </c>
      <c r="I571" s="694">
        <f>VLOOKUP(H570,'BTH mủ tạp'!$D$17:$AN$94,36,0)</f>
        <v>603.29338934113218</v>
      </c>
      <c r="J571" s="695"/>
      <c r="K571" s="695"/>
      <c r="L571" s="725"/>
      <c r="M571" s="674"/>
      <c r="N571" s="726"/>
    </row>
    <row r="572" spans="1:14" s="27" customFormat="1" ht="17.25" customHeight="1">
      <c r="A572" s="693" t="s">
        <v>77</v>
      </c>
      <c r="B572" s="843" t="s">
        <v>432</v>
      </c>
      <c r="C572" s="696">
        <f>VLOOKUP(B570,'CNKT '!$D$16:$AA$96,3,0)</f>
        <v>0</v>
      </c>
      <c r="D572" s="697">
        <v>25000</v>
      </c>
      <c r="E572" s="695">
        <f>C572*D572</f>
        <v>0</v>
      </c>
      <c r="F572" s="724"/>
      <c r="G572" s="693" t="s">
        <v>77</v>
      </c>
      <c r="H572" s="843" t="s">
        <v>432</v>
      </c>
      <c r="I572" s="696">
        <f>VLOOKUP(H570,'CNKT '!$D$16:$AA$96,3,0)</f>
        <v>0</v>
      </c>
      <c r="J572" s="697">
        <v>25000</v>
      </c>
      <c r="K572" s="695">
        <f>I572*J572</f>
        <v>0</v>
      </c>
      <c r="L572" s="725"/>
      <c r="M572" s="674"/>
      <c r="N572" s="726"/>
    </row>
    <row r="573" spans="1:14" s="27" customFormat="1" ht="17.25" customHeight="1">
      <c r="A573" s="693" t="s">
        <v>307</v>
      </c>
      <c r="B573" s="844" t="s">
        <v>528</v>
      </c>
      <c r="C573" s="747">
        <f>VLOOKUP(B570,'CNKT '!$D$16:$AA$96,11,0)</f>
        <v>23</v>
      </c>
      <c r="D573" s="698">
        <f>46.1*$B$2</f>
        <v>30833.524000000001</v>
      </c>
      <c r="E573" s="695">
        <f t="shared" ref="E573:E577" si="66">C573*D573</f>
        <v>709171.05200000003</v>
      </c>
      <c r="F573" s="724"/>
      <c r="G573" s="693" t="s">
        <v>307</v>
      </c>
      <c r="H573" s="844" t="s">
        <v>528</v>
      </c>
      <c r="I573" s="747">
        <f>VLOOKUP(H570,'CNKT '!$D$16:$AA$96,11,0)</f>
        <v>22</v>
      </c>
      <c r="J573" s="698">
        <f>46.1*$B$2</f>
        <v>30833.524000000001</v>
      </c>
      <c r="K573" s="695">
        <f t="shared" ref="K573:K577" si="67">I573*J573</f>
        <v>678337.52800000005</v>
      </c>
      <c r="L573" s="725"/>
      <c r="M573" s="674"/>
      <c r="N573" s="726"/>
    </row>
    <row r="574" spans="1:14" s="27" customFormat="1" ht="17.25" customHeight="1">
      <c r="A574" s="693" t="s">
        <v>399</v>
      </c>
      <c r="B574" s="844" t="s">
        <v>529</v>
      </c>
      <c r="C574" s="747">
        <f>VLOOKUP(B570,'CNKT '!$D$16:$AA$96,12,0)</f>
        <v>5</v>
      </c>
      <c r="D574" s="697">
        <f>76.9*$B$2</f>
        <v>51433.796000000009</v>
      </c>
      <c r="E574" s="695">
        <f t="shared" si="66"/>
        <v>257168.98000000004</v>
      </c>
      <c r="F574" s="724"/>
      <c r="G574" s="693" t="s">
        <v>399</v>
      </c>
      <c r="H574" s="844" t="s">
        <v>529</v>
      </c>
      <c r="I574" s="747">
        <f>VLOOKUP(H570,'CNKT '!$D$16:$AA$96,12,0)</f>
        <v>5</v>
      </c>
      <c r="J574" s="697">
        <f>76.9*$B$2</f>
        <v>51433.796000000009</v>
      </c>
      <c r="K574" s="695">
        <f t="shared" si="67"/>
        <v>257168.98000000004</v>
      </c>
      <c r="L574" s="725"/>
      <c r="M574" s="674"/>
      <c r="N574" s="726"/>
    </row>
    <row r="575" spans="1:14" s="27" customFormat="1" ht="17.25" customHeight="1">
      <c r="A575" s="693" t="s">
        <v>78</v>
      </c>
      <c r="B575" s="844" t="s">
        <v>530</v>
      </c>
      <c r="C575" s="747">
        <f>VLOOKUP(B570,'CNKT '!$D$16:$AA$96,8,0)</f>
        <v>830.97752013782406</v>
      </c>
      <c r="D575" s="697">
        <f>IF(C571="A",6.1,IF(C571="B",5.8,IF(C571="C",5.5,IF(C571="C.",5.5,IF(C571="D",5.2)))))*$B$2</f>
        <v>0</v>
      </c>
      <c r="E575" s="695">
        <f t="shared" si="66"/>
        <v>0</v>
      </c>
      <c r="F575" s="724"/>
      <c r="G575" s="693" t="s">
        <v>78</v>
      </c>
      <c r="H575" s="844" t="s">
        <v>530</v>
      </c>
      <c r="I575" s="747">
        <f>VLOOKUP(H570,'CNKT '!$D$16:$AA$96,8,0)</f>
        <v>603.2933893411323</v>
      </c>
      <c r="J575" s="697">
        <f>IF(I571="A",6.1,IF(I571="B",5.8,IF(I571="C",5.5,IF(I571="C.",5.5,IF(I571="D",5.2)))))*$B$2</f>
        <v>0</v>
      </c>
      <c r="K575" s="695">
        <f t="shared" si="67"/>
        <v>0</v>
      </c>
      <c r="L575" s="725"/>
      <c r="M575" s="674"/>
      <c r="N575" s="726"/>
    </row>
    <row r="576" spans="1:14" s="27" customFormat="1" ht="17.25" customHeight="1">
      <c r="A576" s="693" t="s">
        <v>491</v>
      </c>
      <c r="B576" s="844" t="s">
        <v>531</v>
      </c>
      <c r="C576" s="747">
        <f>VLOOKUP(B570,'CNKT '!$D$16:$AA$96,15,0)</f>
        <v>0</v>
      </c>
      <c r="D576" s="698">
        <f>92.2*$B$2</f>
        <v>61667.048000000003</v>
      </c>
      <c r="E576" s="695">
        <f t="shared" si="66"/>
        <v>0</v>
      </c>
      <c r="F576" s="724"/>
      <c r="G576" s="693" t="s">
        <v>491</v>
      </c>
      <c r="H576" s="844" t="s">
        <v>531</v>
      </c>
      <c r="I576" s="747">
        <f>VLOOKUP(H570,'CNKT '!$D$16:$AA$96,15,0)</f>
        <v>0</v>
      </c>
      <c r="J576" s="698">
        <f>92.2*$B$2</f>
        <v>61667.048000000003</v>
      </c>
      <c r="K576" s="695">
        <f t="shared" si="67"/>
        <v>0</v>
      </c>
      <c r="L576" s="725"/>
      <c r="M576" s="674"/>
      <c r="N576" s="726"/>
    </row>
    <row r="577" spans="1:14" s="27" customFormat="1" ht="17.25" customHeight="1">
      <c r="A577" s="693" t="s">
        <v>492</v>
      </c>
      <c r="B577" s="844" t="s">
        <v>496</v>
      </c>
      <c r="C577" s="747">
        <f>VLOOKUP(B570,'CNKT '!$D$16:$AA$96,16,0)</f>
        <v>0</v>
      </c>
      <c r="D577" s="697">
        <f>153.8*$B$2</f>
        <v>102867.59200000002</v>
      </c>
      <c r="E577" s="695">
        <f t="shared" si="66"/>
        <v>0</v>
      </c>
      <c r="F577" s="724"/>
      <c r="G577" s="693" t="s">
        <v>492</v>
      </c>
      <c r="H577" s="844" t="s">
        <v>496</v>
      </c>
      <c r="I577" s="747">
        <f>VLOOKUP(H570,'CNKT '!$D$16:$AA$96,16,0)</f>
        <v>0</v>
      </c>
      <c r="J577" s="697">
        <f>153.8*$B$2</f>
        <v>102867.59200000002</v>
      </c>
      <c r="K577" s="695">
        <f t="shared" si="67"/>
        <v>0</v>
      </c>
      <c r="L577" s="725"/>
      <c r="M577" s="674"/>
      <c r="N577" s="726"/>
    </row>
    <row r="578" spans="1:14" s="27" customFormat="1" ht="17.25" customHeight="1">
      <c r="A578" s="693" t="s">
        <v>453</v>
      </c>
      <c r="B578" s="844" t="s">
        <v>497</v>
      </c>
      <c r="C578" s="747">
        <f>VLOOKUP(B570,'CNKT '!$D$16:$AA$96,18,0)</f>
        <v>0</v>
      </c>
      <c r="D578" s="697">
        <v>10000</v>
      </c>
      <c r="E578" s="695">
        <f>C578*D578</f>
        <v>0</v>
      </c>
      <c r="F578" s="724"/>
      <c r="G578" s="693" t="s">
        <v>453</v>
      </c>
      <c r="H578" s="844" t="s">
        <v>497</v>
      </c>
      <c r="I578" s="747">
        <f>VLOOKUP(H570,'CNKT '!$D$16:$AA$96,18,0)</f>
        <v>0</v>
      </c>
      <c r="J578" s="697">
        <v>10000</v>
      </c>
      <c r="K578" s="695">
        <f>I578*J578</f>
        <v>0</v>
      </c>
      <c r="L578" s="725"/>
      <c r="M578" s="674"/>
      <c r="N578" s="726"/>
    </row>
    <row r="579" spans="1:14" s="27" customFormat="1" ht="17.25" customHeight="1">
      <c r="A579" s="693" t="s">
        <v>453</v>
      </c>
      <c r="B579" s="844" t="s">
        <v>497</v>
      </c>
      <c r="C579" s="747">
        <f>VLOOKUP(B570,'CNKT '!$D$16:$AA$96,19,0)</f>
        <v>0</v>
      </c>
      <c r="D579" s="697">
        <v>20000</v>
      </c>
      <c r="E579" s="695">
        <f>C579*D579</f>
        <v>0</v>
      </c>
      <c r="F579" s="724"/>
      <c r="G579" s="693" t="s">
        <v>453</v>
      </c>
      <c r="H579" s="844" t="s">
        <v>497</v>
      </c>
      <c r="I579" s="747">
        <f>VLOOKUP(H570,'CNKT '!$D$16:$AA$96,19,0)</f>
        <v>0</v>
      </c>
      <c r="J579" s="697">
        <v>20000</v>
      </c>
      <c r="K579" s="695">
        <f>I579*J579</f>
        <v>0</v>
      </c>
      <c r="L579" s="725"/>
      <c r="M579" s="674"/>
      <c r="N579" s="726"/>
    </row>
    <row r="580" spans="1:14" s="27" customFormat="1" ht="17.25" customHeight="1">
      <c r="A580" s="693" t="s">
        <v>512</v>
      </c>
      <c r="B580" s="844" t="s">
        <v>513</v>
      </c>
      <c r="C580" s="747"/>
      <c r="D580" s="697"/>
      <c r="E580" s="695"/>
      <c r="F580" s="724"/>
      <c r="G580" s="693" t="s">
        <v>512</v>
      </c>
      <c r="H580" s="844" t="s">
        <v>513</v>
      </c>
      <c r="I580" s="747"/>
      <c r="J580" s="697"/>
      <c r="K580" s="695"/>
      <c r="L580" s="725"/>
      <c r="M580" s="674"/>
      <c r="N580" s="726"/>
    </row>
    <row r="581" spans="1:14" s="27" customFormat="1" ht="17.25" customHeight="1">
      <c r="A581" s="699" t="s">
        <v>79</v>
      </c>
      <c r="B581" s="845" t="s">
        <v>532</v>
      </c>
      <c r="C581" s="700"/>
      <c r="D581" s="701"/>
      <c r="E581" s="700"/>
      <c r="F581" s="724"/>
      <c r="G581" s="699" t="s">
        <v>79</v>
      </c>
      <c r="H581" s="845" t="s">
        <v>532</v>
      </c>
      <c r="I581" s="700"/>
      <c r="J581" s="701"/>
      <c r="K581" s="700"/>
      <c r="L581" s="725"/>
      <c r="M581" s="674"/>
      <c r="N581" s="726"/>
    </row>
    <row r="582" spans="1:14" s="27" customFormat="1" ht="17.25" customHeight="1">
      <c r="A582" s="702" t="s">
        <v>80</v>
      </c>
      <c r="B582" s="846" t="s">
        <v>533</v>
      </c>
      <c r="C582" s="700"/>
      <c r="D582" s="700"/>
      <c r="E582" s="700"/>
      <c r="F582" s="724"/>
      <c r="G582" s="702" t="s">
        <v>80</v>
      </c>
      <c r="H582" s="846" t="s">
        <v>533</v>
      </c>
      <c r="I582" s="700"/>
      <c r="J582" s="700"/>
      <c r="K582" s="700"/>
      <c r="L582" s="725"/>
      <c r="M582" s="674"/>
      <c r="N582" s="726"/>
    </row>
    <row r="583" spans="1:14" s="27" customFormat="1" ht="17.25" customHeight="1">
      <c r="A583" s="702" t="s">
        <v>81</v>
      </c>
      <c r="B583" s="847" t="s">
        <v>534</v>
      </c>
      <c r="C583" s="700"/>
      <c r="D583" s="700"/>
      <c r="E583" s="695">
        <f>SUM(E582)</f>
        <v>0</v>
      </c>
      <c r="F583" s="724"/>
      <c r="G583" s="702" t="s">
        <v>81</v>
      </c>
      <c r="H583" s="847" t="s">
        <v>534</v>
      </c>
      <c r="I583" s="700"/>
      <c r="J583" s="700"/>
      <c r="K583" s="695">
        <f>SUM(K582)</f>
        <v>0</v>
      </c>
      <c r="L583" s="725"/>
      <c r="M583" s="703">
        <f>E583+K583</f>
        <v>0</v>
      </c>
      <c r="N583" s="726"/>
    </row>
    <row r="584" spans="1:14" s="27" customFormat="1" ht="17.25" customHeight="1">
      <c r="A584" s="704" t="s">
        <v>82</v>
      </c>
      <c r="B584" s="848" t="s">
        <v>438</v>
      </c>
      <c r="C584" s="705"/>
      <c r="D584" s="705"/>
      <c r="E584" s="705">
        <f>(E572+E573+E574+E575+E576+E577+E578+E579+E580)-E583</f>
        <v>966340.03200000012</v>
      </c>
      <c r="F584" s="724"/>
      <c r="G584" s="704" t="s">
        <v>82</v>
      </c>
      <c r="H584" s="848" t="s">
        <v>438</v>
      </c>
      <c r="I584" s="705"/>
      <c r="J584" s="705"/>
      <c r="K584" s="705">
        <f>(K572+K573+K574+K575+K576+K577+K578+K579+K580)-K583</f>
        <v>935506.50800000015</v>
      </c>
      <c r="L584" s="707">
        <f>E584+K584</f>
        <v>1901846.5400000003</v>
      </c>
      <c r="M584" s="674"/>
      <c r="N584" s="726"/>
    </row>
    <row r="585" spans="1:14" s="27" customFormat="1" ht="17.25" customHeight="1">
      <c r="A585" s="710"/>
      <c r="B585" s="715"/>
      <c r="C585" s="716"/>
      <c r="D585" s="716"/>
      <c r="E585" s="714"/>
      <c r="F585" s="724"/>
      <c r="G585" s="710"/>
      <c r="H585" s="715"/>
      <c r="I585" s="716"/>
      <c r="J585" s="714"/>
      <c r="K585" s="724"/>
      <c r="L585" s="725"/>
      <c r="M585" s="674"/>
      <c r="N585" s="726"/>
    </row>
    <row r="586" spans="1:14" s="27" customFormat="1" ht="17.25" customHeight="1">
      <c r="A586" s="1567" t="str">
        <f>A569</f>
        <v>LƯƠNG THÁNG 01/2025</v>
      </c>
      <c r="B586" s="1568"/>
      <c r="C586" s="1568"/>
      <c r="D586" s="1568"/>
      <c r="E586" s="766">
        <v>69</v>
      </c>
      <c r="F586" s="724"/>
      <c r="G586" s="1567" t="str">
        <f>A586</f>
        <v>LƯƠNG THÁNG 01/2025</v>
      </c>
      <c r="H586" s="1568"/>
      <c r="I586" s="1568"/>
      <c r="J586" s="1569"/>
      <c r="K586" s="766">
        <v>70</v>
      </c>
      <c r="L586" s="725"/>
      <c r="M586" s="674"/>
      <c r="N586" s="726"/>
    </row>
    <row r="587" spans="1:14" s="27" customFormat="1" ht="17.25" customHeight="1">
      <c r="A587" s="709" t="s">
        <v>15</v>
      </c>
      <c r="B587" s="840" t="str">
        <f>'CNKT '!D84</f>
        <v>T Bun</v>
      </c>
      <c r="C587" s="691"/>
      <c r="D587" s="838" t="s">
        <v>396</v>
      </c>
      <c r="E587" s="838" t="s">
        <v>18</v>
      </c>
      <c r="F587" s="724"/>
      <c r="G587" s="709" t="s">
        <v>15</v>
      </c>
      <c r="H587" s="840" t="str">
        <f>'CNKT '!D85</f>
        <v>N. Xi</v>
      </c>
      <c r="I587" s="691"/>
      <c r="J587" s="838" t="s">
        <v>396</v>
      </c>
      <c r="K587" s="838" t="s">
        <v>18</v>
      </c>
      <c r="L587" s="725"/>
      <c r="M587" s="674"/>
      <c r="N587" s="726"/>
    </row>
    <row r="588" spans="1:14" s="27" customFormat="1" ht="17.25" customHeight="1">
      <c r="A588" s="693" t="s">
        <v>397</v>
      </c>
      <c r="B588" s="842" t="s">
        <v>527</v>
      </c>
      <c r="C588" s="694">
        <f>VLOOKUP(B587,'BTH mủ tạp'!$D$17:$AN$94,36,0)</f>
        <v>727.10533012059591</v>
      </c>
      <c r="D588" s="695"/>
      <c r="E588" s="695"/>
      <c r="F588" s="724"/>
      <c r="G588" s="693" t="s">
        <v>397</v>
      </c>
      <c r="H588" s="842" t="s">
        <v>527</v>
      </c>
      <c r="I588" s="694">
        <f>VLOOKUP(H587,'BTH mủ tạp'!$D$17:$AN$94,36,0)</f>
        <v>1125.4366302313051</v>
      </c>
      <c r="J588" s="695"/>
      <c r="K588" s="695"/>
      <c r="L588" s="725"/>
      <c r="M588" s="674"/>
      <c r="N588" s="726"/>
    </row>
    <row r="589" spans="1:14" s="27" customFormat="1" ht="17.25" customHeight="1">
      <c r="A589" s="693" t="s">
        <v>77</v>
      </c>
      <c r="B589" s="843" t="s">
        <v>432</v>
      </c>
      <c r="C589" s="696">
        <f>VLOOKUP(B587,'CNKT '!$D$16:$AA$96,3,0)</f>
        <v>0</v>
      </c>
      <c r="D589" s="697">
        <v>25000</v>
      </c>
      <c r="E589" s="695">
        <f>C589*D589</f>
        <v>0</v>
      </c>
      <c r="F589" s="724"/>
      <c r="G589" s="693" t="s">
        <v>77</v>
      </c>
      <c r="H589" s="843" t="s">
        <v>432</v>
      </c>
      <c r="I589" s="696">
        <f>VLOOKUP(H587,'CNKT '!$D$16:$AA$96,3,0)</f>
        <v>0</v>
      </c>
      <c r="J589" s="697">
        <v>25000</v>
      </c>
      <c r="K589" s="695">
        <f>I589*J589</f>
        <v>0</v>
      </c>
      <c r="L589" s="725"/>
      <c r="M589" s="674"/>
      <c r="N589" s="726"/>
    </row>
    <row r="590" spans="1:14" s="27" customFormat="1" ht="17.25" customHeight="1">
      <c r="A590" s="693" t="s">
        <v>307</v>
      </c>
      <c r="B590" s="844" t="s">
        <v>528</v>
      </c>
      <c r="C590" s="747">
        <f>VLOOKUP(B587,'CNKT '!$D$16:$AA$96,11,0)</f>
        <v>18</v>
      </c>
      <c r="D590" s="698">
        <f>46.1*$B$2</f>
        <v>30833.524000000001</v>
      </c>
      <c r="E590" s="695">
        <f t="shared" ref="E590:E594" si="68">C590*D590</f>
        <v>555003.43200000003</v>
      </c>
      <c r="F590" s="724"/>
      <c r="G590" s="693" t="s">
        <v>307</v>
      </c>
      <c r="H590" s="844" t="s">
        <v>528</v>
      </c>
      <c r="I590" s="747">
        <f>VLOOKUP(H587,'CNKT '!$D$16:$AA$96,11,0)</f>
        <v>23</v>
      </c>
      <c r="J590" s="698">
        <f>46.1*$B$2</f>
        <v>30833.524000000001</v>
      </c>
      <c r="K590" s="695">
        <f t="shared" ref="K590:K594" si="69">I590*J590</f>
        <v>709171.05200000003</v>
      </c>
      <c r="L590" s="725"/>
      <c r="M590" s="674"/>
      <c r="N590" s="726"/>
    </row>
    <row r="591" spans="1:14" s="27" customFormat="1" ht="17.25" customHeight="1">
      <c r="A591" s="693" t="s">
        <v>399</v>
      </c>
      <c r="B591" s="844" t="s">
        <v>529</v>
      </c>
      <c r="C591" s="747">
        <f>VLOOKUP(B587,'CNKT '!$D$16:$AA$96,12,0)</f>
        <v>5</v>
      </c>
      <c r="D591" s="697">
        <f>76.9*$B$2</f>
        <v>51433.796000000009</v>
      </c>
      <c r="E591" s="695">
        <f t="shared" si="68"/>
        <v>257168.98000000004</v>
      </c>
      <c r="F591" s="724"/>
      <c r="G591" s="693" t="s">
        <v>399</v>
      </c>
      <c r="H591" s="844" t="s">
        <v>529</v>
      </c>
      <c r="I591" s="747">
        <f>VLOOKUP(H587,'CNKT '!$D$16:$AA$96,12,0)</f>
        <v>5</v>
      </c>
      <c r="J591" s="697">
        <f>76.9*$B$2</f>
        <v>51433.796000000009</v>
      </c>
      <c r="K591" s="695">
        <f t="shared" si="69"/>
        <v>257168.98000000004</v>
      </c>
      <c r="L591" s="725"/>
      <c r="M591" s="674"/>
      <c r="N591" s="726"/>
    </row>
    <row r="592" spans="1:14" s="27" customFormat="1" ht="17.25" customHeight="1">
      <c r="A592" s="693" t="s">
        <v>78</v>
      </c>
      <c r="B592" s="844" t="s">
        <v>530</v>
      </c>
      <c r="C592" s="747">
        <f>VLOOKUP(B587,'CNKT '!$D$16:$AA$96,8,0)</f>
        <v>727.10533012059614</v>
      </c>
      <c r="D592" s="697">
        <f>IF(C588="A",6.1,IF(C588="B",5.8,IF(C588="C",5.5,IF(C588="C.",5.5,IF(C588="D",5.2)))))*$B$2</f>
        <v>0</v>
      </c>
      <c r="E592" s="695">
        <f t="shared" si="68"/>
        <v>0</v>
      </c>
      <c r="F592" s="724"/>
      <c r="G592" s="693" t="s">
        <v>78</v>
      </c>
      <c r="H592" s="844" t="s">
        <v>530</v>
      </c>
      <c r="I592" s="747">
        <f>VLOOKUP(H587,'CNKT '!$D$16:$AA$96,8,0)</f>
        <v>1125.4366302313053</v>
      </c>
      <c r="J592" s="697">
        <f>IF(I588="A",6.1,IF(I588="B",5.8,IF(I588="C",5.5,IF(I588="C.",5.5,IF(I588="D",5.2)))))*$B$2</f>
        <v>0</v>
      </c>
      <c r="K592" s="695">
        <f t="shared" si="69"/>
        <v>0</v>
      </c>
      <c r="L592" s="725"/>
      <c r="M592" s="674"/>
      <c r="N592" s="726"/>
    </row>
    <row r="593" spans="1:14" s="27" customFormat="1" ht="17.25" customHeight="1">
      <c r="A593" s="693" t="s">
        <v>491</v>
      </c>
      <c r="B593" s="844" t="s">
        <v>531</v>
      </c>
      <c r="C593" s="747">
        <f>VLOOKUP(B587,'CNKT '!$D$16:$AA$96,15,0)</f>
        <v>0</v>
      </c>
      <c r="D593" s="698">
        <f>92.2*$B$2</f>
        <v>61667.048000000003</v>
      </c>
      <c r="E593" s="695">
        <f t="shared" si="68"/>
        <v>0</v>
      </c>
      <c r="F593" s="724"/>
      <c r="G593" s="693" t="s">
        <v>491</v>
      </c>
      <c r="H593" s="844" t="s">
        <v>531</v>
      </c>
      <c r="I593" s="747">
        <f>VLOOKUP(H587,'CNKT '!$D$16:$AA$96,15,0)</f>
        <v>0</v>
      </c>
      <c r="J593" s="698">
        <f>92.2*$B$2</f>
        <v>61667.048000000003</v>
      </c>
      <c r="K593" s="695">
        <f t="shared" si="69"/>
        <v>0</v>
      </c>
      <c r="L593" s="725"/>
      <c r="M593" s="674"/>
      <c r="N593" s="726"/>
    </row>
    <row r="594" spans="1:14" s="27" customFormat="1" ht="17.25" customHeight="1">
      <c r="A594" s="693" t="s">
        <v>492</v>
      </c>
      <c r="B594" s="844" t="s">
        <v>496</v>
      </c>
      <c r="C594" s="747">
        <f>VLOOKUP(B587,'CNKT '!$D$16:$AA$96,16,0)</f>
        <v>0</v>
      </c>
      <c r="D594" s="697">
        <f>153.8*$B$2</f>
        <v>102867.59200000002</v>
      </c>
      <c r="E594" s="695">
        <f t="shared" si="68"/>
        <v>0</v>
      </c>
      <c r="F594" s="724"/>
      <c r="G594" s="693" t="s">
        <v>492</v>
      </c>
      <c r="H594" s="844" t="s">
        <v>496</v>
      </c>
      <c r="I594" s="747">
        <f>VLOOKUP(H587,'CNKT '!$D$16:$AA$96,16,0)</f>
        <v>0</v>
      </c>
      <c r="J594" s="697">
        <f>153.8*$B$2</f>
        <v>102867.59200000002</v>
      </c>
      <c r="K594" s="695">
        <f t="shared" si="69"/>
        <v>0</v>
      </c>
      <c r="L594" s="725"/>
      <c r="M594" s="674"/>
      <c r="N594" s="726"/>
    </row>
    <row r="595" spans="1:14" s="27" customFormat="1" ht="17.25" customHeight="1">
      <c r="A595" s="693" t="s">
        <v>453</v>
      </c>
      <c r="B595" s="844" t="s">
        <v>497</v>
      </c>
      <c r="C595" s="747">
        <f>VLOOKUP(B587,'CNKT '!$D$16:$AA$96,18,0)</f>
        <v>0</v>
      </c>
      <c r="D595" s="697">
        <v>10000</v>
      </c>
      <c r="E595" s="695">
        <f>C595*D595</f>
        <v>0</v>
      </c>
      <c r="F595" s="724"/>
      <c r="G595" s="693" t="s">
        <v>453</v>
      </c>
      <c r="H595" s="844" t="s">
        <v>497</v>
      </c>
      <c r="I595" s="747">
        <f>VLOOKUP(H587,'CNKT '!$D$16:$AA$96,18,0)</f>
        <v>0</v>
      </c>
      <c r="J595" s="697">
        <v>10000</v>
      </c>
      <c r="K595" s="695">
        <f>I595*J595</f>
        <v>0</v>
      </c>
      <c r="L595" s="725"/>
      <c r="M595" s="674"/>
      <c r="N595" s="726"/>
    </row>
    <row r="596" spans="1:14" s="27" customFormat="1" ht="17.25" customHeight="1">
      <c r="A596" s="693" t="s">
        <v>453</v>
      </c>
      <c r="B596" s="844" t="s">
        <v>497</v>
      </c>
      <c r="C596" s="747">
        <f>VLOOKUP(B587,'CNKT '!$D$16:$AA$96,19,0)</f>
        <v>0</v>
      </c>
      <c r="D596" s="697">
        <v>20000</v>
      </c>
      <c r="E596" s="695">
        <f>C596*D596</f>
        <v>0</v>
      </c>
      <c r="F596" s="724"/>
      <c r="G596" s="693" t="s">
        <v>453</v>
      </c>
      <c r="H596" s="844" t="s">
        <v>497</v>
      </c>
      <c r="I596" s="747">
        <f>VLOOKUP(H587,'CNKT '!$D$16:$AA$96,19,0)</f>
        <v>0</v>
      </c>
      <c r="J596" s="697">
        <v>20000</v>
      </c>
      <c r="K596" s="695">
        <f>I596*J596</f>
        <v>0</v>
      </c>
      <c r="L596" s="725"/>
      <c r="M596" s="674"/>
      <c r="N596" s="726"/>
    </row>
    <row r="597" spans="1:14" s="27" customFormat="1" ht="17.25" customHeight="1">
      <c r="A597" s="693" t="s">
        <v>512</v>
      </c>
      <c r="B597" s="844" t="s">
        <v>513</v>
      </c>
      <c r="C597" s="747"/>
      <c r="D597" s="697"/>
      <c r="E597" s="695"/>
      <c r="F597" s="724"/>
      <c r="G597" s="693" t="s">
        <v>512</v>
      </c>
      <c r="H597" s="844" t="s">
        <v>513</v>
      </c>
      <c r="I597" s="747"/>
      <c r="J597" s="697"/>
      <c r="K597" s="695"/>
      <c r="L597" s="725"/>
      <c r="M597" s="674"/>
      <c r="N597" s="726"/>
    </row>
    <row r="598" spans="1:14" s="27" customFormat="1" ht="17.25" customHeight="1">
      <c r="A598" s="699" t="s">
        <v>79</v>
      </c>
      <c r="B598" s="845" t="s">
        <v>532</v>
      </c>
      <c r="C598" s="700"/>
      <c r="D598" s="701"/>
      <c r="E598" s="700"/>
      <c r="F598" s="724"/>
      <c r="G598" s="699" t="s">
        <v>79</v>
      </c>
      <c r="H598" s="845" t="s">
        <v>532</v>
      </c>
      <c r="I598" s="700"/>
      <c r="J598" s="701"/>
      <c r="K598" s="700"/>
      <c r="L598" s="725"/>
      <c r="M598" s="674"/>
      <c r="N598" s="726"/>
    </row>
    <row r="599" spans="1:14" s="27" customFormat="1" ht="17.25" customHeight="1">
      <c r="A599" s="702" t="s">
        <v>80</v>
      </c>
      <c r="B599" s="846" t="s">
        <v>533</v>
      </c>
      <c r="C599" s="700"/>
      <c r="D599" s="700"/>
      <c r="E599" s="700"/>
      <c r="F599" s="724"/>
      <c r="G599" s="702" t="s">
        <v>80</v>
      </c>
      <c r="H599" s="846" t="s">
        <v>533</v>
      </c>
      <c r="I599" s="700"/>
      <c r="J599" s="700"/>
      <c r="K599" s="700"/>
      <c r="L599" s="725"/>
      <c r="M599" s="674"/>
      <c r="N599" s="726"/>
    </row>
    <row r="600" spans="1:14" s="27" customFormat="1" ht="17.25" customHeight="1">
      <c r="A600" s="702" t="s">
        <v>81</v>
      </c>
      <c r="B600" s="847" t="s">
        <v>534</v>
      </c>
      <c r="C600" s="700"/>
      <c r="D600" s="700"/>
      <c r="E600" s="695">
        <f>SUM(E599)</f>
        <v>0</v>
      </c>
      <c r="F600" s="724"/>
      <c r="G600" s="702" t="s">
        <v>81</v>
      </c>
      <c r="H600" s="847" t="s">
        <v>534</v>
      </c>
      <c r="I600" s="700"/>
      <c r="J600" s="700"/>
      <c r="K600" s="695">
        <f>SUM(K599)</f>
        <v>0</v>
      </c>
      <c r="L600" s="725"/>
      <c r="M600" s="703">
        <f>E600+K600</f>
        <v>0</v>
      </c>
      <c r="N600" s="726"/>
    </row>
    <row r="601" spans="1:14" s="27" customFormat="1" ht="17.25" customHeight="1">
      <c r="A601" s="704" t="s">
        <v>82</v>
      </c>
      <c r="B601" s="848" t="s">
        <v>438</v>
      </c>
      <c r="C601" s="705"/>
      <c r="D601" s="705"/>
      <c r="E601" s="705">
        <f>(E589+E590+E591+E592+E593+E594+E595+E596+E597)-E600</f>
        <v>812172.41200000001</v>
      </c>
      <c r="F601" s="724"/>
      <c r="G601" s="704" t="s">
        <v>82</v>
      </c>
      <c r="H601" s="848" t="s">
        <v>438</v>
      </c>
      <c r="I601" s="705"/>
      <c r="J601" s="705"/>
      <c r="K601" s="705">
        <f>(K589+K590+K591+K592+K593+K594+K595+K596+K597)-K600</f>
        <v>966340.03200000012</v>
      </c>
      <c r="L601" s="707">
        <f>E601+K601</f>
        <v>1778512.4440000001</v>
      </c>
      <c r="M601" s="674"/>
      <c r="N601" s="726"/>
    </row>
    <row r="602" spans="1:14" s="27" customFormat="1" ht="70.5" customHeight="1">
      <c r="A602" s="717"/>
      <c r="B602" s="713"/>
      <c r="C602" s="713"/>
      <c r="D602" s="713"/>
      <c r="E602" s="713"/>
      <c r="F602" s="724"/>
      <c r="G602" s="717"/>
      <c r="H602" s="713"/>
      <c r="I602" s="713"/>
      <c r="J602" s="713"/>
      <c r="K602" s="724"/>
      <c r="L602" s="725"/>
      <c r="M602" s="674"/>
      <c r="N602" s="726"/>
    </row>
    <row r="603" spans="1:14" s="27" customFormat="1" ht="17.25" customHeight="1">
      <c r="A603" s="1567" t="str">
        <f>A586</f>
        <v>LƯƠNG THÁNG 01/2025</v>
      </c>
      <c r="B603" s="1568"/>
      <c r="C603" s="1568"/>
      <c r="D603" s="1568"/>
      <c r="E603" s="766">
        <v>71</v>
      </c>
      <c r="F603" s="724"/>
      <c r="G603" s="1567" t="str">
        <f>A603</f>
        <v>LƯƠNG THÁNG 01/2025</v>
      </c>
      <c r="H603" s="1568"/>
      <c r="I603" s="1568"/>
      <c r="J603" s="1569"/>
      <c r="K603" s="766">
        <v>72</v>
      </c>
      <c r="L603" s="725"/>
      <c r="M603" s="674"/>
      <c r="N603" s="726"/>
    </row>
    <row r="604" spans="1:14" s="27" customFormat="1" ht="17.25" customHeight="1">
      <c r="A604" s="709" t="s">
        <v>15</v>
      </c>
      <c r="B604" s="840" t="str">
        <f>'CNKT '!D86</f>
        <v>N. Chay</v>
      </c>
      <c r="C604" s="691"/>
      <c r="D604" s="838" t="s">
        <v>396</v>
      </c>
      <c r="E604" s="838" t="s">
        <v>18</v>
      </c>
      <c r="F604" s="724"/>
      <c r="G604" s="709" t="s">
        <v>15</v>
      </c>
      <c r="H604" s="840" t="str">
        <f>'CNKT '!D87</f>
        <v>T. Ta</v>
      </c>
      <c r="I604" s="691"/>
      <c r="J604" s="838" t="s">
        <v>396</v>
      </c>
      <c r="K604" s="838" t="s">
        <v>18</v>
      </c>
      <c r="L604" s="725"/>
      <c r="M604" s="674"/>
      <c r="N604" s="726"/>
    </row>
    <row r="605" spans="1:14" s="27" customFormat="1" ht="17.25" customHeight="1">
      <c r="A605" s="693" t="s">
        <v>397</v>
      </c>
      <c r="B605" s="842" t="s">
        <v>527</v>
      </c>
      <c r="C605" s="694">
        <f>VLOOKUP(B604,'BTH mủ tạp'!$D$17:$AN$94,36,0)</f>
        <v>676.56038051399844</v>
      </c>
      <c r="D605" s="695"/>
      <c r="E605" s="695"/>
      <c r="F605" s="724"/>
      <c r="G605" s="693" t="s">
        <v>397</v>
      </c>
      <c r="H605" s="842" t="s">
        <v>527</v>
      </c>
      <c r="I605" s="694">
        <f>VLOOKUP(H604,'BTH mủ tạp'!$D$17:$AN$94,36,0)</f>
        <v>733.59734199667264</v>
      </c>
      <c r="J605" s="695"/>
      <c r="K605" s="695"/>
      <c r="L605" s="725"/>
      <c r="M605" s="674"/>
      <c r="N605" s="726"/>
    </row>
    <row r="606" spans="1:14" s="27" customFormat="1" ht="17.25" customHeight="1">
      <c r="A606" s="693" t="s">
        <v>77</v>
      </c>
      <c r="B606" s="843" t="s">
        <v>432</v>
      </c>
      <c r="C606" s="696">
        <f>VLOOKUP(B604,'CNKT '!$D$16:$AA$96,3,0)</f>
        <v>0</v>
      </c>
      <c r="D606" s="697">
        <v>25000</v>
      </c>
      <c r="E606" s="695">
        <f>C606*D606</f>
        <v>0</v>
      </c>
      <c r="F606" s="724"/>
      <c r="G606" s="693" t="s">
        <v>77</v>
      </c>
      <c r="H606" s="843" t="s">
        <v>432</v>
      </c>
      <c r="I606" s="696">
        <f>VLOOKUP(H604,'CNKT '!$D$16:$AA$96,3,0)</f>
        <v>0</v>
      </c>
      <c r="J606" s="697">
        <v>25000</v>
      </c>
      <c r="K606" s="695">
        <f>I606*J606</f>
        <v>0</v>
      </c>
      <c r="L606" s="725"/>
      <c r="M606" s="674"/>
      <c r="N606" s="726"/>
    </row>
    <row r="607" spans="1:14" s="27" customFormat="1" ht="17.25" customHeight="1">
      <c r="A607" s="693" t="s">
        <v>307</v>
      </c>
      <c r="B607" s="844" t="s">
        <v>528</v>
      </c>
      <c r="C607" s="747">
        <f>VLOOKUP(B604,'CNKT '!$D$16:$AA$96,11,0)</f>
        <v>17</v>
      </c>
      <c r="D607" s="698">
        <f>46.1*$B$2</f>
        <v>30833.524000000001</v>
      </c>
      <c r="E607" s="695">
        <f t="shared" ref="E607:E611" si="70">C607*D607</f>
        <v>524169.908</v>
      </c>
      <c r="F607" s="724"/>
      <c r="G607" s="693" t="s">
        <v>307</v>
      </c>
      <c r="H607" s="844" t="s">
        <v>528</v>
      </c>
      <c r="I607" s="747">
        <f>VLOOKUP(H604,'CNKT '!$D$16:$AA$96,11,0)</f>
        <v>23</v>
      </c>
      <c r="J607" s="698">
        <f>46.1*$B$2</f>
        <v>30833.524000000001</v>
      </c>
      <c r="K607" s="695">
        <f t="shared" ref="K607:K611" si="71">I607*J607</f>
        <v>709171.05200000003</v>
      </c>
      <c r="L607" s="725"/>
      <c r="M607" s="674"/>
      <c r="N607" s="726"/>
    </row>
    <row r="608" spans="1:14" s="27" customFormat="1" ht="17.25" customHeight="1">
      <c r="A608" s="693" t="s">
        <v>399</v>
      </c>
      <c r="B608" s="844" t="s">
        <v>529</v>
      </c>
      <c r="C608" s="747">
        <f>VLOOKUP(B604,'CNKT '!$D$16:$AA$96,12,0)</f>
        <v>4</v>
      </c>
      <c r="D608" s="697">
        <f>76.9*$B$2</f>
        <v>51433.796000000009</v>
      </c>
      <c r="E608" s="695">
        <f t="shared" si="70"/>
        <v>205735.18400000004</v>
      </c>
      <c r="F608" s="724"/>
      <c r="G608" s="693" t="s">
        <v>399</v>
      </c>
      <c r="H608" s="844" t="s">
        <v>529</v>
      </c>
      <c r="I608" s="747">
        <f>VLOOKUP(H604,'CNKT '!$D$16:$AA$96,12,0)</f>
        <v>5</v>
      </c>
      <c r="J608" s="697">
        <f>76.9*$B$2</f>
        <v>51433.796000000009</v>
      </c>
      <c r="K608" s="695">
        <f t="shared" si="71"/>
        <v>257168.98000000004</v>
      </c>
      <c r="L608" s="725"/>
      <c r="M608" s="674"/>
      <c r="N608" s="726"/>
    </row>
    <row r="609" spans="1:14" s="27" customFormat="1" ht="17.25" customHeight="1">
      <c r="A609" s="693" t="s">
        <v>78</v>
      </c>
      <c r="B609" s="844" t="s">
        <v>530</v>
      </c>
      <c r="C609" s="747">
        <f>VLOOKUP(B604,'CNKT '!$D$16:$AA$96,8,0)</f>
        <v>676.56038051399855</v>
      </c>
      <c r="D609" s="697">
        <f>IF(C605="A",6.1,IF(C605="B",5.8,IF(C605="C",5.5,IF(C605="C.",5.5,IF(C605="D",5.2)))))*$B$2</f>
        <v>0</v>
      </c>
      <c r="E609" s="695">
        <f t="shared" si="70"/>
        <v>0</v>
      </c>
      <c r="F609" s="724"/>
      <c r="G609" s="693" t="s">
        <v>78</v>
      </c>
      <c r="H609" s="844" t="s">
        <v>530</v>
      </c>
      <c r="I609" s="747">
        <f>VLOOKUP(H604,'CNKT '!$D$16:$AA$96,8,0)</f>
        <v>733.59734199667287</v>
      </c>
      <c r="J609" s="697">
        <f>IF(I605="A",6.1,IF(I605="B",5.8,IF(I605="C",5.5,IF(I605="C.",5.5,IF(I605="D",5.2)))))*$B$2</f>
        <v>0</v>
      </c>
      <c r="K609" s="695">
        <f t="shared" si="71"/>
        <v>0</v>
      </c>
      <c r="L609" s="725"/>
      <c r="M609" s="674"/>
      <c r="N609" s="726"/>
    </row>
    <row r="610" spans="1:14" s="27" customFormat="1" ht="17.25" customHeight="1">
      <c r="A610" s="693" t="s">
        <v>491</v>
      </c>
      <c r="B610" s="844" t="s">
        <v>531</v>
      </c>
      <c r="C610" s="747">
        <f>VLOOKUP(B604,'CNKT '!$D$16:$AA$96,15,0)</f>
        <v>0</v>
      </c>
      <c r="D610" s="698">
        <f>92.2*$B$2</f>
        <v>61667.048000000003</v>
      </c>
      <c r="E610" s="695">
        <f t="shared" si="70"/>
        <v>0</v>
      </c>
      <c r="F610" s="724"/>
      <c r="G610" s="693" t="s">
        <v>491</v>
      </c>
      <c r="H610" s="844" t="s">
        <v>531</v>
      </c>
      <c r="I610" s="747">
        <f>VLOOKUP(H604,'CNKT '!$D$16:$AA$96,15,0)</f>
        <v>0</v>
      </c>
      <c r="J610" s="698">
        <f>92.2*$B$2</f>
        <v>61667.048000000003</v>
      </c>
      <c r="K610" s="695">
        <f t="shared" si="71"/>
        <v>0</v>
      </c>
      <c r="L610" s="725"/>
      <c r="M610" s="674"/>
      <c r="N610" s="726"/>
    </row>
    <row r="611" spans="1:14" s="27" customFormat="1" ht="17.25" customHeight="1">
      <c r="A611" s="693" t="s">
        <v>492</v>
      </c>
      <c r="B611" s="844" t="s">
        <v>496</v>
      </c>
      <c r="C611" s="747">
        <f>VLOOKUP(B604,'CNKT '!$D$16:$AA$96,16,0)</f>
        <v>0</v>
      </c>
      <c r="D611" s="697">
        <f>153.8*$B$2</f>
        <v>102867.59200000002</v>
      </c>
      <c r="E611" s="695">
        <f t="shared" si="70"/>
        <v>0</v>
      </c>
      <c r="F611" s="724"/>
      <c r="G611" s="693" t="s">
        <v>492</v>
      </c>
      <c r="H611" s="844" t="s">
        <v>496</v>
      </c>
      <c r="I611" s="747">
        <f>VLOOKUP(H604,'CNKT '!$D$16:$AA$96,16,0)</f>
        <v>0</v>
      </c>
      <c r="J611" s="697">
        <f>153.8*$B$2</f>
        <v>102867.59200000002</v>
      </c>
      <c r="K611" s="695">
        <f t="shared" si="71"/>
        <v>0</v>
      </c>
      <c r="L611" s="725"/>
      <c r="M611" s="674"/>
      <c r="N611" s="726"/>
    </row>
    <row r="612" spans="1:14" s="27" customFormat="1" ht="17.25" customHeight="1">
      <c r="A612" s="693" t="s">
        <v>453</v>
      </c>
      <c r="B612" s="844" t="s">
        <v>497</v>
      </c>
      <c r="C612" s="747">
        <f>VLOOKUP(B604,'CNKT '!$D$16:$AA$96,18,0)</f>
        <v>0</v>
      </c>
      <c r="D612" s="697">
        <v>10000</v>
      </c>
      <c r="E612" s="695">
        <f>C612*D612</f>
        <v>0</v>
      </c>
      <c r="F612" s="724"/>
      <c r="G612" s="693" t="s">
        <v>453</v>
      </c>
      <c r="H612" s="844" t="s">
        <v>497</v>
      </c>
      <c r="I612" s="747">
        <f>VLOOKUP(H604,'CNKT '!$D$16:$AA$96,18,0)</f>
        <v>0</v>
      </c>
      <c r="J612" s="697">
        <v>10000</v>
      </c>
      <c r="K612" s="695">
        <f>I612*J612</f>
        <v>0</v>
      </c>
      <c r="L612" s="725"/>
      <c r="M612" s="674"/>
      <c r="N612" s="726"/>
    </row>
    <row r="613" spans="1:14" s="27" customFormat="1" ht="17.25" customHeight="1">
      <c r="A613" s="693" t="s">
        <v>453</v>
      </c>
      <c r="B613" s="844" t="s">
        <v>497</v>
      </c>
      <c r="C613" s="747">
        <f>VLOOKUP(B604,'CNKT '!$D$16:$AA$96,19,0)</f>
        <v>0</v>
      </c>
      <c r="D613" s="697">
        <v>20000</v>
      </c>
      <c r="E613" s="695">
        <f>C613*D613</f>
        <v>0</v>
      </c>
      <c r="F613" s="724"/>
      <c r="G613" s="693" t="s">
        <v>453</v>
      </c>
      <c r="H613" s="844" t="s">
        <v>497</v>
      </c>
      <c r="I613" s="747">
        <f>VLOOKUP(H604,'CNKT '!$D$16:$AA$96,19,0)</f>
        <v>0</v>
      </c>
      <c r="J613" s="697">
        <v>20000</v>
      </c>
      <c r="K613" s="695">
        <f>I613*J613</f>
        <v>0</v>
      </c>
      <c r="L613" s="725"/>
      <c r="M613" s="674"/>
      <c r="N613" s="726"/>
    </row>
    <row r="614" spans="1:14" s="27" customFormat="1" ht="17.25" customHeight="1">
      <c r="A614" s="693" t="s">
        <v>512</v>
      </c>
      <c r="B614" s="844" t="s">
        <v>513</v>
      </c>
      <c r="C614" s="747"/>
      <c r="D614" s="697"/>
      <c r="E614" s="695"/>
      <c r="F614" s="724"/>
      <c r="G614" s="693" t="s">
        <v>512</v>
      </c>
      <c r="H614" s="844" t="s">
        <v>513</v>
      </c>
      <c r="I614" s="747"/>
      <c r="J614" s="697"/>
      <c r="K614" s="695"/>
      <c r="L614" s="725"/>
      <c r="M614" s="674"/>
      <c r="N614" s="726"/>
    </row>
    <row r="615" spans="1:14" s="27" customFormat="1" ht="17.25" customHeight="1">
      <c r="A615" s="699" t="s">
        <v>79</v>
      </c>
      <c r="B615" s="845" t="s">
        <v>532</v>
      </c>
      <c r="C615" s="700"/>
      <c r="D615" s="701"/>
      <c r="E615" s="700"/>
      <c r="F615" s="724"/>
      <c r="G615" s="699" t="s">
        <v>79</v>
      </c>
      <c r="H615" s="845" t="s">
        <v>532</v>
      </c>
      <c r="I615" s="700"/>
      <c r="J615" s="701"/>
      <c r="K615" s="700"/>
      <c r="L615" s="725"/>
      <c r="M615" s="674"/>
      <c r="N615" s="726"/>
    </row>
    <row r="616" spans="1:14" s="27" customFormat="1" ht="17.25" customHeight="1">
      <c r="A616" s="702" t="s">
        <v>80</v>
      </c>
      <c r="B616" s="846" t="s">
        <v>533</v>
      </c>
      <c r="C616" s="700"/>
      <c r="D616" s="700"/>
      <c r="E616" s="700"/>
      <c r="F616" s="724"/>
      <c r="G616" s="702" t="s">
        <v>80</v>
      </c>
      <c r="H616" s="846" t="s">
        <v>533</v>
      </c>
      <c r="I616" s="700"/>
      <c r="J616" s="700"/>
      <c r="K616" s="700"/>
      <c r="L616" s="725"/>
      <c r="M616" s="674"/>
      <c r="N616" s="726"/>
    </row>
    <row r="617" spans="1:14" s="27" customFormat="1" ht="17.25" customHeight="1">
      <c r="A617" s="702" t="s">
        <v>81</v>
      </c>
      <c r="B617" s="847" t="s">
        <v>534</v>
      </c>
      <c r="C617" s="700"/>
      <c r="D617" s="700"/>
      <c r="E617" s="695">
        <f>SUM(E616)</f>
        <v>0</v>
      </c>
      <c r="F617" s="724"/>
      <c r="G617" s="702" t="s">
        <v>81</v>
      </c>
      <c r="H617" s="847" t="s">
        <v>534</v>
      </c>
      <c r="I617" s="700"/>
      <c r="J617" s="700"/>
      <c r="K617" s="695">
        <f>SUM(K616)</f>
        <v>0</v>
      </c>
      <c r="L617" s="725"/>
      <c r="M617" s="703">
        <f>E617+K617</f>
        <v>0</v>
      </c>
      <c r="N617" s="726"/>
    </row>
    <row r="618" spans="1:14" s="27" customFormat="1" ht="17.25" customHeight="1">
      <c r="A618" s="704" t="s">
        <v>82</v>
      </c>
      <c r="B618" s="848" t="s">
        <v>438</v>
      </c>
      <c r="C618" s="705"/>
      <c r="D618" s="705"/>
      <c r="E618" s="705">
        <f>(E606+E607+E608+E609+E610+E611+E612+E613+E614)-E617</f>
        <v>729905.09200000006</v>
      </c>
      <c r="F618" s="724"/>
      <c r="G618" s="704" t="s">
        <v>82</v>
      </c>
      <c r="H618" s="848" t="s">
        <v>438</v>
      </c>
      <c r="I618" s="705"/>
      <c r="J618" s="705"/>
      <c r="K618" s="705">
        <f>(K606+K607+K608+K609+K610+K611+K612+K613+K614)-K617</f>
        <v>966340.03200000012</v>
      </c>
      <c r="L618" s="707">
        <f>E618+K618</f>
        <v>1696245.1240000003</v>
      </c>
      <c r="M618" s="674"/>
      <c r="N618" s="726"/>
    </row>
    <row r="619" spans="1:14" s="27" customFormat="1" ht="17.25" customHeight="1">
      <c r="A619" s="717"/>
      <c r="B619" s="713"/>
      <c r="C619" s="713"/>
      <c r="D619" s="713"/>
      <c r="E619" s="713"/>
      <c r="F619" s="724"/>
      <c r="G619" s="717"/>
      <c r="H619" s="713"/>
      <c r="I619" s="713"/>
      <c r="J619" s="713"/>
      <c r="K619" s="724"/>
      <c r="L619" s="725"/>
      <c r="M619" s="674"/>
      <c r="N619" s="726"/>
    </row>
    <row r="620" spans="1:14" s="27" customFormat="1" ht="17.25" customHeight="1">
      <c r="A620" s="1567" t="str">
        <f>A603</f>
        <v>LƯƠNG THÁNG 01/2025</v>
      </c>
      <c r="B620" s="1568"/>
      <c r="C620" s="1568"/>
      <c r="D620" s="1568"/>
      <c r="E620" s="766">
        <v>73</v>
      </c>
      <c r="F620" s="724"/>
      <c r="G620" s="1567" t="str">
        <f>A620</f>
        <v>LƯƠNG THÁNG 01/2025</v>
      </c>
      <c r="H620" s="1568"/>
      <c r="I620" s="1568"/>
      <c r="J620" s="1569"/>
      <c r="K620" s="766">
        <v>74</v>
      </c>
      <c r="L620" s="725"/>
      <c r="M620" s="674"/>
      <c r="N620" s="726"/>
    </row>
    <row r="621" spans="1:14" s="27" customFormat="1" ht="17.25" customHeight="1">
      <c r="A621" s="709" t="s">
        <v>15</v>
      </c>
      <c r="B621" s="840" t="str">
        <f>'CNKT '!D88</f>
        <v>T. Ne</v>
      </c>
      <c r="C621" s="691"/>
      <c r="D621" s="838" t="s">
        <v>396</v>
      </c>
      <c r="E621" s="838" t="s">
        <v>18</v>
      </c>
      <c r="F621" s="724"/>
      <c r="G621" s="709" t="s">
        <v>15</v>
      </c>
      <c r="H621" s="840" t="str">
        <f>'CNKT '!D89</f>
        <v>T. Tý</v>
      </c>
      <c r="I621" s="691"/>
      <c r="J621" s="838" t="s">
        <v>396</v>
      </c>
      <c r="K621" s="838" t="s">
        <v>18</v>
      </c>
      <c r="L621" s="725"/>
      <c r="M621" s="674"/>
      <c r="N621" s="726"/>
    </row>
    <row r="622" spans="1:14" s="27" customFormat="1" ht="17.25" customHeight="1">
      <c r="A622" s="693" t="s">
        <v>397</v>
      </c>
      <c r="B622" s="842" t="s">
        <v>527</v>
      </c>
      <c r="C622" s="694">
        <f>VLOOKUP(B621,'BTH mủ tạp'!$D$17:$AN$94,36,0)</f>
        <v>736.37963280070562</v>
      </c>
      <c r="D622" s="695"/>
      <c r="E622" s="695"/>
      <c r="F622" s="724"/>
      <c r="G622" s="693" t="s">
        <v>397</v>
      </c>
      <c r="H622" s="842" t="s">
        <v>527</v>
      </c>
      <c r="I622" s="694">
        <f>VLOOKUP(H621,'BTH mủ tạp'!$D$17:$AN$94,36,0)</f>
        <v>50.544949606597548</v>
      </c>
      <c r="J622" s="695"/>
      <c r="K622" s="695"/>
      <c r="L622" s="725"/>
      <c r="M622" s="674"/>
      <c r="N622" s="726"/>
    </row>
    <row r="623" spans="1:14" s="27" customFormat="1" ht="17.25" customHeight="1">
      <c r="A623" s="693" t="s">
        <v>77</v>
      </c>
      <c r="B623" s="843" t="s">
        <v>432</v>
      </c>
      <c r="C623" s="696">
        <f>VLOOKUP(B621,'CNKT '!$D$16:$AA$96,3,0)</f>
        <v>0</v>
      </c>
      <c r="D623" s="697">
        <v>25000</v>
      </c>
      <c r="E623" s="695">
        <f>C623*D623</f>
        <v>0</v>
      </c>
      <c r="F623" s="724"/>
      <c r="G623" s="693" t="s">
        <v>77</v>
      </c>
      <c r="H623" s="843" t="s">
        <v>432</v>
      </c>
      <c r="I623" s="696">
        <f>VLOOKUP(H621,'CNKT '!$D$16:$AA$96,3,0)</f>
        <v>0</v>
      </c>
      <c r="J623" s="697">
        <v>25000</v>
      </c>
      <c r="K623" s="695">
        <f>I623*J623</f>
        <v>0</v>
      </c>
      <c r="L623" s="725"/>
      <c r="M623" s="674"/>
      <c r="N623" s="726"/>
    </row>
    <row r="624" spans="1:14" s="27" customFormat="1" ht="17.25" customHeight="1">
      <c r="A624" s="693" t="s">
        <v>307</v>
      </c>
      <c r="B624" s="844" t="s">
        <v>528</v>
      </c>
      <c r="C624" s="747">
        <f>VLOOKUP(B621,'CNKT '!$D$16:$AA$96,11,0)</f>
        <v>23</v>
      </c>
      <c r="D624" s="698">
        <f>46.1*$B$2</f>
        <v>30833.524000000001</v>
      </c>
      <c r="E624" s="695">
        <f t="shared" ref="E624:E628" si="72">C624*D624</f>
        <v>709171.05200000003</v>
      </c>
      <c r="F624" s="724"/>
      <c r="G624" s="693" t="s">
        <v>307</v>
      </c>
      <c r="H624" s="844" t="s">
        <v>528</v>
      </c>
      <c r="I624" s="747">
        <f>VLOOKUP(H621,'CNKT '!$D$16:$AA$96,11,0)</f>
        <v>7</v>
      </c>
      <c r="J624" s="698">
        <f>46.1*$B$2</f>
        <v>30833.524000000001</v>
      </c>
      <c r="K624" s="695">
        <f t="shared" ref="K624:K628" si="73">I624*J624</f>
        <v>215834.66800000001</v>
      </c>
      <c r="L624" s="725"/>
      <c r="M624" s="674"/>
      <c r="N624" s="726"/>
    </row>
    <row r="625" spans="1:14" s="27" customFormat="1" ht="17.25" customHeight="1">
      <c r="A625" s="693" t="s">
        <v>399</v>
      </c>
      <c r="B625" s="844" t="s">
        <v>529</v>
      </c>
      <c r="C625" s="747">
        <f>VLOOKUP(B621,'CNKT '!$D$16:$AA$96,12,0)</f>
        <v>5</v>
      </c>
      <c r="D625" s="697">
        <f>76.9*$B$2</f>
        <v>51433.796000000009</v>
      </c>
      <c r="E625" s="695">
        <f t="shared" si="72"/>
        <v>257168.98000000004</v>
      </c>
      <c r="F625" s="724"/>
      <c r="G625" s="693" t="s">
        <v>399</v>
      </c>
      <c r="H625" s="844" t="s">
        <v>529</v>
      </c>
      <c r="I625" s="747">
        <f>VLOOKUP(H621,'CNKT '!$D$16:$AA$96,12,0)</f>
        <v>1</v>
      </c>
      <c r="J625" s="697">
        <f>76.9*$B$2</f>
        <v>51433.796000000009</v>
      </c>
      <c r="K625" s="695">
        <f t="shared" si="73"/>
        <v>51433.796000000009</v>
      </c>
      <c r="L625" s="725"/>
      <c r="M625" s="674"/>
      <c r="N625" s="726"/>
    </row>
    <row r="626" spans="1:14" s="27" customFormat="1" ht="17.25" customHeight="1">
      <c r="A626" s="693" t="s">
        <v>78</v>
      </c>
      <c r="B626" s="844" t="s">
        <v>530</v>
      </c>
      <c r="C626" s="747">
        <f>VLOOKUP(B621,'CNKT '!$D$16:$AA$96,8,0)</f>
        <v>736.37963280070574</v>
      </c>
      <c r="D626" s="697">
        <f>IF(C622="A",6.1,IF(C622="B",5.8,IF(C622="C",5.5,IF(C622="C.",5.5,IF(C622="D",5.2)))))*$B$2</f>
        <v>0</v>
      </c>
      <c r="E626" s="695">
        <f t="shared" si="72"/>
        <v>0</v>
      </c>
      <c r="F626" s="724"/>
      <c r="G626" s="693" t="s">
        <v>78</v>
      </c>
      <c r="H626" s="844" t="s">
        <v>530</v>
      </c>
      <c r="I626" s="747">
        <f>VLOOKUP(H621,'CNKT '!$D$16:$AA$96,8,0)</f>
        <v>50.544949606597562</v>
      </c>
      <c r="J626" s="697">
        <f>IF(I622="A",6.1,IF(I622="B",5.8,IF(I622="C",5.5,IF(I622="C.",5.5,IF(I622="D",5.2)))))*$B$2</f>
        <v>0</v>
      </c>
      <c r="K626" s="695">
        <f t="shared" si="73"/>
        <v>0</v>
      </c>
      <c r="L626" s="725"/>
      <c r="M626" s="674"/>
      <c r="N626" s="726"/>
    </row>
    <row r="627" spans="1:14" s="27" customFormat="1" ht="17.25" customHeight="1">
      <c r="A627" s="693" t="s">
        <v>491</v>
      </c>
      <c r="B627" s="844" t="s">
        <v>531</v>
      </c>
      <c r="C627" s="747">
        <f>VLOOKUP(B621,'CNKT '!$D$16:$AA$96,15,0)</f>
        <v>0</v>
      </c>
      <c r="D627" s="698">
        <f>92.2*$B$2</f>
        <v>61667.048000000003</v>
      </c>
      <c r="E627" s="695">
        <f t="shared" si="72"/>
        <v>0</v>
      </c>
      <c r="F627" s="724"/>
      <c r="G627" s="693" t="s">
        <v>491</v>
      </c>
      <c r="H627" s="844" t="s">
        <v>531</v>
      </c>
      <c r="I627" s="747">
        <f>VLOOKUP(H621,'CNKT '!$D$16:$AA$96,15,0)</f>
        <v>0</v>
      </c>
      <c r="J627" s="698">
        <f>92.2*$B$2</f>
        <v>61667.048000000003</v>
      </c>
      <c r="K627" s="695">
        <f t="shared" si="73"/>
        <v>0</v>
      </c>
      <c r="L627" s="725"/>
      <c r="M627" s="674"/>
      <c r="N627" s="726"/>
    </row>
    <row r="628" spans="1:14" s="27" customFormat="1" ht="17.25" customHeight="1">
      <c r="A628" s="693" t="s">
        <v>492</v>
      </c>
      <c r="B628" s="844" t="s">
        <v>496</v>
      </c>
      <c r="C628" s="747">
        <f>VLOOKUP(B621,'CNKT '!$D$16:$AA$96,16,0)</f>
        <v>0</v>
      </c>
      <c r="D628" s="697">
        <f>153.8*$B$2</f>
        <v>102867.59200000002</v>
      </c>
      <c r="E628" s="695">
        <f t="shared" si="72"/>
        <v>0</v>
      </c>
      <c r="F628" s="724"/>
      <c r="G628" s="693" t="s">
        <v>492</v>
      </c>
      <c r="H628" s="844" t="s">
        <v>496</v>
      </c>
      <c r="I628" s="747">
        <f>VLOOKUP(H621,'CNKT '!$D$16:$AA$96,16,0)</f>
        <v>0</v>
      </c>
      <c r="J628" s="697">
        <f>153.8*$B$2</f>
        <v>102867.59200000002</v>
      </c>
      <c r="K628" s="695">
        <f t="shared" si="73"/>
        <v>0</v>
      </c>
      <c r="L628" s="725"/>
      <c r="M628" s="674"/>
      <c r="N628" s="726"/>
    </row>
    <row r="629" spans="1:14" s="27" customFormat="1" ht="17.25" customHeight="1">
      <c r="A629" s="693" t="s">
        <v>453</v>
      </c>
      <c r="B629" s="844" t="s">
        <v>497</v>
      </c>
      <c r="C629" s="747">
        <f>VLOOKUP(B621,'CNKT '!$D$16:$AA$96,18,0)</f>
        <v>0</v>
      </c>
      <c r="D629" s="697">
        <v>10000</v>
      </c>
      <c r="E629" s="695">
        <f>C629*D629</f>
        <v>0</v>
      </c>
      <c r="F629" s="724"/>
      <c r="G629" s="693" t="s">
        <v>453</v>
      </c>
      <c r="H629" s="844" t="s">
        <v>497</v>
      </c>
      <c r="I629" s="747">
        <f>VLOOKUP(H621,'CNKT '!$D$16:$AA$96,18,0)</f>
        <v>0</v>
      </c>
      <c r="J629" s="697">
        <v>10000</v>
      </c>
      <c r="K629" s="695">
        <f>I629*J629</f>
        <v>0</v>
      </c>
      <c r="L629" s="725"/>
      <c r="M629" s="674"/>
      <c r="N629" s="726"/>
    </row>
    <row r="630" spans="1:14" s="27" customFormat="1" ht="17.25" customHeight="1">
      <c r="A630" s="693" t="s">
        <v>453</v>
      </c>
      <c r="B630" s="844" t="s">
        <v>497</v>
      </c>
      <c r="C630" s="747">
        <f>VLOOKUP(B621,'CNKT '!$D$16:$AA$96,19,0)</f>
        <v>0</v>
      </c>
      <c r="D630" s="697">
        <v>20000</v>
      </c>
      <c r="E630" s="695">
        <f>C630*D630</f>
        <v>0</v>
      </c>
      <c r="F630" s="724"/>
      <c r="G630" s="693" t="s">
        <v>453</v>
      </c>
      <c r="H630" s="844" t="s">
        <v>497</v>
      </c>
      <c r="I630" s="747">
        <f>VLOOKUP(H621,'CNKT '!$D$16:$AA$96,19,0)</f>
        <v>0</v>
      </c>
      <c r="J630" s="697">
        <v>20000</v>
      </c>
      <c r="K630" s="695">
        <f>I630*J630</f>
        <v>0</v>
      </c>
      <c r="L630" s="725"/>
      <c r="M630" s="674"/>
      <c r="N630" s="726"/>
    </row>
    <row r="631" spans="1:14" s="27" customFormat="1" ht="17.25" customHeight="1">
      <c r="A631" s="693" t="s">
        <v>512</v>
      </c>
      <c r="B631" s="844" t="s">
        <v>513</v>
      </c>
      <c r="C631" s="747"/>
      <c r="D631" s="697"/>
      <c r="E631" s="695"/>
      <c r="F631" s="724"/>
      <c r="G631" s="693" t="s">
        <v>512</v>
      </c>
      <c r="H631" s="844" t="s">
        <v>513</v>
      </c>
      <c r="I631" s="747"/>
      <c r="J631" s="697"/>
      <c r="K631" s="695"/>
      <c r="L631" s="725"/>
      <c r="M631" s="674"/>
      <c r="N631" s="726"/>
    </row>
    <row r="632" spans="1:14" s="27" customFormat="1" ht="17.25" customHeight="1">
      <c r="A632" s="699" t="s">
        <v>79</v>
      </c>
      <c r="B632" s="845" t="s">
        <v>532</v>
      </c>
      <c r="C632" s="700"/>
      <c r="D632" s="701"/>
      <c r="E632" s="700"/>
      <c r="F632" s="724"/>
      <c r="G632" s="699" t="s">
        <v>79</v>
      </c>
      <c r="H632" s="845" t="s">
        <v>532</v>
      </c>
      <c r="I632" s="700"/>
      <c r="J632" s="701"/>
      <c r="K632" s="700"/>
      <c r="L632" s="725"/>
      <c r="M632" s="674"/>
      <c r="N632" s="726"/>
    </row>
    <row r="633" spans="1:14" s="27" customFormat="1" ht="17.25" customHeight="1">
      <c r="A633" s="702" t="s">
        <v>80</v>
      </c>
      <c r="B633" s="846" t="s">
        <v>533</v>
      </c>
      <c r="C633" s="700"/>
      <c r="D633" s="700"/>
      <c r="E633" s="700"/>
      <c r="F633" s="724"/>
      <c r="G633" s="702" t="s">
        <v>80</v>
      </c>
      <c r="H633" s="846" t="s">
        <v>533</v>
      </c>
      <c r="I633" s="700"/>
      <c r="J633" s="700"/>
      <c r="K633" s="700"/>
      <c r="L633" s="725"/>
      <c r="M633" s="674"/>
      <c r="N633" s="726"/>
    </row>
    <row r="634" spans="1:14" s="27" customFormat="1" ht="17.25" customHeight="1">
      <c r="A634" s="702" t="s">
        <v>81</v>
      </c>
      <c r="B634" s="847" t="s">
        <v>534</v>
      </c>
      <c r="C634" s="700"/>
      <c r="D634" s="700"/>
      <c r="E634" s="695">
        <f>SUM(E633)</f>
        <v>0</v>
      </c>
      <c r="F634" s="724"/>
      <c r="G634" s="702" t="s">
        <v>81</v>
      </c>
      <c r="H634" s="847" t="s">
        <v>534</v>
      </c>
      <c r="I634" s="700"/>
      <c r="J634" s="700"/>
      <c r="K634" s="695">
        <f>SUM(K633)</f>
        <v>0</v>
      </c>
      <c r="L634" s="725"/>
      <c r="M634" s="703">
        <f>E634+K634</f>
        <v>0</v>
      </c>
      <c r="N634" s="726"/>
    </row>
    <row r="635" spans="1:14" s="27" customFormat="1" ht="17.25" customHeight="1">
      <c r="A635" s="704" t="s">
        <v>82</v>
      </c>
      <c r="B635" s="848" t="s">
        <v>438</v>
      </c>
      <c r="C635" s="705"/>
      <c r="D635" s="705"/>
      <c r="E635" s="705">
        <f>(E623+E624+E625+E626+E627+E628+E629+E630+E631)-E634</f>
        <v>966340.03200000012</v>
      </c>
      <c r="F635" s="724"/>
      <c r="G635" s="704" t="s">
        <v>82</v>
      </c>
      <c r="H635" s="848" t="s">
        <v>438</v>
      </c>
      <c r="I635" s="705"/>
      <c r="J635" s="705"/>
      <c r="K635" s="705">
        <f>(K623+K624+K625+K626+K627+K628+K629+K630+K631)-K634</f>
        <v>267268.46400000004</v>
      </c>
      <c r="L635" s="707">
        <f>E635+K635</f>
        <v>1233608.4960000003</v>
      </c>
      <c r="M635" s="674"/>
      <c r="N635" s="726"/>
    </row>
    <row r="636" spans="1:14" s="27" customFormat="1" ht="17.25" customHeight="1">
      <c r="A636" s="710"/>
      <c r="B636" s="715"/>
      <c r="C636" s="716"/>
      <c r="D636" s="716"/>
      <c r="E636" s="714"/>
      <c r="F636" s="724"/>
      <c r="G636" s="710"/>
      <c r="H636" s="715"/>
      <c r="I636" s="716"/>
      <c r="J636" s="714"/>
      <c r="K636" s="724"/>
      <c r="L636" s="725"/>
      <c r="M636" s="674"/>
      <c r="N636" s="726"/>
    </row>
    <row r="637" spans="1:14" s="27" customFormat="1" ht="187.5" customHeight="1">
      <c r="A637" s="710"/>
      <c r="B637" s="715"/>
      <c r="C637" s="716"/>
      <c r="D637" s="716"/>
      <c r="E637" s="714"/>
      <c r="F637" s="724"/>
      <c r="G637" s="710"/>
      <c r="H637" s="715"/>
      <c r="I637" s="716"/>
      <c r="J637" s="714"/>
      <c r="K637" s="724"/>
      <c r="L637" s="725"/>
      <c r="M637" s="674"/>
      <c r="N637" s="726"/>
    </row>
    <row r="638" spans="1:14" s="27" customFormat="1" ht="17.25" customHeight="1">
      <c r="A638" s="1567" t="str">
        <f>A620</f>
        <v>LƯƠNG THÁNG 01/2025</v>
      </c>
      <c r="B638" s="1568"/>
      <c r="C638" s="1568"/>
      <c r="D638" s="1568"/>
      <c r="E638" s="766">
        <v>75</v>
      </c>
      <c r="F638" s="724"/>
      <c r="G638" s="1567" t="str">
        <f>A638</f>
        <v>LƯƠNG THÁNG 01/2025</v>
      </c>
      <c r="H638" s="1568"/>
      <c r="I638" s="1568"/>
      <c r="J638" s="1569"/>
      <c r="K638" s="766">
        <v>76</v>
      </c>
      <c r="L638" s="725"/>
      <c r="M638" s="674"/>
      <c r="N638" s="726"/>
    </row>
    <row r="639" spans="1:14" s="27" customFormat="1" ht="17.25" customHeight="1">
      <c r="A639" s="709" t="s">
        <v>15</v>
      </c>
      <c r="B639" s="840" t="str">
        <f>'CNKT '!D90</f>
        <v>T. Lã</v>
      </c>
      <c r="C639" s="691"/>
      <c r="D639" s="838" t="s">
        <v>396</v>
      </c>
      <c r="E639" s="838" t="s">
        <v>18</v>
      </c>
      <c r="F639" s="724"/>
      <c r="G639" s="709" t="s">
        <v>15</v>
      </c>
      <c r="H639" s="840" t="str">
        <f>'CNKT '!D91</f>
        <v>N. Veo</v>
      </c>
      <c r="I639" s="691"/>
      <c r="J639" s="838" t="s">
        <v>396</v>
      </c>
      <c r="K639" s="838" t="s">
        <v>18</v>
      </c>
      <c r="L639" s="725"/>
      <c r="M639" s="674"/>
      <c r="N639" s="726"/>
    </row>
    <row r="640" spans="1:14" s="27" customFormat="1" ht="17.25" customHeight="1">
      <c r="A640" s="693" t="s">
        <v>397</v>
      </c>
      <c r="B640" s="842" t="s">
        <v>527</v>
      </c>
      <c r="C640" s="694">
        <f>VLOOKUP(B639,'BTH mủ tạp'!$D$17:$AN$94,36,0)</f>
        <v>527.24410736423317</v>
      </c>
      <c r="D640" s="695"/>
      <c r="E640" s="695"/>
      <c r="F640" s="724"/>
      <c r="G640" s="693" t="s">
        <v>397</v>
      </c>
      <c r="H640" s="842" t="s">
        <v>527</v>
      </c>
      <c r="I640" s="694">
        <f>VLOOKUP(H639,'BTH mủ tạp'!$D$17:$AN$94,36,0)</f>
        <v>624.62428550538436</v>
      </c>
      <c r="J640" s="695"/>
      <c r="K640" s="695"/>
      <c r="L640" s="725"/>
      <c r="M640" s="674"/>
      <c r="N640" s="726"/>
    </row>
    <row r="641" spans="1:14" s="27" customFormat="1" ht="17.25" customHeight="1">
      <c r="A641" s="693" t="s">
        <v>77</v>
      </c>
      <c r="B641" s="843" t="s">
        <v>432</v>
      </c>
      <c r="C641" s="696">
        <f>VLOOKUP(B639,'CNKT '!$D$16:$AA$96,3,0)</f>
        <v>0</v>
      </c>
      <c r="D641" s="697">
        <v>25000</v>
      </c>
      <c r="E641" s="695">
        <f>C641*D641</f>
        <v>0</v>
      </c>
      <c r="F641" s="724"/>
      <c r="G641" s="693" t="s">
        <v>77</v>
      </c>
      <c r="H641" s="843" t="s">
        <v>432</v>
      </c>
      <c r="I641" s="696">
        <f>VLOOKUP(H639,'CNKT '!$D$16:$AA$96,3,0)</f>
        <v>0</v>
      </c>
      <c r="J641" s="697">
        <v>25000</v>
      </c>
      <c r="K641" s="695">
        <f>I641*J641</f>
        <v>0</v>
      </c>
      <c r="L641" s="725"/>
      <c r="M641" s="674"/>
      <c r="N641" s="726"/>
    </row>
    <row r="642" spans="1:14" s="27" customFormat="1" ht="17.25" customHeight="1">
      <c r="A642" s="693" t="s">
        <v>307</v>
      </c>
      <c r="B642" s="844" t="s">
        <v>528</v>
      </c>
      <c r="C642" s="747">
        <f>VLOOKUP(B639,'CNKT '!$D$16:$AA$96,11,0)</f>
        <v>22</v>
      </c>
      <c r="D642" s="698">
        <f>46.1*$B$2</f>
        <v>30833.524000000001</v>
      </c>
      <c r="E642" s="695">
        <f t="shared" ref="E642:E646" si="74">C642*D642</f>
        <v>678337.52800000005</v>
      </c>
      <c r="F642" s="724"/>
      <c r="G642" s="693" t="s">
        <v>307</v>
      </c>
      <c r="H642" s="844" t="s">
        <v>528</v>
      </c>
      <c r="I642" s="747">
        <f>VLOOKUP(H639,'CNKT '!$D$16:$AA$96,11,0)</f>
        <v>20</v>
      </c>
      <c r="J642" s="698">
        <f>46.1*$B$2</f>
        <v>30833.524000000001</v>
      </c>
      <c r="K642" s="695">
        <f t="shared" ref="K642:K646" si="75">I642*J642</f>
        <v>616670.48</v>
      </c>
      <c r="L642" s="725"/>
      <c r="M642" s="674"/>
      <c r="N642" s="726"/>
    </row>
    <row r="643" spans="1:14" s="27" customFormat="1" ht="17.25" customHeight="1">
      <c r="A643" s="693" t="s">
        <v>399</v>
      </c>
      <c r="B643" s="844" t="s">
        <v>529</v>
      </c>
      <c r="C643" s="747">
        <f>VLOOKUP(B639,'CNKT '!$D$16:$AA$96,12,0)</f>
        <v>3</v>
      </c>
      <c r="D643" s="697">
        <f>76.9*$B$2</f>
        <v>51433.796000000009</v>
      </c>
      <c r="E643" s="695">
        <f t="shared" si="74"/>
        <v>154301.38800000004</v>
      </c>
      <c r="F643" s="724"/>
      <c r="G643" s="693" t="s">
        <v>399</v>
      </c>
      <c r="H643" s="844" t="s">
        <v>529</v>
      </c>
      <c r="I643" s="747">
        <f>VLOOKUP(H639,'CNKT '!$D$16:$AA$96,12,0)</f>
        <v>3</v>
      </c>
      <c r="J643" s="697">
        <f>76.9*$B$2</f>
        <v>51433.796000000009</v>
      </c>
      <c r="K643" s="695">
        <f t="shared" si="75"/>
        <v>154301.38800000004</v>
      </c>
      <c r="L643" s="725"/>
      <c r="M643" s="674"/>
      <c r="N643" s="726"/>
    </row>
    <row r="644" spans="1:14" s="27" customFormat="1" ht="17.25" customHeight="1">
      <c r="A644" s="693" t="s">
        <v>78</v>
      </c>
      <c r="B644" s="844" t="s">
        <v>530</v>
      </c>
      <c r="C644" s="747">
        <f>VLOOKUP(B639,'CNKT '!$D$16:$AA$96,8,0)</f>
        <v>527.24410736423329</v>
      </c>
      <c r="D644" s="697">
        <f>IF(C640="A",6.1,IF(C640="B",5.8,IF(C640="C",5.5,IF(C640="C.",5.5,IF(C640="D",5.2)))))*$B$2</f>
        <v>0</v>
      </c>
      <c r="E644" s="695">
        <f t="shared" si="74"/>
        <v>0</v>
      </c>
      <c r="F644" s="724"/>
      <c r="G644" s="693" t="s">
        <v>78</v>
      </c>
      <c r="H644" s="844" t="s">
        <v>530</v>
      </c>
      <c r="I644" s="747">
        <f>VLOOKUP(H639,'CNKT '!$D$16:$AA$96,8,0)</f>
        <v>624.62428550538448</v>
      </c>
      <c r="J644" s="697">
        <f>IF(I640="A",6.1,IF(I640="B",5.8,IF(I640="C",5.5,IF(I640="C.",5.5,IF(I640="D",5.2)))))*$B$2</f>
        <v>0</v>
      </c>
      <c r="K644" s="695">
        <f t="shared" si="75"/>
        <v>0</v>
      </c>
      <c r="L644" s="725"/>
      <c r="M644" s="674"/>
      <c r="N644" s="726"/>
    </row>
    <row r="645" spans="1:14" s="27" customFormat="1" ht="17.25" customHeight="1">
      <c r="A645" s="693" t="s">
        <v>491</v>
      </c>
      <c r="B645" s="844" t="s">
        <v>531</v>
      </c>
      <c r="C645" s="747">
        <f>VLOOKUP(B639,'CNKT '!$D$16:$AA$96,15,0)</f>
        <v>0</v>
      </c>
      <c r="D645" s="698">
        <f>92.2*$B$2</f>
        <v>61667.048000000003</v>
      </c>
      <c r="E645" s="695">
        <f t="shared" si="74"/>
        <v>0</v>
      </c>
      <c r="F645" s="724"/>
      <c r="G645" s="693" t="s">
        <v>491</v>
      </c>
      <c r="H645" s="844" t="s">
        <v>531</v>
      </c>
      <c r="I645" s="747">
        <f>VLOOKUP(H639,'CNKT '!$D$16:$AA$96,15,0)</f>
        <v>0</v>
      </c>
      <c r="J645" s="698">
        <f>92.2*$B$2</f>
        <v>61667.048000000003</v>
      </c>
      <c r="K645" s="695">
        <f t="shared" si="75"/>
        <v>0</v>
      </c>
      <c r="L645" s="725"/>
      <c r="M645" s="674"/>
      <c r="N645" s="726"/>
    </row>
    <row r="646" spans="1:14" s="27" customFormat="1" ht="17.25" customHeight="1">
      <c r="A646" s="693" t="s">
        <v>492</v>
      </c>
      <c r="B646" s="844" t="s">
        <v>496</v>
      </c>
      <c r="C646" s="747">
        <f>VLOOKUP(B639,'CNKT '!$D$16:$AA$96,16,0)</f>
        <v>0</v>
      </c>
      <c r="D646" s="697">
        <f>153.8*$B$2</f>
        <v>102867.59200000002</v>
      </c>
      <c r="E646" s="695">
        <f t="shared" si="74"/>
        <v>0</v>
      </c>
      <c r="F646" s="724"/>
      <c r="G646" s="693" t="s">
        <v>492</v>
      </c>
      <c r="H646" s="844" t="s">
        <v>496</v>
      </c>
      <c r="I646" s="747">
        <f>VLOOKUP(H639,'CNKT '!$D$16:$AA$96,16,0)</f>
        <v>0</v>
      </c>
      <c r="J646" s="697">
        <f>153.8*$B$2</f>
        <v>102867.59200000002</v>
      </c>
      <c r="K646" s="695">
        <f t="shared" si="75"/>
        <v>0</v>
      </c>
      <c r="L646" s="725"/>
      <c r="M646" s="674"/>
      <c r="N646" s="726"/>
    </row>
    <row r="647" spans="1:14" s="27" customFormat="1" ht="17.25" customHeight="1">
      <c r="A647" s="693" t="s">
        <v>453</v>
      </c>
      <c r="B647" s="844" t="s">
        <v>497</v>
      </c>
      <c r="C647" s="747">
        <f>VLOOKUP(B639,'CNKT '!$D$16:$AA$96,18,0)</f>
        <v>0</v>
      </c>
      <c r="D647" s="697">
        <v>10000</v>
      </c>
      <c r="E647" s="695">
        <f>C647*D647</f>
        <v>0</v>
      </c>
      <c r="F647" s="724"/>
      <c r="G647" s="693" t="s">
        <v>453</v>
      </c>
      <c r="H647" s="844" t="s">
        <v>497</v>
      </c>
      <c r="I647" s="747">
        <f>VLOOKUP(H639,'CNKT '!$D$16:$AA$96,18,0)</f>
        <v>0</v>
      </c>
      <c r="J647" s="697">
        <v>10000</v>
      </c>
      <c r="K647" s="695">
        <f>I647*J647</f>
        <v>0</v>
      </c>
      <c r="L647" s="725"/>
      <c r="M647" s="674"/>
      <c r="N647" s="726"/>
    </row>
    <row r="648" spans="1:14" s="27" customFormat="1" ht="17.25" customHeight="1">
      <c r="A648" s="693" t="s">
        <v>453</v>
      </c>
      <c r="B648" s="844" t="s">
        <v>497</v>
      </c>
      <c r="C648" s="747">
        <f>VLOOKUP(B639,'CNKT '!$D$16:$AA$96,19,0)</f>
        <v>0</v>
      </c>
      <c r="D648" s="697">
        <v>20000</v>
      </c>
      <c r="E648" s="695">
        <f>C648*D648</f>
        <v>0</v>
      </c>
      <c r="F648" s="724"/>
      <c r="G648" s="693" t="s">
        <v>453</v>
      </c>
      <c r="H648" s="844" t="s">
        <v>497</v>
      </c>
      <c r="I648" s="747">
        <f>VLOOKUP(H639,'CNKT '!$D$16:$AA$96,19,0)</f>
        <v>0</v>
      </c>
      <c r="J648" s="697">
        <v>20000</v>
      </c>
      <c r="K648" s="695">
        <f>I648*J648</f>
        <v>0</v>
      </c>
      <c r="L648" s="725"/>
      <c r="M648" s="674"/>
      <c r="N648" s="726"/>
    </row>
    <row r="649" spans="1:14" s="27" customFormat="1" ht="17.25" customHeight="1">
      <c r="A649" s="693" t="s">
        <v>512</v>
      </c>
      <c r="B649" s="844" t="s">
        <v>513</v>
      </c>
      <c r="C649" s="747"/>
      <c r="D649" s="697"/>
      <c r="E649" s="695"/>
      <c r="F649" s="724"/>
      <c r="G649" s="693" t="s">
        <v>512</v>
      </c>
      <c r="H649" s="844" t="s">
        <v>513</v>
      </c>
      <c r="I649" s="747"/>
      <c r="J649" s="697"/>
      <c r="K649" s="695"/>
      <c r="L649" s="725"/>
      <c r="M649" s="674"/>
      <c r="N649" s="726"/>
    </row>
    <row r="650" spans="1:14" s="27" customFormat="1" ht="17.25" customHeight="1">
      <c r="A650" s="699" t="s">
        <v>79</v>
      </c>
      <c r="B650" s="845" t="s">
        <v>532</v>
      </c>
      <c r="C650" s="700"/>
      <c r="D650" s="701"/>
      <c r="E650" s="700"/>
      <c r="F650" s="724"/>
      <c r="G650" s="699" t="s">
        <v>79</v>
      </c>
      <c r="H650" s="845" t="s">
        <v>532</v>
      </c>
      <c r="I650" s="700"/>
      <c r="J650" s="701"/>
      <c r="K650" s="700"/>
      <c r="L650" s="725"/>
      <c r="M650" s="674"/>
      <c r="N650" s="726"/>
    </row>
    <row r="651" spans="1:14" s="27" customFormat="1" ht="17.25" customHeight="1">
      <c r="A651" s="702" t="s">
        <v>80</v>
      </c>
      <c r="B651" s="846" t="s">
        <v>533</v>
      </c>
      <c r="C651" s="700"/>
      <c r="D651" s="700"/>
      <c r="E651" s="700"/>
      <c r="F651" s="724"/>
      <c r="G651" s="702" t="s">
        <v>80</v>
      </c>
      <c r="H651" s="846" t="s">
        <v>533</v>
      </c>
      <c r="I651" s="700"/>
      <c r="J651" s="700"/>
      <c r="K651" s="700"/>
      <c r="L651" s="707">
        <f>E651+K651</f>
        <v>0</v>
      </c>
      <c r="M651" s="674"/>
      <c r="N651" s="726"/>
    </row>
    <row r="652" spans="1:14" s="27" customFormat="1" ht="17.25" customHeight="1">
      <c r="A652" s="702" t="s">
        <v>81</v>
      </c>
      <c r="B652" s="847" t="s">
        <v>534</v>
      </c>
      <c r="C652" s="700"/>
      <c r="D652" s="700"/>
      <c r="E652" s="695">
        <f>SUM(E651)</f>
        <v>0</v>
      </c>
      <c r="F652" s="724"/>
      <c r="G652" s="702" t="s">
        <v>81</v>
      </c>
      <c r="H652" s="847" t="s">
        <v>534</v>
      </c>
      <c r="I652" s="700"/>
      <c r="J652" s="700"/>
      <c r="K652" s="695">
        <f>SUM(K651)</f>
        <v>0</v>
      </c>
      <c r="L652" s="725"/>
      <c r="M652" s="703">
        <f>E652+K652</f>
        <v>0</v>
      </c>
      <c r="N652" s="726"/>
    </row>
    <row r="653" spans="1:14" s="27" customFormat="1" ht="17.25" customHeight="1">
      <c r="A653" s="704" t="s">
        <v>82</v>
      </c>
      <c r="B653" s="848" t="s">
        <v>438</v>
      </c>
      <c r="C653" s="705"/>
      <c r="D653" s="705"/>
      <c r="E653" s="705">
        <f>(E641+E642+E643+E644+E645+E646+E647+E648+E649)-E652</f>
        <v>832638.91600000008</v>
      </c>
      <c r="F653" s="724"/>
      <c r="G653" s="704" t="s">
        <v>82</v>
      </c>
      <c r="H653" s="848" t="s">
        <v>438</v>
      </c>
      <c r="I653" s="705"/>
      <c r="J653" s="705"/>
      <c r="K653" s="705">
        <f>(K641+K642+K643+K644+K645+K646+K647+K648+K649)-K652</f>
        <v>770971.86800000002</v>
      </c>
      <c r="L653" s="707">
        <f>E653+K653</f>
        <v>1603610.784</v>
      </c>
      <c r="M653" s="674"/>
      <c r="N653" s="726"/>
    </row>
    <row r="654" spans="1:14" s="27" customFormat="1" ht="17.25" customHeight="1">
      <c r="A654" s="710"/>
      <c r="B654" s="715"/>
      <c r="C654" s="716"/>
      <c r="D654" s="716"/>
      <c r="E654" s="714"/>
      <c r="F654" s="724"/>
      <c r="G654" s="710"/>
      <c r="H654" s="715"/>
      <c r="I654" s="716"/>
      <c r="J654" s="714"/>
      <c r="K654" s="724"/>
      <c r="L654" s="725"/>
      <c r="M654" s="674"/>
      <c r="N654" s="726"/>
    </row>
    <row r="655" spans="1:14" s="27" customFormat="1" ht="17.25" customHeight="1">
      <c r="A655" s="1567" t="str">
        <f>A638</f>
        <v>LƯƠNG THÁNG 01/2025</v>
      </c>
      <c r="B655" s="1568"/>
      <c r="C655" s="1568"/>
      <c r="D655" s="1568"/>
      <c r="E655" s="766">
        <v>77</v>
      </c>
      <c r="F655" s="724"/>
      <c r="G655" s="1567" t="str">
        <f>A655</f>
        <v>LƯƠNG THÁNG 01/2025</v>
      </c>
      <c r="H655" s="1568"/>
      <c r="I655" s="1568"/>
      <c r="J655" s="1569"/>
      <c r="K655" s="766">
        <v>78</v>
      </c>
      <c r="L655" s="725"/>
      <c r="M655" s="674"/>
      <c r="N655" s="726"/>
    </row>
    <row r="656" spans="1:14" s="27" customFormat="1" ht="17.25" customHeight="1">
      <c r="A656" s="709" t="s">
        <v>15</v>
      </c>
      <c r="B656" s="840" t="str">
        <f>'CNKT '!D92</f>
        <v>T. Pu</v>
      </c>
      <c r="C656" s="691"/>
      <c r="D656" s="838" t="s">
        <v>396</v>
      </c>
      <c r="E656" s="838" t="s">
        <v>18</v>
      </c>
      <c r="F656" s="724"/>
      <c r="G656" s="709" t="s">
        <v>15</v>
      </c>
      <c r="H656" s="840" t="str">
        <f>'CNKT '!D93</f>
        <v>T. Ta.</v>
      </c>
      <c r="I656" s="691"/>
      <c r="J656" s="838" t="s">
        <v>396</v>
      </c>
      <c r="K656" s="838" t="s">
        <v>18</v>
      </c>
      <c r="L656" s="725"/>
      <c r="M656" s="674"/>
      <c r="N656" s="726"/>
    </row>
    <row r="657" spans="1:14" s="27" customFormat="1" ht="17.25" customHeight="1">
      <c r="A657" s="693" t="s">
        <v>397</v>
      </c>
      <c r="B657" s="842" t="s">
        <v>527</v>
      </c>
      <c r="C657" s="694">
        <f>VLOOKUP(B656,'BTH mủ tạp'!$D$17:$AN$94,36,0)</f>
        <v>403.43216658476945</v>
      </c>
      <c r="D657" s="695"/>
      <c r="E657" s="695"/>
      <c r="F657" s="724"/>
      <c r="G657" s="693" t="s">
        <v>397</v>
      </c>
      <c r="H657" s="842" t="s">
        <v>527</v>
      </c>
      <c r="I657" s="694">
        <f>VLOOKUP(H656,'BTH mủ tạp'!$D$17:$AN$94,36,0)</f>
        <v>332.48375108193068</v>
      </c>
      <c r="J657" s="695"/>
      <c r="K657" s="695"/>
      <c r="L657" s="725"/>
      <c r="M657" s="674"/>
      <c r="N657" s="726"/>
    </row>
    <row r="658" spans="1:14" s="27" customFormat="1" ht="17.25" customHeight="1">
      <c r="A658" s="693" t="s">
        <v>77</v>
      </c>
      <c r="B658" s="843" t="s">
        <v>432</v>
      </c>
      <c r="C658" s="696">
        <f>VLOOKUP(B656,'CNKT '!$D$16:$AA$96,3,0)</f>
        <v>0</v>
      </c>
      <c r="D658" s="697">
        <v>25000</v>
      </c>
      <c r="E658" s="695">
        <f>C658*D658</f>
        <v>0</v>
      </c>
      <c r="F658" s="724"/>
      <c r="G658" s="693" t="s">
        <v>77</v>
      </c>
      <c r="H658" s="843" t="s">
        <v>432</v>
      </c>
      <c r="I658" s="696">
        <f>VLOOKUP(H656,'CNKT '!$D$16:$AA$96,3,0)</f>
        <v>0</v>
      </c>
      <c r="J658" s="697">
        <v>25000</v>
      </c>
      <c r="K658" s="695">
        <f>I658*J658</f>
        <v>0</v>
      </c>
      <c r="L658" s="725"/>
      <c r="M658" s="674"/>
      <c r="N658" s="726"/>
    </row>
    <row r="659" spans="1:14" s="27" customFormat="1" ht="17.25" customHeight="1">
      <c r="A659" s="693" t="s">
        <v>307</v>
      </c>
      <c r="B659" s="844" t="s">
        <v>528</v>
      </c>
      <c r="C659" s="747">
        <f>VLOOKUP(B656,'CNKT '!$D$16:$AA$96,11,0)</f>
        <v>15</v>
      </c>
      <c r="D659" s="698">
        <f>46.1*$B$2</f>
        <v>30833.524000000001</v>
      </c>
      <c r="E659" s="695">
        <f t="shared" ref="E659:E663" si="76">C659*D659</f>
        <v>462502.86000000004</v>
      </c>
      <c r="F659" s="724"/>
      <c r="G659" s="693" t="s">
        <v>307</v>
      </c>
      <c r="H659" s="844" t="s">
        <v>528</v>
      </c>
      <c r="I659" s="747">
        <f>VLOOKUP(H656,'CNKT '!$D$16:$AA$96,11,0)</f>
        <v>12</v>
      </c>
      <c r="J659" s="698">
        <f>46.1*$B$2</f>
        <v>30833.524000000001</v>
      </c>
      <c r="K659" s="695">
        <f t="shared" ref="K659:K663" si="77">I659*J659</f>
        <v>370002.288</v>
      </c>
      <c r="L659" s="725"/>
      <c r="M659" s="674"/>
      <c r="N659" s="726"/>
    </row>
    <row r="660" spans="1:14" s="27" customFormat="1" ht="17.25" customHeight="1">
      <c r="A660" s="693" t="s">
        <v>399</v>
      </c>
      <c r="B660" s="844" t="s">
        <v>529</v>
      </c>
      <c r="C660" s="747">
        <f>VLOOKUP(B656,'CNKT '!$D$16:$AA$96,12,0)</f>
        <v>2</v>
      </c>
      <c r="D660" s="697">
        <f>76.9*$B$2</f>
        <v>51433.796000000009</v>
      </c>
      <c r="E660" s="695">
        <f t="shared" si="76"/>
        <v>102867.59200000002</v>
      </c>
      <c r="F660" s="724"/>
      <c r="G660" s="693" t="s">
        <v>399</v>
      </c>
      <c r="H660" s="844" t="s">
        <v>529</v>
      </c>
      <c r="I660" s="747">
        <f>VLOOKUP(H656,'CNKT '!$D$16:$AA$96,12,0)</f>
        <v>2</v>
      </c>
      <c r="J660" s="697">
        <f>76.9*$B$2</f>
        <v>51433.796000000009</v>
      </c>
      <c r="K660" s="695">
        <f t="shared" si="77"/>
        <v>102867.59200000002</v>
      </c>
      <c r="L660" s="725"/>
      <c r="M660" s="674"/>
      <c r="N660" s="726"/>
    </row>
    <row r="661" spans="1:14" s="27" customFormat="1" ht="17.25" customHeight="1">
      <c r="A661" s="693" t="s">
        <v>78</v>
      </c>
      <c r="B661" s="844" t="s">
        <v>530</v>
      </c>
      <c r="C661" s="747">
        <f>VLOOKUP(B656,'CNKT '!$D$16:$AA$96,8,0)</f>
        <v>403.4321665847695</v>
      </c>
      <c r="D661" s="697">
        <f>IF(C657="A",6.1,IF(C657="B",5.8,IF(C657="C",5.5,IF(C657="C.",5.5,IF(C657="D",5.2)))))*$B$2</f>
        <v>0</v>
      </c>
      <c r="E661" s="695">
        <f t="shared" si="76"/>
        <v>0</v>
      </c>
      <c r="F661" s="724"/>
      <c r="G661" s="693" t="s">
        <v>78</v>
      </c>
      <c r="H661" s="844" t="s">
        <v>530</v>
      </c>
      <c r="I661" s="747">
        <f>VLOOKUP(H656,'CNKT '!$D$16:$AA$96,8,0)</f>
        <v>332.48375108193073</v>
      </c>
      <c r="J661" s="697">
        <f>IF(I657="A",6.1,IF(I657="B",5.8,IF(I657="C",5.5,IF(I657="C.",5.5,IF(I657="D",5.2)))))*$B$2</f>
        <v>0</v>
      </c>
      <c r="K661" s="695">
        <f t="shared" si="77"/>
        <v>0</v>
      </c>
      <c r="L661" s="725"/>
      <c r="M661" s="674"/>
      <c r="N661" s="726"/>
    </row>
    <row r="662" spans="1:14" s="27" customFormat="1" ht="17.25" customHeight="1">
      <c r="A662" s="693" t="s">
        <v>491</v>
      </c>
      <c r="B662" s="844" t="s">
        <v>531</v>
      </c>
      <c r="C662" s="747">
        <f>VLOOKUP(B656,'CNKT '!$D$16:$AA$96,15,0)</f>
        <v>0</v>
      </c>
      <c r="D662" s="698">
        <f>92.2*$B$2</f>
        <v>61667.048000000003</v>
      </c>
      <c r="E662" s="695">
        <f t="shared" si="76"/>
        <v>0</v>
      </c>
      <c r="F662" s="724"/>
      <c r="G662" s="693" t="s">
        <v>491</v>
      </c>
      <c r="H662" s="844" t="s">
        <v>531</v>
      </c>
      <c r="I662" s="747">
        <f>VLOOKUP(H656,'CNKT '!$D$16:$AA$96,15,0)</f>
        <v>0</v>
      </c>
      <c r="J662" s="698">
        <f>92.2*$B$2</f>
        <v>61667.048000000003</v>
      </c>
      <c r="K662" s="695">
        <f t="shared" si="77"/>
        <v>0</v>
      </c>
      <c r="L662" s="725"/>
      <c r="M662" s="674"/>
      <c r="N662" s="726"/>
    </row>
    <row r="663" spans="1:14" s="27" customFormat="1" ht="17.25" customHeight="1">
      <c r="A663" s="693" t="s">
        <v>492</v>
      </c>
      <c r="B663" s="844" t="s">
        <v>496</v>
      </c>
      <c r="C663" s="747">
        <f>VLOOKUP(B656,'CNKT '!$D$16:$AA$96,16,0)</f>
        <v>0</v>
      </c>
      <c r="D663" s="697">
        <f>153.8*$B$2</f>
        <v>102867.59200000002</v>
      </c>
      <c r="E663" s="695">
        <f t="shared" si="76"/>
        <v>0</v>
      </c>
      <c r="F663" s="724"/>
      <c r="G663" s="693" t="s">
        <v>492</v>
      </c>
      <c r="H663" s="844" t="s">
        <v>496</v>
      </c>
      <c r="I663" s="747">
        <f>VLOOKUP(H656,'CNKT '!$D$16:$AA$96,16,0)</f>
        <v>0</v>
      </c>
      <c r="J663" s="697">
        <f>153.8*$B$2</f>
        <v>102867.59200000002</v>
      </c>
      <c r="K663" s="695">
        <f t="shared" si="77"/>
        <v>0</v>
      </c>
      <c r="L663" s="725"/>
      <c r="M663" s="674"/>
      <c r="N663" s="726"/>
    </row>
    <row r="664" spans="1:14" s="27" customFormat="1" ht="17.25" customHeight="1">
      <c r="A664" s="693" t="s">
        <v>453</v>
      </c>
      <c r="B664" s="844" t="s">
        <v>497</v>
      </c>
      <c r="C664" s="747">
        <f>VLOOKUP(B656,'CNKT '!$D$16:$AA$96,18,0)</f>
        <v>0</v>
      </c>
      <c r="D664" s="697">
        <v>10000</v>
      </c>
      <c r="E664" s="695">
        <f>C664*D664</f>
        <v>0</v>
      </c>
      <c r="F664" s="724"/>
      <c r="G664" s="693" t="s">
        <v>453</v>
      </c>
      <c r="H664" s="844" t="s">
        <v>497</v>
      </c>
      <c r="I664" s="747">
        <f>VLOOKUP(H656,'CNKT '!$D$16:$AA$96,18,0)</f>
        <v>0</v>
      </c>
      <c r="J664" s="697">
        <v>10000</v>
      </c>
      <c r="K664" s="695">
        <f>I664*J664</f>
        <v>0</v>
      </c>
      <c r="L664" s="725"/>
      <c r="M664" s="674"/>
      <c r="N664" s="726"/>
    </row>
    <row r="665" spans="1:14" s="27" customFormat="1" ht="17.25" customHeight="1">
      <c r="A665" s="693" t="s">
        <v>453</v>
      </c>
      <c r="B665" s="844" t="s">
        <v>497</v>
      </c>
      <c r="C665" s="747">
        <f>VLOOKUP(B656,'CNKT '!$D$16:$AA$96,19,0)</f>
        <v>0</v>
      </c>
      <c r="D665" s="697">
        <v>20000</v>
      </c>
      <c r="E665" s="695">
        <f>C665*D665</f>
        <v>0</v>
      </c>
      <c r="F665" s="724"/>
      <c r="G665" s="693" t="s">
        <v>453</v>
      </c>
      <c r="H665" s="844" t="s">
        <v>497</v>
      </c>
      <c r="I665" s="747">
        <f>VLOOKUP(H656,'CNKT '!$D$16:$AA$96,19,0)</f>
        <v>0</v>
      </c>
      <c r="J665" s="697">
        <v>20000</v>
      </c>
      <c r="K665" s="695">
        <f>I665*J665</f>
        <v>0</v>
      </c>
      <c r="L665" s="725"/>
      <c r="M665" s="674"/>
      <c r="N665" s="726"/>
    </row>
    <row r="666" spans="1:14" s="27" customFormat="1" ht="17.25" customHeight="1">
      <c r="A666" s="693" t="s">
        <v>512</v>
      </c>
      <c r="B666" s="844" t="s">
        <v>513</v>
      </c>
      <c r="C666" s="747"/>
      <c r="D666" s="697"/>
      <c r="E666" s="695"/>
      <c r="F666" s="724"/>
      <c r="G666" s="693" t="s">
        <v>512</v>
      </c>
      <c r="H666" s="844" t="s">
        <v>513</v>
      </c>
      <c r="I666" s="747"/>
      <c r="J666" s="697"/>
      <c r="K666" s="695"/>
      <c r="L666" s="725"/>
      <c r="M666" s="674"/>
      <c r="N666" s="726"/>
    </row>
    <row r="667" spans="1:14" s="27" customFormat="1" ht="17.25" customHeight="1">
      <c r="A667" s="699" t="s">
        <v>79</v>
      </c>
      <c r="B667" s="845" t="s">
        <v>532</v>
      </c>
      <c r="C667" s="700"/>
      <c r="D667" s="701"/>
      <c r="E667" s="700"/>
      <c r="F667" s="724"/>
      <c r="G667" s="699" t="s">
        <v>79</v>
      </c>
      <c r="H667" s="845" t="s">
        <v>532</v>
      </c>
      <c r="I667" s="700"/>
      <c r="J667" s="701"/>
      <c r="K667" s="700"/>
      <c r="L667" s="725"/>
      <c r="M667" s="674"/>
      <c r="N667" s="726"/>
    </row>
    <row r="668" spans="1:14" s="27" customFormat="1" ht="17.25" customHeight="1">
      <c r="A668" s="702" t="s">
        <v>80</v>
      </c>
      <c r="B668" s="846" t="s">
        <v>533</v>
      </c>
      <c r="C668" s="700"/>
      <c r="D668" s="700"/>
      <c r="E668" s="700"/>
      <c r="F668" s="724"/>
      <c r="G668" s="702" t="s">
        <v>80</v>
      </c>
      <c r="H668" s="846" t="s">
        <v>533</v>
      </c>
      <c r="I668" s="700"/>
      <c r="J668" s="700"/>
      <c r="K668" s="700"/>
      <c r="L668" s="725"/>
      <c r="M668" s="674"/>
      <c r="N668" s="726"/>
    </row>
    <row r="669" spans="1:14" s="27" customFormat="1" ht="17.25" customHeight="1">
      <c r="A669" s="702" t="s">
        <v>81</v>
      </c>
      <c r="B669" s="847" t="s">
        <v>534</v>
      </c>
      <c r="C669" s="700"/>
      <c r="D669" s="700"/>
      <c r="E669" s="695">
        <f>SUM(E668)</f>
        <v>0</v>
      </c>
      <c r="F669" s="724"/>
      <c r="G669" s="702" t="s">
        <v>81</v>
      </c>
      <c r="H669" s="847" t="s">
        <v>534</v>
      </c>
      <c r="I669" s="700"/>
      <c r="J669" s="700"/>
      <c r="K669" s="695">
        <f>SUM(K668)</f>
        <v>0</v>
      </c>
      <c r="L669" s="725"/>
      <c r="M669" s="703">
        <f>E669+K669</f>
        <v>0</v>
      </c>
      <c r="N669" s="726"/>
    </row>
    <row r="670" spans="1:14" s="27" customFormat="1" ht="17.25" customHeight="1">
      <c r="A670" s="704" t="s">
        <v>82</v>
      </c>
      <c r="B670" s="848" t="s">
        <v>438</v>
      </c>
      <c r="C670" s="705"/>
      <c r="D670" s="705"/>
      <c r="E670" s="705">
        <f>(E658+E659+E660+E661+E662+E663+E664+E665+E666)-E669</f>
        <v>565370.45200000005</v>
      </c>
      <c r="F670" s="724"/>
      <c r="G670" s="704" t="s">
        <v>82</v>
      </c>
      <c r="H670" s="848" t="s">
        <v>438</v>
      </c>
      <c r="I670" s="705"/>
      <c r="J670" s="705"/>
      <c r="K670" s="705">
        <f>(K658+K659+K660+K661+K662+K663+K664+K665+K666)-K669</f>
        <v>472869.88</v>
      </c>
      <c r="L670" s="707">
        <f>E670+K670</f>
        <v>1038240.3320000001</v>
      </c>
      <c r="M670" s="674"/>
      <c r="N670" s="726"/>
    </row>
    <row r="671" spans="1:14" s="27" customFormat="1" ht="17.25" customHeight="1">
      <c r="A671" s="710"/>
      <c r="B671" s="715"/>
      <c r="C671" s="716"/>
      <c r="D671" s="716"/>
      <c r="E671" s="714"/>
      <c r="F671" s="724"/>
      <c r="G671" s="710"/>
      <c r="H671" s="715"/>
      <c r="I671" s="716"/>
      <c r="J671" s="714"/>
      <c r="K671" s="724"/>
      <c r="L671" s="725"/>
      <c r="M671" s="674"/>
      <c r="N671" s="726"/>
    </row>
    <row r="672" spans="1:14" s="27" customFormat="1" ht="17.25" customHeight="1">
      <c r="A672" s="1567" t="str">
        <f>A655</f>
        <v>LƯƠNG THÁNG 01/2025</v>
      </c>
      <c r="B672" s="1568"/>
      <c r="C672" s="1568"/>
      <c r="D672" s="1568"/>
      <c r="E672" s="766">
        <v>79</v>
      </c>
      <c r="F672" s="724"/>
      <c r="G672" s="1567" t="str">
        <f>G655</f>
        <v>LƯƠNG THÁNG 01/2025</v>
      </c>
      <c r="H672" s="1568"/>
      <c r="I672" s="1568"/>
      <c r="J672" s="1568"/>
      <c r="K672" s="766">
        <v>80</v>
      </c>
      <c r="L672" s="725"/>
      <c r="M672" s="674"/>
      <c r="N672" s="726"/>
    </row>
    <row r="673" spans="1:15" s="27" customFormat="1" ht="17.25" customHeight="1">
      <c r="A673" s="709" t="s">
        <v>15</v>
      </c>
      <c r="B673" s="840" t="str">
        <f>'CNKT '!D94</f>
        <v>N. Nang</v>
      </c>
      <c r="C673" s="691"/>
      <c r="D673" s="838" t="s">
        <v>396</v>
      </c>
      <c r="E673" s="838" t="s">
        <v>18</v>
      </c>
      <c r="F673" s="724"/>
      <c r="G673" s="709" t="s">
        <v>15</v>
      </c>
      <c r="H673" s="840" t="str">
        <f>'CNKT '!D95</f>
        <v>T. Tan</v>
      </c>
      <c r="I673" s="691"/>
      <c r="J673" s="838" t="s">
        <v>396</v>
      </c>
      <c r="K673" s="838" t="s">
        <v>18</v>
      </c>
      <c r="L673" s="725"/>
      <c r="M673" s="674"/>
      <c r="N673" s="726"/>
    </row>
    <row r="674" spans="1:15" s="27" customFormat="1" ht="17.25" customHeight="1">
      <c r="A674" s="693" t="s">
        <v>397</v>
      </c>
      <c r="B674" s="842" t="s">
        <v>527</v>
      </c>
      <c r="C674" s="694">
        <f>VLOOKUP(B673,'BTH mủ tạp'!$D$17:$AN$96,36,0)</f>
        <v>221.19211892061494</v>
      </c>
      <c r="D674" s="695"/>
      <c r="E674" s="695"/>
      <c r="F674" s="724"/>
      <c r="G674" s="693" t="s">
        <v>397</v>
      </c>
      <c r="H674" s="842" t="s">
        <v>527</v>
      </c>
      <c r="I674" s="694">
        <f>VLOOKUP(H673,'BTH mủ tạp'!$D$17:$AN$96,36,0)</f>
        <v>162.76401203592422</v>
      </c>
      <c r="J674" s="695"/>
      <c r="K674" s="695"/>
      <c r="L674" s="725"/>
      <c r="M674" s="674"/>
      <c r="N674" s="726"/>
    </row>
    <row r="675" spans="1:15" s="27" customFormat="1" ht="17.25" customHeight="1">
      <c r="A675" s="693" t="s">
        <v>77</v>
      </c>
      <c r="B675" s="843" t="s">
        <v>432</v>
      </c>
      <c r="C675" s="696">
        <f>VLOOKUP(B673,'CNKT '!$D$16:$AA$96,3,0)</f>
        <v>0</v>
      </c>
      <c r="D675" s="697">
        <v>25000</v>
      </c>
      <c r="E675" s="695">
        <f>C675*D675</f>
        <v>0</v>
      </c>
      <c r="F675" s="724"/>
      <c r="G675" s="693" t="s">
        <v>77</v>
      </c>
      <c r="H675" s="843" t="s">
        <v>432</v>
      </c>
      <c r="I675" s="696">
        <f>VLOOKUP(H673,'CNKT '!$D$16:$AA$96,3,0)</f>
        <v>0</v>
      </c>
      <c r="J675" s="697">
        <v>25000</v>
      </c>
      <c r="K675" s="695">
        <f>I675*J675</f>
        <v>0</v>
      </c>
      <c r="L675" s="725"/>
      <c r="M675" s="674"/>
      <c r="N675" s="726"/>
    </row>
    <row r="676" spans="1:15" s="27" customFormat="1" ht="17.25" customHeight="1">
      <c r="A676" s="693" t="s">
        <v>307</v>
      </c>
      <c r="B676" s="844" t="s">
        <v>528</v>
      </c>
      <c r="C676" s="747">
        <f>VLOOKUP(B673,'CNKT '!$D$16:$AA$96,11,0)</f>
        <v>6</v>
      </c>
      <c r="D676" s="698">
        <f>46.1*$B$2</f>
        <v>30833.524000000001</v>
      </c>
      <c r="E676" s="695">
        <f t="shared" ref="E676:E680" si="78">C676*D676</f>
        <v>185001.144</v>
      </c>
      <c r="F676" s="724"/>
      <c r="G676" s="693" t="s">
        <v>307</v>
      </c>
      <c r="H676" s="844" t="s">
        <v>528</v>
      </c>
      <c r="I676" s="747">
        <f>VLOOKUP(H673,'CNKT '!$D$16:$AA$96,11,0)</f>
        <v>3</v>
      </c>
      <c r="J676" s="698">
        <f>46.1*$B$2</f>
        <v>30833.524000000001</v>
      </c>
      <c r="K676" s="695">
        <f t="shared" ref="K676:K680" si="79">I676*J676</f>
        <v>92500.572</v>
      </c>
      <c r="L676" s="725"/>
      <c r="M676" s="674"/>
      <c r="N676" s="726"/>
    </row>
    <row r="677" spans="1:15" s="27" customFormat="1" ht="17.25" customHeight="1">
      <c r="A677" s="693" t="s">
        <v>399</v>
      </c>
      <c r="B677" s="844" t="s">
        <v>529</v>
      </c>
      <c r="C677" s="747">
        <f>VLOOKUP(B673,'CNKT '!$D$16:$AA$96,12,0)</f>
        <v>1</v>
      </c>
      <c r="D677" s="697">
        <f>76.9*$B$2</f>
        <v>51433.796000000009</v>
      </c>
      <c r="E677" s="695">
        <f t="shared" si="78"/>
        <v>51433.796000000009</v>
      </c>
      <c r="F677" s="724"/>
      <c r="G677" s="693" t="s">
        <v>399</v>
      </c>
      <c r="H677" s="844" t="s">
        <v>529</v>
      </c>
      <c r="I677" s="747">
        <f>VLOOKUP(H673,'CNKT '!$D$16:$AA$96,12,0)</f>
        <v>1</v>
      </c>
      <c r="J677" s="697">
        <f>76.9*$B$2</f>
        <v>51433.796000000009</v>
      </c>
      <c r="K677" s="695">
        <f t="shared" si="79"/>
        <v>51433.796000000009</v>
      </c>
      <c r="L677" s="725"/>
      <c r="M677" s="674"/>
      <c r="N677" s="726"/>
    </row>
    <row r="678" spans="1:15" s="27" customFormat="1" ht="17.25" customHeight="1">
      <c r="A678" s="693" t="s">
        <v>78</v>
      </c>
      <c r="B678" s="844" t="s">
        <v>530</v>
      </c>
      <c r="C678" s="747">
        <f>VLOOKUP(B673,'CNKT '!$D$16:$AA$96,8,0)</f>
        <v>221.192118920615</v>
      </c>
      <c r="D678" s="697">
        <f>IF(C674="A",6.1,IF(C674="B",5.8,IF(C674="C",5.5,IF(C674="C.",5.5,IF(C674="D",5.2)))))*$B$2</f>
        <v>0</v>
      </c>
      <c r="E678" s="695">
        <f t="shared" si="78"/>
        <v>0</v>
      </c>
      <c r="F678" s="724"/>
      <c r="G678" s="693" t="s">
        <v>78</v>
      </c>
      <c r="H678" s="844" t="s">
        <v>530</v>
      </c>
      <c r="I678" s="747">
        <f>VLOOKUP(H673,'CNKT '!$D$16:$AA$96,8,0)</f>
        <v>162.76401203592425</v>
      </c>
      <c r="J678" s="697">
        <f>IF(I674="A",6.1,IF(I674="B",5.8,IF(I674="C",5.5,IF(I674="C.",5.5,IF(I674="D",5.2)))))*$B$2</f>
        <v>0</v>
      </c>
      <c r="K678" s="695">
        <f t="shared" si="79"/>
        <v>0</v>
      </c>
      <c r="L678" s="725"/>
      <c r="M678" s="674"/>
      <c r="N678" s="726"/>
    </row>
    <row r="679" spans="1:15" s="27" customFormat="1" ht="17.25" customHeight="1">
      <c r="A679" s="693" t="s">
        <v>491</v>
      </c>
      <c r="B679" s="844" t="s">
        <v>531</v>
      </c>
      <c r="C679" s="747">
        <f>VLOOKUP(B673,'CNKT '!$D$16:$AA$96,15,0)</f>
        <v>0</v>
      </c>
      <c r="D679" s="698">
        <f>92.2*$B$2</f>
        <v>61667.048000000003</v>
      </c>
      <c r="E679" s="695">
        <f t="shared" si="78"/>
        <v>0</v>
      </c>
      <c r="F679" s="724"/>
      <c r="G679" s="693" t="s">
        <v>491</v>
      </c>
      <c r="H679" s="844" t="s">
        <v>531</v>
      </c>
      <c r="I679" s="747">
        <f>VLOOKUP(H673,'CNKT '!$D$16:$AA$96,15,0)</f>
        <v>0</v>
      </c>
      <c r="J679" s="698">
        <f>92.2*$B$2</f>
        <v>61667.048000000003</v>
      </c>
      <c r="K679" s="695">
        <f t="shared" si="79"/>
        <v>0</v>
      </c>
      <c r="L679" s="725"/>
      <c r="M679" s="674"/>
      <c r="N679" s="726"/>
    </row>
    <row r="680" spans="1:15" s="27" customFormat="1" ht="17.25" customHeight="1">
      <c r="A680" s="693" t="s">
        <v>492</v>
      </c>
      <c r="B680" s="844" t="s">
        <v>496</v>
      </c>
      <c r="C680" s="747">
        <f>VLOOKUP(B673,'CNKT '!$D$16:$AA$96,16,0)</f>
        <v>0</v>
      </c>
      <c r="D680" s="697">
        <f>153.8*$B$2</f>
        <v>102867.59200000002</v>
      </c>
      <c r="E680" s="695">
        <f t="shared" si="78"/>
        <v>0</v>
      </c>
      <c r="F680" s="724"/>
      <c r="G680" s="693" t="s">
        <v>492</v>
      </c>
      <c r="H680" s="844" t="s">
        <v>496</v>
      </c>
      <c r="I680" s="747">
        <f>VLOOKUP(H673,'CNKT '!$D$16:$AA$96,16,0)</f>
        <v>0</v>
      </c>
      <c r="J680" s="697">
        <f>153.8*$B$2</f>
        <v>102867.59200000002</v>
      </c>
      <c r="K680" s="695">
        <f t="shared" si="79"/>
        <v>0</v>
      </c>
      <c r="L680" s="725"/>
      <c r="M680" s="674"/>
      <c r="N680" s="726"/>
    </row>
    <row r="681" spans="1:15" s="27" customFormat="1" ht="17.25" customHeight="1">
      <c r="A681" s="693" t="s">
        <v>453</v>
      </c>
      <c r="B681" s="844" t="s">
        <v>497</v>
      </c>
      <c r="C681" s="747">
        <f>VLOOKUP(B673,'CNKT '!$D$16:$AA$96,18,0)</f>
        <v>0</v>
      </c>
      <c r="D681" s="697">
        <v>10000</v>
      </c>
      <c r="E681" s="695">
        <f>C681*D681</f>
        <v>0</v>
      </c>
      <c r="F681" s="724"/>
      <c r="G681" s="693" t="s">
        <v>453</v>
      </c>
      <c r="H681" s="844" t="s">
        <v>497</v>
      </c>
      <c r="I681" s="747">
        <f>VLOOKUP(H673,'CNKT '!$D$16:$AA$96,18,0)</f>
        <v>0</v>
      </c>
      <c r="J681" s="697">
        <v>10000</v>
      </c>
      <c r="K681" s="695">
        <f>I681*J681</f>
        <v>0</v>
      </c>
      <c r="L681" s="725"/>
      <c r="M681" s="674"/>
      <c r="N681" s="726"/>
    </row>
    <row r="682" spans="1:15" s="27" customFormat="1" ht="17.25" customHeight="1">
      <c r="A682" s="693" t="s">
        <v>453</v>
      </c>
      <c r="B682" s="844" t="s">
        <v>497</v>
      </c>
      <c r="C682" s="747">
        <f>VLOOKUP(B673,'CNKT '!$D$16:$AA$96,19,0)</f>
        <v>0</v>
      </c>
      <c r="D682" s="697">
        <v>20000</v>
      </c>
      <c r="E682" s="695">
        <f>C682*D682</f>
        <v>0</v>
      </c>
      <c r="F682" s="724"/>
      <c r="G682" s="693" t="s">
        <v>453</v>
      </c>
      <c r="H682" s="844" t="s">
        <v>497</v>
      </c>
      <c r="I682" s="747">
        <f>VLOOKUP(H673,'CNKT '!$D$16:$AA$96,19,0)</f>
        <v>0</v>
      </c>
      <c r="J682" s="697">
        <v>20000</v>
      </c>
      <c r="K682" s="695">
        <f>I682*J682</f>
        <v>0</v>
      </c>
      <c r="L682" s="725"/>
      <c r="M682" s="674"/>
      <c r="N682" s="726"/>
    </row>
    <row r="683" spans="1:15" s="27" customFormat="1" ht="17.25" customHeight="1">
      <c r="A683" s="693" t="s">
        <v>512</v>
      </c>
      <c r="B683" s="844" t="s">
        <v>513</v>
      </c>
      <c r="C683" s="747"/>
      <c r="D683" s="697"/>
      <c r="E683" s="695"/>
      <c r="F683" s="724"/>
      <c r="G683" s="693" t="s">
        <v>512</v>
      </c>
      <c r="H683" s="844" t="s">
        <v>513</v>
      </c>
      <c r="I683" s="747"/>
      <c r="J683" s="697"/>
      <c r="K683" s="695"/>
      <c r="L683" s="725"/>
      <c r="M683" s="674"/>
      <c r="N683" s="726"/>
    </row>
    <row r="684" spans="1:15" s="27" customFormat="1" ht="17.25" customHeight="1">
      <c r="A684" s="699" t="s">
        <v>79</v>
      </c>
      <c r="B684" s="845" t="s">
        <v>532</v>
      </c>
      <c r="C684" s="700"/>
      <c r="D684" s="701"/>
      <c r="E684" s="700"/>
      <c r="F684" s="724"/>
      <c r="G684" s="699" t="s">
        <v>79</v>
      </c>
      <c r="H684" s="845" t="s">
        <v>532</v>
      </c>
      <c r="I684" s="700"/>
      <c r="J684" s="701"/>
      <c r="K684" s="700"/>
      <c r="L684" s="725"/>
      <c r="M684" s="674"/>
      <c r="N684" s="726"/>
    </row>
    <row r="685" spans="1:15" s="27" customFormat="1" ht="17.25" customHeight="1">
      <c r="A685" s="702" t="s">
        <v>80</v>
      </c>
      <c r="B685" s="846" t="s">
        <v>533</v>
      </c>
      <c r="C685" s="700"/>
      <c r="D685" s="700"/>
      <c r="E685" s="700"/>
      <c r="F685" s="724"/>
      <c r="G685" s="702" t="s">
        <v>80</v>
      </c>
      <c r="H685" s="846" t="s">
        <v>533</v>
      </c>
      <c r="I685" s="700"/>
      <c r="J685" s="700"/>
      <c r="K685" s="700"/>
      <c r="L685" s="725"/>
      <c r="M685" s="674"/>
      <c r="N685" s="726"/>
    </row>
    <row r="686" spans="1:15" s="27" customFormat="1" ht="17.25" customHeight="1">
      <c r="A686" s="702" t="s">
        <v>81</v>
      </c>
      <c r="B686" s="847" t="s">
        <v>534</v>
      </c>
      <c r="C686" s="700"/>
      <c r="D686" s="700"/>
      <c r="E686" s="695">
        <f>SUM(E685)</f>
        <v>0</v>
      </c>
      <c r="F686" s="724"/>
      <c r="G686" s="702" t="s">
        <v>81</v>
      </c>
      <c r="H686" s="847" t="s">
        <v>534</v>
      </c>
      <c r="I686" s="700"/>
      <c r="J686" s="700"/>
      <c r="K686" s="695">
        <f>SUM(K685)</f>
        <v>0</v>
      </c>
      <c r="L686" s="725"/>
      <c r="M686" s="674"/>
      <c r="N686" s="726"/>
    </row>
    <row r="687" spans="1:15" s="27" customFormat="1" ht="17.25" customHeight="1">
      <c r="A687" s="704" t="s">
        <v>82</v>
      </c>
      <c r="B687" s="848" t="s">
        <v>438</v>
      </c>
      <c r="C687" s="705"/>
      <c r="D687" s="705"/>
      <c r="E687" s="705">
        <f>(E675+E676+E677+E678+E679+E680+E681+E682+E683)-E686</f>
        <v>236434.94</v>
      </c>
      <c r="F687" s="724"/>
      <c r="G687" s="704" t="s">
        <v>82</v>
      </c>
      <c r="H687" s="848" t="s">
        <v>438</v>
      </c>
      <c r="I687" s="705"/>
      <c r="J687" s="705"/>
      <c r="K687" s="705">
        <f>(K675+K676+K677+K678+K679+K680+K681+K682+K683)-K686</f>
        <v>143934.36800000002</v>
      </c>
      <c r="L687" s="707">
        <f>E687+K687</f>
        <v>380369.30800000002</v>
      </c>
      <c r="M687" s="726"/>
      <c r="N687" s="674"/>
      <c r="O687" s="726"/>
    </row>
    <row r="688" spans="1:15" s="27" customFormat="1" ht="15.75" customHeight="1">
      <c r="A688" s="727"/>
      <c r="B688" s="728"/>
      <c r="C688" s="714"/>
      <c r="D688" s="714"/>
      <c r="E688" s="714"/>
      <c r="F688" s="724"/>
      <c r="G688" s="727"/>
      <c r="H688" s="728"/>
      <c r="I688" s="714"/>
      <c r="J688" s="729"/>
      <c r="K688" s="714"/>
      <c r="L688" s="725"/>
      <c r="M688" s="726"/>
      <c r="N688" s="674"/>
      <c r="O688" s="726"/>
    </row>
    <row r="689" spans="1:15" s="27" customFormat="1" ht="17.25" customHeight="1">
      <c r="A689" s="1567" t="str">
        <f>A672</f>
        <v>LƯƠNG THÁNG 01/2025</v>
      </c>
      <c r="B689" s="1568"/>
      <c r="C689" s="1568"/>
      <c r="D689" s="1568"/>
      <c r="E689" s="766">
        <v>81</v>
      </c>
      <c r="F689" s="724"/>
      <c r="G689" s="1567" t="str">
        <f>G672</f>
        <v>LƯƠNG THÁNG 01/2025</v>
      </c>
      <c r="H689" s="1568"/>
      <c r="I689" s="1568"/>
      <c r="J689" s="1568"/>
      <c r="K689" s="766">
        <v>82</v>
      </c>
      <c r="L689" s="725"/>
      <c r="M689" s="726"/>
      <c r="N689" s="674"/>
      <c r="O689" s="726"/>
    </row>
    <row r="690" spans="1:15" s="27" customFormat="1" ht="17.25" customHeight="1">
      <c r="A690" s="709" t="s">
        <v>15</v>
      </c>
      <c r="B690" s="840" t="str">
        <f>'CNKT '!D96</f>
        <v>T. Tu</v>
      </c>
      <c r="C690" s="691"/>
      <c r="D690" s="838" t="s">
        <v>396</v>
      </c>
      <c r="E690" s="838" t="s">
        <v>18</v>
      </c>
      <c r="F690" s="724"/>
      <c r="G690" s="709" t="s">
        <v>15</v>
      </c>
      <c r="H690" s="840" t="e">
        <f>'CNKT '!#REF!</f>
        <v>#REF!</v>
      </c>
      <c r="I690" s="691"/>
      <c r="J690" s="838" t="s">
        <v>396</v>
      </c>
      <c r="K690" s="838" t="s">
        <v>18</v>
      </c>
      <c r="L690" s="725"/>
      <c r="M690" s="726"/>
      <c r="N690" s="674"/>
      <c r="O690" s="726"/>
    </row>
    <row r="691" spans="1:15" s="27" customFormat="1" ht="17.25" customHeight="1">
      <c r="A691" s="693" t="s">
        <v>397</v>
      </c>
      <c r="B691" s="842" t="s">
        <v>527</v>
      </c>
      <c r="C691" s="694" t="s">
        <v>38</v>
      </c>
      <c r="D691" s="695"/>
      <c r="E691" s="695"/>
      <c r="F691" s="724"/>
      <c r="G691" s="693" t="s">
        <v>397</v>
      </c>
      <c r="H691" s="842" t="s">
        <v>527</v>
      </c>
      <c r="I691" s="694" t="e">
        <f>VLOOKUP(H690,'BTH mủ tạp'!$D$17:$AN$96,36,0)</f>
        <v>#REF!</v>
      </c>
      <c r="J691" s="695"/>
      <c r="K691" s="695"/>
      <c r="L691" s="725"/>
      <c r="M691" s="726"/>
      <c r="N691" s="674"/>
      <c r="O691" s="726"/>
    </row>
    <row r="692" spans="1:15" s="27" customFormat="1" ht="17.25" customHeight="1">
      <c r="A692" s="693" t="s">
        <v>77</v>
      </c>
      <c r="B692" s="843" t="s">
        <v>432</v>
      </c>
      <c r="C692" s="696">
        <f>VLOOKUP(B690,'CNKT '!$D$16:$AA$96,3,0)</f>
        <v>0</v>
      </c>
      <c r="D692" s="697">
        <v>25000</v>
      </c>
      <c r="E692" s="695">
        <f>C692*D692</f>
        <v>0</v>
      </c>
      <c r="F692" s="724"/>
      <c r="G692" s="693" t="s">
        <v>77</v>
      </c>
      <c r="H692" s="843" t="s">
        <v>432</v>
      </c>
      <c r="I692" s="696" t="e">
        <f>VLOOKUP(H690,'CNKT '!$D$16:$AA$96,3,0)</f>
        <v>#REF!</v>
      </c>
      <c r="J692" s="697">
        <v>25000</v>
      </c>
      <c r="K692" s="695" t="e">
        <f>I692*J692</f>
        <v>#REF!</v>
      </c>
      <c r="L692" s="725"/>
      <c r="M692" s="726"/>
      <c r="N692" s="674"/>
      <c r="O692" s="726"/>
    </row>
    <row r="693" spans="1:15" s="27" customFormat="1" ht="17.25" customHeight="1">
      <c r="A693" s="693" t="s">
        <v>307</v>
      </c>
      <c r="B693" s="844" t="s">
        <v>528</v>
      </c>
      <c r="C693" s="747">
        <f>VLOOKUP(B690,'CNKT '!$D$16:$AA$96,11,0)</f>
        <v>2</v>
      </c>
      <c r="D693" s="698">
        <f>46.1*$B$2</f>
        <v>30833.524000000001</v>
      </c>
      <c r="E693" s="695">
        <f t="shared" ref="E693:E697" si="80">C693*D693</f>
        <v>61667.048000000003</v>
      </c>
      <c r="F693" s="724"/>
      <c r="G693" s="693" t="s">
        <v>307</v>
      </c>
      <c r="H693" s="844" t="s">
        <v>528</v>
      </c>
      <c r="I693" s="747" t="e">
        <f>VLOOKUP(H690,'CNKT '!$D$16:$AA$96,11,0)</f>
        <v>#REF!</v>
      </c>
      <c r="J693" s="698">
        <f>46.1*$B$2</f>
        <v>30833.524000000001</v>
      </c>
      <c r="K693" s="695" t="e">
        <f t="shared" ref="K693:K697" si="81">I693*J693</f>
        <v>#REF!</v>
      </c>
      <c r="L693" s="725"/>
      <c r="M693" s="726"/>
      <c r="N693" s="674"/>
      <c r="O693" s="726"/>
    </row>
    <row r="694" spans="1:15" s="27" customFormat="1" ht="17.25" customHeight="1">
      <c r="A694" s="693" t="s">
        <v>399</v>
      </c>
      <c r="B694" s="844" t="s">
        <v>529</v>
      </c>
      <c r="C694" s="747">
        <f>VLOOKUP(B690,'CNKT '!$D$16:$AA$96,12,0)</f>
        <v>0</v>
      </c>
      <c r="D694" s="697">
        <f>76.9*$B$2</f>
        <v>51433.796000000009</v>
      </c>
      <c r="E694" s="695">
        <f t="shared" si="80"/>
        <v>0</v>
      </c>
      <c r="F694" s="724"/>
      <c r="G694" s="693" t="s">
        <v>399</v>
      </c>
      <c r="H694" s="844" t="s">
        <v>529</v>
      </c>
      <c r="I694" s="747" t="e">
        <f>VLOOKUP(H690,'CNKT '!$D$16:$AA$96,12,0)</f>
        <v>#REF!</v>
      </c>
      <c r="J694" s="697">
        <f>76.9*$B$2</f>
        <v>51433.796000000009</v>
      </c>
      <c r="K694" s="695" t="e">
        <f t="shared" si="81"/>
        <v>#REF!</v>
      </c>
      <c r="L694" s="725"/>
      <c r="M694" s="726"/>
      <c r="N694" s="674"/>
      <c r="O694" s="726"/>
    </row>
    <row r="695" spans="1:15" s="27" customFormat="1" ht="17.25" customHeight="1">
      <c r="A695" s="693" t="s">
        <v>78</v>
      </c>
      <c r="B695" s="844" t="s">
        <v>530</v>
      </c>
      <c r="C695" s="747">
        <f>VLOOKUP(B690,'CNKT '!$D$16:$AA$96,8,0)</f>
        <v>126.13051644949115</v>
      </c>
      <c r="D695" s="697">
        <f>IF(C691="A",6.1,IF(C691="B",5.8,IF(C691="C",5.5,IF(C691="C.",5.5,IF(C691="D",5.2)))))*$B$2</f>
        <v>4079.924</v>
      </c>
      <c r="E695" s="695">
        <f t="shared" si="80"/>
        <v>514602.92119467375</v>
      </c>
      <c r="F695" s="724"/>
      <c r="G695" s="693" t="s">
        <v>78</v>
      </c>
      <c r="H695" s="844" t="s">
        <v>530</v>
      </c>
      <c r="I695" s="747" t="e">
        <f>VLOOKUP(H690,'CNKT '!$D$16:$AA$96,8,0)</f>
        <v>#REF!</v>
      </c>
      <c r="J695" s="697" t="e">
        <f>IF(I691="A",6.1,IF(I691="B",5.8,IF(I691="C",5.5,IF(I691="C.",5.5,IF(I691="D",5.2)))))*$B$2</f>
        <v>#REF!</v>
      </c>
      <c r="K695" s="695" t="e">
        <f t="shared" si="81"/>
        <v>#REF!</v>
      </c>
      <c r="L695" s="725"/>
      <c r="M695" s="726"/>
      <c r="N695" s="674"/>
      <c r="O695" s="726"/>
    </row>
    <row r="696" spans="1:15" s="27" customFormat="1" ht="17.25" customHeight="1">
      <c r="A696" s="693" t="s">
        <v>491</v>
      </c>
      <c r="B696" s="844" t="s">
        <v>531</v>
      </c>
      <c r="C696" s="747">
        <f>VLOOKUP(B690,'CNKT '!$D$16:$AA$96,15,0)</f>
        <v>0</v>
      </c>
      <c r="D696" s="698">
        <f>92.2*$B$2</f>
        <v>61667.048000000003</v>
      </c>
      <c r="E696" s="695">
        <f t="shared" si="80"/>
        <v>0</v>
      </c>
      <c r="F696" s="724"/>
      <c r="G696" s="693" t="s">
        <v>491</v>
      </c>
      <c r="H696" s="844" t="s">
        <v>531</v>
      </c>
      <c r="I696" s="747" t="e">
        <f>VLOOKUP(H690,'CNKT '!$D$16:$AA$96,15,0)</f>
        <v>#REF!</v>
      </c>
      <c r="J696" s="698">
        <f>92.2*$B$2</f>
        <v>61667.048000000003</v>
      </c>
      <c r="K696" s="695" t="e">
        <f t="shared" si="81"/>
        <v>#REF!</v>
      </c>
      <c r="L696" s="725"/>
      <c r="M696" s="726"/>
      <c r="N696" s="674"/>
      <c r="O696" s="726"/>
    </row>
    <row r="697" spans="1:15" s="27" customFormat="1" ht="17.25" customHeight="1">
      <c r="A697" s="693" t="s">
        <v>492</v>
      </c>
      <c r="B697" s="844" t="s">
        <v>496</v>
      </c>
      <c r="C697" s="747">
        <f>VLOOKUP(B690,'CNKT '!$D$16:$AA$96,16,0)</f>
        <v>0</v>
      </c>
      <c r="D697" s="697">
        <f>153.6*$B$2</f>
        <v>102733.82400000001</v>
      </c>
      <c r="E697" s="695">
        <f t="shared" si="80"/>
        <v>0</v>
      </c>
      <c r="F697" s="724"/>
      <c r="G697" s="693" t="s">
        <v>492</v>
      </c>
      <c r="H697" s="844" t="s">
        <v>496</v>
      </c>
      <c r="I697" s="747" t="e">
        <f>VLOOKUP(H690,'CNKT '!$D$16:$AA$96,16,0)</f>
        <v>#REF!</v>
      </c>
      <c r="J697" s="697">
        <f>153.6*$B$2</f>
        <v>102733.82400000001</v>
      </c>
      <c r="K697" s="695" t="e">
        <f t="shared" si="81"/>
        <v>#REF!</v>
      </c>
      <c r="L697" s="725"/>
      <c r="M697" s="726"/>
      <c r="N697" s="674"/>
      <c r="O697" s="726"/>
    </row>
    <row r="698" spans="1:15" s="27" customFormat="1" ht="17.25" customHeight="1">
      <c r="A698" s="693"/>
      <c r="B698" s="844" t="s">
        <v>497</v>
      </c>
      <c r="C698" s="747"/>
      <c r="D698" s="697"/>
      <c r="E698" s="695"/>
      <c r="F698" s="724"/>
      <c r="G698" s="693"/>
      <c r="H698" s="844" t="s">
        <v>497</v>
      </c>
      <c r="I698" s="747"/>
      <c r="J698" s="697"/>
      <c r="K698" s="695"/>
      <c r="L698" s="725"/>
      <c r="M698" s="726"/>
      <c r="N698" s="674"/>
      <c r="O698" s="726"/>
    </row>
    <row r="699" spans="1:15" s="27" customFormat="1" ht="17.25" customHeight="1">
      <c r="A699" s="693"/>
      <c r="B699" s="844" t="s">
        <v>497</v>
      </c>
      <c r="C699" s="747"/>
      <c r="D699" s="697"/>
      <c r="E699" s="695"/>
      <c r="F699" s="724"/>
      <c r="G699" s="693"/>
      <c r="H699" s="844" t="s">
        <v>497</v>
      </c>
      <c r="I699" s="747"/>
      <c r="J699" s="697"/>
      <c r="K699" s="695"/>
      <c r="L699" s="725"/>
      <c r="M699" s="726"/>
      <c r="N699" s="674"/>
      <c r="O699" s="726"/>
    </row>
    <row r="700" spans="1:15" s="27" customFormat="1" ht="17.25" customHeight="1">
      <c r="A700" s="693" t="s">
        <v>453</v>
      </c>
      <c r="B700" s="844" t="s">
        <v>513</v>
      </c>
      <c r="C700" s="747">
        <f>VLOOKUP(B690,'CNKT '!$D$16:$AA$96,18,0)</f>
        <v>0</v>
      </c>
      <c r="D700" s="697">
        <v>10000</v>
      </c>
      <c r="E700" s="695">
        <f>C700*D700</f>
        <v>0</v>
      </c>
      <c r="F700" s="724"/>
      <c r="G700" s="693" t="s">
        <v>453</v>
      </c>
      <c r="H700" s="844" t="s">
        <v>513</v>
      </c>
      <c r="I700" s="747" t="e">
        <f>VLOOKUP(H690,'CNKT '!$D$16:$AA$96,18,0)</f>
        <v>#REF!</v>
      </c>
      <c r="J700" s="697">
        <v>10000</v>
      </c>
      <c r="K700" s="695" t="e">
        <f>I700*J700</f>
        <v>#REF!</v>
      </c>
      <c r="L700" s="725"/>
      <c r="M700" s="726"/>
      <c r="N700" s="674"/>
      <c r="O700" s="726"/>
    </row>
    <row r="701" spans="1:15" s="27" customFormat="1" ht="17.25" customHeight="1">
      <c r="A701" s="699" t="s">
        <v>79</v>
      </c>
      <c r="B701" s="845" t="s">
        <v>532</v>
      </c>
      <c r="C701" s="700"/>
      <c r="D701" s="701"/>
      <c r="E701" s="700"/>
      <c r="F701" s="724"/>
      <c r="G701" s="699" t="s">
        <v>79</v>
      </c>
      <c r="H701" s="845" t="s">
        <v>532</v>
      </c>
      <c r="I701" s="700"/>
      <c r="J701" s="701"/>
      <c r="K701" s="700"/>
      <c r="L701" s="725"/>
      <c r="M701" s="726"/>
      <c r="N701" s="674"/>
      <c r="O701" s="726"/>
    </row>
    <row r="702" spans="1:15" s="27" customFormat="1" ht="17.25" customHeight="1">
      <c r="A702" s="702" t="s">
        <v>80</v>
      </c>
      <c r="B702" s="846" t="s">
        <v>533</v>
      </c>
      <c r="C702" s="700"/>
      <c r="D702" s="700"/>
      <c r="E702" s="700"/>
      <c r="F702" s="724"/>
      <c r="G702" s="702" t="s">
        <v>80</v>
      </c>
      <c r="H702" s="846" t="s">
        <v>533</v>
      </c>
      <c r="I702" s="700"/>
      <c r="J702" s="700"/>
      <c r="K702" s="700"/>
      <c r="L702" s="725"/>
      <c r="M702" s="726"/>
      <c r="N702" s="674"/>
      <c r="O702" s="726"/>
    </row>
    <row r="703" spans="1:15" s="27" customFormat="1" ht="17.25" customHeight="1">
      <c r="A703" s="702" t="s">
        <v>81</v>
      </c>
      <c r="B703" s="847" t="s">
        <v>534</v>
      </c>
      <c r="C703" s="700"/>
      <c r="D703" s="700"/>
      <c r="E703" s="695">
        <f>SUM(E702)</f>
        <v>0</v>
      </c>
      <c r="F703" s="724"/>
      <c r="G703" s="702" t="s">
        <v>81</v>
      </c>
      <c r="H703" s="847" t="s">
        <v>534</v>
      </c>
      <c r="I703" s="700"/>
      <c r="J703" s="700"/>
      <c r="K703" s="695">
        <f>SUM(K702)</f>
        <v>0</v>
      </c>
      <c r="L703" s="725"/>
      <c r="M703" s="726"/>
      <c r="N703" s="674"/>
      <c r="O703" s="726"/>
    </row>
    <row r="704" spans="1:15" s="27" customFormat="1" ht="17.25" customHeight="1">
      <c r="A704" s="704" t="s">
        <v>82</v>
      </c>
      <c r="B704" s="848" t="s">
        <v>438</v>
      </c>
      <c r="C704" s="705"/>
      <c r="D704" s="705"/>
      <c r="E704" s="705">
        <f>(E692+E693+E694+E695+E696+E697+E700)-E703</f>
        <v>576269.9691946737</v>
      </c>
      <c r="F704" s="724"/>
      <c r="G704" s="704" t="s">
        <v>82</v>
      </c>
      <c r="H704" s="848" t="s">
        <v>438</v>
      </c>
      <c r="I704" s="705"/>
      <c r="J704" s="705"/>
      <c r="K704" s="705" t="e">
        <f>(K692+K693+K694+K695+K696+K697+K700)-K703</f>
        <v>#REF!</v>
      </c>
      <c r="L704" s="707">
        <f>E704</f>
        <v>576269.9691946737</v>
      </c>
      <c r="M704" s="726"/>
      <c r="N704" s="674"/>
      <c r="O704" s="726"/>
    </row>
    <row r="705" spans="1:15" s="27" customFormat="1" ht="17.25" customHeight="1">
      <c r="A705" s="727"/>
      <c r="B705" s="728"/>
      <c r="C705" s="714"/>
      <c r="D705" s="714"/>
      <c r="E705" s="714"/>
      <c r="F705" s="724"/>
      <c r="G705" s="727"/>
      <c r="H705" s="728"/>
      <c r="I705" s="714"/>
      <c r="J705" s="714"/>
      <c r="K705" s="714"/>
      <c r="L705" s="725"/>
      <c r="M705" s="726"/>
      <c r="N705" s="674"/>
      <c r="O705" s="726"/>
    </row>
    <row r="706" spans="1:15" s="27" customFormat="1" ht="17.25" customHeight="1">
      <c r="A706" s="1567" t="str">
        <f>A672</f>
        <v>LƯƠNG THÁNG 01/2025</v>
      </c>
      <c r="B706" s="1568"/>
      <c r="C706" s="1568"/>
      <c r="D706" s="1568"/>
      <c r="E706" s="766">
        <v>83</v>
      </c>
      <c r="F706" s="724"/>
      <c r="G706" s="1567" t="str">
        <f>G672</f>
        <v>LƯƠNG THÁNG 01/2025</v>
      </c>
      <c r="H706" s="1568"/>
      <c r="I706" s="1568"/>
      <c r="J706" s="1568"/>
      <c r="K706" s="1569"/>
      <c r="L706" s="725"/>
      <c r="M706" s="674"/>
      <c r="N706" s="726"/>
    </row>
    <row r="707" spans="1:15" s="27" customFormat="1" ht="17.25" customHeight="1">
      <c r="A707" s="709" t="s">
        <v>15</v>
      </c>
      <c r="B707" s="840">
        <f>'CNKT '!D97</f>
        <v>0</v>
      </c>
      <c r="C707" s="691"/>
      <c r="D707" s="730"/>
      <c r="E707" s="731" t="s">
        <v>42</v>
      </c>
      <c r="F707" s="724"/>
      <c r="G707" s="709"/>
      <c r="H707" s="840"/>
      <c r="I707" s="691"/>
      <c r="J707" s="730"/>
      <c r="K707" s="731"/>
      <c r="L707" s="725"/>
      <c r="M707" s="674"/>
      <c r="N707" s="726"/>
    </row>
    <row r="708" spans="1:15" s="27" customFormat="1" ht="17.25" customHeight="1">
      <c r="A708" s="693" t="s">
        <v>397</v>
      </c>
      <c r="B708" s="599" t="s">
        <v>431</v>
      </c>
      <c r="C708" s="694" t="e">
        <f>VLOOKUP(B707,'BTH mủ tạp'!$D$17:$AN$96,36,0)</f>
        <v>#N/A</v>
      </c>
      <c r="D708" s="695"/>
      <c r="E708" s="695"/>
      <c r="F708" s="724"/>
      <c r="G708" s="693"/>
      <c r="H708" s="599"/>
      <c r="I708" s="694"/>
      <c r="J708" s="695"/>
      <c r="K708" s="695"/>
      <c r="L708" s="725"/>
      <c r="M708" s="674"/>
      <c r="N708" s="726"/>
    </row>
    <row r="709" spans="1:15" s="27" customFormat="1" ht="17.25" customHeight="1">
      <c r="A709" s="693" t="s">
        <v>77</v>
      </c>
      <c r="B709" s="600" t="s">
        <v>432</v>
      </c>
      <c r="C709" s="696">
        <f>VLOOKUP(B707,'CNKT '!$D$16:$AA$97,3,0)</f>
        <v>0</v>
      </c>
      <c r="D709" s="697">
        <v>25000</v>
      </c>
      <c r="E709" s="695">
        <f>C709*D709</f>
        <v>0</v>
      </c>
      <c r="F709" s="724"/>
      <c r="G709" s="693"/>
      <c r="H709" s="600"/>
      <c r="I709" s="696"/>
      <c r="J709" s="697"/>
      <c r="K709" s="695"/>
      <c r="L709" s="725"/>
      <c r="M709" s="674"/>
      <c r="N709" s="726"/>
    </row>
    <row r="710" spans="1:15" s="27" customFormat="1" ht="17.25" customHeight="1">
      <c r="A710" s="693" t="s">
        <v>307</v>
      </c>
      <c r="B710" s="601" t="s">
        <v>433</v>
      </c>
      <c r="C710" s="747">
        <f>VLOOKUP(B707,'CNKT '!$D$16:$AA$97,11,0)</f>
        <v>0</v>
      </c>
      <c r="D710" s="698">
        <f>46.1*$B$2</f>
        <v>30833.524000000001</v>
      </c>
      <c r="E710" s="695">
        <f t="shared" ref="E710:E714" si="82">C710*D710</f>
        <v>0</v>
      </c>
      <c r="F710" s="724"/>
      <c r="G710" s="693"/>
      <c r="H710" s="601"/>
      <c r="I710" s="747"/>
      <c r="J710" s="698"/>
      <c r="K710" s="695"/>
      <c r="L710" s="725"/>
      <c r="M710" s="674"/>
      <c r="N710" s="726"/>
    </row>
    <row r="711" spans="1:15" s="27" customFormat="1" ht="17.25" customHeight="1">
      <c r="A711" s="693" t="s">
        <v>399</v>
      </c>
      <c r="B711" s="601" t="s">
        <v>494</v>
      </c>
      <c r="C711" s="747">
        <f>VLOOKUP(B707,'CNKT '!$D$16:$AA$97,12,0)</f>
        <v>0</v>
      </c>
      <c r="D711" s="697">
        <f>76.9*$B$2</f>
        <v>51433.796000000009</v>
      </c>
      <c r="E711" s="695">
        <f t="shared" si="82"/>
        <v>0</v>
      </c>
      <c r="F711" s="724"/>
      <c r="G711" s="693"/>
      <c r="H711" s="601"/>
      <c r="I711" s="747"/>
      <c r="J711" s="697"/>
      <c r="K711" s="695"/>
      <c r="L711" s="725"/>
      <c r="M711" s="674"/>
      <c r="N711" s="726"/>
    </row>
    <row r="712" spans="1:15" s="27" customFormat="1" ht="17.25" customHeight="1">
      <c r="A712" s="693" t="s">
        <v>78</v>
      </c>
      <c r="B712" s="601" t="s">
        <v>434</v>
      </c>
      <c r="C712" s="747">
        <f>VLOOKUP(B707,'CNKT '!$D$16:$AA$97,8,0)</f>
        <v>0</v>
      </c>
      <c r="D712" s="697"/>
      <c r="E712" s="695">
        <f t="shared" si="82"/>
        <v>0</v>
      </c>
      <c r="F712" s="724"/>
      <c r="G712" s="693"/>
      <c r="H712" s="601"/>
      <c r="I712" s="747"/>
      <c r="J712" s="697"/>
      <c r="K712" s="695"/>
      <c r="L712" s="725"/>
      <c r="M712" s="674"/>
      <c r="N712" s="726"/>
    </row>
    <row r="713" spans="1:15" s="27" customFormat="1" ht="17.25" customHeight="1">
      <c r="A713" s="693" t="s">
        <v>491</v>
      </c>
      <c r="B713" s="601" t="s">
        <v>495</v>
      </c>
      <c r="C713" s="747">
        <f>VLOOKUP(B707,'CNKT '!$D$16:$AA$97,15,0)</f>
        <v>0</v>
      </c>
      <c r="D713" s="698">
        <f>92.2*$B$2</f>
        <v>61667.048000000003</v>
      </c>
      <c r="E713" s="695">
        <f t="shared" si="82"/>
        <v>0</v>
      </c>
      <c r="F713" s="724"/>
      <c r="G713" s="693"/>
      <c r="H713" s="601"/>
      <c r="I713" s="747"/>
      <c r="J713" s="698"/>
      <c r="K713" s="695"/>
      <c r="L713" s="725"/>
      <c r="M713" s="674"/>
      <c r="N713" s="726"/>
    </row>
    <row r="714" spans="1:15" s="27" customFormat="1" ht="17.25" customHeight="1">
      <c r="A714" s="693" t="s">
        <v>448</v>
      </c>
      <c r="B714" s="601" t="s">
        <v>496</v>
      </c>
      <c r="C714" s="747">
        <f>VLOOKUP(B707,'CNKT '!$D$16:$AA$97,14,0)</f>
        <v>0</v>
      </c>
      <c r="D714" s="697">
        <f>153.6*$B$2</f>
        <v>102733.82400000001</v>
      </c>
      <c r="E714" s="695">
        <f t="shared" si="82"/>
        <v>0</v>
      </c>
      <c r="F714" s="724"/>
      <c r="G714" s="693"/>
      <c r="H714" s="601"/>
      <c r="I714" s="747"/>
      <c r="J714" s="697"/>
      <c r="K714" s="695"/>
      <c r="L714" s="725"/>
      <c r="M714" s="674"/>
      <c r="N714" s="726"/>
    </row>
    <row r="715" spans="1:15" s="27" customFormat="1" ht="17.25" customHeight="1">
      <c r="A715" s="693" t="s">
        <v>453</v>
      </c>
      <c r="B715" s="601" t="s">
        <v>497</v>
      </c>
      <c r="C715" s="747">
        <f>VLOOKUP(B707,'CNKT '!$D$16:$AA$97,18,0)</f>
        <v>0</v>
      </c>
      <c r="D715" s="697">
        <v>10000</v>
      </c>
      <c r="E715" s="695">
        <f>C715*D715</f>
        <v>0</v>
      </c>
      <c r="F715" s="724"/>
      <c r="G715" s="693"/>
      <c r="H715" s="601"/>
      <c r="I715" s="747"/>
      <c r="J715" s="697"/>
      <c r="K715" s="695"/>
      <c r="L715" s="725"/>
      <c r="M715" s="674"/>
      <c r="N715" s="726"/>
    </row>
    <row r="716" spans="1:15" s="27" customFormat="1" ht="17.25" customHeight="1">
      <c r="A716" s="699" t="s">
        <v>79</v>
      </c>
      <c r="B716" s="602" t="s">
        <v>435</v>
      </c>
      <c r="C716" s="700"/>
      <c r="D716" s="701"/>
      <c r="E716" s="700"/>
      <c r="F716" s="724"/>
      <c r="G716" s="699"/>
      <c r="H716" s="602"/>
      <c r="I716" s="700"/>
      <c r="J716" s="701"/>
      <c r="K716" s="700"/>
      <c r="L716" s="725"/>
      <c r="M716" s="674"/>
      <c r="N716" s="726"/>
    </row>
    <row r="717" spans="1:15" s="27" customFormat="1" ht="17.25" customHeight="1">
      <c r="A717" s="702" t="s">
        <v>80</v>
      </c>
      <c r="B717" s="603" t="s">
        <v>436</v>
      </c>
      <c r="C717" s="700"/>
      <c r="D717" s="700"/>
      <c r="E717" s="700"/>
      <c r="F717" s="724"/>
      <c r="G717" s="702"/>
      <c r="H717" s="603"/>
      <c r="I717" s="700"/>
      <c r="J717" s="700"/>
      <c r="K717" s="700"/>
      <c r="L717" s="725"/>
      <c r="M717" s="674"/>
      <c r="N717" s="726"/>
    </row>
    <row r="718" spans="1:15" s="27" customFormat="1" ht="17.25" customHeight="1">
      <c r="A718" s="702" t="s">
        <v>81</v>
      </c>
      <c r="B718" s="604" t="s">
        <v>437</v>
      </c>
      <c r="C718" s="700"/>
      <c r="D718" s="700"/>
      <c r="E718" s="695">
        <f>SUM(E717)</f>
        <v>0</v>
      </c>
      <c r="F718" s="724"/>
      <c r="G718" s="702"/>
      <c r="H718" s="604"/>
      <c r="I718" s="700"/>
      <c r="J718" s="700"/>
      <c r="K718" s="695"/>
      <c r="L718" s="725"/>
      <c r="M718" s="674"/>
      <c r="N718" s="726"/>
    </row>
    <row r="719" spans="1:15" s="27" customFormat="1" ht="17.25" customHeight="1">
      <c r="A719" s="704" t="s">
        <v>82</v>
      </c>
      <c r="B719" s="636" t="s">
        <v>438</v>
      </c>
      <c r="C719" s="705"/>
      <c r="D719" s="705"/>
      <c r="E719" s="705">
        <f>(E709+E710+E711+E712+E713+E714+E715)-E718</f>
        <v>0</v>
      </c>
      <c r="F719" s="724"/>
      <c r="G719" s="704"/>
      <c r="H719" s="636"/>
      <c r="I719" s="705"/>
      <c r="J719" s="705"/>
      <c r="K719" s="705"/>
      <c r="L719" s="707">
        <f>E719+K719</f>
        <v>0</v>
      </c>
      <c r="M719" s="726"/>
      <c r="N719" s="674"/>
      <c r="O719" s="726"/>
    </row>
    <row r="720" spans="1:15" s="27" customFormat="1" ht="17.25" customHeight="1">
      <c r="A720" s="732"/>
      <c r="B720" s="733"/>
      <c r="C720" s="734"/>
      <c r="D720" s="734"/>
      <c r="E720" s="734"/>
      <c r="F720" s="724"/>
      <c r="G720" s="732"/>
      <c r="H720" s="733"/>
      <c r="I720" s="734"/>
      <c r="J720" s="735"/>
      <c r="K720" s="734"/>
      <c r="L720" s="707"/>
      <c r="M720" s="726"/>
      <c r="N720" s="674"/>
      <c r="O720" s="726"/>
    </row>
    <row r="721" spans="1:15" s="27" customFormat="1" ht="17.25" customHeight="1">
      <c r="A721" s="1567" t="str">
        <f>A706</f>
        <v>LƯƠNG THÁNG 01/2025</v>
      </c>
      <c r="B721" s="1568"/>
      <c r="C721" s="1568"/>
      <c r="D721" s="1568"/>
      <c r="E721" s="766">
        <v>84</v>
      </c>
      <c r="F721" s="724"/>
      <c r="G721" s="1567" t="str">
        <f>A721</f>
        <v>LƯƠNG THÁNG 01/2025</v>
      </c>
      <c r="H721" s="1568"/>
      <c r="I721" s="1568"/>
      <c r="J721" s="1568"/>
      <c r="K721" s="766">
        <v>85</v>
      </c>
      <c r="L721" s="707"/>
      <c r="M721" s="726"/>
      <c r="N721" s="674"/>
      <c r="O721" s="726"/>
    </row>
    <row r="722" spans="1:15" s="27" customFormat="1" ht="17.25" customHeight="1">
      <c r="A722" s="709" t="s">
        <v>15</v>
      </c>
      <c r="B722" s="840" t="e">
        <f>'CNKT '!#REF!</f>
        <v>#REF!</v>
      </c>
      <c r="C722" s="691"/>
      <c r="D722" s="730"/>
      <c r="E722" s="731" t="s">
        <v>42</v>
      </c>
      <c r="F722" s="724"/>
      <c r="G722" s="709" t="s">
        <v>15</v>
      </c>
      <c r="H722" s="840" t="str">
        <f>'CNKT '!D98</f>
        <v>T. Tạch</v>
      </c>
      <c r="I722" s="691"/>
      <c r="J722" s="730"/>
      <c r="K722" s="731" t="s">
        <v>42</v>
      </c>
      <c r="L722" s="707"/>
      <c r="M722" s="726"/>
      <c r="N722" s="674"/>
      <c r="O722" s="726"/>
    </row>
    <row r="723" spans="1:15" s="27" customFormat="1" ht="17.25" customHeight="1">
      <c r="A723" s="693" t="s">
        <v>397</v>
      </c>
      <c r="B723" s="599" t="s">
        <v>431</v>
      </c>
      <c r="C723" s="694"/>
      <c r="D723" s="695"/>
      <c r="E723" s="695"/>
      <c r="F723" s="724"/>
      <c r="G723" s="693" t="s">
        <v>397</v>
      </c>
      <c r="H723" s="599" t="s">
        <v>431</v>
      </c>
      <c r="I723" s="694"/>
      <c r="J723" s="695"/>
      <c r="K723" s="695"/>
      <c r="L723" s="707"/>
      <c r="M723" s="726"/>
      <c r="N723" s="674"/>
      <c r="O723" s="726"/>
    </row>
    <row r="724" spans="1:15" s="27" customFormat="1" ht="17.25" customHeight="1">
      <c r="A724" s="693" t="s">
        <v>77</v>
      </c>
      <c r="B724" s="600" t="s">
        <v>432</v>
      </c>
      <c r="C724" s="696" t="e">
        <f>VLOOKUP(B722,'CNKT '!$D$16:$AA$98,3,0)</f>
        <v>#REF!</v>
      </c>
      <c r="D724" s="697">
        <v>25000</v>
      </c>
      <c r="E724" s="695" t="e">
        <f>C724*D724</f>
        <v>#REF!</v>
      </c>
      <c r="F724" s="724"/>
      <c r="G724" s="693" t="s">
        <v>77</v>
      </c>
      <c r="H724" s="600" t="s">
        <v>432</v>
      </c>
      <c r="I724" s="696">
        <f>VLOOKUP(H722,'CNKT '!$D$16:$AA$98,3,0)</f>
        <v>0</v>
      </c>
      <c r="J724" s="697">
        <v>25000</v>
      </c>
      <c r="K724" s="695">
        <f>I724*J724</f>
        <v>0</v>
      </c>
      <c r="L724" s="707"/>
      <c r="M724" s="726"/>
      <c r="N724" s="674"/>
      <c r="O724" s="726"/>
    </row>
    <row r="725" spans="1:15" s="27" customFormat="1" ht="17.25" customHeight="1">
      <c r="A725" s="693" t="s">
        <v>307</v>
      </c>
      <c r="B725" s="601" t="s">
        <v>433</v>
      </c>
      <c r="C725" s="747" t="e">
        <f>VLOOKUP(B722,'CNKT '!$D$16:$AA$98,11,0)</f>
        <v>#REF!</v>
      </c>
      <c r="D725" s="698">
        <f>46.1*$B$2</f>
        <v>30833.524000000001</v>
      </c>
      <c r="E725" s="695" t="e">
        <f t="shared" ref="E725:E729" si="83">C725*D725</f>
        <v>#REF!</v>
      </c>
      <c r="F725" s="724"/>
      <c r="G725" s="693" t="s">
        <v>307</v>
      </c>
      <c r="H725" s="601" t="s">
        <v>433</v>
      </c>
      <c r="I725" s="747">
        <f>VLOOKUP(H722,'CNKT '!$D$16:$AA$98,11,0)</f>
        <v>0</v>
      </c>
      <c r="J725" s="698">
        <f>46.1*$B$2</f>
        <v>30833.524000000001</v>
      </c>
      <c r="K725" s="695">
        <f t="shared" ref="K725:K729" si="84">I725*J725</f>
        <v>0</v>
      </c>
      <c r="L725" s="707"/>
      <c r="M725" s="726"/>
      <c r="N725" s="674"/>
      <c r="O725" s="726"/>
    </row>
    <row r="726" spans="1:15" s="27" customFormat="1" ht="17.25" customHeight="1">
      <c r="A726" s="693" t="s">
        <v>399</v>
      </c>
      <c r="B726" s="601" t="s">
        <v>494</v>
      </c>
      <c r="C726" s="747" t="e">
        <f>VLOOKUP(B722,'CNKT '!$D$16:$AA$98,12,0)</f>
        <v>#REF!</v>
      </c>
      <c r="D726" s="697">
        <f>76.9*$B$2</f>
        <v>51433.796000000009</v>
      </c>
      <c r="E726" s="695" t="e">
        <f t="shared" si="83"/>
        <v>#REF!</v>
      </c>
      <c r="F726" s="724"/>
      <c r="G726" s="693" t="s">
        <v>399</v>
      </c>
      <c r="H726" s="601" t="s">
        <v>494</v>
      </c>
      <c r="I726" s="747">
        <f>VLOOKUP(H722,'CNKT '!$D$16:$AA$98,12,0)</f>
        <v>0</v>
      </c>
      <c r="J726" s="697">
        <f>76.9*$B$2</f>
        <v>51433.796000000009</v>
      </c>
      <c r="K726" s="695">
        <f t="shared" si="84"/>
        <v>0</v>
      </c>
      <c r="L726" s="707"/>
      <c r="M726" s="726"/>
      <c r="N726" s="674"/>
      <c r="O726" s="726"/>
    </row>
    <row r="727" spans="1:15" s="27" customFormat="1" ht="17.25" customHeight="1">
      <c r="A727" s="693" t="s">
        <v>78</v>
      </c>
      <c r="B727" s="601" t="s">
        <v>434</v>
      </c>
      <c r="C727" s="747" t="e">
        <f>VLOOKUP(B722,'CNKT '!$D$16:$AA$98,8,0)</f>
        <v>#REF!</v>
      </c>
      <c r="D727" s="697">
        <f>IF(C723="A",6.1,IF(C723="B",5.8,IF(C723="C",5.5,IF(C723="C.",5.5,IF(C723="D",5.2)))))*$B$2</f>
        <v>0</v>
      </c>
      <c r="E727" s="695" t="e">
        <f t="shared" si="83"/>
        <v>#REF!</v>
      </c>
      <c r="F727" s="724"/>
      <c r="G727" s="693" t="s">
        <v>78</v>
      </c>
      <c r="H727" s="601" t="s">
        <v>434</v>
      </c>
      <c r="I727" s="747">
        <f>VLOOKUP(H722,'CNKT '!$D$16:$AA$98,8,0)</f>
        <v>0</v>
      </c>
      <c r="J727" s="697">
        <f>IF(I723="A",6.1,IF(I723="B",5.8,IF(I723="C",5.5,IF(I723="C.",5.5,IF(I723="D",5.2)))))*$B$2</f>
        <v>0</v>
      </c>
      <c r="K727" s="695">
        <f t="shared" si="84"/>
        <v>0</v>
      </c>
      <c r="L727" s="707"/>
      <c r="M727" s="726"/>
      <c r="N727" s="674"/>
      <c r="O727" s="726"/>
    </row>
    <row r="728" spans="1:15" s="27" customFormat="1" ht="17.25" customHeight="1">
      <c r="A728" s="693" t="s">
        <v>491</v>
      </c>
      <c r="B728" s="601" t="s">
        <v>495</v>
      </c>
      <c r="C728" s="747" t="e">
        <f>VLOOKUP(B722,'CNKT '!$D$16:$AA$98,15,0)</f>
        <v>#REF!</v>
      </c>
      <c r="D728" s="698">
        <f>92.2*$B$2</f>
        <v>61667.048000000003</v>
      </c>
      <c r="E728" s="695" t="e">
        <f t="shared" si="83"/>
        <v>#REF!</v>
      </c>
      <c r="F728" s="724"/>
      <c r="G728" s="693" t="s">
        <v>491</v>
      </c>
      <c r="H728" s="601" t="s">
        <v>495</v>
      </c>
      <c r="I728" s="747">
        <f>VLOOKUP(H722,'CNKT '!$D$16:$AA$98,15,0)</f>
        <v>0</v>
      </c>
      <c r="J728" s="698">
        <f>92.2*$B$2</f>
        <v>61667.048000000003</v>
      </c>
      <c r="K728" s="695">
        <f t="shared" si="84"/>
        <v>0</v>
      </c>
      <c r="L728" s="707"/>
      <c r="M728" s="726"/>
      <c r="N728" s="674"/>
      <c r="O728" s="726"/>
    </row>
    <row r="729" spans="1:15" s="27" customFormat="1" ht="17.25" customHeight="1">
      <c r="A729" s="693" t="s">
        <v>448</v>
      </c>
      <c r="B729" s="601" t="s">
        <v>496</v>
      </c>
      <c r="C729" s="747" t="e">
        <f>VLOOKUP(B722,'CNKT '!$D$16:$AA$98,14,0)</f>
        <v>#REF!</v>
      </c>
      <c r="D729" s="697">
        <f>153.6*$B$2</f>
        <v>102733.82400000001</v>
      </c>
      <c r="E729" s="695" t="e">
        <f t="shared" si="83"/>
        <v>#REF!</v>
      </c>
      <c r="F729" s="724"/>
      <c r="G729" s="693" t="s">
        <v>448</v>
      </c>
      <c r="H729" s="601" t="s">
        <v>496</v>
      </c>
      <c r="I729" s="747">
        <f>VLOOKUP(H722,'CNKT '!$D$16:$AA$98,14,0)</f>
        <v>0</v>
      </c>
      <c r="J729" s="697">
        <f>153.6*$B$2</f>
        <v>102733.82400000001</v>
      </c>
      <c r="K729" s="695">
        <f t="shared" si="84"/>
        <v>0</v>
      </c>
      <c r="L729" s="707"/>
      <c r="M729" s="726"/>
      <c r="N729" s="674"/>
      <c r="O729" s="726"/>
    </row>
    <row r="730" spans="1:15" s="27" customFormat="1" ht="17.25" customHeight="1">
      <c r="A730" s="693" t="s">
        <v>453</v>
      </c>
      <c r="B730" s="601" t="s">
        <v>497</v>
      </c>
      <c r="C730" s="747" t="e">
        <f>VLOOKUP(B722,'CNKT '!$D$16:$AA$98,16,0)</f>
        <v>#REF!</v>
      </c>
      <c r="D730" s="697">
        <v>25000</v>
      </c>
      <c r="E730" s="695" t="e">
        <f>C730*D730</f>
        <v>#REF!</v>
      </c>
      <c r="F730" s="724"/>
      <c r="G730" s="693" t="s">
        <v>453</v>
      </c>
      <c r="H730" s="601" t="s">
        <v>497</v>
      </c>
      <c r="I730" s="747">
        <f>VLOOKUP(H722,'CNKT '!$D$16:$AA$98,16,0)</f>
        <v>0</v>
      </c>
      <c r="J730" s="697">
        <v>25000</v>
      </c>
      <c r="K730" s="695">
        <f>I730*J730</f>
        <v>0</v>
      </c>
      <c r="L730" s="707"/>
      <c r="M730" s="726"/>
      <c r="N730" s="674"/>
      <c r="O730" s="726"/>
    </row>
    <row r="731" spans="1:15" s="27" customFormat="1" ht="17.25" customHeight="1">
      <c r="A731" s="693"/>
      <c r="B731" s="601"/>
      <c r="C731" s="747"/>
      <c r="D731" s="697"/>
      <c r="E731" s="695"/>
      <c r="F731" s="724"/>
      <c r="G731" s="693"/>
      <c r="H731" s="601"/>
      <c r="I731" s="747"/>
      <c r="J731" s="697"/>
      <c r="K731" s="695"/>
      <c r="L731" s="707"/>
      <c r="M731" s="726"/>
      <c r="N731" s="674"/>
      <c r="O731" s="726"/>
    </row>
    <row r="732" spans="1:15" s="27" customFormat="1" ht="17.25" customHeight="1">
      <c r="A732" s="699" t="s">
        <v>79</v>
      </c>
      <c r="B732" s="602" t="s">
        <v>435</v>
      </c>
      <c r="C732" s="700"/>
      <c r="D732" s="701"/>
      <c r="E732" s="700"/>
      <c r="F732" s="724"/>
      <c r="G732" s="699" t="s">
        <v>79</v>
      </c>
      <c r="H732" s="602" t="s">
        <v>435</v>
      </c>
      <c r="I732" s="700"/>
      <c r="J732" s="701"/>
      <c r="K732" s="700"/>
      <c r="L732" s="707"/>
      <c r="M732" s="726"/>
      <c r="N732" s="674"/>
      <c r="O732" s="726"/>
    </row>
    <row r="733" spans="1:15" s="27" customFormat="1" ht="17.25" customHeight="1">
      <c r="A733" s="702" t="s">
        <v>80</v>
      </c>
      <c r="B733" s="603" t="s">
        <v>436</v>
      </c>
      <c r="C733" s="700"/>
      <c r="D733" s="700"/>
      <c r="E733" s="700"/>
      <c r="F733" s="724"/>
      <c r="G733" s="702" t="s">
        <v>80</v>
      </c>
      <c r="H733" s="603" t="s">
        <v>436</v>
      </c>
      <c r="I733" s="700"/>
      <c r="J733" s="700"/>
      <c r="K733" s="700"/>
      <c r="L733" s="707"/>
      <c r="M733" s="726"/>
      <c r="N733" s="674"/>
      <c r="O733" s="726"/>
    </row>
    <row r="734" spans="1:15" s="27" customFormat="1" ht="17.25" customHeight="1">
      <c r="A734" s="702" t="s">
        <v>81</v>
      </c>
      <c r="B734" s="604" t="s">
        <v>437</v>
      </c>
      <c r="C734" s="700"/>
      <c r="D734" s="700"/>
      <c r="E734" s="695">
        <f>SUM(E733)</f>
        <v>0</v>
      </c>
      <c r="F734" s="724"/>
      <c r="G734" s="702" t="s">
        <v>81</v>
      </c>
      <c r="H734" s="604" t="s">
        <v>437</v>
      </c>
      <c r="I734" s="700"/>
      <c r="J734" s="700"/>
      <c r="K734" s="695">
        <f>SUM(K733)</f>
        <v>0</v>
      </c>
      <c r="L734" s="707"/>
      <c r="M734" s="726"/>
      <c r="N734" s="674"/>
      <c r="O734" s="726"/>
    </row>
    <row r="735" spans="1:15" s="27" customFormat="1" ht="17.25" customHeight="1">
      <c r="A735" s="704" t="s">
        <v>82</v>
      </c>
      <c r="B735" s="636" t="s">
        <v>438</v>
      </c>
      <c r="C735" s="705"/>
      <c r="D735" s="705"/>
      <c r="E735" s="705" t="e">
        <f>(E724+E725+E726+E727+E728+E729+E730)-E734</f>
        <v>#REF!</v>
      </c>
      <c r="F735" s="724"/>
      <c r="G735" s="704" t="s">
        <v>82</v>
      </c>
      <c r="H735" s="636" t="s">
        <v>438</v>
      </c>
      <c r="I735" s="705"/>
      <c r="J735" s="705"/>
      <c r="K735" s="705">
        <f>(K724+K725+K726+K727+K728+K729+K730)-K734</f>
        <v>0</v>
      </c>
      <c r="L735" s="707" t="e">
        <f>E735+K735</f>
        <v>#REF!</v>
      </c>
      <c r="M735" s="726"/>
      <c r="N735" s="674"/>
      <c r="O735" s="726"/>
    </row>
    <row r="736" spans="1:15" s="27" customFormat="1" ht="17.25" customHeight="1">
      <c r="A736" s="732"/>
      <c r="B736" s="733"/>
      <c r="C736" s="734"/>
      <c r="D736" s="734"/>
      <c r="E736" s="734"/>
      <c r="F736" s="724"/>
      <c r="G736" s="732"/>
      <c r="H736" s="733"/>
      <c r="I736" s="734"/>
      <c r="J736" s="735"/>
      <c r="K736" s="734"/>
      <c r="L736" s="707"/>
      <c r="M736" s="726"/>
      <c r="N736" s="674"/>
      <c r="O736" s="726"/>
    </row>
    <row r="737" spans="1:15" s="27" customFormat="1" ht="17.25" customHeight="1">
      <c r="A737" s="732"/>
      <c r="B737" s="733"/>
      <c r="C737" s="734"/>
      <c r="D737" s="734"/>
      <c r="E737" s="734"/>
      <c r="F737" s="724"/>
      <c r="G737" s="732"/>
      <c r="H737" s="733"/>
      <c r="I737" s="734"/>
      <c r="J737" s="735"/>
      <c r="K737" s="734"/>
      <c r="L737" s="707"/>
      <c r="M737" s="674"/>
      <c r="N737" s="726"/>
    </row>
    <row r="738" spans="1:15" s="27" customFormat="1" ht="17.25" customHeight="1">
      <c r="A738" s="1570" t="s">
        <v>120</v>
      </c>
      <c r="B738" s="1570"/>
      <c r="C738" s="1570"/>
      <c r="D738" s="1570"/>
      <c r="E738" s="1570"/>
      <c r="F738" s="1570"/>
      <c r="G738" s="1570"/>
      <c r="H738" s="1570"/>
      <c r="I738" s="1570"/>
      <c r="J738" s="1571"/>
      <c r="K738" s="724"/>
      <c r="L738" s="690"/>
      <c r="M738" s="726" t="e">
        <f>SUM(L12:L735)</f>
        <v>#REF!</v>
      </c>
      <c r="N738" s="674">
        <v>475097563</v>
      </c>
      <c r="O738" s="726" t="e">
        <f>N738-M738</f>
        <v>#REF!</v>
      </c>
    </row>
    <row r="739" spans="1:15" s="27" customFormat="1" ht="17.25" customHeight="1">
      <c r="A739" s="1572"/>
      <c r="B739" s="1572"/>
      <c r="C739" s="1572"/>
      <c r="D739" s="1572"/>
      <c r="E739" s="1572"/>
      <c r="F739" s="724"/>
      <c r="G739" s="1572"/>
      <c r="H739" s="1572"/>
      <c r="I739" s="1572"/>
      <c r="J739" s="1572"/>
      <c r="K739" s="724"/>
      <c r="L739" s="690"/>
      <c r="M739" s="736"/>
    </row>
    <row r="740" spans="1:15" s="27" customFormat="1" ht="17.25" customHeight="1">
      <c r="A740" s="1567" t="str">
        <f>A706</f>
        <v>LƯƠNG THÁNG 01/2025</v>
      </c>
      <c r="B740" s="1568"/>
      <c r="C740" s="1568"/>
      <c r="D740" s="1568"/>
      <c r="E740" s="766">
        <v>1</v>
      </c>
      <c r="F740" s="750"/>
      <c r="G740" s="1573" t="str">
        <f>A740</f>
        <v>LƯƠNG THÁNG 01/2025</v>
      </c>
      <c r="H740" s="1573"/>
      <c r="I740" s="1573"/>
      <c r="J740" s="1573"/>
      <c r="K740" s="766">
        <v>2</v>
      </c>
      <c r="L740" s="690"/>
      <c r="M740" s="736"/>
    </row>
    <row r="741" spans="1:15" s="27" customFormat="1" ht="17.25" customHeight="1">
      <c r="A741" s="709" t="s">
        <v>15</v>
      </c>
      <c r="B741" s="840" t="e">
        <f>'CNKT '!#REF!</f>
        <v>#REF!</v>
      </c>
      <c r="C741" s="694"/>
      <c r="D741" s="840" t="s">
        <v>396</v>
      </c>
      <c r="E741" s="840" t="s">
        <v>18</v>
      </c>
      <c r="F741" s="750"/>
      <c r="G741" s="709" t="s">
        <v>15</v>
      </c>
      <c r="H741" s="840" t="e">
        <f>'CNKT '!#REF!</f>
        <v>#REF!</v>
      </c>
      <c r="I741" s="694"/>
      <c r="J741" s="840" t="s">
        <v>396</v>
      </c>
      <c r="K741" s="840" t="s">
        <v>18</v>
      </c>
      <c r="L741" s="690"/>
      <c r="M741" s="736"/>
    </row>
    <row r="742" spans="1:15" s="27" customFormat="1" ht="17.25" customHeight="1">
      <c r="A742" s="693" t="s">
        <v>397</v>
      </c>
      <c r="B742" s="842" t="s">
        <v>527</v>
      </c>
      <c r="C742" s="694" t="e">
        <f>VLOOKUP(B741,'BTH mủ tạp'!#REF!,36,0)</f>
        <v>#REF!</v>
      </c>
      <c r="D742" s="695"/>
      <c r="E742" s="695"/>
      <c r="F742" s="750"/>
      <c r="G742" s="693" t="s">
        <v>397</v>
      </c>
      <c r="H742" s="842" t="s">
        <v>527</v>
      </c>
      <c r="I742" s="694" t="e">
        <f>VLOOKUP(H741,'BTH mủ tạp'!#REF!,36,0)</f>
        <v>#REF!</v>
      </c>
      <c r="J742" s="695"/>
      <c r="K742" s="695"/>
      <c r="L742" s="690"/>
    </row>
    <row r="743" spans="1:15" s="27" customFormat="1" ht="17.25" customHeight="1">
      <c r="A743" s="693" t="s">
        <v>77</v>
      </c>
      <c r="B743" s="843" t="s">
        <v>432</v>
      </c>
      <c r="C743" s="696" t="e">
        <f>VLOOKUP(B741,'CNKT '!$D$99:$AA$106,3,0)</f>
        <v>#REF!</v>
      </c>
      <c r="D743" s="697">
        <v>25000</v>
      </c>
      <c r="E743" s="695" t="e">
        <f t="shared" ref="E743:E748" si="85">C743*D743</f>
        <v>#REF!</v>
      </c>
      <c r="F743" s="750"/>
      <c r="G743" s="693" t="s">
        <v>77</v>
      </c>
      <c r="H743" s="843" t="s">
        <v>432</v>
      </c>
      <c r="I743" s="696" t="e">
        <f>VLOOKUP(H741,'CNKT '!$D$99:$AA$106,3,0)</f>
        <v>#REF!</v>
      </c>
      <c r="J743" s="697">
        <v>25000</v>
      </c>
      <c r="K743" s="695" t="e">
        <f t="shared" ref="K743:K748" si="86">I743*J743</f>
        <v>#REF!</v>
      </c>
      <c r="L743" s="690"/>
    </row>
    <row r="744" spans="1:15" s="27" customFormat="1" ht="17.25" customHeight="1">
      <c r="A744" s="693" t="s">
        <v>307</v>
      </c>
      <c r="B744" s="844" t="s">
        <v>528</v>
      </c>
      <c r="C744" s="747" t="e">
        <f>VLOOKUP(B741,'CNKT '!$D$99:$AA$106,11,0)</f>
        <v>#REF!</v>
      </c>
      <c r="D744" s="698">
        <f>46.1*$B$2</f>
        <v>30833.524000000001</v>
      </c>
      <c r="E744" s="695" t="e">
        <f t="shared" si="85"/>
        <v>#REF!</v>
      </c>
      <c r="F744" s="750"/>
      <c r="G744" s="693" t="s">
        <v>307</v>
      </c>
      <c r="H744" s="844" t="s">
        <v>528</v>
      </c>
      <c r="I744" s="747" t="e">
        <f>VLOOKUP(H741,'CNKT '!$D$99:$AA$106,11,0)</f>
        <v>#REF!</v>
      </c>
      <c r="J744" s="698">
        <f>46.1*$B$2</f>
        <v>30833.524000000001</v>
      </c>
      <c r="K744" s="695" t="e">
        <f t="shared" si="86"/>
        <v>#REF!</v>
      </c>
      <c r="L744" s="690"/>
    </row>
    <row r="745" spans="1:15" s="27" customFormat="1" ht="17.25" customHeight="1">
      <c r="A745" s="693" t="s">
        <v>399</v>
      </c>
      <c r="B745" s="844" t="s">
        <v>529</v>
      </c>
      <c r="C745" s="747" t="e">
        <f>VLOOKUP(B741,'CNKT '!$D$99:$AA$106,12,0)</f>
        <v>#REF!</v>
      </c>
      <c r="D745" s="697">
        <f>76.9*$B$2</f>
        <v>51433.796000000009</v>
      </c>
      <c r="E745" s="695" t="e">
        <f t="shared" si="85"/>
        <v>#REF!</v>
      </c>
      <c r="F745" s="750"/>
      <c r="G745" s="693" t="s">
        <v>399</v>
      </c>
      <c r="H745" s="844" t="s">
        <v>529</v>
      </c>
      <c r="I745" s="747" t="e">
        <f>VLOOKUP(H741,'CNKT '!$D$99:$AA$106,12,0)</f>
        <v>#REF!</v>
      </c>
      <c r="J745" s="697">
        <f>76.9*$B$2</f>
        <v>51433.796000000009</v>
      </c>
      <c r="K745" s="695" t="e">
        <f t="shared" si="86"/>
        <v>#REF!</v>
      </c>
      <c r="L745" s="690"/>
    </row>
    <row r="746" spans="1:15" s="27" customFormat="1" ht="17.25" customHeight="1">
      <c r="A746" s="693" t="s">
        <v>78</v>
      </c>
      <c r="B746" s="844" t="s">
        <v>530</v>
      </c>
      <c r="C746" s="747" t="e">
        <f>VLOOKUP(B741,'CNKT '!$D$99:$AA$106,8,0)</f>
        <v>#REF!</v>
      </c>
      <c r="D746" s="697" t="e">
        <f>IF(C742="A",6.1,IF(C742="B",5.8,IF(C742="C",5.5,IF(C742="C.",5.5,IF(C742="D",5.2)))))*$B$2</f>
        <v>#REF!</v>
      </c>
      <c r="E746" s="695" t="e">
        <f t="shared" si="85"/>
        <v>#REF!</v>
      </c>
      <c r="F746" s="750"/>
      <c r="G746" s="693" t="s">
        <v>78</v>
      </c>
      <c r="H746" s="844" t="s">
        <v>530</v>
      </c>
      <c r="I746" s="747" t="e">
        <f>VLOOKUP(H741,'CNKT '!$D$99:$AA$106,8,0)</f>
        <v>#REF!</v>
      </c>
      <c r="J746" s="697" t="e">
        <f>IF(I742="A",6.1,IF(I742="B",5.8,IF(I742="C",5.5,IF(I742="C.",5.5,IF(I742="D",5.2)))))*$B$2</f>
        <v>#REF!</v>
      </c>
      <c r="K746" s="695" t="e">
        <f t="shared" si="86"/>
        <v>#REF!</v>
      </c>
      <c r="L746" s="690"/>
    </row>
    <row r="747" spans="1:15" s="27" customFormat="1" ht="17.25" customHeight="1">
      <c r="A747" s="693" t="s">
        <v>491</v>
      </c>
      <c r="B747" s="844" t="s">
        <v>531</v>
      </c>
      <c r="C747" s="747" t="e">
        <f>VLOOKUP(B741,'CNKT '!$D$99:$AA$106,15,0)</f>
        <v>#REF!</v>
      </c>
      <c r="D747" s="698">
        <f>92.2*$B$2</f>
        <v>61667.048000000003</v>
      </c>
      <c r="E747" s="695" t="e">
        <f t="shared" si="85"/>
        <v>#REF!</v>
      </c>
      <c r="F747" s="750"/>
      <c r="G747" s="693" t="s">
        <v>491</v>
      </c>
      <c r="H747" s="844" t="s">
        <v>531</v>
      </c>
      <c r="I747" s="747" t="e">
        <f>VLOOKUP(H741,'CNKT '!$D$99:$AA$106,15,0)</f>
        <v>#REF!</v>
      </c>
      <c r="J747" s="698">
        <f>92.2*$B$2</f>
        <v>61667.048000000003</v>
      </c>
      <c r="K747" s="695" t="e">
        <f t="shared" si="86"/>
        <v>#REF!</v>
      </c>
      <c r="L747" s="690"/>
    </row>
    <row r="748" spans="1:15" s="27" customFormat="1" ht="17.25" customHeight="1">
      <c r="A748" s="693" t="s">
        <v>492</v>
      </c>
      <c r="B748" s="844" t="s">
        <v>496</v>
      </c>
      <c r="C748" s="747" t="e">
        <f>VLOOKUP(B741,'CNKT '!$D$99:$AA$106,16,0)</f>
        <v>#REF!</v>
      </c>
      <c r="D748" s="697">
        <f>153.8*$B$2</f>
        <v>102867.59200000002</v>
      </c>
      <c r="E748" s="695" t="e">
        <f t="shared" si="85"/>
        <v>#REF!</v>
      </c>
      <c r="F748" s="750"/>
      <c r="G748" s="693" t="s">
        <v>492</v>
      </c>
      <c r="H748" s="844" t="s">
        <v>496</v>
      </c>
      <c r="I748" s="747" t="e">
        <f>VLOOKUP(H741,'CNKT '!$D$99:$AA$106,16,0)</f>
        <v>#REF!</v>
      </c>
      <c r="J748" s="697">
        <f>153.8*$B$2</f>
        <v>102867.59200000002</v>
      </c>
      <c r="K748" s="695" t="e">
        <f t="shared" si="86"/>
        <v>#REF!</v>
      </c>
      <c r="L748" s="690"/>
    </row>
    <row r="749" spans="1:15" s="27" customFormat="1" ht="17.25" customHeight="1">
      <c r="A749" s="693" t="s">
        <v>453</v>
      </c>
      <c r="B749" s="844" t="s">
        <v>497</v>
      </c>
      <c r="C749" s="747" t="e">
        <f>VLOOKUP(B741,'CNKT '!$D$99:$AA$112,18,0)</f>
        <v>#REF!</v>
      </c>
      <c r="D749" s="697">
        <v>10000</v>
      </c>
      <c r="E749" s="695" t="e">
        <f>C749*D749</f>
        <v>#REF!</v>
      </c>
      <c r="F749" s="750"/>
      <c r="G749" s="693" t="s">
        <v>453</v>
      </c>
      <c r="H749" s="844" t="s">
        <v>497</v>
      </c>
      <c r="I749" s="747" t="e">
        <f>VLOOKUP(H741,'CNKT '!$D$99:$AA$112,18,0)</f>
        <v>#REF!</v>
      </c>
      <c r="J749" s="697">
        <v>10000</v>
      </c>
      <c r="K749" s="695" t="e">
        <f>I749*J749</f>
        <v>#REF!</v>
      </c>
      <c r="L749" s="690"/>
    </row>
    <row r="750" spans="1:15" s="27" customFormat="1" ht="17.25" customHeight="1">
      <c r="A750" s="693" t="s">
        <v>453</v>
      </c>
      <c r="B750" s="844" t="s">
        <v>497</v>
      </c>
      <c r="C750" s="747" t="e">
        <f>VLOOKUP(B741,'CNKT '!$D$99:$AA$112,19,0)</f>
        <v>#REF!</v>
      </c>
      <c r="D750" s="697">
        <v>20000</v>
      </c>
      <c r="E750" s="695" t="e">
        <f>C750*D750</f>
        <v>#REF!</v>
      </c>
      <c r="F750" s="750"/>
      <c r="G750" s="693" t="s">
        <v>453</v>
      </c>
      <c r="H750" s="844" t="s">
        <v>497</v>
      </c>
      <c r="I750" s="747" t="e">
        <f>VLOOKUP(H741,'CNKT '!$D$99:$AA$112,19,0)</f>
        <v>#REF!</v>
      </c>
      <c r="J750" s="697">
        <v>20000</v>
      </c>
      <c r="K750" s="695" t="e">
        <f>I750*J750</f>
        <v>#REF!</v>
      </c>
      <c r="L750" s="690"/>
    </row>
    <row r="751" spans="1:15" s="27" customFormat="1" ht="17.25" customHeight="1">
      <c r="A751" s="693" t="s">
        <v>512</v>
      </c>
      <c r="B751" s="844" t="s">
        <v>513</v>
      </c>
      <c r="C751" s="747"/>
      <c r="D751" s="697"/>
      <c r="E751" s="695"/>
      <c r="F751" s="750"/>
      <c r="G751" s="693" t="s">
        <v>512</v>
      </c>
      <c r="H751" s="844" t="s">
        <v>513</v>
      </c>
      <c r="I751" s="747"/>
      <c r="J751" s="697"/>
      <c r="K751" s="695"/>
      <c r="L751" s="690"/>
    </row>
    <row r="752" spans="1:15" s="27" customFormat="1" ht="17.25" customHeight="1">
      <c r="A752" s="699" t="s">
        <v>79</v>
      </c>
      <c r="B752" s="845" t="s">
        <v>532</v>
      </c>
      <c r="C752" s="700"/>
      <c r="D752" s="701"/>
      <c r="E752" s="700"/>
      <c r="F752" s="750"/>
      <c r="G752" s="699" t="s">
        <v>79</v>
      </c>
      <c r="H752" s="845" t="s">
        <v>532</v>
      </c>
      <c r="I752" s="700"/>
      <c r="J752" s="701"/>
      <c r="K752" s="700"/>
      <c r="L752" s="690"/>
    </row>
    <row r="753" spans="1:16" s="27" customFormat="1" ht="17.25" customHeight="1">
      <c r="A753" s="702" t="s">
        <v>80</v>
      </c>
      <c r="B753" s="846" t="s">
        <v>533</v>
      </c>
      <c r="C753" s="700"/>
      <c r="D753" s="700"/>
      <c r="E753" s="700"/>
      <c r="F753" s="750"/>
      <c r="G753" s="702" t="s">
        <v>80</v>
      </c>
      <c r="H753" s="846" t="s">
        <v>533</v>
      </c>
      <c r="I753" s="700"/>
      <c r="J753" s="700"/>
      <c r="K753" s="700"/>
      <c r="L753" s="690"/>
    </row>
    <row r="754" spans="1:16" s="27" customFormat="1" ht="17.25" customHeight="1">
      <c r="A754" s="702" t="s">
        <v>81</v>
      </c>
      <c r="B754" s="847" t="s">
        <v>534</v>
      </c>
      <c r="C754" s="700"/>
      <c r="D754" s="700"/>
      <c r="E754" s="695">
        <f>SUM(E753)</f>
        <v>0</v>
      </c>
      <c r="F754" s="738"/>
      <c r="G754" s="702" t="s">
        <v>81</v>
      </c>
      <c r="H754" s="847" t="s">
        <v>534</v>
      </c>
      <c r="I754" s="700"/>
      <c r="J754" s="700"/>
      <c r="K754" s="695">
        <f>SUM(K753)</f>
        <v>0</v>
      </c>
      <c r="L754" s="690"/>
    </row>
    <row r="755" spans="1:16" s="27" customFormat="1" ht="17.25" customHeight="1">
      <c r="A755" s="704" t="s">
        <v>82</v>
      </c>
      <c r="B755" s="848" t="s">
        <v>438</v>
      </c>
      <c r="C755" s="705"/>
      <c r="D755" s="705"/>
      <c r="E755" s="705" t="e">
        <f>(E743+E744+E745+E746+E747+E748+E749+E750+E751)-E754</f>
        <v>#REF!</v>
      </c>
      <c r="F755" s="750"/>
      <c r="G755" s="704" t="s">
        <v>82</v>
      </c>
      <c r="H755" s="848" t="s">
        <v>438</v>
      </c>
      <c r="I755" s="705"/>
      <c r="J755" s="705"/>
      <c r="K755" s="705" t="e">
        <f>(K743+K744+K745+K746+K747+K748+K749+K750+K751)-K754</f>
        <v>#REF!</v>
      </c>
      <c r="L755" s="707" t="e">
        <f>E755+K755</f>
        <v>#REF!</v>
      </c>
    </row>
    <row r="756" spans="1:16" s="745" customFormat="1" ht="17.25" customHeight="1">
      <c r="A756" s="739"/>
      <c r="B756" s="740"/>
      <c r="C756" s="741"/>
      <c r="D756" s="741"/>
      <c r="E756" s="741"/>
      <c r="F756" s="742"/>
      <c r="G756" s="837"/>
      <c r="H756" s="837"/>
      <c r="I756" s="837"/>
      <c r="J756" s="837"/>
      <c r="K756" s="743"/>
      <c r="L756" s="744"/>
    </row>
    <row r="757" spans="1:16" s="27" customFormat="1" ht="17.25" customHeight="1">
      <c r="A757" s="1568" t="str">
        <f>A740</f>
        <v>LƯƠNG THÁNG 01/2025</v>
      </c>
      <c r="B757" s="1568"/>
      <c r="C757" s="1568"/>
      <c r="D757" s="1568"/>
      <c r="E757" s="766">
        <v>3</v>
      </c>
      <c r="F757" s="742"/>
      <c r="G757" s="1568" t="str">
        <f>A757</f>
        <v>LƯƠNG THÁNG 01/2025</v>
      </c>
      <c r="H757" s="1568"/>
      <c r="I757" s="1568"/>
      <c r="J757" s="1568"/>
      <c r="K757" s="766">
        <v>4</v>
      </c>
      <c r="L757" s="690"/>
    </row>
    <row r="758" spans="1:16" s="27" customFormat="1" ht="17.25" customHeight="1">
      <c r="A758" s="709" t="s">
        <v>15</v>
      </c>
      <c r="B758" s="840" t="e">
        <f>'CNKT '!#REF!</f>
        <v>#REF!</v>
      </c>
      <c r="C758" s="694"/>
      <c r="D758" s="840" t="s">
        <v>396</v>
      </c>
      <c r="E758" s="840" t="s">
        <v>18</v>
      </c>
      <c r="F758" s="750"/>
      <c r="G758" s="709" t="s">
        <v>15</v>
      </c>
      <c r="H758" s="840" t="e">
        <f>'CNKT '!#REF!</f>
        <v>#REF!</v>
      </c>
      <c r="I758" s="694"/>
      <c r="J758" s="840" t="s">
        <v>396</v>
      </c>
      <c r="K758" s="840" t="s">
        <v>18</v>
      </c>
      <c r="L758" s="690"/>
    </row>
    <row r="759" spans="1:16" s="27" customFormat="1" ht="17.25" customHeight="1">
      <c r="A759" s="693" t="s">
        <v>397</v>
      </c>
      <c r="B759" s="842" t="s">
        <v>527</v>
      </c>
      <c r="C759" s="694" t="e">
        <f>VLOOKUP(B758,'BTH mủ tạp'!#REF!,36,0)</f>
        <v>#REF!</v>
      </c>
      <c r="D759" s="695"/>
      <c r="E759" s="695"/>
      <c r="F759" s="750"/>
      <c r="G759" s="693" t="s">
        <v>397</v>
      </c>
      <c r="H759" s="842" t="s">
        <v>527</v>
      </c>
      <c r="I759" s="694" t="e">
        <f>VLOOKUP(H758,'BTH mủ tạp'!#REF!,36,0)</f>
        <v>#REF!</v>
      </c>
      <c r="J759" s="695"/>
      <c r="K759" s="695"/>
      <c r="L759" s="690"/>
    </row>
    <row r="760" spans="1:16" s="27" customFormat="1" ht="17.25" customHeight="1">
      <c r="A760" s="693" t="s">
        <v>77</v>
      </c>
      <c r="B760" s="843" t="s">
        <v>432</v>
      </c>
      <c r="C760" s="696" t="e">
        <f>VLOOKUP(B758,'CNKT '!$D$99:$AA$106,3,0)</f>
        <v>#REF!</v>
      </c>
      <c r="D760" s="697">
        <v>25000</v>
      </c>
      <c r="E760" s="695" t="e">
        <f t="shared" ref="E760:E765" si="87">C760*D760</f>
        <v>#REF!</v>
      </c>
      <c r="F760" s="750"/>
      <c r="G760" s="693" t="s">
        <v>77</v>
      </c>
      <c r="H760" s="843" t="s">
        <v>432</v>
      </c>
      <c r="I760" s="696" t="e">
        <f>VLOOKUP(H758,'CNKT '!$D$99:$AA$106,3,0)</f>
        <v>#REF!</v>
      </c>
      <c r="J760" s="697">
        <v>25000</v>
      </c>
      <c r="K760" s="695" t="e">
        <f t="shared" ref="K760:K765" si="88">I760*J760</f>
        <v>#REF!</v>
      </c>
      <c r="L760" s="690"/>
    </row>
    <row r="761" spans="1:16" s="27" customFormat="1" ht="17.25" customHeight="1">
      <c r="A761" s="693" t="s">
        <v>307</v>
      </c>
      <c r="B761" s="844" t="s">
        <v>528</v>
      </c>
      <c r="C761" s="747" t="e">
        <f>VLOOKUP(B758,'CNKT '!$D$99:$AA$106,11,0)</f>
        <v>#REF!</v>
      </c>
      <c r="D761" s="698">
        <f>46.1*$B$2</f>
        <v>30833.524000000001</v>
      </c>
      <c r="E761" s="695" t="e">
        <f t="shared" si="87"/>
        <v>#REF!</v>
      </c>
      <c r="F761" s="750"/>
      <c r="G761" s="693" t="s">
        <v>307</v>
      </c>
      <c r="H761" s="844" t="s">
        <v>528</v>
      </c>
      <c r="I761" s="747" t="e">
        <f>VLOOKUP(H758,'CNKT '!$D$99:$AA$106,11,0)</f>
        <v>#REF!</v>
      </c>
      <c r="J761" s="698">
        <f>46.1*$B$2</f>
        <v>30833.524000000001</v>
      </c>
      <c r="K761" s="695" t="e">
        <f t="shared" si="88"/>
        <v>#REF!</v>
      </c>
      <c r="L761" s="690"/>
    </row>
    <row r="762" spans="1:16" s="27" customFormat="1" ht="17.25" customHeight="1">
      <c r="A762" s="693" t="s">
        <v>399</v>
      </c>
      <c r="B762" s="844" t="s">
        <v>529</v>
      </c>
      <c r="C762" s="747" t="e">
        <f>VLOOKUP(B758,'CNKT '!$D$99:$AA$106,12,0)</f>
        <v>#REF!</v>
      </c>
      <c r="D762" s="697">
        <f>76.9*$B$2</f>
        <v>51433.796000000009</v>
      </c>
      <c r="E762" s="695" t="e">
        <f t="shared" si="87"/>
        <v>#REF!</v>
      </c>
      <c r="F762" s="750"/>
      <c r="G762" s="693" t="s">
        <v>399</v>
      </c>
      <c r="H762" s="844" t="s">
        <v>529</v>
      </c>
      <c r="I762" s="747" t="e">
        <f>VLOOKUP(H758,'CNKT '!$D$99:$AA$106,12,0)</f>
        <v>#REF!</v>
      </c>
      <c r="J762" s="697">
        <f>76.9*$B$2</f>
        <v>51433.796000000009</v>
      </c>
      <c r="K762" s="695" t="e">
        <f t="shared" si="88"/>
        <v>#REF!</v>
      </c>
      <c r="L762" s="690"/>
    </row>
    <row r="763" spans="1:16" s="27" customFormat="1" ht="17.25" customHeight="1">
      <c r="A763" s="693" t="s">
        <v>78</v>
      </c>
      <c r="B763" s="844" t="s">
        <v>530</v>
      </c>
      <c r="C763" s="747" t="e">
        <f>VLOOKUP(B758,'CNKT '!$D$99:$AA$106,8,0)</f>
        <v>#REF!</v>
      </c>
      <c r="D763" s="697" t="e">
        <f>IF(C759="A",6.1,IF(C759="B",5.8,IF(C759="C",5.5,IF(C759="C.",5.5,IF(C759="D",5.2)))))*$B$2</f>
        <v>#REF!</v>
      </c>
      <c r="E763" s="695" t="e">
        <f t="shared" si="87"/>
        <v>#REF!</v>
      </c>
      <c r="F763" s="750"/>
      <c r="G763" s="693" t="s">
        <v>78</v>
      </c>
      <c r="H763" s="844" t="s">
        <v>530</v>
      </c>
      <c r="I763" s="747" t="e">
        <f>VLOOKUP(H758,'CNKT '!$D$99:$AA$106,8,0)</f>
        <v>#REF!</v>
      </c>
      <c r="J763" s="697" t="e">
        <f>IF(I759="A",6.1,IF(I759="B",5.8,IF(I759="C",5.5,IF(I759="C.",5.5,IF(I759="D",5.2)))))*$B$2</f>
        <v>#REF!</v>
      </c>
      <c r="K763" s="695" t="e">
        <f t="shared" si="88"/>
        <v>#REF!</v>
      </c>
      <c r="L763" s="690"/>
    </row>
    <row r="764" spans="1:16" s="27" customFormat="1" ht="17.25" customHeight="1">
      <c r="A764" s="693" t="s">
        <v>491</v>
      </c>
      <c r="B764" s="844" t="s">
        <v>531</v>
      </c>
      <c r="C764" s="747" t="e">
        <f>VLOOKUP(B758,'CNKT '!$D$99:$AA$106,15,0)</f>
        <v>#REF!</v>
      </c>
      <c r="D764" s="698">
        <f>92.2*$B$2</f>
        <v>61667.048000000003</v>
      </c>
      <c r="E764" s="695" t="e">
        <f t="shared" si="87"/>
        <v>#REF!</v>
      </c>
      <c r="F764" s="750"/>
      <c r="G764" s="693" t="s">
        <v>491</v>
      </c>
      <c r="H764" s="844" t="s">
        <v>531</v>
      </c>
      <c r="I764" s="747" t="e">
        <f>VLOOKUP(H758,'CNKT '!$D$99:$AA$106,15,0)</f>
        <v>#REF!</v>
      </c>
      <c r="J764" s="698">
        <f>92.2*$B$2</f>
        <v>61667.048000000003</v>
      </c>
      <c r="K764" s="695" t="e">
        <f t="shared" si="88"/>
        <v>#REF!</v>
      </c>
      <c r="L764" s="690"/>
      <c r="P764" s="27">
        <v>2000000</v>
      </c>
    </row>
    <row r="765" spans="1:16" s="27" customFormat="1" ht="17.25" customHeight="1">
      <c r="A765" s="693" t="s">
        <v>492</v>
      </c>
      <c r="B765" s="844" t="s">
        <v>496</v>
      </c>
      <c r="C765" s="747" t="e">
        <f>VLOOKUP(B758,'CNKT '!$D$99:$AA$106,16,0)</f>
        <v>#REF!</v>
      </c>
      <c r="D765" s="697">
        <f>153.8*$B$2</f>
        <v>102867.59200000002</v>
      </c>
      <c r="E765" s="695" t="e">
        <f t="shared" si="87"/>
        <v>#REF!</v>
      </c>
      <c r="F765" s="750"/>
      <c r="G765" s="693" t="s">
        <v>492</v>
      </c>
      <c r="H765" s="844" t="s">
        <v>496</v>
      </c>
      <c r="I765" s="747" t="e">
        <f>VLOOKUP(H758,'CNKT '!$D$99:$AA$106,16,0)</f>
        <v>#REF!</v>
      </c>
      <c r="J765" s="697">
        <f>153.8*$B$2</f>
        <v>102867.59200000002</v>
      </c>
      <c r="K765" s="695" t="e">
        <f t="shared" si="88"/>
        <v>#REF!</v>
      </c>
      <c r="L765" s="690"/>
      <c r="P765" s="27">
        <v>2000000</v>
      </c>
    </row>
    <row r="766" spans="1:16" s="27" customFormat="1" ht="17.25" customHeight="1">
      <c r="A766" s="693" t="s">
        <v>453</v>
      </c>
      <c r="B766" s="844" t="s">
        <v>497</v>
      </c>
      <c r="C766" s="747" t="e">
        <f>VLOOKUP(B758,'CNKT '!$D$99:$AA$112,18,0)</f>
        <v>#REF!</v>
      </c>
      <c r="D766" s="697">
        <v>10000</v>
      </c>
      <c r="E766" s="695" t="e">
        <f>C766*D766</f>
        <v>#REF!</v>
      </c>
      <c r="F766" s="750"/>
      <c r="G766" s="693" t="s">
        <v>453</v>
      </c>
      <c r="H766" s="844" t="s">
        <v>497</v>
      </c>
      <c r="I766" s="747" t="e">
        <f>VLOOKUP(H758,'CNKT '!$D$99:$AA$112,18,0)</f>
        <v>#REF!</v>
      </c>
      <c r="J766" s="697">
        <v>10000</v>
      </c>
      <c r="K766" s="695" t="e">
        <f>I766*J766</f>
        <v>#REF!</v>
      </c>
      <c r="L766" s="690"/>
      <c r="P766" s="27">
        <v>2000000</v>
      </c>
    </row>
    <row r="767" spans="1:16" s="27" customFormat="1" ht="17.25" customHeight="1">
      <c r="A767" s="693" t="s">
        <v>453</v>
      </c>
      <c r="B767" s="844" t="s">
        <v>497</v>
      </c>
      <c r="C767" s="747" t="e">
        <f>VLOOKUP(B758,'CNKT '!$D$99:$AA$112,19,0)</f>
        <v>#REF!</v>
      </c>
      <c r="D767" s="697">
        <v>20000</v>
      </c>
      <c r="E767" s="695" t="e">
        <f>C767*D767</f>
        <v>#REF!</v>
      </c>
      <c r="F767" s="750"/>
      <c r="G767" s="693" t="s">
        <v>453</v>
      </c>
      <c r="H767" s="844" t="s">
        <v>497</v>
      </c>
      <c r="I767" s="747" t="e">
        <f>VLOOKUP(H758,'CNKT '!$D$99:$AA$112,19,0)</f>
        <v>#REF!</v>
      </c>
      <c r="J767" s="697">
        <v>20000</v>
      </c>
      <c r="K767" s="695" t="e">
        <f>I767*J767</f>
        <v>#REF!</v>
      </c>
      <c r="L767" s="690"/>
    </row>
    <row r="768" spans="1:16" s="27" customFormat="1" ht="17.25" customHeight="1">
      <c r="A768" s="693" t="s">
        <v>512</v>
      </c>
      <c r="B768" s="844" t="s">
        <v>513</v>
      </c>
      <c r="C768" s="747"/>
      <c r="D768" s="697"/>
      <c r="E768" s="695"/>
      <c r="F768" s="750"/>
      <c r="G768" s="693" t="s">
        <v>512</v>
      </c>
      <c r="H768" s="844" t="s">
        <v>513</v>
      </c>
      <c r="I768" s="747"/>
      <c r="J768" s="697"/>
      <c r="K768" s="695"/>
      <c r="L768" s="690"/>
      <c r="P768" s="27">
        <v>1000000</v>
      </c>
    </row>
    <row r="769" spans="1:12" s="27" customFormat="1" ht="17.25" customHeight="1">
      <c r="A769" s="699" t="s">
        <v>79</v>
      </c>
      <c r="B769" s="845" t="s">
        <v>532</v>
      </c>
      <c r="C769" s="700"/>
      <c r="D769" s="701"/>
      <c r="E769" s="700"/>
      <c r="F769" s="750"/>
      <c r="G769" s="699" t="s">
        <v>79</v>
      </c>
      <c r="H769" s="845" t="s">
        <v>532</v>
      </c>
      <c r="I769" s="700"/>
      <c r="J769" s="701"/>
      <c r="K769" s="700"/>
      <c r="L769" s="690"/>
    </row>
    <row r="770" spans="1:12" s="27" customFormat="1" ht="17.25" customHeight="1">
      <c r="A770" s="702" t="s">
        <v>80</v>
      </c>
      <c r="B770" s="846" t="s">
        <v>533</v>
      </c>
      <c r="C770" s="700"/>
      <c r="D770" s="700"/>
      <c r="E770" s="700"/>
      <c r="F770" s="750"/>
      <c r="G770" s="702" t="s">
        <v>80</v>
      </c>
      <c r="H770" s="846" t="s">
        <v>533</v>
      </c>
      <c r="I770" s="700"/>
      <c r="J770" s="700"/>
      <c r="K770" s="700"/>
      <c r="L770" s="690"/>
    </row>
    <row r="771" spans="1:12" s="27" customFormat="1" ht="17.25" customHeight="1">
      <c r="A771" s="702" t="s">
        <v>81</v>
      </c>
      <c r="B771" s="847" t="s">
        <v>534</v>
      </c>
      <c r="C771" s="700"/>
      <c r="D771" s="700"/>
      <c r="E771" s="695">
        <f>SUM(E770)</f>
        <v>0</v>
      </c>
      <c r="F771" s="747"/>
      <c r="G771" s="702" t="s">
        <v>81</v>
      </c>
      <c r="H771" s="847" t="s">
        <v>534</v>
      </c>
      <c r="I771" s="700"/>
      <c r="J771" s="700"/>
      <c r="K771" s="695">
        <f>SUM(K770)</f>
        <v>0</v>
      </c>
      <c r="L771" s="690"/>
    </row>
    <row r="772" spans="1:12" s="27" customFormat="1" ht="17.25" customHeight="1">
      <c r="A772" s="704" t="s">
        <v>82</v>
      </c>
      <c r="B772" s="848" t="s">
        <v>438</v>
      </c>
      <c r="C772" s="705"/>
      <c r="D772" s="705"/>
      <c r="E772" s="705" t="e">
        <f>(E760+E761+E762+E763+E764+E765+E766+E767+E768)-E771</f>
        <v>#REF!</v>
      </c>
      <c r="F772" s="747"/>
      <c r="G772" s="704" t="s">
        <v>82</v>
      </c>
      <c r="H772" s="848" t="s">
        <v>438</v>
      </c>
      <c r="I772" s="705"/>
      <c r="J772" s="705"/>
      <c r="K772" s="705" t="e">
        <f>(K760+K761+K762+K763+K764+K765+K766+K767+K768)-K771</f>
        <v>#REF!</v>
      </c>
      <c r="L772" s="707" t="e">
        <f>E772+K772</f>
        <v>#REF!</v>
      </c>
    </row>
    <row r="773" spans="1:12" s="27" customFormat="1" ht="48" customHeight="1">
      <c r="A773" s="739"/>
      <c r="B773" s="740"/>
      <c r="C773" s="741"/>
      <c r="D773" s="741"/>
      <c r="E773" s="741"/>
      <c r="F773" s="742"/>
      <c r="G773" s="837"/>
      <c r="H773" s="837"/>
      <c r="I773" s="837"/>
      <c r="J773" s="837"/>
      <c r="K773" s="743"/>
      <c r="L773" s="690"/>
    </row>
    <row r="774" spans="1:12" s="27" customFormat="1" ht="17.25" customHeight="1">
      <c r="A774" s="1568" t="str">
        <f>A757</f>
        <v>LƯƠNG THÁNG 01/2025</v>
      </c>
      <c r="B774" s="1568"/>
      <c r="C774" s="1568"/>
      <c r="D774" s="1568"/>
      <c r="E774" s="766">
        <v>5</v>
      </c>
      <c r="F774" s="742"/>
      <c r="G774" s="1568" t="str">
        <f>A774</f>
        <v>LƯƠNG THÁNG 01/2025</v>
      </c>
      <c r="H774" s="1568"/>
      <c r="I774" s="1568"/>
      <c r="J774" s="1568"/>
      <c r="K774" s="766">
        <v>6</v>
      </c>
      <c r="L774" s="690"/>
    </row>
    <row r="775" spans="1:12" s="27" customFormat="1" ht="17.25" customHeight="1">
      <c r="A775" s="709" t="s">
        <v>15</v>
      </c>
      <c r="B775" s="840" t="e">
        <f>'CNKT '!#REF!</f>
        <v>#REF!</v>
      </c>
      <c r="C775" s="694"/>
      <c r="D775" s="840" t="s">
        <v>396</v>
      </c>
      <c r="E775" s="840" t="s">
        <v>18</v>
      </c>
      <c r="F775" s="750"/>
      <c r="G775" s="709" t="s">
        <v>15</v>
      </c>
      <c r="H775" s="840" t="e">
        <f>'CNKT '!#REF!</f>
        <v>#REF!</v>
      </c>
      <c r="I775" s="694"/>
      <c r="J775" s="840" t="s">
        <v>396</v>
      </c>
      <c r="K775" s="840" t="s">
        <v>18</v>
      </c>
      <c r="L775" s="690"/>
    </row>
    <row r="776" spans="1:12" s="27" customFormat="1" ht="17.25" customHeight="1">
      <c r="A776" s="693" t="s">
        <v>397</v>
      </c>
      <c r="B776" s="842" t="s">
        <v>527</v>
      </c>
      <c r="C776" s="694" t="e">
        <f>VLOOKUP(B775,'BTH mủ tạp'!#REF!,36,0)</f>
        <v>#REF!</v>
      </c>
      <c r="D776" s="695"/>
      <c r="E776" s="695"/>
      <c r="F776" s="750"/>
      <c r="G776" s="693" t="s">
        <v>397</v>
      </c>
      <c r="H776" s="842" t="s">
        <v>527</v>
      </c>
      <c r="I776" s="694" t="e">
        <f>VLOOKUP(H775,'BTH mủ tạp'!#REF!,36,0)</f>
        <v>#REF!</v>
      </c>
      <c r="J776" s="695"/>
      <c r="K776" s="695"/>
      <c r="L776" s="690"/>
    </row>
    <row r="777" spans="1:12" s="27" customFormat="1" ht="17.25" customHeight="1">
      <c r="A777" s="693" t="s">
        <v>77</v>
      </c>
      <c r="B777" s="843" t="s">
        <v>432</v>
      </c>
      <c r="C777" s="696" t="e">
        <f>VLOOKUP(B775,'CNKT '!$D$99:$AA$106,3,0)</f>
        <v>#REF!</v>
      </c>
      <c r="D777" s="697">
        <v>25000</v>
      </c>
      <c r="E777" s="695" t="e">
        <f t="shared" ref="E777:E782" si="89">C777*D777</f>
        <v>#REF!</v>
      </c>
      <c r="F777" s="750"/>
      <c r="G777" s="693" t="s">
        <v>77</v>
      </c>
      <c r="H777" s="843" t="s">
        <v>432</v>
      </c>
      <c r="I777" s="696" t="e">
        <f>VLOOKUP(H775,'CNKT '!$D$99:$AA$106,3,0)</f>
        <v>#REF!</v>
      </c>
      <c r="J777" s="697">
        <v>25000</v>
      </c>
      <c r="K777" s="695" t="e">
        <f t="shared" ref="K777:K782" si="90">I777*J777</f>
        <v>#REF!</v>
      </c>
      <c r="L777" s="690"/>
    </row>
    <row r="778" spans="1:12" s="27" customFormat="1" ht="17.25" customHeight="1">
      <c r="A778" s="693" t="s">
        <v>307</v>
      </c>
      <c r="B778" s="844" t="s">
        <v>528</v>
      </c>
      <c r="C778" s="747" t="e">
        <f>VLOOKUP(B775,'CNKT '!$D$99:$AA$106,11,0)</f>
        <v>#REF!</v>
      </c>
      <c r="D778" s="698">
        <f>46.1*$B$2</f>
        <v>30833.524000000001</v>
      </c>
      <c r="E778" s="695" t="e">
        <f t="shared" si="89"/>
        <v>#REF!</v>
      </c>
      <c r="F778" s="750"/>
      <c r="G778" s="693" t="s">
        <v>307</v>
      </c>
      <c r="H778" s="844" t="s">
        <v>528</v>
      </c>
      <c r="I778" s="747" t="e">
        <f>VLOOKUP(H775,'CNKT '!$D$99:$AA$106,11,0)</f>
        <v>#REF!</v>
      </c>
      <c r="J778" s="698">
        <f>46.1*$B$2</f>
        <v>30833.524000000001</v>
      </c>
      <c r="K778" s="695" t="e">
        <f t="shared" si="90"/>
        <v>#REF!</v>
      </c>
      <c r="L778" s="690"/>
    </row>
    <row r="779" spans="1:12" s="27" customFormat="1" ht="17.25" customHeight="1">
      <c r="A779" s="693" t="s">
        <v>399</v>
      </c>
      <c r="B779" s="844" t="s">
        <v>529</v>
      </c>
      <c r="C779" s="747" t="e">
        <f>VLOOKUP(B775,'CNKT '!$D$99:$AA$106,12,0)</f>
        <v>#REF!</v>
      </c>
      <c r="D779" s="697">
        <f>76.9*$B$2</f>
        <v>51433.796000000009</v>
      </c>
      <c r="E779" s="695" t="e">
        <f t="shared" si="89"/>
        <v>#REF!</v>
      </c>
      <c r="F779" s="750"/>
      <c r="G779" s="693" t="s">
        <v>399</v>
      </c>
      <c r="H779" s="844" t="s">
        <v>529</v>
      </c>
      <c r="I779" s="747" t="e">
        <f>VLOOKUP(H775,'CNKT '!$D$99:$AA$106,12,0)</f>
        <v>#REF!</v>
      </c>
      <c r="J779" s="697">
        <f>76.9*$B$2</f>
        <v>51433.796000000009</v>
      </c>
      <c r="K779" s="695" t="e">
        <f t="shared" si="90"/>
        <v>#REF!</v>
      </c>
      <c r="L779" s="690"/>
    </row>
    <row r="780" spans="1:12" s="27" customFormat="1" ht="17.25" customHeight="1">
      <c r="A780" s="693" t="s">
        <v>78</v>
      </c>
      <c r="B780" s="844" t="s">
        <v>530</v>
      </c>
      <c r="C780" s="747" t="e">
        <f>VLOOKUP(B775,'CNKT '!$D$99:$AA$106,8,0)</f>
        <v>#REF!</v>
      </c>
      <c r="D780" s="697" t="e">
        <f>IF(C776="A",6.1,IF(C776="B",5.8,IF(C776="C",5.5,IF(C776="C.",5.5,IF(C776="D",5.2)))))*$B$2</f>
        <v>#REF!</v>
      </c>
      <c r="E780" s="695" t="e">
        <f t="shared" si="89"/>
        <v>#REF!</v>
      </c>
      <c r="F780" s="750"/>
      <c r="G780" s="693" t="s">
        <v>78</v>
      </c>
      <c r="H780" s="844" t="s">
        <v>530</v>
      </c>
      <c r="I780" s="747" t="e">
        <f>VLOOKUP(H775,'CNKT '!$D$99:$AA$106,8,0)</f>
        <v>#REF!</v>
      </c>
      <c r="J780" s="697" t="e">
        <f>IF(I776="A",6.1,IF(I776="B",5.8,IF(I776="C",5.5,IF(I776="C.",5.5,IF(I776="D",5.2)))))*$B$2</f>
        <v>#REF!</v>
      </c>
      <c r="K780" s="695" t="e">
        <f t="shared" si="90"/>
        <v>#REF!</v>
      </c>
      <c r="L780" s="690"/>
    </row>
    <row r="781" spans="1:12" s="27" customFormat="1" ht="17.25" customHeight="1">
      <c r="A781" s="693" t="s">
        <v>491</v>
      </c>
      <c r="B781" s="844" t="s">
        <v>531</v>
      </c>
      <c r="C781" s="747" t="e">
        <f>VLOOKUP(B775,'CNKT '!$D$99:$AA$106,15,0)</f>
        <v>#REF!</v>
      </c>
      <c r="D781" s="698">
        <f>92.2*$B$2</f>
        <v>61667.048000000003</v>
      </c>
      <c r="E781" s="695" t="e">
        <f t="shared" si="89"/>
        <v>#REF!</v>
      </c>
      <c r="F781" s="750"/>
      <c r="G781" s="693" t="s">
        <v>491</v>
      </c>
      <c r="H781" s="844" t="s">
        <v>531</v>
      </c>
      <c r="I781" s="747" t="e">
        <f>VLOOKUP(H775,'CNKT '!$D$99:$AA$106,15,0)</f>
        <v>#REF!</v>
      </c>
      <c r="J781" s="698">
        <f>92.2*$B$2</f>
        <v>61667.048000000003</v>
      </c>
      <c r="K781" s="695" t="e">
        <f t="shared" si="90"/>
        <v>#REF!</v>
      </c>
      <c r="L781" s="690"/>
    </row>
    <row r="782" spans="1:12" s="27" customFormat="1" ht="17.25" customHeight="1">
      <c r="A782" s="693" t="s">
        <v>492</v>
      </c>
      <c r="B782" s="844" t="s">
        <v>496</v>
      </c>
      <c r="C782" s="747" t="e">
        <f>VLOOKUP(B775,'CNKT '!$D$99:$AA$106,16,0)</f>
        <v>#REF!</v>
      </c>
      <c r="D782" s="697">
        <f>153.8*$B$2</f>
        <v>102867.59200000002</v>
      </c>
      <c r="E782" s="695" t="e">
        <f t="shared" si="89"/>
        <v>#REF!</v>
      </c>
      <c r="F782" s="750"/>
      <c r="G782" s="693" t="s">
        <v>492</v>
      </c>
      <c r="H782" s="844" t="s">
        <v>496</v>
      </c>
      <c r="I782" s="747" t="e">
        <f>VLOOKUP(H775,'CNKT '!$D$99:$AA$106,16,0)</f>
        <v>#REF!</v>
      </c>
      <c r="J782" s="697">
        <f>153.8*$B$2</f>
        <v>102867.59200000002</v>
      </c>
      <c r="K782" s="695" t="e">
        <f t="shared" si="90"/>
        <v>#REF!</v>
      </c>
      <c r="L782" s="690"/>
    </row>
    <row r="783" spans="1:12" s="27" customFormat="1" ht="17.25" customHeight="1">
      <c r="A783" s="693" t="s">
        <v>453</v>
      </c>
      <c r="B783" s="844" t="s">
        <v>497</v>
      </c>
      <c r="C783" s="747" t="e">
        <f>VLOOKUP(B775,'CNKT '!$D$99:$AA$112,18,0)</f>
        <v>#REF!</v>
      </c>
      <c r="D783" s="697">
        <v>10000</v>
      </c>
      <c r="E783" s="695" t="e">
        <f>C783*D783</f>
        <v>#REF!</v>
      </c>
      <c r="F783" s="750"/>
      <c r="G783" s="693" t="s">
        <v>453</v>
      </c>
      <c r="H783" s="844" t="s">
        <v>497</v>
      </c>
      <c r="I783" s="747" t="e">
        <f>VLOOKUP(H775,'CNKT '!$D$99:$AA$112,18,0)</f>
        <v>#REF!</v>
      </c>
      <c r="J783" s="697">
        <v>10000</v>
      </c>
      <c r="K783" s="695" t="e">
        <f>I783*J783</f>
        <v>#REF!</v>
      </c>
      <c r="L783" s="690"/>
    </row>
    <row r="784" spans="1:12" s="27" customFormat="1" ht="17.25" customHeight="1">
      <c r="A784" s="693" t="s">
        <v>453</v>
      </c>
      <c r="B784" s="844" t="s">
        <v>497</v>
      </c>
      <c r="C784" s="747" t="e">
        <f>VLOOKUP(B775,'CNKT '!$D$99:$AA$112,19,0)</f>
        <v>#REF!</v>
      </c>
      <c r="D784" s="697">
        <v>20000</v>
      </c>
      <c r="E784" s="695" t="e">
        <f>C784*D784</f>
        <v>#REF!</v>
      </c>
      <c r="F784" s="750"/>
      <c r="G784" s="693" t="s">
        <v>453</v>
      </c>
      <c r="H784" s="844" t="s">
        <v>497</v>
      </c>
      <c r="I784" s="747" t="e">
        <f>VLOOKUP(H775,'CNKT '!$D$99:$AA$112,19,0)</f>
        <v>#REF!</v>
      </c>
      <c r="J784" s="697">
        <v>20000</v>
      </c>
      <c r="K784" s="695" t="e">
        <f>I784*J784</f>
        <v>#REF!</v>
      </c>
      <c r="L784" s="690"/>
    </row>
    <row r="785" spans="1:12" s="27" customFormat="1" ht="17.25" customHeight="1">
      <c r="A785" s="693" t="s">
        <v>512</v>
      </c>
      <c r="B785" s="844" t="s">
        <v>513</v>
      </c>
      <c r="C785" s="747"/>
      <c r="D785" s="697"/>
      <c r="E785" s="695"/>
      <c r="F785" s="750"/>
      <c r="G785" s="693" t="s">
        <v>512</v>
      </c>
      <c r="H785" s="844" t="s">
        <v>513</v>
      </c>
      <c r="I785" s="747"/>
      <c r="J785" s="697"/>
      <c r="K785" s="695"/>
      <c r="L785" s="690"/>
    </row>
    <row r="786" spans="1:12" s="27" customFormat="1" ht="17.25" customHeight="1">
      <c r="A786" s="699" t="s">
        <v>79</v>
      </c>
      <c r="B786" s="845" t="s">
        <v>532</v>
      </c>
      <c r="C786" s="700"/>
      <c r="D786" s="701"/>
      <c r="E786" s="700"/>
      <c r="F786" s="750"/>
      <c r="G786" s="699" t="s">
        <v>79</v>
      </c>
      <c r="H786" s="845" t="s">
        <v>532</v>
      </c>
      <c r="I786" s="700"/>
      <c r="J786" s="701"/>
      <c r="K786" s="700"/>
      <c r="L786" s="690"/>
    </row>
    <row r="787" spans="1:12" s="27" customFormat="1" ht="17.25" customHeight="1">
      <c r="A787" s="702" t="s">
        <v>80</v>
      </c>
      <c r="B787" s="846" t="s">
        <v>533</v>
      </c>
      <c r="C787" s="700"/>
      <c r="D787" s="700"/>
      <c r="E787" s="700"/>
      <c r="F787" s="750"/>
      <c r="G787" s="702" t="s">
        <v>80</v>
      </c>
      <c r="H787" s="846" t="s">
        <v>533</v>
      </c>
      <c r="I787" s="700"/>
      <c r="J787" s="700"/>
      <c r="K787" s="700"/>
      <c r="L787" s="690"/>
    </row>
    <row r="788" spans="1:12" s="27" customFormat="1" ht="17.25" customHeight="1">
      <c r="A788" s="702" t="s">
        <v>81</v>
      </c>
      <c r="B788" s="847" t="s">
        <v>534</v>
      </c>
      <c r="C788" s="700"/>
      <c r="D788" s="700"/>
      <c r="E788" s="695">
        <f>SUM(E787)</f>
        <v>0</v>
      </c>
      <c r="F788" s="747"/>
      <c r="G788" s="702" t="s">
        <v>81</v>
      </c>
      <c r="H788" s="847" t="s">
        <v>534</v>
      </c>
      <c r="I788" s="700"/>
      <c r="J788" s="700"/>
      <c r="K788" s="695">
        <f>SUM(K787)</f>
        <v>0</v>
      </c>
      <c r="L788" s="690"/>
    </row>
    <row r="789" spans="1:12" s="27" customFormat="1" ht="17.25" customHeight="1">
      <c r="A789" s="704" t="s">
        <v>82</v>
      </c>
      <c r="B789" s="848" t="s">
        <v>438</v>
      </c>
      <c r="C789" s="705"/>
      <c r="D789" s="705"/>
      <c r="E789" s="705" t="e">
        <f>(E777+E778+E779+E780+E781+E782+E783+E784+E785)-E788</f>
        <v>#REF!</v>
      </c>
      <c r="F789" s="747"/>
      <c r="G789" s="704" t="s">
        <v>82</v>
      </c>
      <c r="H789" s="848" t="s">
        <v>438</v>
      </c>
      <c r="I789" s="705"/>
      <c r="J789" s="705"/>
      <c r="K789" s="705" t="e">
        <f>(K777+K778+K779+K780+K781+K782+K783+K784+K785)-K788</f>
        <v>#REF!</v>
      </c>
      <c r="L789" s="707" t="e">
        <f>E789+K789</f>
        <v>#REF!</v>
      </c>
    </row>
    <row r="790" spans="1:12" s="27" customFormat="1" ht="207.75" customHeight="1">
      <c r="A790" s="739"/>
      <c r="B790" s="740"/>
      <c r="C790" s="741"/>
      <c r="D790" s="741"/>
      <c r="E790" s="741"/>
      <c r="F790" s="742"/>
      <c r="G790" s="837"/>
      <c r="H790" s="837"/>
      <c r="I790" s="837"/>
      <c r="J790" s="837"/>
      <c r="K790" s="743"/>
      <c r="L790" s="690"/>
    </row>
    <row r="791" spans="1:12" s="27" customFormat="1" ht="17.25" customHeight="1">
      <c r="A791" s="1568" t="str">
        <f>A774</f>
        <v>LƯƠNG THÁNG 01/2025</v>
      </c>
      <c r="B791" s="1568"/>
      <c r="C791" s="1568"/>
      <c r="D791" s="1568"/>
      <c r="E791" s="766">
        <v>7</v>
      </c>
      <c r="F791" s="742"/>
      <c r="G791" s="1568" t="str">
        <f>A791</f>
        <v>LƯƠNG THÁNG 01/2025</v>
      </c>
      <c r="H791" s="1568"/>
      <c r="I791" s="1568"/>
      <c r="J791" s="1568"/>
      <c r="K791" s="766">
        <v>8</v>
      </c>
      <c r="L791" s="690"/>
    </row>
    <row r="792" spans="1:12" s="27" customFormat="1" ht="17.25" customHeight="1">
      <c r="A792" s="709" t="s">
        <v>15</v>
      </c>
      <c r="B792" s="840" t="e">
        <f>'CNKT '!#REF!</f>
        <v>#REF!</v>
      </c>
      <c r="C792" s="694"/>
      <c r="D792" s="840" t="s">
        <v>396</v>
      </c>
      <c r="E792" s="840" t="s">
        <v>18</v>
      </c>
      <c r="F792" s="750"/>
      <c r="G792" s="709" t="s">
        <v>15</v>
      </c>
      <c r="H792" s="840" t="e">
        <f>'CNKT '!#REF!</f>
        <v>#REF!</v>
      </c>
      <c r="I792" s="694"/>
      <c r="J792" s="840" t="s">
        <v>396</v>
      </c>
      <c r="K792" s="840" t="s">
        <v>18</v>
      </c>
      <c r="L792" s="690"/>
    </row>
    <row r="793" spans="1:12" s="27" customFormat="1" ht="17.25" customHeight="1">
      <c r="A793" s="693" t="s">
        <v>397</v>
      </c>
      <c r="B793" s="842" t="s">
        <v>527</v>
      </c>
      <c r="C793" s="694" t="e">
        <f>VLOOKUP(B792,'BTH mủ tạp'!#REF!,36,0)</f>
        <v>#REF!</v>
      </c>
      <c r="D793" s="695"/>
      <c r="E793" s="695"/>
      <c r="F793" s="750"/>
      <c r="G793" s="693" t="s">
        <v>397</v>
      </c>
      <c r="H793" s="842" t="s">
        <v>527</v>
      </c>
      <c r="I793" s="694" t="e">
        <f>VLOOKUP(H792,'BTH mủ tạp'!#REF!,36,0)</f>
        <v>#REF!</v>
      </c>
      <c r="J793" s="695"/>
      <c r="K793" s="695"/>
      <c r="L793" s="690"/>
    </row>
    <row r="794" spans="1:12" s="27" customFormat="1" ht="17.25" customHeight="1">
      <c r="A794" s="693" t="s">
        <v>77</v>
      </c>
      <c r="B794" s="843" t="s">
        <v>432</v>
      </c>
      <c r="C794" s="696" t="e">
        <f>VLOOKUP(B792,'CNKT '!$D$99:$AA$106,3,0)</f>
        <v>#REF!</v>
      </c>
      <c r="D794" s="697">
        <v>25000</v>
      </c>
      <c r="E794" s="695" t="e">
        <f t="shared" ref="E794:E799" si="91">C794*D794</f>
        <v>#REF!</v>
      </c>
      <c r="F794" s="750"/>
      <c r="G794" s="693" t="s">
        <v>77</v>
      </c>
      <c r="H794" s="843" t="s">
        <v>432</v>
      </c>
      <c r="I794" s="696" t="e">
        <f>VLOOKUP(H792,'CNKT '!$D$99:$AA$106,3,0)</f>
        <v>#REF!</v>
      </c>
      <c r="J794" s="697">
        <v>25000</v>
      </c>
      <c r="K794" s="695" t="e">
        <f t="shared" ref="K794:K799" si="92">I794*J794</f>
        <v>#REF!</v>
      </c>
      <c r="L794" s="690"/>
    </row>
    <row r="795" spans="1:12" s="27" customFormat="1" ht="17.25" customHeight="1">
      <c r="A795" s="693" t="s">
        <v>307</v>
      </c>
      <c r="B795" s="844" t="s">
        <v>528</v>
      </c>
      <c r="C795" s="747" t="e">
        <f>VLOOKUP(B792,'CNKT '!$D$99:$AA$106,11,0)</f>
        <v>#REF!</v>
      </c>
      <c r="D795" s="698">
        <f>46.1*$B$2</f>
        <v>30833.524000000001</v>
      </c>
      <c r="E795" s="695" t="e">
        <f t="shared" si="91"/>
        <v>#REF!</v>
      </c>
      <c r="F795" s="750"/>
      <c r="G795" s="693" t="s">
        <v>307</v>
      </c>
      <c r="H795" s="844" t="s">
        <v>528</v>
      </c>
      <c r="I795" s="747" t="e">
        <f>VLOOKUP(H792,'CNKT '!$D$99:$AA$106,11,0)</f>
        <v>#REF!</v>
      </c>
      <c r="J795" s="698">
        <f>46.1*$B$2</f>
        <v>30833.524000000001</v>
      </c>
      <c r="K795" s="695" t="e">
        <f t="shared" si="92"/>
        <v>#REF!</v>
      </c>
      <c r="L795" s="690"/>
    </row>
    <row r="796" spans="1:12" s="27" customFormat="1" ht="17.25" customHeight="1">
      <c r="A796" s="693" t="s">
        <v>399</v>
      </c>
      <c r="B796" s="844" t="s">
        <v>529</v>
      </c>
      <c r="C796" s="747" t="e">
        <f>VLOOKUP(B792,'CNKT '!$D$99:$AA$106,12,0)</f>
        <v>#REF!</v>
      </c>
      <c r="D796" s="697">
        <f>76.9*$B$2</f>
        <v>51433.796000000009</v>
      </c>
      <c r="E796" s="695" t="e">
        <f t="shared" si="91"/>
        <v>#REF!</v>
      </c>
      <c r="F796" s="750"/>
      <c r="G796" s="693" t="s">
        <v>399</v>
      </c>
      <c r="H796" s="844" t="s">
        <v>529</v>
      </c>
      <c r="I796" s="747" t="e">
        <f>VLOOKUP(H792,'CNKT '!$D$99:$AA$106,12,0)</f>
        <v>#REF!</v>
      </c>
      <c r="J796" s="697">
        <f>76.9*$B$2</f>
        <v>51433.796000000009</v>
      </c>
      <c r="K796" s="695" t="e">
        <f t="shared" si="92"/>
        <v>#REF!</v>
      </c>
      <c r="L796" s="690"/>
    </row>
    <row r="797" spans="1:12" s="27" customFormat="1" ht="17.25" customHeight="1">
      <c r="A797" s="693" t="s">
        <v>78</v>
      </c>
      <c r="B797" s="844" t="s">
        <v>530</v>
      </c>
      <c r="C797" s="747" t="e">
        <f>VLOOKUP(B792,'CNKT '!$D$99:$AA$106,8,0)</f>
        <v>#REF!</v>
      </c>
      <c r="D797" s="697" t="e">
        <f>IF(C793="A",6.1,IF(C793="B",5.8,IF(C793="C",5.5,IF(C793="C.",5.5,IF(C793="D",5.2)))))*$B$2</f>
        <v>#REF!</v>
      </c>
      <c r="E797" s="695" t="e">
        <f t="shared" si="91"/>
        <v>#REF!</v>
      </c>
      <c r="F797" s="750"/>
      <c r="G797" s="693" t="s">
        <v>78</v>
      </c>
      <c r="H797" s="844" t="s">
        <v>530</v>
      </c>
      <c r="I797" s="747" t="e">
        <f>VLOOKUP(H792,'CNKT '!$D$99:$AA$106,8,0)</f>
        <v>#REF!</v>
      </c>
      <c r="J797" s="697" t="e">
        <f>IF(I793="A",6.1,IF(I793="B",5.8,IF(I793="C",5.5,IF(I793="C.",5.5,IF(I793="D",5.2)))))*$B$2</f>
        <v>#REF!</v>
      </c>
      <c r="K797" s="695" t="e">
        <f t="shared" si="92"/>
        <v>#REF!</v>
      </c>
      <c r="L797" s="690"/>
    </row>
    <row r="798" spans="1:12" s="27" customFormat="1" ht="17.25" customHeight="1">
      <c r="A798" s="693" t="s">
        <v>491</v>
      </c>
      <c r="B798" s="844" t="s">
        <v>531</v>
      </c>
      <c r="C798" s="747" t="e">
        <f>VLOOKUP(B792,'CNKT '!$D$99:$AA$106,15,0)</f>
        <v>#REF!</v>
      </c>
      <c r="D798" s="698">
        <f>92.2*$B$2</f>
        <v>61667.048000000003</v>
      </c>
      <c r="E798" s="695" t="e">
        <f t="shared" si="91"/>
        <v>#REF!</v>
      </c>
      <c r="F798" s="750"/>
      <c r="G798" s="693" t="s">
        <v>491</v>
      </c>
      <c r="H798" s="844" t="s">
        <v>531</v>
      </c>
      <c r="I798" s="747" t="e">
        <f>VLOOKUP(H792,'CNKT '!$D$99:$AA$106,15,0)</f>
        <v>#REF!</v>
      </c>
      <c r="J798" s="698">
        <f>92.2*$B$2</f>
        <v>61667.048000000003</v>
      </c>
      <c r="K798" s="695" t="e">
        <f t="shared" si="92"/>
        <v>#REF!</v>
      </c>
      <c r="L798" s="690"/>
    </row>
    <row r="799" spans="1:12" s="27" customFormat="1" ht="17.25" customHeight="1">
      <c r="A799" s="693" t="s">
        <v>492</v>
      </c>
      <c r="B799" s="844" t="s">
        <v>496</v>
      </c>
      <c r="C799" s="747" t="e">
        <f>VLOOKUP(B792,'CNKT '!$D$99:$AA$106,16,0)</f>
        <v>#REF!</v>
      </c>
      <c r="D799" s="697">
        <f>153.8*$B$2</f>
        <v>102867.59200000002</v>
      </c>
      <c r="E799" s="695" t="e">
        <f t="shared" si="91"/>
        <v>#REF!</v>
      </c>
      <c r="F799" s="750"/>
      <c r="G799" s="693" t="s">
        <v>492</v>
      </c>
      <c r="H799" s="844" t="s">
        <v>496</v>
      </c>
      <c r="I799" s="747" t="e">
        <f>VLOOKUP(H792,'CNKT '!$D$99:$AA$106,16,0)</f>
        <v>#REF!</v>
      </c>
      <c r="J799" s="697">
        <f>153.8*$B$2</f>
        <v>102867.59200000002</v>
      </c>
      <c r="K799" s="695" t="e">
        <f t="shared" si="92"/>
        <v>#REF!</v>
      </c>
      <c r="L799" s="690"/>
    </row>
    <row r="800" spans="1:12" s="27" customFormat="1" ht="17.25" customHeight="1">
      <c r="A800" s="693" t="s">
        <v>453</v>
      </c>
      <c r="B800" s="844" t="s">
        <v>497</v>
      </c>
      <c r="C800" s="747" t="e">
        <f>VLOOKUP(B792,'CNKT '!$D$99:$AA$112,18,0)</f>
        <v>#REF!</v>
      </c>
      <c r="D800" s="697">
        <v>10000</v>
      </c>
      <c r="E800" s="695" t="e">
        <f>C800*D800</f>
        <v>#REF!</v>
      </c>
      <c r="F800" s="750"/>
      <c r="G800" s="693" t="s">
        <v>453</v>
      </c>
      <c r="H800" s="844" t="s">
        <v>497</v>
      </c>
      <c r="I800" s="747" t="e">
        <f>VLOOKUP(H792,'CNKT '!$D$99:$AA$112,18,0)</f>
        <v>#REF!</v>
      </c>
      <c r="J800" s="697">
        <v>10000</v>
      </c>
      <c r="K800" s="695" t="e">
        <f>I800*J800</f>
        <v>#REF!</v>
      </c>
      <c r="L800" s="690"/>
    </row>
    <row r="801" spans="1:12" s="27" customFormat="1" ht="17.25" customHeight="1">
      <c r="A801" s="693" t="s">
        <v>453</v>
      </c>
      <c r="B801" s="844" t="s">
        <v>497</v>
      </c>
      <c r="C801" s="747" t="e">
        <f>VLOOKUP(B792,'CNKT '!$D$99:$AA$112,19,0)</f>
        <v>#REF!</v>
      </c>
      <c r="D801" s="697">
        <v>20000</v>
      </c>
      <c r="E801" s="695" t="e">
        <f>C801*D801</f>
        <v>#REF!</v>
      </c>
      <c r="F801" s="750"/>
      <c r="G801" s="693" t="s">
        <v>453</v>
      </c>
      <c r="H801" s="844" t="s">
        <v>497</v>
      </c>
      <c r="I801" s="747" t="e">
        <f>VLOOKUP(H792,'CNKT '!$D$99:$AA$112,19,0)</f>
        <v>#REF!</v>
      </c>
      <c r="J801" s="697">
        <v>20000</v>
      </c>
      <c r="K801" s="695" t="e">
        <f>I801*J801</f>
        <v>#REF!</v>
      </c>
      <c r="L801" s="690"/>
    </row>
    <row r="802" spans="1:12" s="27" customFormat="1" ht="17.25" customHeight="1">
      <c r="A802" s="693" t="s">
        <v>512</v>
      </c>
      <c r="B802" s="844" t="s">
        <v>513</v>
      </c>
      <c r="C802" s="747"/>
      <c r="D802" s="697"/>
      <c r="E802" s="695"/>
      <c r="F802" s="750"/>
      <c r="G802" s="693" t="s">
        <v>512</v>
      </c>
      <c r="H802" s="844" t="s">
        <v>513</v>
      </c>
      <c r="I802" s="747"/>
      <c r="J802" s="697"/>
      <c r="K802" s="695"/>
      <c r="L802" s="690"/>
    </row>
    <row r="803" spans="1:12" s="27" customFormat="1" ht="17.25" customHeight="1">
      <c r="A803" s="699" t="s">
        <v>79</v>
      </c>
      <c r="B803" s="845" t="s">
        <v>532</v>
      </c>
      <c r="C803" s="700"/>
      <c r="D803" s="701"/>
      <c r="E803" s="700"/>
      <c r="F803" s="750"/>
      <c r="G803" s="699" t="s">
        <v>79</v>
      </c>
      <c r="H803" s="845" t="s">
        <v>532</v>
      </c>
      <c r="I803" s="700"/>
      <c r="J803" s="701"/>
      <c r="K803" s="700"/>
      <c r="L803" s="690"/>
    </row>
    <row r="804" spans="1:12" s="27" customFormat="1" ht="17.25" customHeight="1">
      <c r="A804" s="702" t="s">
        <v>80</v>
      </c>
      <c r="B804" s="846" t="s">
        <v>533</v>
      </c>
      <c r="C804" s="700"/>
      <c r="D804" s="700"/>
      <c r="E804" s="700"/>
      <c r="F804" s="750"/>
      <c r="G804" s="702" t="s">
        <v>80</v>
      </c>
      <c r="H804" s="846" t="s">
        <v>533</v>
      </c>
      <c r="I804" s="700"/>
      <c r="J804" s="700"/>
      <c r="K804" s="700"/>
      <c r="L804" s="690"/>
    </row>
    <row r="805" spans="1:12" s="27" customFormat="1" ht="17.25" customHeight="1">
      <c r="A805" s="702" t="s">
        <v>81</v>
      </c>
      <c r="B805" s="847" t="s">
        <v>534</v>
      </c>
      <c r="C805" s="700"/>
      <c r="D805" s="700"/>
      <c r="E805" s="695">
        <f>SUM(E804)</f>
        <v>0</v>
      </c>
      <c r="F805" s="840"/>
      <c r="G805" s="702" t="s">
        <v>81</v>
      </c>
      <c r="H805" s="847" t="s">
        <v>534</v>
      </c>
      <c r="I805" s="700"/>
      <c r="J805" s="700"/>
      <c r="K805" s="695">
        <f>SUM(K804)</f>
        <v>0</v>
      </c>
      <c r="L805" s="690"/>
    </row>
    <row r="806" spans="1:12" s="27" customFormat="1" ht="17.25" customHeight="1">
      <c r="A806" s="704" t="s">
        <v>82</v>
      </c>
      <c r="B806" s="848" t="s">
        <v>438</v>
      </c>
      <c r="C806" s="705"/>
      <c r="D806" s="705"/>
      <c r="E806" s="705" t="e">
        <f>(E794+E795+E796+E797+E798+E799+E800+E801+E802)-E805</f>
        <v>#REF!</v>
      </c>
      <c r="F806" s="840"/>
      <c r="G806" s="704" t="s">
        <v>82</v>
      </c>
      <c r="H806" s="848" t="s">
        <v>438</v>
      </c>
      <c r="I806" s="705"/>
      <c r="J806" s="705"/>
      <c r="K806" s="705" t="e">
        <f>(K794+K795+K796+K797+K798+K799+K800+K801+K802)-K805</f>
        <v>#REF!</v>
      </c>
      <c r="L806" s="707" t="e">
        <f>E806+K806</f>
        <v>#REF!</v>
      </c>
    </row>
    <row r="807" spans="1:12" s="27" customFormat="1" ht="17.25" customHeight="1">
      <c r="A807" s="739"/>
      <c r="B807" s="740"/>
      <c r="C807" s="741"/>
      <c r="D807" s="741"/>
      <c r="E807" s="741"/>
      <c r="F807" s="742"/>
      <c r="G807" s="837"/>
      <c r="H807" s="837"/>
      <c r="I807" s="837"/>
      <c r="J807" s="837"/>
      <c r="K807" s="743"/>
      <c r="L807" s="690"/>
    </row>
    <row r="808" spans="1:12" s="27" customFormat="1" ht="17.25" customHeight="1">
      <c r="A808" s="1568" t="str">
        <f>A791</f>
        <v>LƯƠNG THÁNG 01/2025</v>
      </c>
      <c r="B808" s="1568"/>
      <c r="C808" s="1568"/>
      <c r="D808" s="1568"/>
      <c r="E808" s="763" t="e">
        <f>VLOOKUP(B809,'CNKT '!$D$99:$AD$112,26,0)</f>
        <v>#REF!</v>
      </c>
      <c r="F808" s="742"/>
      <c r="G808" s="763" t="str">
        <f>A808</f>
        <v>LƯƠNG THÁNG 01/2025</v>
      </c>
      <c r="H808" s="763"/>
      <c r="I808" s="763"/>
      <c r="J808" s="763"/>
      <c r="K808" s="763" t="e">
        <f>VLOOKUP(H809,'CNKT '!$D$99:$AD$112,26,0)</f>
        <v>#REF!</v>
      </c>
      <c r="L808" s="690"/>
    </row>
    <row r="809" spans="1:12" s="27" customFormat="1" ht="17.25" customHeight="1">
      <c r="A809" s="709" t="s">
        <v>15</v>
      </c>
      <c r="B809" s="840" t="e">
        <f>'CNKT '!#REF!</f>
        <v>#REF!</v>
      </c>
      <c r="C809" s="694"/>
      <c r="D809" s="840" t="s">
        <v>396</v>
      </c>
      <c r="E809" s="840" t="s">
        <v>18</v>
      </c>
      <c r="F809" s="750"/>
      <c r="G809" s="709" t="s">
        <v>15</v>
      </c>
      <c r="H809" s="840" t="e">
        <f>'CNKT '!#REF!</f>
        <v>#REF!</v>
      </c>
      <c r="I809" s="694"/>
      <c r="J809" s="840" t="s">
        <v>396</v>
      </c>
      <c r="K809" s="840" t="s">
        <v>18</v>
      </c>
      <c r="L809" s="690"/>
    </row>
    <row r="810" spans="1:12" s="27" customFormat="1" ht="17.25" customHeight="1">
      <c r="A810" s="693" t="s">
        <v>397</v>
      </c>
      <c r="B810" s="842" t="s">
        <v>527</v>
      </c>
      <c r="C810" s="694" t="e">
        <f>VLOOKUP(B809,'BTH mủ tạp'!#REF!,36,0)</f>
        <v>#REF!</v>
      </c>
      <c r="D810" s="695"/>
      <c r="E810" s="695"/>
      <c r="F810" s="750"/>
      <c r="G810" s="693" t="s">
        <v>397</v>
      </c>
      <c r="H810" s="842" t="s">
        <v>527</v>
      </c>
      <c r="I810" s="694" t="e">
        <f>VLOOKUP(H809,'BTH mủ tạp'!#REF!,36,0)</f>
        <v>#REF!</v>
      </c>
      <c r="J810" s="695"/>
      <c r="K810" s="695"/>
      <c r="L810" s="690"/>
    </row>
    <row r="811" spans="1:12" s="27" customFormat="1" ht="17.25" customHeight="1">
      <c r="A811" s="693" t="s">
        <v>77</v>
      </c>
      <c r="B811" s="843" t="s">
        <v>432</v>
      </c>
      <c r="C811" s="696" t="e">
        <f>VLOOKUP(B809,'CNKT '!$D$99:$AA$106,3,0)</f>
        <v>#REF!</v>
      </c>
      <c r="D811" s="697">
        <v>25000</v>
      </c>
      <c r="E811" s="695" t="e">
        <f t="shared" ref="E811:E816" si="93">C811*D811</f>
        <v>#REF!</v>
      </c>
      <c r="F811" s="750"/>
      <c r="G811" s="693" t="s">
        <v>77</v>
      </c>
      <c r="H811" s="843" t="s">
        <v>432</v>
      </c>
      <c r="I811" s="696" t="e">
        <f>VLOOKUP(H809,'CNKT '!$D$99:$AA$106,3,0)</f>
        <v>#REF!</v>
      </c>
      <c r="J811" s="697">
        <v>25000</v>
      </c>
      <c r="K811" s="695" t="e">
        <f t="shared" ref="K811:K816" si="94">I811*J811</f>
        <v>#REF!</v>
      </c>
      <c r="L811" s="690"/>
    </row>
    <row r="812" spans="1:12" s="27" customFormat="1" ht="17.25" customHeight="1">
      <c r="A812" s="693" t="s">
        <v>307</v>
      </c>
      <c r="B812" s="844" t="s">
        <v>528</v>
      </c>
      <c r="C812" s="747" t="e">
        <f>VLOOKUP(B809,'CNKT '!$D$99:$AA$106,11,0)</f>
        <v>#REF!</v>
      </c>
      <c r="D812" s="698">
        <f>46.1*$B$2</f>
        <v>30833.524000000001</v>
      </c>
      <c r="E812" s="695" t="e">
        <f t="shared" si="93"/>
        <v>#REF!</v>
      </c>
      <c r="F812" s="750"/>
      <c r="G812" s="693" t="s">
        <v>307</v>
      </c>
      <c r="H812" s="844" t="s">
        <v>528</v>
      </c>
      <c r="I812" s="747" t="e">
        <f>VLOOKUP(H809,'CNKT '!$D$99:$AA$106,11,0)</f>
        <v>#REF!</v>
      </c>
      <c r="J812" s="698">
        <f>46.1*$B$2</f>
        <v>30833.524000000001</v>
      </c>
      <c r="K812" s="695" t="e">
        <f t="shared" si="94"/>
        <v>#REF!</v>
      </c>
      <c r="L812" s="690"/>
    </row>
    <row r="813" spans="1:12" s="27" customFormat="1" ht="17.25" customHeight="1">
      <c r="A813" s="693" t="s">
        <v>399</v>
      </c>
      <c r="B813" s="844" t="s">
        <v>529</v>
      </c>
      <c r="C813" s="747" t="e">
        <f>VLOOKUP(B809,'CNKT '!$D$99:$AA$106,12,0)</f>
        <v>#REF!</v>
      </c>
      <c r="D813" s="697">
        <f>76.9*$B$2</f>
        <v>51433.796000000009</v>
      </c>
      <c r="E813" s="695" t="e">
        <f t="shared" si="93"/>
        <v>#REF!</v>
      </c>
      <c r="F813" s="750"/>
      <c r="G813" s="693" t="s">
        <v>399</v>
      </c>
      <c r="H813" s="844" t="s">
        <v>529</v>
      </c>
      <c r="I813" s="747" t="e">
        <f>VLOOKUP(H809,'CNKT '!$D$99:$AA$106,12,0)</f>
        <v>#REF!</v>
      </c>
      <c r="J813" s="697">
        <f>76.9*$B$2</f>
        <v>51433.796000000009</v>
      </c>
      <c r="K813" s="695" t="e">
        <f t="shared" si="94"/>
        <v>#REF!</v>
      </c>
      <c r="L813" s="690"/>
    </row>
    <row r="814" spans="1:12" s="27" customFormat="1" ht="17.25" customHeight="1">
      <c r="A814" s="693" t="s">
        <v>78</v>
      </c>
      <c r="B814" s="844" t="s">
        <v>530</v>
      </c>
      <c r="C814" s="747" t="e">
        <f>VLOOKUP(B809,'CNKT '!$D$99:$AA$106,8,0)</f>
        <v>#REF!</v>
      </c>
      <c r="D814" s="697" t="e">
        <f>IF(C810="A",6.1,IF(C810="B",5.8,IF(C810="C",5.5,IF(C810="C.",5.5,IF(C810="D",5.2)))))*$B$2</f>
        <v>#REF!</v>
      </c>
      <c r="E814" s="695" t="e">
        <f t="shared" si="93"/>
        <v>#REF!</v>
      </c>
      <c r="F814" s="750"/>
      <c r="G814" s="693" t="s">
        <v>78</v>
      </c>
      <c r="H814" s="844" t="s">
        <v>530</v>
      </c>
      <c r="I814" s="747" t="e">
        <f>VLOOKUP(H809,'CNKT '!$D$99:$AA$106,8,0)</f>
        <v>#REF!</v>
      </c>
      <c r="J814" s="697" t="e">
        <f>IF(I810="A",6.1,IF(I810="B",5.8,IF(I810="C",5.5,IF(I810="C.",5.5,IF(I810="D",5.2)))))*$B$2</f>
        <v>#REF!</v>
      </c>
      <c r="K814" s="695" t="e">
        <f t="shared" si="94"/>
        <v>#REF!</v>
      </c>
      <c r="L814" s="690"/>
    </row>
    <row r="815" spans="1:12" s="27" customFormat="1" ht="17.25" customHeight="1">
      <c r="A815" s="693" t="s">
        <v>491</v>
      </c>
      <c r="B815" s="844" t="s">
        <v>531</v>
      </c>
      <c r="C815" s="747" t="e">
        <f>VLOOKUP(B809,'CNKT '!$D$99:$AA$106,15,0)</f>
        <v>#REF!</v>
      </c>
      <c r="D815" s="698">
        <f>92.2*$B$2</f>
        <v>61667.048000000003</v>
      </c>
      <c r="E815" s="695" t="e">
        <f t="shared" si="93"/>
        <v>#REF!</v>
      </c>
      <c r="F815" s="750"/>
      <c r="G815" s="693" t="s">
        <v>491</v>
      </c>
      <c r="H815" s="844" t="s">
        <v>531</v>
      </c>
      <c r="I815" s="747" t="e">
        <f>VLOOKUP(H809,'CNKT '!$D$99:$AA$106,15,0)</f>
        <v>#REF!</v>
      </c>
      <c r="J815" s="698">
        <f>92.2*$B$2</f>
        <v>61667.048000000003</v>
      </c>
      <c r="K815" s="695" t="e">
        <f t="shared" si="94"/>
        <v>#REF!</v>
      </c>
      <c r="L815" s="690"/>
    </row>
    <row r="816" spans="1:12" s="27" customFormat="1" ht="17.25" customHeight="1">
      <c r="A816" s="693" t="s">
        <v>492</v>
      </c>
      <c r="B816" s="844" t="s">
        <v>496</v>
      </c>
      <c r="C816" s="747" t="e">
        <f>VLOOKUP(B809,'CNKT '!$D$99:$AA$106,16,0)</f>
        <v>#REF!</v>
      </c>
      <c r="D816" s="697">
        <f>153.8*$B$2</f>
        <v>102867.59200000002</v>
      </c>
      <c r="E816" s="695" t="e">
        <f t="shared" si="93"/>
        <v>#REF!</v>
      </c>
      <c r="F816" s="750"/>
      <c r="G816" s="693" t="s">
        <v>492</v>
      </c>
      <c r="H816" s="844" t="s">
        <v>496</v>
      </c>
      <c r="I816" s="747" t="e">
        <f>VLOOKUP(H809,'CNKT '!$D$99:$AA$106,16,0)</f>
        <v>#REF!</v>
      </c>
      <c r="J816" s="697">
        <f>153.8*$B$2</f>
        <v>102867.59200000002</v>
      </c>
      <c r="K816" s="695" t="e">
        <f t="shared" si="94"/>
        <v>#REF!</v>
      </c>
      <c r="L816" s="690"/>
    </row>
    <row r="817" spans="1:12" s="27" customFormat="1" ht="17.25" customHeight="1">
      <c r="A817" s="693" t="s">
        <v>453</v>
      </c>
      <c r="B817" s="844" t="s">
        <v>497</v>
      </c>
      <c r="C817" s="747" t="e">
        <f>VLOOKUP(B809,'CNKT '!$D$99:$AA$112,18,0)</f>
        <v>#REF!</v>
      </c>
      <c r="D817" s="697">
        <v>10000</v>
      </c>
      <c r="E817" s="695" t="e">
        <f>C817*D817</f>
        <v>#REF!</v>
      </c>
      <c r="F817" s="750"/>
      <c r="G817" s="693" t="s">
        <v>453</v>
      </c>
      <c r="H817" s="844" t="s">
        <v>497</v>
      </c>
      <c r="I817" s="747" t="e">
        <f>VLOOKUP(H809,'CNKT '!$D$99:$AA$112,18,0)</f>
        <v>#REF!</v>
      </c>
      <c r="J817" s="697">
        <v>10000</v>
      </c>
      <c r="K817" s="695" t="e">
        <f>I817*J817</f>
        <v>#REF!</v>
      </c>
      <c r="L817" s="690"/>
    </row>
    <row r="818" spans="1:12" s="27" customFormat="1" ht="17.25" customHeight="1">
      <c r="A818" s="693" t="s">
        <v>453</v>
      </c>
      <c r="B818" s="844" t="s">
        <v>497</v>
      </c>
      <c r="C818" s="747" t="e">
        <f>VLOOKUP(B809,'CNKT '!$D$99:$AA$112,19,0)</f>
        <v>#REF!</v>
      </c>
      <c r="D818" s="697">
        <v>20000</v>
      </c>
      <c r="E818" s="695" t="e">
        <f>C818*D818</f>
        <v>#REF!</v>
      </c>
      <c r="F818" s="750"/>
      <c r="G818" s="693" t="s">
        <v>453</v>
      </c>
      <c r="H818" s="844" t="s">
        <v>497</v>
      </c>
      <c r="I818" s="747" t="e">
        <f>VLOOKUP(H809,'CNKT '!$D$99:$AA$112,19,0)</f>
        <v>#REF!</v>
      </c>
      <c r="J818" s="697">
        <v>20000</v>
      </c>
      <c r="K818" s="695" t="e">
        <f>I818*J818</f>
        <v>#REF!</v>
      </c>
      <c r="L818" s="690"/>
    </row>
    <row r="819" spans="1:12" s="27" customFormat="1" ht="17.25" customHeight="1">
      <c r="A819" s="693" t="s">
        <v>512</v>
      </c>
      <c r="B819" s="844" t="s">
        <v>513</v>
      </c>
      <c r="C819" s="747"/>
      <c r="D819" s="697"/>
      <c r="E819" s="695"/>
      <c r="F819" s="750"/>
      <c r="G819" s="693" t="s">
        <v>512</v>
      </c>
      <c r="H819" s="844" t="s">
        <v>513</v>
      </c>
      <c r="I819" s="747"/>
      <c r="J819" s="697"/>
      <c r="K819" s="695"/>
      <c r="L819" s="690"/>
    </row>
    <row r="820" spans="1:12" s="27" customFormat="1" ht="17.25" customHeight="1">
      <c r="A820" s="699" t="s">
        <v>79</v>
      </c>
      <c r="B820" s="845" t="s">
        <v>532</v>
      </c>
      <c r="C820" s="700"/>
      <c r="D820" s="701"/>
      <c r="E820" s="700"/>
      <c r="F820" s="750"/>
      <c r="G820" s="699" t="s">
        <v>79</v>
      </c>
      <c r="H820" s="845" t="s">
        <v>532</v>
      </c>
      <c r="I820" s="700"/>
      <c r="J820" s="701"/>
      <c r="K820" s="700"/>
      <c r="L820" s="690"/>
    </row>
    <row r="821" spans="1:12" s="27" customFormat="1" ht="17.25" customHeight="1">
      <c r="A821" s="702" t="s">
        <v>80</v>
      </c>
      <c r="B821" s="846" t="s">
        <v>533</v>
      </c>
      <c r="C821" s="700"/>
      <c r="D821" s="700"/>
      <c r="E821" s="700"/>
      <c r="F821" s="750"/>
      <c r="G821" s="702" t="s">
        <v>80</v>
      </c>
      <c r="H821" s="846" t="s">
        <v>533</v>
      </c>
      <c r="I821" s="700"/>
      <c r="J821" s="700"/>
      <c r="K821" s="700"/>
      <c r="L821" s="690"/>
    </row>
    <row r="822" spans="1:12" s="27" customFormat="1" ht="17.25" customHeight="1">
      <c r="A822" s="702" t="s">
        <v>81</v>
      </c>
      <c r="B822" s="847" t="s">
        <v>534</v>
      </c>
      <c r="C822" s="700"/>
      <c r="D822" s="700"/>
      <c r="E822" s="695">
        <f>SUM(E821)</f>
        <v>0</v>
      </c>
      <c r="F822" s="750"/>
      <c r="G822" s="702" t="s">
        <v>81</v>
      </c>
      <c r="H822" s="847" t="s">
        <v>534</v>
      </c>
      <c r="I822" s="700"/>
      <c r="J822" s="700"/>
      <c r="K822" s="695">
        <f>SUM(K821)</f>
        <v>0</v>
      </c>
      <c r="L822" s="707">
        <f>K822+E822</f>
        <v>0</v>
      </c>
    </row>
    <row r="823" spans="1:12" s="27" customFormat="1" ht="17.25" customHeight="1">
      <c r="A823" s="704" t="s">
        <v>82</v>
      </c>
      <c r="B823" s="848" t="s">
        <v>438</v>
      </c>
      <c r="C823" s="705"/>
      <c r="D823" s="705"/>
      <c r="E823" s="705" t="e">
        <f>(E811+E812+E813+E814+E815+E816+E817+E818+E819)-E822</f>
        <v>#REF!</v>
      </c>
      <c r="F823" s="742"/>
      <c r="G823" s="704" t="s">
        <v>82</v>
      </c>
      <c r="H823" s="848" t="s">
        <v>438</v>
      </c>
      <c r="I823" s="705"/>
      <c r="J823" s="705"/>
      <c r="K823" s="705" t="e">
        <f>(K811+K812+K813+K814+K815+K816+K817+K818+K819)-K822</f>
        <v>#REF!</v>
      </c>
      <c r="L823" s="707" t="e">
        <f>E823+K823</f>
        <v>#REF!</v>
      </c>
    </row>
    <row r="824" spans="1:12" s="27" customFormat="1" ht="17.25" customHeight="1">
      <c r="A824" s="763" t="str">
        <f>A808</f>
        <v>LƯƠNG THÁNG 01/2025</v>
      </c>
      <c r="B824" s="763"/>
      <c r="C824" s="763"/>
      <c r="D824" s="763"/>
      <c r="E824" s="763" t="e">
        <f>VLOOKUP(B825,'CNKT '!$D$99:$AD$112,26,0)</f>
        <v>#REF!</v>
      </c>
      <c r="F824" s="742"/>
      <c r="G824" s="763" t="str">
        <f>A824</f>
        <v>LƯƠNG THÁNG 01/2025</v>
      </c>
      <c r="H824" s="763"/>
      <c r="I824" s="763"/>
      <c r="J824" s="763"/>
      <c r="K824" s="763" t="e">
        <f>VLOOKUP(H825,'CNKT '!$D$99:$AD$112,26,0)</f>
        <v>#REF!</v>
      </c>
      <c r="L824" s="690"/>
    </row>
    <row r="825" spans="1:12" s="27" customFormat="1" ht="17.25" customHeight="1">
      <c r="A825" s="709" t="s">
        <v>15</v>
      </c>
      <c r="B825" s="840" t="e">
        <f>'CNKT '!#REF!</f>
        <v>#REF!</v>
      </c>
      <c r="C825" s="694"/>
      <c r="D825" s="840" t="s">
        <v>396</v>
      </c>
      <c r="E825" s="840" t="s">
        <v>18</v>
      </c>
      <c r="F825" s="750"/>
      <c r="G825" s="709" t="s">
        <v>15</v>
      </c>
      <c r="H825" s="840" t="e">
        <f>'CNKT '!#REF!</f>
        <v>#REF!</v>
      </c>
      <c r="I825" s="694"/>
      <c r="J825" s="840" t="s">
        <v>396</v>
      </c>
      <c r="K825" s="840" t="s">
        <v>18</v>
      </c>
      <c r="L825" s="690"/>
    </row>
    <row r="826" spans="1:12" s="27" customFormat="1" ht="17.25" customHeight="1">
      <c r="A826" s="693" t="s">
        <v>397</v>
      </c>
      <c r="B826" s="842" t="s">
        <v>527</v>
      </c>
      <c r="C826" s="694" t="e">
        <f>VLOOKUP(B825,'BTH mủ tạp'!#REF!,36,0)</f>
        <v>#REF!</v>
      </c>
      <c r="D826" s="695"/>
      <c r="E826" s="695"/>
      <c r="F826" s="750"/>
      <c r="G826" s="693" t="s">
        <v>397</v>
      </c>
      <c r="H826" s="842" t="s">
        <v>527</v>
      </c>
      <c r="I826" s="694" t="e">
        <f>VLOOKUP(H825,'BTH mủ tạp'!#REF!,36,0)</f>
        <v>#REF!</v>
      </c>
      <c r="J826" s="695"/>
      <c r="K826" s="695"/>
      <c r="L826" s="690"/>
    </row>
    <row r="827" spans="1:12" s="27" customFormat="1" ht="17.25" customHeight="1">
      <c r="A827" s="693" t="s">
        <v>77</v>
      </c>
      <c r="B827" s="843" t="s">
        <v>432</v>
      </c>
      <c r="C827" s="696" t="e">
        <f>VLOOKUP(B825,'CNKT '!$D$99:$AA$106,3,0)</f>
        <v>#REF!</v>
      </c>
      <c r="D827" s="697">
        <v>25000</v>
      </c>
      <c r="E827" s="695" t="e">
        <f t="shared" ref="E827:E832" si="95">C827*D827</f>
        <v>#REF!</v>
      </c>
      <c r="F827" s="750"/>
      <c r="G827" s="693" t="s">
        <v>77</v>
      </c>
      <c r="H827" s="843" t="s">
        <v>432</v>
      </c>
      <c r="I827" s="696" t="e">
        <f>VLOOKUP(H825,'CNKT '!$D$99:$AA$106,3,0)</f>
        <v>#REF!</v>
      </c>
      <c r="J827" s="697">
        <v>25000</v>
      </c>
      <c r="K827" s="695" t="e">
        <f t="shared" ref="K827:K832" si="96">I827*J827</f>
        <v>#REF!</v>
      </c>
      <c r="L827" s="690"/>
    </row>
    <row r="828" spans="1:12" s="27" customFormat="1" ht="17.25" customHeight="1">
      <c r="A828" s="693" t="s">
        <v>307</v>
      </c>
      <c r="B828" s="844" t="s">
        <v>528</v>
      </c>
      <c r="C828" s="747" t="e">
        <f>VLOOKUP(B825,'CNKT '!$D$99:$AA$106,11,0)</f>
        <v>#REF!</v>
      </c>
      <c r="D828" s="698">
        <f>46.1*$B$2</f>
        <v>30833.524000000001</v>
      </c>
      <c r="E828" s="695" t="e">
        <f t="shared" si="95"/>
        <v>#REF!</v>
      </c>
      <c r="F828" s="750"/>
      <c r="G828" s="693" t="s">
        <v>307</v>
      </c>
      <c r="H828" s="844" t="s">
        <v>528</v>
      </c>
      <c r="I828" s="747" t="e">
        <f>VLOOKUP(H825,'CNKT '!$D$99:$AA$106,11,0)</f>
        <v>#REF!</v>
      </c>
      <c r="J828" s="698">
        <f>46.1*$B$2</f>
        <v>30833.524000000001</v>
      </c>
      <c r="K828" s="695" t="e">
        <f t="shared" si="96"/>
        <v>#REF!</v>
      </c>
      <c r="L828" s="690"/>
    </row>
    <row r="829" spans="1:12" s="27" customFormat="1" ht="17.25" customHeight="1">
      <c r="A829" s="693" t="s">
        <v>399</v>
      </c>
      <c r="B829" s="844" t="s">
        <v>529</v>
      </c>
      <c r="C829" s="747" t="e">
        <f>VLOOKUP(B825,'CNKT '!$D$99:$AA$106,12,0)</f>
        <v>#REF!</v>
      </c>
      <c r="D829" s="697">
        <f>76.9*$B$2</f>
        <v>51433.796000000009</v>
      </c>
      <c r="E829" s="695" t="e">
        <f t="shared" si="95"/>
        <v>#REF!</v>
      </c>
      <c r="F829" s="750"/>
      <c r="G829" s="693" t="s">
        <v>399</v>
      </c>
      <c r="H829" s="844" t="s">
        <v>529</v>
      </c>
      <c r="I829" s="747" t="e">
        <f>VLOOKUP(H825,'CNKT '!$D$99:$AA$106,12,0)</f>
        <v>#REF!</v>
      </c>
      <c r="J829" s="697">
        <f>76.9*$B$2</f>
        <v>51433.796000000009</v>
      </c>
      <c r="K829" s="695" t="e">
        <f t="shared" si="96"/>
        <v>#REF!</v>
      </c>
      <c r="L829" s="690"/>
    </row>
    <row r="830" spans="1:12" s="27" customFormat="1" ht="17.25" customHeight="1">
      <c r="A830" s="693" t="s">
        <v>78</v>
      </c>
      <c r="B830" s="844" t="s">
        <v>530</v>
      </c>
      <c r="C830" s="747" t="e">
        <f>VLOOKUP(B825,'CNKT '!$D$99:$AA$106,8,0)</f>
        <v>#REF!</v>
      </c>
      <c r="D830" s="697" t="e">
        <f>IF(C826="A",6.1,IF(C826="B",5.8,IF(C826="C",5.5,IF(C826="C.",5.5,IF(C826="D",5.2)))))*$B$2</f>
        <v>#REF!</v>
      </c>
      <c r="E830" s="695" t="e">
        <f t="shared" si="95"/>
        <v>#REF!</v>
      </c>
      <c r="F830" s="750"/>
      <c r="G830" s="693" t="s">
        <v>78</v>
      </c>
      <c r="H830" s="844" t="s">
        <v>530</v>
      </c>
      <c r="I830" s="747" t="e">
        <f>VLOOKUP(H825,'CNKT '!$D$99:$AA$106,8,0)</f>
        <v>#REF!</v>
      </c>
      <c r="J830" s="697" t="e">
        <f>IF(I826="A",6.1,IF(I826="B",5.8,IF(I826="C",5.5,IF(I826="C.",5.5,IF(I826="D",5.2)))))*$B$2</f>
        <v>#REF!</v>
      </c>
      <c r="K830" s="695" t="e">
        <f t="shared" si="96"/>
        <v>#REF!</v>
      </c>
      <c r="L830" s="690"/>
    </row>
    <row r="831" spans="1:12" s="27" customFormat="1" ht="17.25" customHeight="1">
      <c r="A831" s="693" t="s">
        <v>491</v>
      </c>
      <c r="B831" s="844" t="s">
        <v>531</v>
      </c>
      <c r="C831" s="747" t="e">
        <f>VLOOKUP(B825,'CNKT '!$D$99:$AA$106,15,0)</f>
        <v>#REF!</v>
      </c>
      <c r="D831" s="698">
        <f>92.2*$B$2</f>
        <v>61667.048000000003</v>
      </c>
      <c r="E831" s="695" t="e">
        <f t="shared" si="95"/>
        <v>#REF!</v>
      </c>
      <c r="F831" s="750"/>
      <c r="G831" s="693" t="s">
        <v>491</v>
      </c>
      <c r="H831" s="844" t="s">
        <v>531</v>
      </c>
      <c r="I831" s="747" t="e">
        <f>VLOOKUP(H825,'CNKT '!$D$99:$AA$106,15,0)</f>
        <v>#REF!</v>
      </c>
      <c r="J831" s="698">
        <f>92.2*$B$2</f>
        <v>61667.048000000003</v>
      </c>
      <c r="K831" s="695" t="e">
        <f t="shared" si="96"/>
        <v>#REF!</v>
      </c>
      <c r="L831" s="690"/>
    </row>
    <row r="832" spans="1:12" s="27" customFormat="1" ht="17.25" customHeight="1">
      <c r="A832" s="693" t="s">
        <v>492</v>
      </c>
      <c r="B832" s="844" t="s">
        <v>496</v>
      </c>
      <c r="C832" s="747" t="e">
        <f>VLOOKUP(B825,'CNKT '!$D$99:$AA$106,16,0)</f>
        <v>#REF!</v>
      </c>
      <c r="D832" s="697">
        <f>153.8*$B$2</f>
        <v>102867.59200000002</v>
      </c>
      <c r="E832" s="695" t="e">
        <f t="shared" si="95"/>
        <v>#REF!</v>
      </c>
      <c r="F832" s="750"/>
      <c r="G832" s="693" t="s">
        <v>492</v>
      </c>
      <c r="H832" s="844" t="s">
        <v>496</v>
      </c>
      <c r="I832" s="747" t="e">
        <f>VLOOKUP(H825,'CNKT '!$D$99:$AA$106,16,0)</f>
        <v>#REF!</v>
      </c>
      <c r="J832" s="697">
        <f>153.8*$B$2</f>
        <v>102867.59200000002</v>
      </c>
      <c r="K832" s="695" t="e">
        <f t="shared" si="96"/>
        <v>#REF!</v>
      </c>
      <c r="L832" s="690"/>
    </row>
    <row r="833" spans="1:12" s="27" customFormat="1" ht="17.25" customHeight="1">
      <c r="A833" s="693" t="s">
        <v>453</v>
      </c>
      <c r="B833" s="844" t="s">
        <v>497</v>
      </c>
      <c r="C833" s="747" t="e">
        <f>VLOOKUP(B825,'CNKT '!$D$99:$AA$112,18,0)</f>
        <v>#REF!</v>
      </c>
      <c r="D833" s="697">
        <v>10000</v>
      </c>
      <c r="E833" s="695" t="e">
        <f>C833*D833</f>
        <v>#REF!</v>
      </c>
      <c r="F833" s="750"/>
      <c r="G833" s="693" t="s">
        <v>453</v>
      </c>
      <c r="H833" s="844" t="s">
        <v>497</v>
      </c>
      <c r="I833" s="747" t="e">
        <f>VLOOKUP(H825,'CNKT '!$D$99:$AA$112,18,0)</f>
        <v>#REF!</v>
      </c>
      <c r="J833" s="697">
        <v>10000</v>
      </c>
      <c r="K833" s="695" t="e">
        <f>I833*J833</f>
        <v>#REF!</v>
      </c>
      <c r="L833" s="690"/>
    </row>
    <row r="834" spans="1:12" s="27" customFormat="1" ht="17.25" customHeight="1">
      <c r="A834" s="693" t="s">
        <v>453</v>
      </c>
      <c r="B834" s="844" t="s">
        <v>497</v>
      </c>
      <c r="C834" s="747" t="e">
        <f>VLOOKUP(B825,'CNKT '!$D$99:$AA$112,19,0)</f>
        <v>#REF!</v>
      </c>
      <c r="D834" s="697">
        <v>20000</v>
      </c>
      <c r="E834" s="695" t="e">
        <f>C834*D834</f>
        <v>#REF!</v>
      </c>
      <c r="F834" s="750"/>
      <c r="G834" s="693" t="s">
        <v>453</v>
      </c>
      <c r="H834" s="844" t="s">
        <v>497</v>
      </c>
      <c r="I834" s="747" t="e">
        <f>VLOOKUP(H825,'CNKT '!$D$99:$AA$112,19,0)</f>
        <v>#REF!</v>
      </c>
      <c r="J834" s="697">
        <v>20000</v>
      </c>
      <c r="K834" s="695" t="e">
        <f>I834*J834</f>
        <v>#REF!</v>
      </c>
      <c r="L834" s="690"/>
    </row>
    <row r="835" spans="1:12" s="27" customFormat="1" ht="17.25" customHeight="1">
      <c r="A835" s="693" t="s">
        <v>512</v>
      </c>
      <c r="B835" s="844" t="s">
        <v>513</v>
      </c>
      <c r="C835" s="747"/>
      <c r="D835" s="697"/>
      <c r="E835" s="695"/>
      <c r="F835" s="750"/>
      <c r="G835" s="693" t="s">
        <v>512</v>
      </c>
      <c r="H835" s="844" t="s">
        <v>513</v>
      </c>
      <c r="I835" s="747"/>
      <c r="J835" s="697"/>
      <c r="K835" s="695"/>
      <c r="L835" s="690"/>
    </row>
    <row r="836" spans="1:12" s="27" customFormat="1" ht="17.25" customHeight="1">
      <c r="A836" s="699" t="s">
        <v>79</v>
      </c>
      <c r="B836" s="845" t="s">
        <v>532</v>
      </c>
      <c r="C836" s="700"/>
      <c r="D836" s="701"/>
      <c r="E836" s="700"/>
      <c r="F836" s="750"/>
      <c r="G836" s="699" t="s">
        <v>79</v>
      </c>
      <c r="H836" s="845" t="s">
        <v>532</v>
      </c>
      <c r="I836" s="700"/>
      <c r="J836" s="701"/>
      <c r="K836" s="700"/>
      <c r="L836" s="690"/>
    </row>
    <row r="837" spans="1:12" s="27" customFormat="1" ht="17.25" customHeight="1">
      <c r="A837" s="702" t="s">
        <v>80</v>
      </c>
      <c r="B837" s="846" t="s">
        <v>533</v>
      </c>
      <c r="C837" s="700"/>
      <c r="D837" s="700"/>
      <c r="E837" s="700"/>
      <c r="F837" s="750"/>
      <c r="G837" s="702" t="s">
        <v>80</v>
      </c>
      <c r="H837" s="846" t="s">
        <v>533</v>
      </c>
      <c r="I837" s="700"/>
      <c r="J837" s="700"/>
      <c r="K837" s="700"/>
      <c r="L837" s="690"/>
    </row>
    <row r="838" spans="1:12" s="27" customFormat="1" ht="17.25" customHeight="1">
      <c r="A838" s="702" t="s">
        <v>81</v>
      </c>
      <c r="B838" s="847" t="s">
        <v>534</v>
      </c>
      <c r="C838" s="700"/>
      <c r="D838" s="700"/>
      <c r="E838" s="695">
        <f>SUM(E837)</f>
        <v>0</v>
      </c>
      <c r="F838" s="840"/>
      <c r="G838" s="702" t="s">
        <v>81</v>
      </c>
      <c r="H838" s="847" t="s">
        <v>534</v>
      </c>
      <c r="I838" s="700"/>
      <c r="J838" s="700"/>
      <c r="K838" s="695">
        <f>SUM(K837)</f>
        <v>0</v>
      </c>
      <c r="L838" s="690"/>
    </row>
    <row r="839" spans="1:12" s="27" customFormat="1" ht="17.25" customHeight="1">
      <c r="A839" s="704" t="s">
        <v>82</v>
      </c>
      <c r="B839" s="848" t="s">
        <v>438</v>
      </c>
      <c r="C839" s="705"/>
      <c r="D839" s="705"/>
      <c r="E839" s="705" t="e">
        <f>(E827+E828+E829+E830+E831+E832+E833+E834+E835)-E838</f>
        <v>#REF!</v>
      </c>
      <c r="F839" s="750"/>
      <c r="G839" s="704" t="s">
        <v>82</v>
      </c>
      <c r="H839" s="848" t="s">
        <v>438</v>
      </c>
      <c r="I839" s="705"/>
      <c r="J839" s="705"/>
      <c r="K839" s="705" t="e">
        <f>(K827+K828+K829+K830+K831+K832+K833+K834+K835)-K838</f>
        <v>#REF!</v>
      </c>
      <c r="L839" s="707" t="e">
        <f>E839+K839</f>
        <v>#REF!</v>
      </c>
    </row>
    <row r="840" spans="1:12" s="27" customFormat="1" ht="17.25" customHeight="1">
      <c r="A840" s="739"/>
      <c r="B840" s="740"/>
      <c r="C840" s="741"/>
      <c r="D840" s="741"/>
      <c r="E840" s="741"/>
      <c r="F840" s="742"/>
      <c r="G840" s="837"/>
      <c r="H840" s="837"/>
      <c r="I840" s="837"/>
      <c r="J840" s="837"/>
      <c r="K840" s="743"/>
      <c r="L840" s="690"/>
    </row>
    <row r="841" spans="1:12" s="27" customFormat="1" ht="17.25" customHeight="1">
      <c r="A841" s="763" t="str">
        <f>A824</f>
        <v>LƯƠNG THÁNG 01/2025</v>
      </c>
      <c r="B841" s="763"/>
      <c r="C841" s="763"/>
      <c r="D841" s="763"/>
      <c r="E841" s="763" t="e">
        <f>VLOOKUP(B842,'CNKT '!$D$99:$AD$112,26,0)</f>
        <v>#REF!</v>
      </c>
      <c r="F841" s="742"/>
      <c r="G841" s="763" t="str">
        <f>A841</f>
        <v>LƯƠNG THÁNG 01/2025</v>
      </c>
      <c r="H841" s="763"/>
      <c r="I841" s="763"/>
      <c r="J841" s="763"/>
      <c r="K841" s="763" t="e">
        <f>VLOOKUP(H842,'CNKT '!$D$99:$AD$112,26,0)</f>
        <v>#REF!</v>
      </c>
      <c r="L841" s="690"/>
    </row>
    <row r="842" spans="1:12" s="27" customFormat="1" ht="17.25" customHeight="1">
      <c r="A842" s="709" t="s">
        <v>15</v>
      </c>
      <c r="B842" s="840" t="e">
        <f>'CNKT '!#REF!</f>
        <v>#REF!</v>
      </c>
      <c r="C842" s="694"/>
      <c r="D842" s="840" t="s">
        <v>396</v>
      </c>
      <c r="E842" s="840" t="s">
        <v>18</v>
      </c>
      <c r="F842" s="750"/>
      <c r="G842" s="709" t="s">
        <v>15</v>
      </c>
      <c r="H842" s="840" t="e">
        <f>'CNKT '!#REF!</f>
        <v>#REF!</v>
      </c>
      <c r="I842" s="694"/>
      <c r="J842" s="840" t="s">
        <v>396</v>
      </c>
      <c r="K842" s="840" t="s">
        <v>18</v>
      </c>
      <c r="L842" s="690"/>
    </row>
    <row r="843" spans="1:12" s="27" customFormat="1" ht="17.25" customHeight="1">
      <c r="A843" s="693" t="s">
        <v>397</v>
      </c>
      <c r="B843" s="842" t="s">
        <v>527</v>
      </c>
      <c r="C843" s="694" t="e">
        <f>VLOOKUP(B842,'BTH mủ tạp'!#REF!,36,0)</f>
        <v>#REF!</v>
      </c>
      <c r="D843" s="695"/>
      <c r="E843" s="695"/>
      <c r="F843" s="750"/>
      <c r="G843" s="693" t="s">
        <v>397</v>
      </c>
      <c r="H843" s="842" t="s">
        <v>527</v>
      </c>
      <c r="I843" s="694" t="e">
        <f>VLOOKUP(H842,'BTH mủ tạp'!#REF!,36,0)</f>
        <v>#REF!</v>
      </c>
      <c r="J843" s="695"/>
      <c r="K843" s="695"/>
      <c r="L843" s="690"/>
    </row>
    <row r="844" spans="1:12" s="27" customFormat="1" ht="17.25" customHeight="1">
      <c r="A844" s="693" t="s">
        <v>77</v>
      </c>
      <c r="B844" s="843" t="s">
        <v>432</v>
      </c>
      <c r="C844" s="696" t="e">
        <f>VLOOKUP(B842,'CNKT '!$D$99:$AA$106,3,0)</f>
        <v>#REF!</v>
      </c>
      <c r="D844" s="697">
        <v>25000</v>
      </c>
      <c r="E844" s="695" t="e">
        <f t="shared" ref="E844:E849" si="97">C844*D844</f>
        <v>#REF!</v>
      </c>
      <c r="F844" s="750"/>
      <c r="G844" s="693" t="s">
        <v>77</v>
      </c>
      <c r="H844" s="843" t="s">
        <v>432</v>
      </c>
      <c r="I844" s="696" t="e">
        <f>VLOOKUP(H842,'CNKT '!$D$99:$AA$106,3,0)</f>
        <v>#REF!</v>
      </c>
      <c r="J844" s="697">
        <v>25000</v>
      </c>
      <c r="K844" s="695" t="e">
        <f t="shared" ref="K844:K849" si="98">I844*J844</f>
        <v>#REF!</v>
      </c>
      <c r="L844" s="690"/>
    </row>
    <row r="845" spans="1:12" s="27" customFormat="1" ht="17.25" customHeight="1">
      <c r="A845" s="693" t="s">
        <v>307</v>
      </c>
      <c r="B845" s="844" t="s">
        <v>528</v>
      </c>
      <c r="C845" s="747" t="e">
        <f>VLOOKUP(B842,'CNKT '!$D$99:$AA$106,11,0)</f>
        <v>#REF!</v>
      </c>
      <c r="D845" s="698">
        <f>46.1*$B$2</f>
        <v>30833.524000000001</v>
      </c>
      <c r="E845" s="695" t="e">
        <f t="shared" si="97"/>
        <v>#REF!</v>
      </c>
      <c r="F845" s="750"/>
      <c r="G845" s="693" t="s">
        <v>307</v>
      </c>
      <c r="H845" s="844" t="s">
        <v>528</v>
      </c>
      <c r="I845" s="747" t="e">
        <f>VLOOKUP(H842,'CNKT '!$D$99:$AA$106,11,0)</f>
        <v>#REF!</v>
      </c>
      <c r="J845" s="698">
        <f>46.1*$B$2</f>
        <v>30833.524000000001</v>
      </c>
      <c r="K845" s="695" t="e">
        <f t="shared" si="98"/>
        <v>#REF!</v>
      </c>
      <c r="L845" s="690"/>
    </row>
    <row r="846" spans="1:12" s="27" customFormat="1" ht="17.25" customHeight="1">
      <c r="A846" s="693" t="s">
        <v>399</v>
      </c>
      <c r="B846" s="844" t="s">
        <v>529</v>
      </c>
      <c r="C846" s="747" t="e">
        <f>VLOOKUP(B842,'CNKT '!$D$99:$AA$106,12,0)</f>
        <v>#REF!</v>
      </c>
      <c r="D846" s="697">
        <f>76.9*$B$2</f>
        <v>51433.796000000009</v>
      </c>
      <c r="E846" s="695" t="e">
        <f t="shared" si="97"/>
        <v>#REF!</v>
      </c>
      <c r="F846" s="750"/>
      <c r="G846" s="693" t="s">
        <v>399</v>
      </c>
      <c r="H846" s="844" t="s">
        <v>529</v>
      </c>
      <c r="I846" s="747" t="e">
        <f>VLOOKUP(H842,'CNKT '!$D$99:$AA$106,12,0)</f>
        <v>#REF!</v>
      </c>
      <c r="J846" s="697">
        <f>76.9*$B$2</f>
        <v>51433.796000000009</v>
      </c>
      <c r="K846" s="695" t="e">
        <f t="shared" si="98"/>
        <v>#REF!</v>
      </c>
      <c r="L846" s="690"/>
    </row>
    <row r="847" spans="1:12" s="27" customFormat="1" ht="17.25" customHeight="1">
      <c r="A847" s="693" t="s">
        <v>78</v>
      </c>
      <c r="B847" s="844" t="s">
        <v>530</v>
      </c>
      <c r="C847" s="747" t="e">
        <f>VLOOKUP(B842,'CNKT '!$D$99:$AA$106,8,0)</f>
        <v>#REF!</v>
      </c>
      <c r="D847" s="697" t="e">
        <f>IF(C843="A",6.1,IF(C843="B",5.8,IF(C843="C",5.5,IF(C843="C.",5.5,IF(C843="D",5.2)))))*$B$2</f>
        <v>#REF!</v>
      </c>
      <c r="E847" s="695" t="e">
        <f t="shared" si="97"/>
        <v>#REF!</v>
      </c>
      <c r="F847" s="750"/>
      <c r="G847" s="693" t="s">
        <v>78</v>
      </c>
      <c r="H847" s="844" t="s">
        <v>530</v>
      </c>
      <c r="I847" s="747" t="e">
        <f>VLOOKUP(H842,'CNKT '!$D$99:$AA$106,8,0)</f>
        <v>#REF!</v>
      </c>
      <c r="J847" s="697" t="e">
        <f>IF(I843="A",6.1,IF(I843="B",5.8,IF(I843="C",5.5,IF(I843="C.",5.5,IF(I843="D",5.2)))))*$B$2</f>
        <v>#REF!</v>
      </c>
      <c r="K847" s="695" t="e">
        <f t="shared" si="98"/>
        <v>#REF!</v>
      </c>
      <c r="L847" s="690"/>
    </row>
    <row r="848" spans="1:12" s="27" customFormat="1" ht="17.25" customHeight="1">
      <c r="A848" s="693" t="s">
        <v>491</v>
      </c>
      <c r="B848" s="844" t="s">
        <v>531</v>
      </c>
      <c r="C848" s="747" t="e">
        <f>VLOOKUP(B842,'CNKT '!$D$99:$AA$106,15,0)</f>
        <v>#REF!</v>
      </c>
      <c r="D848" s="698">
        <f>92.2*$B$2</f>
        <v>61667.048000000003</v>
      </c>
      <c r="E848" s="695" t="e">
        <f t="shared" si="97"/>
        <v>#REF!</v>
      </c>
      <c r="F848" s="750"/>
      <c r="G848" s="693" t="s">
        <v>491</v>
      </c>
      <c r="H848" s="844" t="s">
        <v>531</v>
      </c>
      <c r="I848" s="747" t="e">
        <f>VLOOKUP(H842,'CNKT '!$D$99:$AA$106,15,0)</f>
        <v>#REF!</v>
      </c>
      <c r="J848" s="698">
        <f>92.2*$B$2</f>
        <v>61667.048000000003</v>
      </c>
      <c r="K848" s="695" t="e">
        <f t="shared" si="98"/>
        <v>#REF!</v>
      </c>
      <c r="L848" s="690"/>
    </row>
    <row r="849" spans="1:12" s="27" customFormat="1" ht="17.25" customHeight="1">
      <c r="A849" s="693" t="s">
        <v>492</v>
      </c>
      <c r="B849" s="844" t="s">
        <v>496</v>
      </c>
      <c r="C849" s="747" t="e">
        <f>VLOOKUP(B842,'CNKT '!$D$99:$AA$106,16,0)</f>
        <v>#REF!</v>
      </c>
      <c r="D849" s="697">
        <f>153.8*$B$2</f>
        <v>102867.59200000002</v>
      </c>
      <c r="E849" s="695" t="e">
        <f t="shared" si="97"/>
        <v>#REF!</v>
      </c>
      <c r="F849" s="750"/>
      <c r="G849" s="693" t="s">
        <v>492</v>
      </c>
      <c r="H849" s="844" t="s">
        <v>496</v>
      </c>
      <c r="I849" s="747" t="e">
        <f>VLOOKUP(H842,'CNKT '!$D$99:$AA$106,16,0)</f>
        <v>#REF!</v>
      </c>
      <c r="J849" s="697">
        <f>153.8*$B$2</f>
        <v>102867.59200000002</v>
      </c>
      <c r="K849" s="695" t="e">
        <f t="shared" si="98"/>
        <v>#REF!</v>
      </c>
      <c r="L849" s="690"/>
    </row>
    <row r="850" spans="1:12" s="27" customFormat="1" ht="17.25" customHeight="1">
      <c r="A850" s="693" t="s">
        <v>453</v>
      </c>
      <c r="B850" s="844" t="s">
        <v>497</v>
      </c>
      <c r="C850" s="747" t="e">
        <f>VLOOKUP(B842,'CNKT '!$D$99:$AA$112,18,0)</f>
        <v>#REF!</v>
      </c>
      <c r="D850" s="697">
        <v>10000</v>
      </c>
      <c r="E850" s="695" t="e">
        <f>C850*D850</f>
        <v>#REF!</v>
      </c>
      <c r="F850" s="750"/>
      <c r="G850" s="693" t="s">
        <v>453</v>
      </c>
      <c r="H850" s="844" t="s">
        <v>497</v>
      </c>
      <c r="I850" s="747" t="e">
        <f>VLOOKUP(H842,'CNKT '!$D$99:$AA$112,18,0)</f>
        <v>#REF!</v>
      </c>
      <c r="J850" s="697">
        <v>10000</v>
      </c>
      <c r="K850" s="695" t="e">
        <f>I850*J850</f>
        <v>#REF!</v>
      </c>
      <c r="L850" s="690"/>
    </row>
    <row r="851" spans="1:12" s="27" customFormat="1" ht="17.25" customHeight="1">
      <c r="A851" s="693" t="s">
        <v>453</v>
      </c>
      <c r="B851" s="844" t="s">
        <v>497</v>
      </c>
      <c r="C851" s="747" t="e">
        <f>VLOOKUP(B842,'CNKT '!$D$99:$AA$112,19,0)</f>
        <v>#REF!</v>
      </c>
      <c r="D851" s="697">
        <v>20000</v>
      </c>
      <c r="E851" s="695" t="e">
        <f>C851*D851</f>
        <v>#REF!</v>
      </c>
      <c r="F851" s="750"/>
      <c r="G851" s="693" t="s">
        <v>453</v>
      </c>
      <c r="H851" s="844" t="s">
        <v>497</v>
      </c>
      <c r="I851" s="747" t="e">
        <f>VLOOKUP(H842,'CNKT '!$D$99:$AA$112,19,0)</f>
        <v>#REF!</v>
      </c>
      <c r="J851" s="697">
        <v>20000</v>
      </c>
      <c r="K851" s="695" t="e">
        <f>I851*J851</f>
        <v>#REF!</v>
      </c>
      <c r="L851" s="690"/>
    </row>
    <row r="852" spans="1:12" s="27" customFormat="1" ht="17.25" customHeight="1">
      <c r="A852" s="693" t="s">
        <v>512</v>
      </c>
      <c r="B852" s="844" t="s">
        <v>513</v>
      </c>
      <c r="C852" s="747"/>
      <c r="D852" s="697"/>
      <c r="E852" s="695"/>
      <c r="F852" s="750"/>
      <c r="G852" s="693" t="s">
        <v>512</v>
      </c>
      <c r="H852" s="844" t="s">
        <v>513</v>
      </c>
      <c r="I852" s="747"/>
      <c r="J852" s="697"/>
      <c r="K852" s="695"/>
      <c r="L852" s="690"/>
    </row>
    <row r="853" spans="1:12" s="27" customFormat="1" ht="17.25" customHeight="1">
      <c r="A853" s="699" t="s">
        <v>79</v>
      </c>
      <c r="B853" s="845" t="s">
        <v>532</v>
      </c>
      <c r="C853" s="700"/>
      <c r="D853" s="701"/>
      <c r="E853" s="700"/>
      <c r="F853" s="750"/>
      <c r="G853" s="699" t="s">
        <v>79</v>
      </c>
      <c r="H853" s="845" t="s">
        <v>532</v>
      </c>
      <c r="I853" s="700"/>
      <c r="J853" s="701"/>
      <c r="K853" s="700"/>
      <c r="L853" s="690"/>
    </row>
    <row r="854" spans="1:12" s="27" customFormat="1" ht="17.25" customHeight="1">
      <c r="A854" s="702" t="s">
        <v>80</v>
      </c>
      <c r="B854" s="846" t="s">
        <v>533</v>
      </c>
      <c r="C854" s="700"/>
      <c r="D854" s="700"/>
      <c r="E854" s="700"/>
      <c r="F854" s="750"/>
      <c r="G854" s="702" t="s">
        <v>80</v>
      </c>
      <c r="H854" s="846" t="s">
        <v>533</v>
      </c>
      <c r="I854" s="700"/>
      <c r="J854" s="700"/>
      <c r="K854" s="700"/>
      <c r="L854" s="690"/>
    </row>
    <row r="855" spans="1:12" s="27" customFormat="1" ht="17.25" customHeight="1">
      <c r="A855" s="702" t="s">
        <v>81</v>
      </c>
      <c r="B855" s="847" t="s">
        <v>534</v>
      </c>
      <c r="C855" s="700"/>
      <c r="D855" s="700"/>
      <c r="E855" s="695">
        <f>SUM(E854)</f>
        <v>0</v>
      </c>
      <c r="F855" s="746"/>
      <c r="G855" s="702" t="s">
        <v>81</v>
      </c>
      <c r="H855" s="847" t="s">
        <v>534</v>
      </c>
      <c r="I855" s="700"/>
      <c r="J855" s="700"/>
      <c r="K855" s="695">
        <f>SUM(K854)</f>
        <v>0</v>
      </c>
      <c r="L855" s="690"/>
    </row>
    <row r="856" spans="1:12" s="27" customFormat="1" ht="17.25" customHeight="1">
      <c r="A856" s="704" t="s">
        <v>82</v>
      </c>
      <c r="B856" s="848" t="s">
        <v>438</v>
      </c>
      <c r="C856" s="705"/>
      <c r="D856" s="705"/>
      <c r="E856" s="705" t="e">
        <f>(E844+E845+E846+E847+E848+E849+E850+E851+E852)-E855</f>
        <v>#REF!</v>
      </c>
      <c r="F856" s="746"/>
      <c r="G856" s="704" t="s">
        <v>82</v>
      </c>
      <c r="H856" s="848" t="s">
        <v>438</v>
      </c>
      <c r="I856" s="705"/>
      <c r="J856" s="705"/>
      <c r="K856" s="705" t="e">
        <f>(K844+K845+K846+K847+K848+K849+K850+K851+K852)-K855</f>
        <v>#REF!</v>
      </c>
      <c r="L856" s="707" t="e">
        <f>E856+K856</f>
        <v>#REF!</v>
      </c>
    </row>
    <row r="857" spans="1:12" s="27" customFormat="1" ht="17.25" customHeight="1">
      <c r="A857" s="739"/>
      <c r="B857" s="740"/>
      <c r="C857" s="741"/>
      <c r="D857" s="741"/>
      <c r="E857" s="741"/>
      <c r="F857" s="742"/>
      <c r="G857" s="837"/>
      <c r="H857" s="837"/>
      <c r="I857" s="837"/>
      <c r="J857" s="837"/>
      <c r="K857" s="743"/>
      <c r="L857" s="690"/>
    </row>
    <row r="858" spans="1:12" s="27" customFormat="1" ht="17.25" customHeight="1">
      <c r="A858" s="1568" t="str">
        <f>A841</f>
        <v>LƯƠNG THÁNG 01/2025</v>
      </c>
      <c r="B858" s="1568"/>
      <c r="C858" s="763"/>
      <c r="D858" s="763"/>
      <c r="E858" s="763" t="e">
        <f>VLOOKUP(B859,'CNKT '!$D$99:$AD$112,26,0)</f>
        <v>#REF!</v>
      </c>
      <c r="F858" s="742"/>
      <c r="G858" s="1568" t="str">
        <f>A858</f>
        <v>LƯƠNG THÁNG 01/2025</v>
      </c>
      <c r="H858" s="1568"/>
      <c r="I858" s="763"/>
      <c r="J858" s="763"/>
      <c r="K858" s="763" t="e">
        <f>VLOOKUP(H859,'CNKT '!$D$99:$AD$112,26,0)</f>
        <v>#REF!</v>
      </c>
      <c r="L858" s="690"/>
    </row>
    <row r="859" spans="1:12" s="27" customFormat="1" ht="17.25" customHeight="1">
      <c r="A859" s="709" t="s">
        <v>15</v>
      </c>
      <c r="B859" s="840" t="e">
        <f>'CNKT '!#REF!</f>
        <v>#REF!</v>
      </c>
      <c r="C859" s="694"/>
      <c r="D859" s="840" t="s">
        <v>396</v>
      </c>
      <c r="E859" s="840" t="s">
        <v>18</v>
      </c>
      <c r="F859" s="750"/>
      <c r="G859" s="709" t="s">
        <v>15</v>
      </c>
      <c r="H859" s="840" t="e">
        <f>'CNKT '!#REF!</f>
        <v>#REF!</v>
      </c>
      <c r="I859" s="694"/>
      <c r="J859" s="840" t="s">
        <v>396</v>
      </c>
      <c r="K859" s="840" t="s">
        <v>18</v>
      </c>
      <c r="L859" s="690"/>
    </row>
    <row r="860" spans="1:12" s="27" customFormat="1" ht="17.25" customHeight="1">
      <c r="A860" s="693" t="s">
        <v>397</v>
      </c>
      <c r="B860" s="842" t="s">
        <v>527</v>
      </c>
      <c r="C860" s="694" t="e">
        <f>VLOOKUP(B859,'BTH mủ tạp'!#REF!,36,0)</f>
        <v>#REF!</v>
      </c>
      <c r="D860" s="695"/>
      <c r="E860" s="695"/>
      <c r="F860" s="750"/>
      <c r="G860" s="693" t="s">
        <v>397</v>
      </c>
      <c r="H860" s="842" t="s">
        <v>527</v>
      </c>
      <c r="I860" s="694" t="e">
        <f>VLOOKUP(H859,'BTH mủ tạp'!#REF!,36,0)</f>
        <v>#REF!</v>
      </c>
      <c r="J860" s="695"/>
      <c r="K860" s="695"/>
      <c r="L860" s="690"/>
    </row>
    <row r="861" spans="1:12" s="27" customFormat="1" ht="17.25" customHeight="1">
      <c r="A861" s="693" t="s">
        <v>77</v>
      </c>
      <c r="B861" s="843" t="s">
        <v>432</v>
      </c>
      <c r="C861" s="696" t="e">
        <f>VLOOKUP(B859,'CNKT '!$D$99:$AA$106,3,0)</f>
        <v>#REF!</v>
      </c>
      <c r="D861" s="697">
        <v>25000</v>
      </c>
      <c r="E861" s="695" t="e">
        <f t="shared" ref="E861:E866" si="99">C861*D861</f>
        <v>#REF!</v>
      </c>
      <c r="F861" s="750"/>
      <c r="G861" s="693" t="s">
        <v>77</v>
      </c>
      <c r="H861" s="843" t="s">
        <v>432</v>
      </c>
      <c r="I861" s="696" t="e">
        <f>VLOOKUP(H859,'CNKT '!$D$99:$AA$106,3,0)</f>
        <v>#REF!</v>
      </c>
      <c r="J861" s="697">
        <v>25000</v>
      </c>
      <c r="K861" s="695" t="e">
        <f t="shared" ref="K861:K866" si="100">I861*J861</f>
        <v>#REF!</v>
      </c>
      <c r="L861" s="690"/>
    </row>
    <row r="862" spans="1:12" s="27" customFormat="1" ht="17.25" customHeight="1">
      <c r="A862" s="693" t="s">
        <v>307</v>
      </c>
      <c r="B862" s="844" t="s">
        <v>528</v>
      </c>
      <c r="C862" s="747" t="e">
        <f>VLOOKUP(B859,'CNKT '!$D$99:$AA$106,11,0)</f>
        <v>#REF!</v>
      </c>
      <c r="D862" s="698">
        <f>46.1*$B$2</f>
        <v>30833.524000000001</v>
      </c>
      <c r="E862" s="695" t="e">
        <f t="shared" si="99"/>
        <v>#REF!</v>
      </c>
      <c r="F862" s="750"/>
      <c r="G862" s="693" t="s">
        <v>307</v>
      </c>
      <c r="H862" s="844" t="s">
        <v>528</v>
      </c>
      <c r="I862" s="747" t="e">
        <f>VLOOKUP(H859,'CNKT '!$D$99:$AA$106,11,0)</f>
        <v>#REF!</v>
      </c>
      <c r="J862" s="698">
        <f>46.1*$B$2</f>
        <v>30833.524000000001</v>
      </c>
      <c r="K862" s="695" t="e">
        <f t="shared" si="100"/>
        <v>#REF!</v>
      </c>
      <c r="L862" s="690"/>
    </row>
    <row r="863" spans="1:12" s="27" customFormat="1" ht="17.25" customHeight="1">
      <c r="A863" s="693" t="s">
        <v>399</v>
      </c>
      <c r="B863" s="844" t="s">
        <v>529</v>
      </c>
      <c r="C863" s="747" t="e">
        <f>VLOOKUP(B859,'CNKT '!$D$99:$AA$106,12,0)</f>
        <v>#REF!</v>
      </c>
      <c r="D863" s="697">
        <f>76.9*$B$2</f>
        <v>51433.796000000009</v>
      </c>
      <c r="E863" s="695" t="e">
        <f t="shared" si="99"/>
        <v>#REF!</v>
      </c>
      <c r="F863" s="750"/>
      <c r="G863" s="693" t="s">
        <v>399</v>
      </c>
      <c r="H863" s="844" t="s">
        <v>529</v>
      </c>
      <c r="I863" s="747" t="e">
        <f>VLOOKUP(H859,'CNKT '!$D$99:$AA$106,12,0)</f>
        <v>#REF!</v>
      </c>
      <c r="J863" s="697">
        <f>76.9*$B$2</f>
        <v>51433.796000000009</v>
      </c>
      <c r="K863" s="695" t="e">
        <f t="shared" si="100"/>
        <v>#REF!</v>
      </c>
      <c r="L863" s="690"/>
    </row>
    <row r="864" spans="1:12" s="27" customFormat="1" ht="17.25" customHeight="1">
      <c r="A864" s="693" t="s">
        <v>78</v>
      </c>
      <c r="B864" s="844" t="s">
        <v>530</v>
      </c>
      <c r="C864" s="747" t="e">
        <f>VLOOKUP(B859,'CNKT '!$D$99:$AA$106,8,0)</f>
        <v>#REF!</v>
      </c>
      <c r="D864" s="697" t="e">
        <f>IF(C860="A",6.1,IF(C860="B",5.8,IF(C860="C",5.5,IF(C860="C.",5.5,IF(C860="D",5.2)))))*$B$2</f>
        <v>#REF!</v>
      </c>
      <c r="E864" s="695" t="e">
        <f t="shared" si="99"/>
        <v>#REF!</v>
      </c>
      <c r="F864" s="750"/>
      <c r="G864" s="693" t="s">
        <v>78</v>
      </c>
      <c r="H864" s="844" t="s">
        <v>530</v>
      </c>
      <c r="I864" s="747" t="e">
        <f>VLOOKUP(H859,'CNKT '!$D$99:$AA$106,8,0)</f>
        <v>#REF!</v>
      </c>
      <c r="J864" s="697" t="e">
        <f>IF(I860="A",6.1,IF(I860="B",5.8,IF(I860="C",5.5,IF(I860="C.",5.5,IF(I860="D",5.2)))))*$B$2</f>
        <v>#REF!</v>
      </c>
      <c r="K864" s="695" t="e">
        <f t="shared" si="100"/>
        <v>#REF!</v>
      </c>
      <c r="L864" s="690"/>
    </row>
    <row r="865" spans="1:12" s="27" customFormat="1" ht="17.25" customHeight="1">
      <c r="A865" s="693" t="s">
        <v>491</v>
      </c>
      <c r="B865" s="844" t="s">
        <v>531</v>
      </c>
      <c r="C865" s="747" t="e">
        <f>VLOOKUP(B859,'CNKT '!$D$99:$AA$106,15,0)</f>
        <v>#REF!</v>
      </c>
      <c r="D865" s="698">
        <f>92.2*$B$2</f>
        <v>61667.048000000003</v>
      </c>
      <c r="E865" s="695" t="e">
        <f t="shared" si="99"/>
        <v>#REF!</v>
      </c>
      <c r="F865" s="750"/>
      <c r="G865" s="693" t="s">
        <v>491</v>
      </c>
      <c r="H865" s="844" t="s">
        <v>531</v>
      </c>
      <c r="I865" s="747" t="e">
        <f>VLOOKUP(H859,'CNKT '!$D$99:$AA$106,15,0)</f>
        <v>#REF!</v>
      </c>
      <c r="J865" s="698">
        <f>92.2*$B$2</f>
        <v>61667.048000000003</v>
      </c>
      <c r="K865" s="695" t="e">
        <f t="shared" si="100"/>
        <v>#REF!</v>
      </c>
      <c r="L865" s="690"/>
    </row>
    <row r="866" spans="1:12" s="27" customFormat="1" ht="17.25" customHeight="1">
      <c r="A866" s="693" t="s">
        <v>492</v>
      </c>
      <c r="B866" s="844" t="s">
        <v>496</v>
      </c>
      <c r="C866" s="747" t="e">
        <f>VLOOKUP(B859,'CNKT '!$D$99:$AA$106,16,0)</f>
        <v>#REF!</v>
      </c>
      <c r="D866" s="697">
        <f>153.8*$B$2</f>
        <v>102867.59200000002</v>
      </c>
      <c r="E866" s="695" t="e">
        <f t="shared" si="99"/>
        <v>#REF!</v>
      </c>
      <c r="F866" s="750"/>
      <c r="G866" s="693" t="s">
        <v>492</v>
      </c>
      <c r="H866" s="844" t="s">
        <v>496</v>
      </c>
      <c r="I866" s="747" t="e">
        <f>VLOOKUP(H859,'CNKT '!$D$99:$AA$106,16,0)</f>
        <v>#REF!</v>
      </c>
      <c r="J866" s="697">
        <f>153.8*$B$2</f>
        <v>102867.59200000002</v>
      </c>
      <c r="K866" s="695" t="e">
        <f t="shared" si="100"/>
        <v>#REF!</v>
      </c>
      <c r="L866" s="690"/>
    </row>
    <row r="867" spans="1:12" s="27" customFormat="1" ht="17.25" customHeight="1">
      <c r="A867" s="693" t="s">
        <v>453</v>
      </c>
      <c r="B867" s="844" t="s">
        <v>497</v>
      </c>
      <c r="C867" s="747" t="e">
        <f>VLOOKUP(B859,'CNKT '!$D$99:$AA$112,18,0)</f>
        <v>#REF!</v>
      </c>
      <c r="D867" s="697">
        <v>10000</v>
      </c>
      <c r="E867" s="695" t="e">
        <f>C867*D867</f>
        <v>#REF!</v>
      </c>
      <c r="F867" s="750"/>
      <c r="G867" s="693" t="s">
        <v>453</v>
      </c>
      <c r="H867" s="844" t="s">
        <v>497</v>
      </c>
      <c r="I867" s="747" t="e">
        <f>VLOOKUP(H859,'CNKT '!$D$99:$AA$112,18,0)</f>
        <v>#REF!</v>
      </c>
      <c r="J867" s="697">
        <v>10000</v>
      </c>
      <c r="K867" s="695" t="e">
        <f>I867*J867</f>
        <v>#REF!</v>
      </c>
      <c r="L867" s="690"/>
    </row>
    <row r="868" spans="1:12" s="27" customFormat="1" ht="17.25" customHeight="1">
      <c r="A868" s="693" t="s">
        <v>453</v>
      </c>
      <c r="B868" s="844" t="s">
        <v>497</v>
      </c>
      <c r="C868" s="747" t="e">
        <f>VLOOKUP(B859,'CNKT '!$D$99:$AA$112,19,0)</f>
        <v>#REF!</v>
      </c>
      <c r="D868" s="697">
        <v>20000</v>
      </c>
      <c r="E868" s="695" t="e">
        <f>C868*D868</f>
        <v>#REF!</v>
      </c>
      <c r="F868" s="750"/>
      <c r="G868" s="693" t="s">
        <v>453</v>
      </c>
      <c r="H868" s="844" t="s">
        <v>497</v>
      </c>
      <c r="I868" s="747" t="e">
        <f>VLOOKUP(H859,'CNKT '!$D$99:$AA$112,19,0)</f>
        <v>#REF!</v>
      </c>
      <c r="J868" s="697">
        <v>20000</v>
      </c>
      <c r="K868" s="695" t="e">
        <f>I868*J868</f>
        <v>#REF!</v>
      </c>
      <c r="L868" s="690"/>
    </row>
    <row r="869" spans="1:12" s="27" customFormat="1" ht="17.25" customHeight="1">
      <c r="A869" s="693" t="s">
        <v>512</v>
      </c>
      <c r="B869" s="844" t="s">
        <v>513</v>
      </c>
      <c r="C869" s="747"/>
      <c r="D869" s="697"/>
      <c r="E869" s="695"/>
      <c r="F869" s="750"/>
      <c r="G869" s="693" t="s">
        <v>512</v>
      </c>
      <c r="H869" s="844" t="s">
        <v>513</v>
      </c>
      <c r="I869" s="747"/>
      <c r="J869" s="697"/>
      <c r="K869" s="695"/>
      <c r="L869" s="690"/>
    </row>
    <row r="870" spans="1:12" s="27" customFormat="1" ht="17.25" customHeight="1">
      <c r="A870" s="699" t="s">
        <v>79</v>
      </c>
      <c r="B870" s="845" t="s">
        <v>532</v>
      </c>
      <c r="C870" s="700"/>
      <c r="D870" s="701"/>
      <c r="E870" s="700"/>
      <c r="F870" s="750"/>
      <c r="G870" s="699" t="s">
        <v>79</v>
      </c>
      <c r="H870" s="845" t="s">
        <v>532</v>
      </c>
      <c r="I870" s="700"/>
      <c r="J870" s="701"/>
      <c r="K870" s="700"/>
      <c r="L870" s="690"/>
    </row>
    <row r="871" spans="1:12" s="27" customFormat="1" ht="17.25" customHeight="1">
      <c r="A871" s="702" t="s">
        <v>80</v>
      </c>
      <c r="B871" s="846" t="s">
        <v>533</v>
      </c>
      <c r="C871" s="700"/>
      <c r="D871" s="700"/>
      <c r="E871" s="700"/>
      <c r="F871" s="750"/>
      <c r="G871" s="702" t="s">
        <v>80</v>
      </c>
      <c r="H871" s="846" t="s">
        <v>533</v>
      </c>
      <c r="I871" s="700"/>
      <c r="J871" s="700"/>
      <c r="K871" s="700"/>
      <c r="L871" s="690"/>
    </row>
    <row r="872" spans="1:12" s="27" customFormat="1" ht="17.25" customHeight="1">
      <c r="A872" s="702" t="s">
        <v>81</v>
      </c>
      <c r="B872" s="847" t="s">
        <v>534</v>
      </c>
      <c r="C872" s="700"/>
      <c r="D872" s="700"/>
      <c r="E872" s="695">
        <f>SUM(E871)</f>
        <v>0</v>
      </c>
      <c r="F872" s="738"/>
      <c r="G872" s="702" t="s">
        <v>81</v>
      </c>
      <c r="H872" s="847" t="s">
        <v>534</v>
      </c>
      <c r="I872" s="700"/>
      <c r="J872" s="700"/>
      <c r="K872" s="695">
        <f>SUM(K871)</f>
        <v>0</v>
      </c>
      <c r="L872" s="690"/>
    </row>
    <row r="873" spans="1:12" s="27" customFormat="1" ht="17.25" customHeight="1">
      <c r="A873" s="704" t="s">
        <v>82</v>
      </c>
      <c r="B873" s="848" t="s">
        <v>438</v>
      </c>
      <c r="C873" s="705"/>
      <c r="D873" s="705"/>
      <c r="E873" s="705" t="e">
        <f>(E861+E862+E863+E864+E865+E866+E867+E868+E869)-E872</f>
        <v>#REF!</v>
      </c>
      <c r="F873" s="738"/>
      <c r="G873" s="704" t="s">
        <v>82</v>
      </c>
      <c r="H873" s="848" t="s">
        <v>438</v>
      </c>
      <c r="I873" s="705"/>
      <c r="J873" s="705"/>
      <c r="K873" s="705" t="e">
        <f>(K861+K862+K863+K864+K865+K866+K867+K868+K869)-K872</f>
        <v>#REF!</v>
      </c>
      <c r="L873" s="707" t="e">
        <f>E873+K873</f>
        <v>#REF!</v>
      </c>
    </row>
    <row r="874" spans="1:12" s="27" customFormat="1" ht="17.25" customHeight="1">
      <c r="A874" s="739"/>
      <c r="B874" s="740"/>
      <c r="C874" s="741"/>
      <c r="D874" s="741"/>
      <c r="E874" s="741"/>
      <c r="F874" s="742"/>
      <c r="G874" s="837"/>
      <c r="H874" s="837"/>
      <c r="I874" s="837"/>
      <c r="J874" s="837"/>
      <c r="K874" s="743"/>
      <c r="L874" s="690"/>
    </row>
    <row r="875" spans="1:12" s="27" customFormat="1" ht="17.25" customHeight="1">
      <c r="A875" s="1568" t="str">
        <f>A858</f>
        <v>LƯƠNG THÁNG 01/2025</v>
      </c>
      <c r="B875" s="1568"/>
      <c r="C875" s="763"/>
      <c r="D875" s="763"/>
      <c r="E875" s="763" t="e">
        <f>VLOOKUP(B876,'CNKT '!$D$99:$AD$112,26,0)</f>
        <v>#REF!</v>
      </c>
      <c r="F875" s="742"/>
      <c r="G875" s="1568" t="str">
        <f>A875</f>
        <v>LƯƠNG THÁNG 01/2025</v>
      </c>
      <c r="H875" s="1568"/>
      <c r="I875" s="763"/>
      <c r="J875" s="763"/>
      <c r="K875" s="763" t="e">
        <f>VLOOKUP(H876,'CNKT '!$D$99:$AD$112,26,0)</f>
        <v>#REF!</v>
      </c>
      <c r="L875" s="690"/>
    </row>
    <row r="876" spans="1:12" s="27" customFormat="1" ht="17.25" customHeight="1">
      <c r="A876" s="709" t="s">
        <v>15</v>
      </c>
      <c r="B876" s="840" t="e">
        <f>'CNKT '!#REF!</f>
        <v>#REF!</v>
      </c>
      <c r="C876" s="694"/>
      <c r="D876" s="840" t="s">
        <v>396</v>
      </c>
      <c r="E876" s="840" t="s">
        <v>18</v>
      </c>
      <c r="F876" s="750"/>
      <c r="G876" s="709" t="s">
        <v>15</v>
      </c>
      <c r="H876" s="840" t="e">
        <f>'CNKT '!#REF!</f>
        <v>#REF!</v>
      </c>
      <c r="I876" s="694"/>
      <c r="J876" s="840" t="s">
        <v>396</v>
      </c>
      <c r="K876" s="840" t="s">
        <v>18</v>
      </c>
      <c r="L876" s="690"/>
    </row>
    <row r="877" spans="1:12" s="27" customFormat="1" ht="17.25" customHeight="1">
      <c r="A877" s="693" t="s">
        <v>397</v>
      </c>
      <c r="B877" s="842" t="s">
        <v>527</v>
      </c>
      <c r="C877" s="694" t="e">
        <f>VLOOKUP(B876,'BTH mủ tạp'!#REF!,36,0)</f>
        <v>#REF!</v>
      </c>
      <c r="D877" s="695"/>
      <c r="E877" s="695"/>
      <c r="F877" s="750"/>
      <c r="G877" s="693" t="s">
        <v>397</v>
      </c>
      <c r="H877" s="842" t="s">
        <v>527</v>
      </c>
      <c r="I877" s="694" t="e">
        <f>VLOOKUP(H876,'BTH mủ tạp'!#REF!,36,0)</f>
        <v>#REF!</v>
      </c>
      <c r="J877" s="695"/>
      <c r="K877" s="695"/>
      <c r="L877" s="690"/>
    </row>
    <row r="878" spans="1:12" s="27" customFormat="1" ht="17.25" customHeight="1">
      <c r="A878" s="693" t="s">
        <v>77</v>
      </c>
      <c r="B878" s="843" t="s">
        <v>432</v>
      </c>
      <c r="C878" s="696" t="e">
        <f>VLOOKUP(B876,'CNKT '!$D$99:$AA$106,3,0)</f>
        <v>#REF!</v>
      </c>
      <c r="D878" s="697">
        <v>25000</v>
      </c>
      <c r="E878" s="695" t="e">
        <f t="shared" ref="E878:E883" si="101">C878*D878</f>
        <v>#REF!</v>
      </c>
      <c r="F878" s="750"/>
      <c r="G878" s="693" t="s">
        <v>77</v>
      </c>
      <c r="H878" s="843" t="s">
        <v>432</v>
      </c>
      <c r="I878" s="696" t="e">
        <f>VLOOKUP(H876,'CNKT '!$D$99:$AA$106,3,0)</f>
        <v>#REF!</v>
      </c>
      <c r="J878" s="697">
        <v>25000</v>
      </c>
      <c r="K878" s="695" t="e">
        <f t="shared" ref="K878:K883" si="102">I878*J878</f>
        <v>#REF!</v>
      </c>
      <c r="L878" s="690"/>
    </row>
    <row r="879" spans="1:12" s="27" customFormat="1" ht="17.25" customHeight="1">
      <c r="A879" s="693" t="s">
        <v>307</v>
      </c>
      <c r="B879" s="844" t="s">
        <v>528</v>
      </c>
      <c r="C879" s="747" t="e">
        <f>VLOOKUP(B876,'CNKT '!$D$99:$AA$106,11,0)</f>
        <v>#REF!</v>
      </c>
      <c r="D879" s="698">
        <f>46.1*$B$2</f>
        <v>30833.524000000001</v>
      </c>
      <c r="E879" s="695" t="e">
        <f t="shared" si="101"/>
        <v>#REF!</v>
      </c>
      <c r="F879" s="750"/>
      <c r="G879" s="693" t="s">
        <v>307</v>
      </c>
      <c r="H879" s="844" t="s">
        <v>528</v>
      </c>
      <c r="I879" s="747" t="e">
        <f>VLOOKUP(H876,'CNKT '!$D$99:$AA$106,11,0)</f>
        <v>#REF!</v>
      </c>
      <c r="J879" s="698">
        <f>46.1*$B$2</f>
        <v>30833.524000000001</v>
      </c>
      <c r="K879" s="695" t="e">
        <f t="shared" si="102"/>
        <v>#REF!</v>
      </c>
      <c r="L879" s="690"/>
    </row>
    <row r="880" spans="1:12" s="27" customFormat="1" ht="17.25" customHeight="1">
      <c r="A880" s="693" t="s">
        <v>399</v>
      </c>
      <c r="B880" s="844" t="s">
        <v>529</v>
      </c>
      <c r="C880" s="747" t="e">
        <f>VLOOKUP(B876,'CNKT '!$D$99:$AA$106,12,0)</f>
        <v>#REF!</v>
      </c>
      <c r="D880" s="697">
        <f>76.9*$B$2</f>
        <v>51433.796000000009</v>
      </c>
      <c r="E880" s="695" t="e">
        <f t="shared" si="101"/>
        <v>#REF!</v>
      </c>
      <c r="F880" s="750"/>
      <c r="G880" s="693" t="s">
        <v>399</v>
      </c>
      <c r="H880" s="844" t="s">
        <v>529</v>
      </c>
      <c r="I880" s="747" t="e">
        <f>VLOOKUP(H876,'CNKT '!$D$99:$AA$106,12,0)</f>
        <v>#REF!</v>
      </c>
      <c r="J880" s="697">
        <f>76.9*$B$2</f>
        <v>51433.796000000009</v>
      </c>
      <c r="K880" s="695" t="e">
        <f t="shared" si="102"/>
        <v>#REF!</v>
      </c>
      <c r="L880" s="690"/>
    </row>
    <row r="881" spans="1:12" s="27" customFormat="1" ht="17.25" customHeight="1">
      <c r="A881" s="693" t="s">
        <v>78</v>
      </c>
      <c r="B881" s="844" t="s">
        <v>530</v>
      </c>
      <c r="C881" s="747" t="e">
        <f>VLOOKUP(B876,'CNKT '!$D$99:$AA$106,8,0)</f>
        <v>#REF!</v>
      </c>
      <c r="D881" s="697" t="e">
        <f>IF(C877="A",6.1,IF(C877="B",5.8,IF(C877="C",5.5,IF(C877="C.",5.5,IF(C877="D",5.2)))))*$B$2</f>
        <v>#REF!</v>
      </c>
      <c r="E881" s="695" t="e">
        <f t="shared" si="101"/>
        <v>#REF!</v>
      </c>
      <c r="F881" s="750"/>
      <c r="G881" s="693" t="s">
        <v>78</v>
      </c>
      <c r="H881" s="844" t="s">
        <v>530</v>
      </c>
      <c r="I881" s="747" t="e">
        <f>VLOOKUP(H876,'CNKT '!$D$99:$AA$106,8,0)</f>
        <v>#REF!</v>
      </c>
      <c r="J881" s="697" t="e">
        <f>IF(I877="A",6.1,IF(I877="B",5.8,IF(I877="C",5.5,IF(I877="C.",5.5,IF(I877="D",5.2)))))*$B$2</f>
        <v>#REF!</v>
      </c>
      <c r="K881" s="695" t="e">
        <f t="shared" si="102"/>
        <v>#REF!</v>
      </c>
      <c r="L881" s="690"/>
    </row>
    <row r="882" spans="1:12" s="27" customFormat="1" ht="17.25" customHeight="1">
      <c r="A882" s="693" t="s">
        <v>491</v>
      </c>
      <c r="B882" s="844" t="s">
        <v>531</v>
      </c>
      <c r="C882" s="747" t="e">
        <f>VLOOKUP(B876,'CNKT '!$D$99:$AA$106,15,0)</f>
        <v>#REF!</v>
      </c>
      <c r="D882" s="698">
        <f>92.2*$B$2</f>
        <v>61667.048000000003</v>
      </c>
      <c r="E882" s="695" t="e">
        <f t="shared" si="101"/>
        <v>#REF!</v>
      </c>
      <c r="F882" s="750"/>
      <c r="G882" s="693" t="s">
        <v>491</v>
      </c>
      <c r="H882" s="844" t="s">
        <v>531</v>
      </c>
      <c r="I882" s="747" t="e">
        <f>VLOOKUP(H876,'CNKT '!$D$99:$AA$106,15,0)</f>
        <v>#REF!</v>
      </c>
      <c r="J882" s="698">
        <f>92.2*$B$2</f>
        <v>61667.048000000003</v>
      </c>
      <c r="K882" s="695" t="e">
        <f t="shared" si="102"/>
        <v>#REF!</v>
      </c>
      <c r="L882" s="690"/>
    </row>
    <row r="883" spans="1:12" s="27" customFormat="1" ht="17.25" customHeight="1">
      <c r="A883" s="693" t="s">
        <v>492</v>
      </c>
      <c r="B883" s="844" t="s">
        <v>496</v>
      </c>
      <c r="C883" s="747" t="e">
        <f>VLOOKUP(B876,'CNKT '!$D$99:$AA$106,16,0)</f>
        <v>#REF!</v>
      </c>
      <c r="D883" s="697">
        <f>153.8*$B$2</f>
        <v>102867.59200000002</v>
      </c>
      <c r="E883" s="695" t="e">
        <f t="shared" si="101"/>
        <v>#REF!</v>
      </c>
      <c r="F883" s="750"/>
      <c r="G883" s="693" t="s">
        <v>492</v>
      </c>
      <c r="H883" s="844" t="s">
        <v>496</v>
      </c>
      <c r="I883" s="747" t="e">
        <f>VLOOKUP(H876,'CNKT '!$D$99:$AA$106,16,0)</f>
        <v>#REF!</v>
      </c>
      <c r="J883" s="697">
        <f>153.8*$B$2</f>
        <v>102867.59200000002</v>
      </c>
      <c r="K883" s="695" t="e">
        <f t="shared" si="102"/>
        <v>#REF!</v>
      </c>
      <c r="L883" s="690"/>
    </row>
    <row r="884" spans="1:12" s="27" customFormat="1" ht="17.25" customHeight="1">
      <c r="A884" s="693" t="s">
        <v>453</v>
      </c>
      <c r="B884" s="844" t="s">
        <v>497</v>
      </c>
      <c r="C884" s="747" t="e">
        <f>VLOOKUP(B876,'CNKT '!$D$99:$AA$112,18,0)</f>
        <v>#REF!</v>
      </c>
      <c r="D884" s="697">
        <v>10000</v>
      </c>
      <c r="E884" s="695" t="e">
        <f>C884*D884</f>
        <v>#REF!</v>
      </c>
      <c r="F884" s="750"/>
      <c r="G884" s="693" t="s">
        <v>453</v>
      </c>
      <c r="H884" s="844" t="s">
        <v>497</v>
      </c>
      <c r="I884" s="747" t="e">
        <f>VLOOKUP(H876,'CNKT '!$D$99:$AA$112,18,0)</f>
        <v>#REF!</v>
      </c>
      <c r="J884" s="697">
        <v>10000</v>
      </c>
      <c r="K884" s="695" t="e">
        <f>I884*J884</f>
        <v>#REF!</v>
      </c>
      <c r="L884" s="690"/>
    </row>
    <row r="885" spans="1:12" s="27" customFormat="1" ht="17.25" customHeight="1">
      <c r="A885" s="693" t="s">
        <v>453</v>
      </c>
      <c r="B885" s="844" t="s">
        <v>497</v>
      </c>
      <c r="C885" s="747" t="e">
        <f>VLOOKUP(B876,'CNKT '!$D$99:$AA$112,19,0)</f>
        <v>#REF!</v>
      </c>
      <c r="D885" s="697">
        <v>20000</v>
      </c>
      <c r="E885" s="695" t="e">
        <f>C885*D885</f>
        <v>#REF!</v>
      </c>
      <c r="F885" s="750"/>
      <c r="G885" s="693" t="s">
        <v>453</v>
      </c>
      <c r="H885" s="844" t="s">
        <v>497</v>
      </c>
      <c r="I885" s="747" t="e">
        <f>VLOOKUP(H876,'CNKT '!$D$99:$AA$112,19,0)</f>
        <v>#REF!</v>
      </c>
      <c r="J885" s="697">
        <v>20000</v>
      </c>
      <c r="K885" s="695" t="e">
        <f>I885*J885</f>
        <v>#REF!</v>
      </c>
      <c r="L885" s="690"/>
    </row>
    <row r="886" spans="1:12" s="27" customFormat="1" ht="17.25" customHeight="1">
      <c r="A886" s="693" t="s">
        <v>512</v>
      </c>
      <c r="B886" s="844" t="s">
        <v>513</v>
      </c>
      <c r="C886" s="747"/>
      <c r="D886" s="697"/>
      <c r="E886" s="695"/>
      <c r="F886" s="750"/>
      <c r="G886" s="693" t="s">
        <v>512</v>
      </c>
      <c r="H886" s="844" t="s">
        <v>513</v>
      </c>
      <c r="I886" s="747"/>
      <c r="J886" s="697"/>
      <c r="K886" s="695"/>
      <c r="L886" s="690"/>
    </row>
    <row r="887" spans="1:12" s="27" customFormat="1" ht="17.25" customHeight="1">
      <c r="A887" s="699" t="s">
        <v>79</v>
      </c>
      <c r="B887" s="845" t="s">
        <v>532</v>
      </c>
      <c r="C887" s="700"/>
      <c r="D887" s="701"/>
      <c r="E887" s="700"/>
      <c r="F887" s="750"/>
      <c r="G887" s="699" t="s">
        <v>79</v>
      </c>
      <c r="H887" s="845" t="s">
        <v>532</v>
      </c>
      <c r="I887" s="700"/>
      <c r="J887" s="701"/>
      <c r="K887" s="700"/>
      <c r="L887" s="690"/>
    </row>
    <row r="888" spans="1:12" s="27" customFormat="1" ht="17.25" customHeight="1">
      <c r="A888" s="702" t="s">
        <v>80</v>
      </c>
      <c r="B888" s="846" t="s">
        <v>533</v>
      </c>
      <c r="C888" s="700"/>
      <c r="D888" s="700"/>
      <c r="E888" s="700"/>
      <c r="F888" s="750"/>
      <c r="G888" s="702" t="s">
        <v>80</v>
      </c>
      <c r="H888" s="846" t="s">
        <v>533</v>
      </c>
      <c r="I888" s="700"/>
      <c r="J888" s="700"/>
      <c r="K888" s="700"/>
      <c r="L888" s="690"/>
    </row>
    <row r="889" spans="1:12" s="27" customFormat="1" ht="17.25" customHeight="1">
      <c r="A889" s="702" t="s">
        <v>81</v>
      </c>
      <c r="B889" s="847" t="s">
        <v>534</v>
      </c>
      <c r="C889" s="700"/>
      <c r="D889" s="700"/>
      <c r="E889" s="695">
        <f>SUM(E888)</f>
        <v>0</v>
      </c>
      <c r="F889" s="747"/>
      <c r="G889" s="702" t="s">
        <v>81</v>
      </c>
      <c r="H889" s="847" t="s">
        <v>534</v>
      </c>
      <c r="I889" s="700"/>
      <c r="J889" s="700"/>
      <c r="K889" s="695">
        <f>SUM(K888)</f>
        <v>0</v>
      </c>
      <c r="L889" s="690"/>
    </row>
    <row r="890" spans="1:12" s="27" customFormat="1" ht="17.25" customHeight="1">
      <c r="A890" s="704" t="s">
        <v>82</v>
      </c>
      <c r="B890" s="848" t="s">
        <v>438</v>
      </c>
      <c r="C890" s="705"/>
      <c r="D890" s="705"/>
      <c r="E890" s="705" t="e">
        <f>(E878+E879+E880+E881+E882+E883+E884+E885+E886)-E889</f>
        <v>#REF!</v>
      </c>
      <c r="F890" s="747"/>
      <c r="G890" s="704" t="s">
        <v>82</v>
      </c>
      <c r="H890" s="848" t="s">
        <v>438</v>
      </c>
      <c r="I890" s="705"/>
      <c r="J890" s="705"/>
      <c r="K890" s="705" t="e">
        <f>(K878+K879+K880+K881+K882+K883+K884+K885+K886)-K889</f>
        <v>#REF!</v>
      </c>
      <c r="L890" s="707" t="e">
        <f>E890+K890</f>
        <v>#REF!</v>
      </c>
    </row>
    <row r="891" spans="1:12" s="27" customFormat="1" ht="6.75" customHeight="1">
      <c r="A891" s="739"/>
      <c r="B891" s="740"/>
      <c r="C891" s="741"/>
      <c r="D891" s="741"/>
      <c r="E891" s="741"/>
      <c r="F891" s="742"/>
      <c r="G891" s="837"/>
      <c r="H891" s="837"/>
      <c r="I891" s="837"/>
      <c r="J891" s="837"/>
      <c r="K891" s="743"/>
      <c r="L891" s="690"/>
    </row>
    <row r="892" spans="1:12" s="27" customFormat="1" ht="17.25" customHeight="1">
      <c r="A892" s="1568" t="str">
        <f>A875</f>
        <v>LƯƠNG THÁNG 01/2025</v>
      </c>
      <c r="B892" s="1568"/>
      <c r="C892" s="763"/>
      <c r="D892" s="763"/>
      <c r="E892" s="763" t="e">
        <f>VLOOKUP(B893,'CNKT '!$D$99:$AD$112,26,0)</f>
        <v>#REF!</v>
      </c>
      <c r="F892" s="742"/>
      <c r="G892" s="1568" t="str">
        <f>A892</f>
        <v>LƯƠNG THÁNG 01/2025</v>
      </c>
      <c r="H892" s="1568"/>
      <c r="I892" s="763"/>
      <c r="J892" s="763"/>
      <c r="K892" s="763" t="e">
        <f>VLOOKUP(H893,'CNKT '!$D$99:$AD$112,26,0)</f>
        <v>#REF!</v>
      </c>
      <c r="L892" s="690"/>
    </row>
    <row r="893" spans="1:12" s="27" customFormat="1" ht="17.25" customHeight="1">
      <c r="A893" s="709" t="s">
        <v>15</v>
      </c>
      <c r="B893" s="840" t="e">
        <f>'CNKT '!#REF!</f>
        <v>#REF!</v>
      </c>
      <c r="C893" s="694"/>
      <c r="D893" s="840" t="s">
        <v>396</v>
      </c>
      <c r="E893" s="840" t="s">
        <v>18</v>
      </c>
      <c r="F893" s="750"/>
      <c r="G893" s="709" t="s">
        <v>15</v>
      </c>
      <c r="H893" s="840" t="e">
        <f>'CNKT '!#REF!</f>
        <v>#REF!</v>
      </c>
      <c r="I893" s="694"/>
      <c r="J893" s="840" t="s">
        <v>396</v>
      </c>
      <c r="K893" s="840" t="s">
        <v>18</v>
      </c>
      <c r="L893" s="690"/>
    </row>
    <row r="894" spans="1:12" s="27" customFormat="1" ht="17.25" customHeight="1">
      <c r="A894" s="693" t="s">
        <v>397</v>
      </c>
      <c r="B894" s="842" t="s">
        <v>527</v>
      </c>
      <c r="C894" s="694" t="e">
        <f>VLOOKUP(B893,'BTH mủ tạp'!#REF!,36,0)</f>
        <v>#REF!</v>
      </c>
      <c r="D894" s="695"/>
      <c r="E894" s="695"/>
      <c r="F894" s="750"/>
      <c r="G894" s="693" t="s">
        <v>397</v>
      </c>
      <c r="H894" s="842" t="s">
        <v>527</v>
      </c>
      <c r="I894" s="694" t="e">
        <f>VLOOKUP(H893,'BTH mủ tạp'!#REF!,36,0)</f>
        <v>#REF!</v>
      </c>
      <c r="J894" s="695"/>
      <c r="K894" s="695"/>
      <c r="L894" s="690"/>
    </row>
    <row r="895" spans="1:12" s="27" customFormat="1" ht="17.25" customHeight="1">
      <c r="A895" s="693" t="s">
        <v>77</v>
      </c>
      <c r="B895" s="843" t="s">
        <v>432</v>
      </c>
      <c r="C895" s="696" t="e">
        <f>VLOOKUP(B893,'CNKT '!$D$99:$AA$106,3,0)</f>
        <v>#REF!</v>
      </c>
      <c r="D895" s="697">
        <v>25000</v>
      </c>
      <c r="E895" s="695" t="e">
        <f t="shared" ref="E895:E900" si="103">C895*D895</f>
        <v>#REF!</v>
      </c>
      <c r="F895" s="750"/>
      <c r="G895" s="693" t="s">
        <v>77</v>
      </c>
      <c r="H895" s="843" t="s">
        <v>432</v>
      </c>
      <c r="I895" s="696" t="e">
        <f>VLOOKUP(H893,'CNKT '!$D$99:$AA$106,3,0)</f>
        <v>#REF!</v>
      </c>
      <c r="J895" s="697">
        <v>25000</v>
      </c>
      <c r="K895" s="695" t="e">
        <f t="shared" ref="K895:K900" si="104">I895*J895</f>
        <v>#REF!</v>
      </c>
      <c r="L895" s="690"/>
    </row>
    <row r="896" spans="1:12" s="27" customFormat="1" ht="17.25" customHeight="1">
      <c r="A896" s="693" t="s">
        <v>307</v>
      </c>
      <c r="B896" s="844" t="s">
        <v>528</v>
      </c>
      <c r="C896" s="747" t="e">
        <f>VLOOKUP(B893,'CNKT '!$D$99:$AA$106,11,0)</f>
        <v>#REF!</v>
      </c>
      <c r="D896" s="698">
        <f>46.1*$B$2</f>
        <v>30833.524000000001</v>
      </c>
      <c r="E896" s="695" t="e">
        <f t="shared" si="103"/>
        <v>#REF!</v>
      </c>
      <c r="F896" s="750"/>
      <c r="G896" s="693" t="s">
        <v>307</v>
      </c>
      <c r="H896" s="844" t="s">
        <v>528</v>
      </c>
      <c r="I896" s="747" t="e">
        <f>VLOOKUP(H893,'CNKT '!$D$99:$AA$106,11,0)</f>
        <v>#REF!</v>
      </c>
      <c r="J896" s="698">
        <f>46.1*$B$2</f>
        <v>30833.524000000001</v>
      </c>
      <c r="K896" s="695" t="e">
        <f t="shared" si="104"/>
        <v>#REF!</v>
      </c>
      <c r="L896" s="690"/>
    </row>
    <row r="897" spans="1:12" s="27" customFormat="1" ht="17.25" customHeight="1">
      <c r="A897" s="693" t="s">
        <v>399</v>
      </c>
      <c r="B897" s="844" t="s">
        <v>529</v>
      </c>
      <c r="C897" s="747" t="e">
        <f>VLOOKUP(B893,'CNKT '!$D$99:$AA$106,12,0)</f>
        <v>#REF!</v>
      </c>
      <c r="D897" s="697">
        <f>76.9*$B$2</f>
        <v>51433.796000000009</v>
      </c>
      <c r="E897" s="695" t="e">
        <f t="shared" si="103"/>
        <v>#REF!</v>
      </c>
      <c r="F897" s="750"/>
      <c r="G897" s="693" t="s">
        <v>399</v>
      </c>
      <c r="H897" s="844" t="s">
        <v>529</v>
      </c>
      <c r="I897" s="747" t="e">
        <f>VLOOKUP(H893,'CNKT '!$D$99:$AA$106,12,0)</f>
        <v>#REF!</v>
      </c>
      <c r="J897" s="697">
        <f>76.9*$B$2</f>
        <v>51433.796000000009</v>
      </c>
      <c r="K897" s="695" t="e">
        <f t="shared" si="104"/>
        <v>#REF!</v>
      </c>
      <c r="L897" s="690"/>
    </row>
    <row r="898" spans="1:12" s="27" customFormat="1" ht="17.25" customHeight="1">
      <c r="A898" s="693" t="s">
        <v>78</v>
      </c>
      <c r="B898" s="844" t="s">
        <v>530</v>
      </c>
      <c r="C898" s="747" t="e">
        <f>VLOOKUP(B893,'CNKT '!$D$99:$AA$106,8,0)</f>
        <v>#REF!</v>
      </c>
      <c r="D898" s="697" t="e">
        <f>IF(C894="A",6.1,IF(C894="B",5.8,IF(C894="C",5.5,IF(C894="C.",5.5,IF(C894="D",5.2)))))*$B$2</f>
        <v>#REF!</v>
      </c>
      <c r="E898" s="695" t="e">
        <f t="shared" si="103"/>
        <v>#REF!</v>
      </c>
      <c r="F898" s="750"/>
      <c r="G898" s="693" t="s">
        <v>78</v>
      </c>
      <c r="H898" s="844" t="s">
        <v>530</v>
      </c>
      <c r="I898" s="747" t="e">
        <f>VLOOKUP(H893,'CNKT '!$D$99:$AA$106,8,0)</f>
        <v>#REF!</v>
      </c>
      <c r="J898" s="697" t="e">
        <f>IF(I894="A",6.1,IF(I894="B",5.8,IF(I894="C",5.5,IF(I894="C.",5.5,IF(I894="D",5.2)))))*$B$2</f>
        <v>#REF!</v>
      </c>
      <c r="K898" s="695" t="e">
        <f t="shared" si="104"/>
        <v>#REF!</v>
      </c>
      <c r="L898" s="690"/>
    </row>
    <row r="899" spans="1:12" s="27" customFormat="1" ht="17.25" customHeight="1">
      <c r="A899" s="693" t="s">
        <v>491</v>
      </c>
      <c r="B899" s="844" t="s">
        <v>531</v>
      </c>
      <c r="C899" s="747" t="e">
        <f>VLOOKUP(B893,'CNKT '!$D$99:$AA$106,15,0)</f>
        <v>#REF!</v>
      </c>
      <c r="D899" s="698">
        <f>92.2*$B$2</f>
        <v>61667.048000000003</v>
      </c>
      <c r="E899" s="695" t="e">
        <f t="shared" si="103"/>
        <v>#REF!</v>
      </c>
      <c r="F899" s="750"/>
      <c r="G899" s="693" t="s">
        <v>491</v>
      </c>
      <c r="H899" s="844" t="s">
        <v>531</v>
      </c>
      <c r="I899" s="747" t="e">
        <f>VLOOKUP(H893,'CNKT '!$D$99:$AA$106,15,0)</f>
        <v>#REF!</v>
      </c>
      <c r="J899" s="698">
        <f>92.2*$B$2</f>
        <v>61667.048000000003</v>
      </c>
      <c r="K899" s="695" t="e">
        <f t="shared" si="104"/>
        <v>#REF!</v>
      </c>
      <c r="L899" s="690"/>
    </row>
    <row r="900" spans="1:12" s="27" customFormat="1" ht="17.25" customHeight="1">
      <c r="A900" s="693" t="s">
        <v>492</v>
      </c>
      <c r="B900" s="844" t="s">
        <v>496</v>
      </c>
      <c r="C900" s="747" t="e">
        <f>VLOOKUP(B893,'CNKT '!$D$99:$AA$106,16,0)</f>
        <v>#REF!</v>
      </c>
      <c r="D900" s="697">
        <f>153.8*$B$2</f>
        <v>102867.59200000002</v>
      </c>
      <c r="E900" s="695" t="e">
        <f t="shared" si="103"/>
        <v>#REF!</v>
      </c>
      <c r="F900" s="750"/>
      <c r="G900" s="693" t="s">
        <v>492</v>
      </c>
      <c r="H900" s="844" t="s">
        <v>496</v>
      </c>
      <c r="I900" s="747" t="e">
        <f>VLOOKUP(H893,'CNKT '!$D$99:$AA$106,16,0)</f>
        <v>#REF!</v>
      </c>
      <c r="J900" s="697">
        <f>153.8*$B$2</f>
        <v>102867.59200000002</v>
      </c>
      <c r="K900" s="695" t="e">
        <f t="shared" si="104"/>
        <v>#REF!</v>
      </c>
      <c r="L900" s="690"/>
    </row>
    <row r="901" spans="1:12" s="27" customFormat="1" ht="17.25" customHeight="1">
      <c r="A901" s="693" t="s">
        <v>453</v>
      </c>
      <c r="B901" s="844" t="s">
        <v>497</v>
      </c>
      <c r="C901" s="747" t="e">
        <f>VLOOKUP(B893,'CNKT '!$D$99:$AA$112,18,0)</f>
        <v>#REF!</v>
      </c>
      <c r="D901" s="697">
        <v>10000</v>
      </c>
      <c r="E901" s="695" t="e">
        <f>C901*D901</f>
        <v>#REF!</v>
      </c>
      <c r="F901" s="750"/>
      <c r="G901" s="693" t="s">
        <v>453</v>
      </c>
      <c r="H901" s="844" t="s">
        <v>497</v>
      </c>
      <c r="I901" s="747" t="e">
        <f>VLOOKUP(H893,'CNKT '!$D$99:$AA$112,18,0)</f>
        <v>#REF!</v>
      </c>
      <c r="J901" s="697">
        <v>10000</v>
      </c>
      <c r="K901" s="695" t="e">
        <f>I901*J901</f>
        <v>#REF!</v>
      </c>
      <c r="L901" s="690"/>
    </row>
    <row r="902" spans="1:12" s="27" customFormat="1" ht="17.25" customHeight="1">
      <c r="A902" s="693" t="s">
        <v>453</v>
      </c>
      <c r="B902" s="844" t="s">
        <v>497</v>
      </c>
      <c r="C902" s="747" t="e">
        <f>VLOOKUP(B893,'CNKT '!$D$99:$AA$112,19,0)</f>
        <v>#REF!</v>
      </c>
      <c r="D902" s="697">
        <v>20000</v>
      </c>
      <c r="E902" s="695" t="e">
        <f>C902*D902</f>
        <v>#REF!</v>
      </c>
      <c r="F902" s="750"/>
      <c r="G902" s="693" t="s">
        <v>453</v>
      </c>
      <c r="H902" s="844" t="s">
        <v>497</v>
      </c>
      <c r="I902" s="747" t="e">
        <f>VLOOKUP(H893,'CNKT '!$D$99:$AA$112,19,0)</f>
        <v>#REF!</v>
      </c>
      <c r="J902" s="697">
        <v>20000</v>
      </c>
      <c r="K902" s="695" t="e">
        <f>I902*J902</f>
        <v>#REF!</v>
      </c>
      <c r="L902" s="690"/>
    </row>
    <row r="903" spans="1:12" s="27" customFormat="1" ht="17.25" customHeight="1">
      <c r="A903" s="693" t="s">
        <v>512</v>
      </c>
      <c r="B903" s="844" t="s">
        <v>513</v>
      </c>
      <c r="C903" s="747"/>
      <c r="D903" s="697"/>
      <c r="E903" s="695"/>
      <c r="F903" s="750"/>
      <c r="G903" s="693" t="s">
        <v>512</v>
      </c>
      <c r="H903" s="844" t="s">
        <v>513</v>
      </c>
      <c r="I903" s="747"/>
      <c r="J903" s="697"/>
      <c r="K903" s="695"/>
      <c r="L903" s="690"/>
    </row>
    <row r="904" spans="1:12" s="27" customFormat="1" ht="17.25" customHeight="1">
      <c r="A904" s="699" t="s">
        <v>79</v>
      </c>
      <c r="B904" s="845" t="s">
        <v>532</v>
      </c>
      <c r="C904" s="700"/>
      <c r="D904" s="701"/>
      <c r="E904" s="700"/>
      <c r="F904" s="750"/>
      <c r="G904" s="699" t="s">
        <v>79</v>
      </c>
      <c r="H904" s="845" t="s">
        <v>532</v>
      </c>
      <c r="I904" s="700"/>
      <c r="J904" s="701"/>
      <c r="K904" s="700"/>
      <c r="L904" s="690"/>
    </row>
    <row r="905" spans="1:12" s="27" customFormat="1" ht="17.25" customHeight="1">
      <c r="A905" s="702" t="s">
        <v>80</v>
      </c>
      <c r="B905" s="846" t="s">
        <v>533</v>
      </c>
      <c r="C905" s="700"/>
      <c r="D905" s="700"/>
      <c r="E905" s="700"/>
      <c r="F905" s="750"/>
      <c r="G905" s="702" t="s">
        <v>80</v>
      </c>
      <c r="H905" s="846" t="s">
        <v>533</v>
      </c>
      <c r="I905" s="700"/>
      <c r="J905" s="700"/>
      <c r="K905" s="700"/>
      <c r="L905" s="690"/>
    </row>
    <row r="906" spans="1:12" s="27" customFormat="1" ht="17.25" customHeight="1">
      <c r="A906" s="702" t="s">
        <v>81</v>
      </c>
      <c r="B906" s="847" t="s">
        <v>534</v>
      </c>
      <c r="C906" s="700"/>
      <c r="D906" s="700"/>
      <c r="E906" s="695">
        <f>SUM(E905)</f>
        <v>0</v>
      </c>
      <c r="F906" s="746"/>
      <c r="G906" s="702" t="s">
        <v>81</v>
      </c>
      <c r="H906" s="847" t="s">
        <v>534</v>
      </c>
      <c r="I906" s="700"/>
      <c r="J906" s="700"/>
      <c r="K906" s="695">
        <f>SUM(K905)</f>
        <v>0</v>
      </c>
      <c r="L906" s="690"/>
    </row>
    <row r="907" spans="1:12" s="27" customFormat="1" ht="17.25" customHeight="1">
      <c r="A907" s="704" t="s">
        <v>82</v>
      </c>
      <c r="B907" s="848" t="s">
        <v>438</v>
      </c>
      <c r="C907" s="705"/>
      <c r="D907" s="705"/>
      <c r="E907" s="705" t="e">
        <f>(E895+E896+E897+E898+E899+E900+E901+E902+E903)-E906</f>
        <v>#REF!</v>
      </c>
      <c r="F907" s="746"/>
      <c r="G907" s="704" t="s">
        <v>82</v>
      </c>
      <c r="H907" s="848" t="s">
        <v>438</v>
      </c>
      <c r="I907" s="705"/>
      <c r="J907" s="705"/>
      <c r="K907" s="705" t="e">
        <f>(K895+K896+K897+K898+K899+K900+K901+K902+K903)-K906</f>
        <v>#REF!</v>
      </c>
      <c r="L907" s="707" t="e">
        <f>K907+E907</f>
        <v>#REF!</v>
      </c>
    </row>
    <row r="908" spans="1:12" s="27" customFormat="1" ht="9" customHeight="1">
      <c r="A908" s="739"/>
      <c r="B908" s="740"/>
      <c r="C908" s="741"/>
      <c r="D908" s="741"/>
      <c r="E908" s="741"/>
      <c r="F908" s="742"/>
      <c r="G908" s="837"/>
      <c r="H908" s="837"/>
      <c r="I908" s="837"/>
      <c r="J908" s="837"/>
      <c r="K908" s="743"/>
      <c r="L908" s="690"/>
    </row>
    <row r="909" spans="1:12" s="27" customFormat="1" ht="17.25" customHeight="1">
      <c r="A909" s="763" t="str">
        <f>A892</f>
        <v>LƯƠNG THÁNG 01/2025</v>
      </c>
      <c r="B909" s="763"/>
      <c r="C909" s="763"/>
      <c r="D909" s="763"/>
      <c r="E909" s="763" t="e">
        <f>VLOOKUP(B910,'CNKT '!$D$99:$AD$112,26,0)</f>
        <v>#REF!</v>
      </c>
      <c r="F909" s="742"/>
      <c r="G909" s="763" t="str">
        <f>A909</f>
        <v>LƯƠNG THÁNG 01/2025</v>
      </c>
      <c r="H909" s="763"/>
      <c r="I909" s="763"/>
      <c r="J909" s="763"/>
      <c r="K909" s="763" t="e">
        <f>VLOOKUP(H910,'CNKT '!$D$99:$AD$112,26,0)</f>
        <v>#REF!</v>
      </c>
      <c r="L909" s="690"/>
    </row>
    <row r="910" spans="1:12" s="27" customFormat="1" ht="17.25" customHeight="1">
      <c r="A910" s="709" t="s">
        <v>15</v>
      </c>
      <c r="B910" s="840" t="e">
        <f>'CNKT '!#REF!</f>
        <v>#REF!</v>
      </c>
      <c r="C910" s="694"/>
      <c r="D910" s="840" t="s">
        <v>396</v>
      </c>
      <c r="E910" s="840" t="s">
        <v>18</v>
      </c>
      <c r="F910" s="750"/>
      <c r="G910" s="709" t="s">
        <v>15</v>
      </c>
      <c r="H910" s="840" t="e">
        <f>'CNKT '!#REF!</f>
        <v>#REF!</v>
      </c>
      <c r="I910" s="694"/>
      <c r="J910" s="840" t="s">
        <v>396</v>
      </c>
      <c r="K910" s="840" t="s">
        <v>18</v>
      </c>
      <c r="L910" s="690"/>
    </row>
    <row r="911" spans="1:12" s="27" customFormat="1" ht="17.25" customHeight="1">
      <c r="A911" s="693" t="s">
        <v>397</v>
      </c>
      <c r="B911" s="842" t="s">
        <v>527</v>
      </c>
      <c r="C911" s="694" t="e">
        <f>VLOOKUP(B910,'BTH mủ tạp'!#REF!,36,0)</f>
        <v>#REF!</v>
      </c>
      <c r="D911" s="695"/>
      <c r="E911" s="695"/>
      <c r="F911" s="750"/>
      <c r="G911" s="693" t="s">
        <v>397</v>
      </c>
      <c r="H911" s="842" t="s">
        <v>527</v>
      </c>
      <c r="I911" s="694" t="e">
        <f>VLOOKUP(H910,'BTH mủ tạp'!#REF!,36,0)</f>
        <v>#REF!</v>
      </c>
      <c r="J911" s="695"/>
      <c r="K911" s="695"/>
      <c r="L911" s="690"/>
    </row>
    <row r="912" spans="1:12" s="27" customFormat="1" ht="17.25" customHeight="1">
      <c r="A912" s="693" t="s">
        <v>77</v>
      </c>
      <c r="B912" s="843" t="s">
        <v>432</v>
      </c>
      <c r="C912" s="696" t="e">
        <f>VLOOKUP(B910,'CNKT '!$D$99:$AA$106,3,0)</f>
        <v>#REF!</v>
      </c>
      <c r="D912" s="697">
        <v>25000</v>
      </c>
      <c r="E912" s="695" t="e">
        <f t="shared" ref="E912:E917" si="105">C912*D912</f>
        <v>#REF!</v>
      </c>
      <c r="F912" s="750"/>
      <c r="G912" s="693" t="s">
        <v>77</v>
      </c>
      <c r="H912" s="843" t="s">
        <v>432</v>
      </c>
      <c r="I912" s="696" t="e">
        <f>VLOOKUP(H910,'CNKT '!$D$99:$AA$106,3,0)</f>
        <v>#REF!</v>
      </c>
      <c r="J912" s="697">
        <v>25000</v>
      </c>
      <c r="K912" s="695" t="e">
        <f t="shared" ref="K912:K917" si="106">I912*J912</f>
        <v>#REF!</v>
      </c>
      <c r="L912" s="690"/>
    </row>
    <row r="913" spans="1:12" s="27" customFormat="1" ht="17.25" customHeight="1">
      <c r="A913" s="693" t="s">
        <v>307</v>
      </c>
      <c r="B913" s="844" t="s">
        <v>528</v>
      </c>
      <c r="C913" s="747" t="e">
        <f>VLOOKUP(B910,'CNKT '!$D$99:$AA$106,11,0)</f>
        <v>#REF!</v>
      </c>
      <c r="D913" s="698">
        <f>46.1*$B$2</f>
        <v>30833.524000000001</v>
      </c>
      <c r="E913" s="695" t="e">
        <f t="shared" si="105"/>
        <v>#REF!</v>
      </c>
      <c r="F913" s="750"/>
      <c r="G913" s="693" t="s">
        <v>307</v>
      </c>
      <c r="H913" s="844" t="s">
        <v>528</v>
      </c>
      <c r="I913" s="747" t="e">
        <f>VLOOKUP(H910,'CNKT '!$D$99:$AA$106,11,0)</f>
        <v>#REF!</v>
      </c>
      <c r="J913" s="698">
        <f>46.1*$B$2</f>
        <v>30833.524000000001</v>
      </c>
      <c r="K913" s="695" t="e">
        <f t="shared" si="106"/>
        <v>#REF!</v>
      </c>
      <c r="L913" s="690"/>
    </row>
    <row r="914" spans="1:12" s="27" customFormat="1" ht="17.25" customHeight="1">
      <c r="A914" s="693" t="s">
        <v>399</v>
      </c>
      <c r="B914" s="844" t="s">
        <v>529</v>
      </c>
      <c r="C914" s="747" t="e">
        <f>VLOOKUP(B910,'CNKT '!$D$99:$AA$106,12,0)</f>
        <v>#REF!</v>
      </c>
      <c r="D914" s="697">
        <f>76.9*$B$2</f>
        <v>51433.796000000009</v>
      </c>
      <c r="E914" s="695" t="e">
        <f t="shared" si="105"/>
        <v>#REF!</v>
      </c>
      <c r="F914" s="750"/>
      <c r="G914" s="693" t="s">
        <v>399</v>
      </c>
      <c r="H914" s="844" t="s">
        <v>529</v>
      </c>
      <c r="I914" s="747" t="e">
        <f>VLOOKUP(H910,'CNKT '!$D$99:$AA$106,12,0)</f>
        <v>#REF!</v>
      </c>
      <c r="J914" s="697">
        <f>76.9*$B$2</f>
        <v>51433.796000000009</v>
      </c>
      <c r="K914" s="695" t="e">
        <f t="shared" si="106"/>
        <v>#REF!</v>
      </c>
      <c r="L914" s="690"/>
    </row>
    <row r="915" spans="1:12" s="27" customFormat="1" ht="17.25" customHeight="1">
      <c r="A915" s="693" t="s">
        <v>78</v>
      </c>
      <c r="B915" s="844" t="s">
        <v>530</v>
      </c>
      <c r="C915" s="747" t="e">
        <f>VLOOKUP(B910,'CNKT '!$D$99:$AA$106,8,0)</f>
        <v>#REF!</v>
      </c>
      <c r="D915" s="697" t="e">
        <f>IF(C911="A",6.1,IF(C911="B",5.8,IF(C911="C",5.5,IF(C911="C.",5.5,IF(C911="D",5.2)))))*$B$2</f>
        <v>#REF!</v>
      </c>
      <c r="E915" s="695" t="e">
        <f t="shared" si="105"/>
        <v>#REF!</v>
      </c>
      <c r="F915" s="750"/>
      <c r="G915" s="693" t="s">
        <v>78</v>
      </c>
      <c r="H915" s="844" t="s">
        <v>530</v>
      </c>
      <c r="I915" s="747" t="e">
        <f>VLOOKUP(H910,'CNKT '!$D$99:$AA$106,8,0)</f>
        <v>#REF!</v>
      </c>
      <c r="J915" s="697" t="e">
        <f>IF(I911="A",6.1,IF(I911="B",5.8,IF(I911="C",5.5,IF(I911="C.",5.5,IF(I911="D",5.2)))))*$B$2</f>
        <v>#REF!</v>
      </c>
      <c r="K915" s="695" t="e">
        <f t="shared" si="106"/>
        <v>#REF!</v>
      </c>
      <c r="L915" s="690"/>
    </row>
    <row r="916" spans="1:12" s="27" customFormat="1" ht="17.25" customHeight="1">
      <c r="A916" s="693" t="s">
        <v>491</v>
      </c>
      <c r="B916" s="844" t="s">
        <v>531</v>
      </c>
      <c r="C916" s="747" t="e">
        <f>VLOOKUP(B910,'CNKT '!$D$99:$AA$106,15,0)</f>
        <v>#REF!</v>
      </c>
      <c r="D916" s="698">
        <f>92.2*$B$2</f>
        <v>61667.048000000003</v>
      </c>
      <c r="E916" s="695" t="e">
        <f t="shared" si="105"/>
        <v>#REF!</v>
      </c>
      <c r="F916" s="750"/>
      <c r="G916" s="693" t="s">
        <v>491</v>
      </c>
      <c r="H916" s="844" t="s">
        <v>531</v>
      </c>
      <c r="I916" s="747" t="e">
        <f>VLOOKUP(H910,'CNKT '!$D$99:$AA$106,15,0)</f>
        <v>#REF!</v>
      </c>
      <c r="J916" s="698">
        <f>92.2*$B$2</f>
        <v>61667.048000000003</v>
      </c>
      <c r="K916" s="695" t="e">
        <f t="shared" si="106"/>
        <v>#REF!</v>
      </c>
      <c r="L916" s="690"/>
    </row>
    <row r="917" spans="1:12" s="27" customFormat="1" ht="17.25" customHeight="1">
      <c r="A917" s="693" t="s">
        <v>492</v>
      </c>
      <c r="B917" s="844" t="s">
        <v>496</v>
      </c>
      <c r="C917" s="747" t="e">
        <f>VLOOKUP(B910,'CNKT '!$D$99:$AA$106,16,0)</f>
        <v>#REF!</v>
      </c>
      <c r="D917" s="697">
        <f>153.8*$B$2</f>
        <v>102867.59200000002</v>
      </c>
      <c r="E917" s="695" t="e">
        <f t="shared" si="105"/>
        <v>#REF!</v>
      </c>
      <c r="F917" s="750"/>
      <c r="G917" s="693" t="s">
        <v>492</v>
      </c>
      <c r="H917" s="844" t="s">
        <v>496</v>
      </c>
      <c r="I917" s="747" t="e">
        <f>VLOOKUP(H910,'CNKT '!$D$99:$AA$106,16,0)</f>
        <v>#REF!</v>
      </c>
      <c r="J917" s="697">
        <f>153.8*$B$2</f>
        <v>102867.59200000002</v>
      </c>
      <c r="K917" s="695" t="e">
        <f t="shared" si="106"/>
        <v>#REF!</v>
      </c>
      <c r="L917" s="690"/>
    </row>
    <row r="918" spans="1:12" s="27" customFormat="1" ht="17.25" customHeight="1">
      <c r="A918" s="693" t="s">
        <v>453</v>
      </c>
      <c r="B918" s="844" t="s">
        <v>497</v>
      </c>
      <c r="C918" s="747" t="e">
        <f>VLOOKUP(B910,'CNKT '!$D$99:$AA$112,18,0)</f>
        <v>#REF!</v>
      </c>
      <c r="D918" s="697">
        <v>10000</v>
      </c>
      <c r="E918" s="695" t="e">
        <f>C918*D918</f>
        <v>#REF!</v>
      </c>
      <c r="F918" s="750"/>
      <c r="G918" s="693" t="s">
        <v>453</v>
      </c>
      <c r="H918" s="844" t="s">
        <v>497</v>
      </c>
      <c r="I918" s="747" t="e">
        <f>VLOOKUP(H910,'CNKT '!$D$99:$AA$112,18,0)</f>
        <v>#REF!</v>
      </c>
      <c r="J918" s="697">
        <v>10000</v>
      </c>
      <c r="K918" s="695" t="e">
        <f>I918*J918</f>
        <v>#REF!</v>
      </c>
      <c r="L918" s="690"/>
    </row>
    <row r="919" spans="1:12" s="27" customFormat="1" ht="17.25" customHeight="1">
      <c r="A919" s="693" t="s">
        <v>453</v>
      </c>
      <c r="B919" s="844" t="s">
        <v>497</v>
      </c>
      <c r="C919" s="747" t="e">
        <f>VLOOKUP(B910,'CNKT '!$D$99:$AA$112,19,0)</f>
        <v>#REF!</v>
      </c>
      <c r="D919" s="697">
        <v>20000</v>
      </c>
      <c r="E919" s="695" t="e">
        <f>C919*D919</f>
        <v>#REF!</v>
      </c>
      <c r="F919" s="750"/>
      <c r="G919" s="693" t="s">
        <v>453</v>
      </c>
      <c r="H919" s="844" t="s">
        <v>497</v>
      </c>
      <c r="I919" s="747" t="e">
        <f>VLOOKUP(H910,'CNKT '!$D$99:$AA$112,19,0)</f>
        <v>#REF!</v>
      </c>
      <c r="J919" s="697">
        <v>20000</v>
      </c>
      <c r="K919" s="695" t="e">
        <f>I919*J919</f>
        <v>#REF!</v>
      </c>
      <c r="L919" s="690"/>
    </row>
    <row r="920" spans="1:12" s="27" customFormat="1" ht="17.25" customHeight="1">
      <c r="A920" s="693" t="s">
        <v>512</v>
      </c>
      <c r="B920" s="844" t="s">
        <v>513</v>
      </c>
      <c r="C920" s="747"/>
      <c r="D920" s="697"/>
      <c r="E920" s="695"/>
      <c r="F920" s="750"/>
      <c r="G920" s="693" t="s">
        <v>512</v>
      </c>
      <c r="H920" s="844" t="s">
        <v>513</v>
      </c>
      <c r="I920" s="747"/>
      <c r="J920" s="697"/>
      <c r="K920" s="695"/>
      <c r="L920" s="690"/>
    </row>
    <row r="921" spans="1:12" s="27" customFormat="1" ht="17.25" customHeight="1">
      <c r="A921" s="699" t="s">
        <v>79</v>
      </c>
      <c r="B921" s="845" t="s">
        <v>532</v>
      </c>
      <c r="C921" s="700"/>
      <c r="D921" s="701"/>
      <c r="E921" s="700"/>
      <c r="F921" s="750"/>
      <c r="G921" s="699" t="s">
        <v>79</v>
      </c>
      <c r="H921" s="845" t="s">
        <v>532</v>
      </c>
      <c r="I921" s="700"/>
      <c r="J921" s="701"/>
      <c r="K921" s="700"/>
      <c r="L921" s="690"/>
    </row>
    <row r="922" spans="1:12" s="27" customFormat="1" ht="17.25" customHeight="1">
      <c r="A922" s="702" t="s">
        <v>80</v>
      </c>
      <c r="B922" s="846" t="s">
        <v>533</v>
      </c>
      <c r="C922" s="700"/>
      <c r="D922" s="700"/>
      <c r="E922" s="700"/>
      <c r="F922" s="750"/>
      <c r="G922" s="702" t="s">
        <v>80</v>
      </c>
      <c r="H922" s="846" t="s">
        <v>533</v>
      </c>
      <c r="I922" s="700"/>
      <c r="J922" s="700"/>
      <c r="K922" s="700"/>
      <c r="L922" s="690"/>
    </row>
    <row r="923" spans="1:12" s="27" customFormat="1" ht="17.25" customHeight="1">
      <c r="A923" s="702" t="s">
        <v>81</v>
      </c>
      <c r="B923" s="847" t="s">
        <v>534</v>
      </c>
      <c r="C923" s="700"/>
      <c r="D923" s="700"/>
      <c r="E923" s="695">
        <f>SUM(E922)</f>
        <v>0</v>
      </c>
      <c r="F923" s="738"/>
      <c r="G923" s="702" t="s">
        <v>81</v>
      </c>
      <c r="H923" s="847" t="s">
        <v>534</v>
      </c>
      <c r="I923" s="700"/>
      <c r="J923" s="700"/>
      <c r="K923" s="695">
        <f>SUM(K922)</f>
        <v>0</v>
      </c>
      <c r="L923" s="690"/>
    </row>
    <row r="924" spans="1:12" s="27" customFormat="1" ht="17.25" customHeight="1">
      <c r="A924" s="704" t="s">
        <v>82</v>
      </c>
      <c r="B924" s="848" t="s">
        <v>438</v>
      </c>
      <c r="C924" s="705"/>
      <c r="D924" s="705"/>
      <c r="E924" s="705" t="e">
        <f>(E912+E913+E914+E915+E916+E917+E918+E919+E920)-E923</f>
        <v>#REF!</v>
      </c>
      <c r="F924" s="738"/>
      <c r="G924" s="704" t="s">
        <v>82</v>
      </c>
      <c r="H924" s="848" t="s">
        <v>438</v>
      </c>
      <c r="I924" s="705"/>
      <c r="J924" s="705"/>
      <c r="K924" s="705" t="e">
        <f>(K912+K913+K914+K915+K916+K917+K918+K919+K920)-K923</f>
        <v>#REF!</v>
      </c>
      <c r="L924" s="707" t="e">
        <f>E924+K924</f>
        <v>#REF!</v>
      </c>
    </row>
    <row r="925" spans="1:12" s="27" customFormat="1" ht="17.25" customHeight="1">
      <c r="A925" s="739"/>
      <c r="B925" s="740"/>
      <c r="C925" s="741"/>
      <c r="D925" s="741"/>
      <c r="E925" s="741"/>
      <c r="F925" s="742"/>
      <c r="G925" s="837"/>
      <c r="H925" s="837"/>
      <c r="I925" s="837"/>
      <c r="J925" s="837"/>
      <c r="K925" s="743"/>
      <c r="L925" s="690"/>
    </row>
    <row r="926" spans="1:12" s="27" customFormat="1" ht="17.25" customHeight="1">
      <c r="A926" s="763" t="str">
        <f>A909</f>
        <v>LƯƠNG THÁNG 01/2025</v>
      </c>
      <c r="B926" s="763"/>
      <c r="C926" s="763"/>
      <c r="D926" s="763"/>
      <c r="E926" s="763" t="e">
        <f>VLOOKUP(B927,'CNKT '!$D$99:$AD$112,26,0)</f>
        <v>#REF!</v>
      </c>
      <c r="F926" s="742"/>
      <c r="G926" s="763" t="str">
        <f>A926</f>
        <v>LƯƠNG THÁNG 01/2025</v>
      </c>
      <c r="H926" s="763"/>
      <c r="I926" s="763"/>
      <c r="J926" s="763"/>
      <c r="K926" s="763" t="e">
        <f>VLOOKUP(H927,'CNKT '!$D$99:$AD$112,26,0)</f>
        <v>#REF!</v>
      </c>
      <c r="L926" s="690"/>
    </row>
    <row r="927" spans="1:12" s="27" customFormat="1" ht="17.25" customHeight="1">
      <c r="A927" s="709" t="s">
        <v>15</v>
      </c>
      <c r="B927" s="840" t="e">
        <f>'CNKT '!#REF!</f>
        <v>#REF!</v>
      </c>
      <c r="C927" s="694"/>
      <c r="D927" s="840" t="s">
        <v>396</v>
      </c>
      <c r="E927" s="840" t="s">
        <v>18</v>
      </c>
      <c r="F927" s="750"/>
      <c r="G927" s="709" t="s">
        <v>15</v>
      </c>
      <c r="H927" s="840" t="e">
        <f>'CNKT '!#REF!</f>
        <v>#REF!</v>
      </c>
      <c r="I927" s="694"/>
      <c r="J927" s="840" t="s">
        <v>396</v>
      </c>
      <c r="K927" s="840" t="s">
        <v>18</v>
      </c>
      <c r="L927" s="690"/>
    </row>
    <row r="928" spans="1:12" s="27" customFormat="1" ht="17.25" customHeight="1">
      <c r="A928" s="693" t="s">
        <v>397</v>
      </c>
      <c r="B928" s="842" t="s">
        <v>527</v>
      </c>
      <c r="C928" s="694" t="e">
        <f>VLOOKUP(B927,'BTH mủ tạp'!#REF!,36,0)</f>
        <v>#REF!</v>
      </c>
      <c r="D928" s="695"/>
      <c r="E928" s="695"/>
      <c r="F928" s="750"/>
      <c r="G928" s="693" t="s">
        <v>397</v>
      </c>
      <c r="H928" s="842" t="s">
        <v>527</v>
      </c>
      <c r="I928" s="694" t="e">
        <f>VLOOKUP(H927,'BTH mủ tạp'!#REF!,36,0)</f>
        <v>#REF!</v>
      </c>
      <c r="J928" s="695"/>
      <c r="K928" s="695"/>
      <c r="L928" s="690"/>
    </row>
    <row r="929" spans="1:12" s="27" customFormat="1" ht="17.25" customHeight="1">
      <c r="A929" s="693" t="s">
        <v>77</v>
      </c>
      <c r="B929" s="843" t="s">
        <v>432</v>
      </c>
      <c r="C929" s="696" t="e">
        <f>VLOOKUP(B927,'CNKT '!$D$99:$AA$106,3,0)</f>
        <v>#REF!</v>
      </c>
      <c r="D929" s="697">
        <v>25000</v>
      </c>
      <c r="E929" s="695" t="e">
        <f t="shared" ref="E929:E934" si="107">C929*D929</f>
        <v>#REF!</v>
      </c>
      <c r="F929" s="750"/>
      <c r="G929" s="693" t="s">
        <v>77</v>
      </c>
      <c r="H929" s="843" t="s">
        <v>432</v>
      </c>
      <c r="I929" s="696" t="e">
        <f>VLOOKUP(H927,'CNKT '!$D$99:$AA$106,3,0)</f>
        <v>#REF!</v>
      </c>
      <c r="J929" s="697">
        <v>25000</v>
      </c>
      <c r="K929" s="695" t="e">
        <f t="shared" ref="K929:K934" si="108">I929*J929</f>
        <v>#REF!</v>
      </c>
      <c r="L929" s="690"/>
    </row>
    <row r="930" spans="1:12" s="27" customFormat="1" ht="17.25" customHeight="1">
      <c r="A930" s="693" t="s">
        <v>307</v>
      </c>
      <c r="B930" s="844" t="s">
        <v>528</v>
      </c>
      <c r="C930" s="747" t="e">
        <f>VLOOKUP(B927,'CNKT '!$D$99:$AA$106,11,0)</f>
        <v>#REF!</v>
      </c>
      <c r="D930" s="698">
        <f>46.1*$B$2</f>
        <v>30833.524000000001</v>
      </c>
      <c r="E930" s="695" t="e">
        <f t="shared" si="107"/>
        <v>#REF!</v>
      </c>
      <c r="F930" s="750"/>
      <c r="G930" s="693" t="s">
        <v>307</v>
      </c>
      <c r="H930" s="844" t="s">
        <v>528</v>
      </c>
      <c r="I930" s="747" t="e">
        <f>VLOOKUP(H927,'CNKT '!$D$99:$AA$106,11,0)</f>
        <v>#REF!</v>
      </c>
      <c r="J930" s="698">
        <f>46.1*$B$2</f>
        <v>30833.524000000001</v>
      </c>
      <c r="K930" s="695" t="e">
        <f t="shared" si="108"/>
        <v>#REF!</v>
      </c>
      <c r="L930" s="690"/>
    </row>
    <row r="931" spans="1:12" s="27" customFormat="1" ht="17.25" customHeight="1">
      <c r="A931" s="693" t="s">
        <v>399</v>
      </c>
      <c r="B931" s="844" t="s">
        <v>529</v>
      </c>
      <c r="C931" s="747" t="e">
        <f>VLOOKUP(B927,'CNKT '!$D$99:$AA$106,12,0)</f>
        <v>#REF!</v>
      </c>
      <c r="D931" s="697">
        <f>76.9*$B$2</f>
        <v>51433.796000000009</v>
      </c>
      <c r="E931" s="695" t="e">
        <f t="shared" si="107"/>
        <v>#REF!</v>
      </c>
      <c r="F931" s="750"/>
      <c r="G931" s="693" t="s">
        <v>399</v>
      </c>
      <c r="H931" s="844" t="s">
        <v>529</v>
      </c>
      <c r="I931" s="747" t="e">
        <f>VLOOKUP(H927,'CNKT '!$D$99:$AA$106,12,0)</f>
        <v>#REF!</v>
      </c>
      <c r="J931" s="697">
        <f>76.9*$B$2</f>
        <v>51433.796000000009</v>
      </c>
      <c r="K931" s="695" t="e">
        <f t="shared" si="108"/>
        <v>#REF!</v>
      </c>
      <c r="L931" s="690"/>
    </row>
    <row r="932" spans="1:12" s="27" customFormat="1" ht="17.25" customHeight="1">
      <c r="A932" s="693" t="s">
        <v>78</v>
      </c>
      <c r="B932" s="844" t="s">
        <v>530</v>
      </c>
      <c r="C932" s="747" t="e">
        <f>VLOOKUP(B927,'CNKT '!$D$99:$AA$106,8,0)</f>
        <v>#REF!</v>
      </c>
      <c r="D932" s="697" t="e">
        <f>IF(C928="A",6.1,IF(C928="B",5.8,IF(C928="C",5.5,IF(C928="C.",5.5,IF(C928="D",5.2)))))*$B$2</f>
        <v>#REF!</v>
      </c>
      <c r="E932" s="695" t="e">
        <f t="shared" si="107"/>
        <v>#REF!</v>
      </c>
      <c r="F932" s="750"/>
      <c r="G932" s="693" t="s">
        <v>78</v>
      </c>
      <c r="H932" s="844" t="s">
        <v>530</v>
      </c>
      <c r="I932" s="747" t="e">
        <f>VLOOKUP(H927,'CNKT '!$D$99:$AA$106,8,0)</f>
        <v>#REF!</v>
      </c>
      <c r="J932" s="697" t="e">
        <f>IF(I928="A",6.1,IF(I928="B",5.8,IF(I928="C",5.5,IF(I928="C.",5.5,IF(I928="D",5.2)))))*$B$2</f>
        <v>#REF!</v>
      </c>
      <c r="K932" s="695" t="e">
        <f t="shared" si="108"/>
        <v>#REF!</v>
      </c>
      <c r="L932" s="690"/>
    </row>
    <row r="933" spans="1:12" s="27" customFormat="1" ht="17.25" customHeight="1">
      <c r="A933" s="693" t="s">
        <v>491</v>
      </c>
      <c r="B933" s="844" t="s">
        <v>531</v>
      </c>
      <c r="C933" s="747" t="e">
        <f>VLOOKUP(B927,'CNKT '!$D$99:$AA$106,15,0)</f>
        <v>#REF!</v>
      </c>
      <c r="D933" s="698">
        <f>92.2*$B$2</f>
        <v>61667.048000000003</v>
      </c>
      <c r="E933" s="695" t="e">
        <f t="shared" si="107"/>
        <v>#REF!</v>
      </c>
      <c r="F933" s="750"/>
      <c r="G933" s="693" t="s">
        <v>491</v>
      </c>
      <c r="H933" s="844" t="s">
        <v>531</v>
      </c>
      <c r="I933" s="747" t="e">
        <f>VLOOKUP(H927,'CNKT '!$D$99:$AA$106,15,0)</f>
        <v>#REF!</v>
      </c>
      <c r="J933" s="698">
        <f>92.2*$B$2</f>
        <v>61667.048000000003</v>
      </c>
      <c r="K933" s="695" t="e">
        <f t="shared" si="108"/>
        <v>#REF!</v>
      </c>
      <c r="L933" s="690"/>
    </row>
    <row r="934" spans="1:12" s="27" customFormat="1" ht="17.25" customHeight="1">
      <c r="A934" s="693" t="s">
        <v>492</v>
      </c>
      <c r="B934" s="844" t="s">
        <v>496</v>
      </c>
      <c r="C934" s="747" t="e">
        <f>VLOOKUP(B927,'CNKT '!$D$99:$AA$106,16,0)</f>
        <v>#REF!</v>
      </c>
      <c r="D934" s="697">
        <f>153.8*$B$2</f>
        <v>102867.59200000002</v>
      </c>
      <c r="E934" s="695" t="e">
        <f t="shared" si="107"/>
        <v>#REF!</v>
      </c>
      <c r="F934" s="750"/>
      <c r="G934" s="693" t="s">
        <v>492</v>
      </c>
      <c r="H934" s="844" t="s">
        <v>496</v>
      </c>
      <c r="I934" s="747" t="e">
        <f>VLOOKUP(H927,'CNKT '!$D$99:$AA$106,16,0)</f>
        <v>#REF!</v>
      </c>
      <c r="J934" s="697">
        <f>153.8*$B$2</f>
        <v>102867.59200000002</v>
      </c>
      <c r="K934" s="695" t="e">
        <f t="shared" si="108"/>
        <v>#REF!</v>
      </c>
      <c r="L934" s="690"/>
    </row>
    <row r="935" spans="1:12" s="27" customFormat="1" ht="17.25" customHeight="1">
      <c r="A935" s="693" t="s">
        <v>453</v>
      </c>
      <c r="B935" s="844" t="s">
        <v>497</v>
      </c>
      <c r="C935" s="747" t="e">
        <f>VLOOKUP(B927,'CNKT '!$D$99:$AA$112,18,0)</f>
        <v>#REF!</v>
      </c>
      <c r="D935" s="697">
        <v>10000</v>
      </c>
      <c r="E935" s="695" t="e">
        <f>C935*D935</f>
        <v>#REF!</v>
      </c>
      <c r="F935" s="750"/>
      <c r="G935" s="693" t="s">
        <v>453</v>
      </c>
      <c r="H935" s="844" t="s">
        <v>497</v>
      </c>
      <c r="I935" s="747" t="e">
        <f>VLOOKUP(H927,'CNKT '!$D$99:$AA$112,18,0)</f>
        <v>#REF!</v>
      </c>
      <c r="J935" s="697">
        <v>10000</v>
      </c>
      <c r="K935" s="695" t="e">
        <f>I935*J935</f>
        <v>#REF!</v>
      </c>
      <c r="L935" s="690"/>
    </row>
    <row r="936" spans="1:12" s="27" customFormat="1" ht="17.25" customHeight="1">
      <c r="A936" s="693" t="s">
        <v>453</v>
      </c>
      <c r="B936" s="844" t="s">
        <v>497</v>
      </c>
      <c r="C936" s="747" t="e">
        <f>VLOOKUP(B927,'CNKT '!$D$99:$AA$112,19,0)</f>
        <v>#REF!</v>
      </c>
      <c r="D936" s="697">
        <v>20000</v>
      </c>
      <c r="E936" s="695" t="e">
        <f>C936*D936</f>
        <v>#REF!</v>
      </c>
      <c r="F936" s="750"/>
      <c r="G936" s="693" t="s">
        <v>453</v>
      </c>
      <c r="H936" s="844" t="s">
        <v>497</v>
      </c>
      <c r="I936" s="747" t="e">
        <f>VLOOKUP(H927,'CNKT '!$D$99:$AA$112,19,0)</f>
        <v>#REF!</v>
      </c>
      <c r="J936" s="697">
        <v>20000</v>
      </c>
      <c r="K936" s="695" t="e">
        <f>I936*J936</f>
        <v>#REF!</v>
      </c>
      <c r="L936" s="690"/>
    </row>
    <row r="937" spans="1:12" s="27" customFormat="1" ht="17.25" customHeight="1">
      <c r="A937" s="693" t="s">
        <v>512</v>
      </c>
      <c r="B937" s="844" t="s">
        <v>513</v>
      </c>
      <c r="C937" s="747"/>
      <c r="D937" s="697"/>
      <c r="E937" s="695"/>
      <c r="F937" s="750"/>
      <c r="G937" s="693" t="s">
        <v>512</v>
      </c>
      <c r="H937" s="844" t="s">
        <v>513</v>
      </c>
      <c r="I937" s="747"/>
      <c r="J937" s="697"/>
      <c r="K937" s="695"/>
      <c r="L937" s="690"/>
    </row>
    <row r="938" spans="1:12" s="27" customFormat="1" ht="17.25" customHeight="1">
      <c r="A938" s="699" t="s">
        <v>79</v>
      </c>
      <c r="B938" s="845" t="s">
        <v>532</v>
      </c>
      <c r="C938" s="700"/>
      <c r="D938" s="701"/>
      <c r="E938" s="700"/>
      <c r="F938" s="750"/>
      <c r="G938" s="699" t="s">
        <v>79</v>
      </c>
      <c r="H938" s="845" t="s">
        <v>532</v>
      </c>
      <c r="I938" s="700"/>
      <c r="J938" s="701"/>
      <c r="K938" s="700"/>
      <c r="L938" s="690"/>
    </row>
    <row r="939" spans="1:12" s="27" customFormat="1" ht="17.25" customHeight="1">
      <c r="A939" s="702" t="s">
        <v>80</v>
      </c>
      <c r="B939" s="846" t="s">
        <v>533</v>
      </c>
      <c r="C939" s="700"/>
      <c r="D939" s="700"/>
      <c r="E939" s="700"/>
      <c r="F939" s="750"/>
      <c r="G939" s="702" t="s">
        <v>80</v>
      </c>
      <c r="H939" s="846" t="s">
        <v>533</v>
      </c>
      <c r="I939" s="700"/>
      <c r="J939" s="700"/>
      <c r="K939" s="700"/>
      <c r="L939" s="690"/>
    </row>
    <row r="940" spans="1:12" s="27" customFormat="1" ht="17.25" customHeight="1">
      <c r="A940" s="702" t="s">
        <v>81</v>
      </c>
      <c r="B940" s="847" t="s">
        <v>534</v>
      </c>
      <c r="C940" s="700"/>
      <c r="D940" s="700"/>
      <c r="E940" s="695">
        <f>SUM(E939)</f>
        <v>0</v>
      </c>
      <c r="F940" s="747"/>
      <c r="G940" s="702" t="s">
        <v>81</v>
      </c>
      <c r="H940" s="847" t="s">
        <v>534</v>
      </c>
      <c r="I940" s="700"/>
      <c r="J940" s="700"/>
      <c r="K940" s="695">
        <f>SUM(K939)</f>
        <v>0</v>
      </c>
      <c r="L940" s="690"/>
    </row>
    <row r="941" spans="1:12" s="27" customFormat="1" ht="17.25" customHeight="1">
      <c r="A941" s="704" t="s">
        <v>82</v>
      </c>
      <c r="B941" s="848" t="s">
        <v>438</v>
      </c>
      <c r="C941" s="705"/>
      <c r="D941" s="705"/>
      <c r="E941" s="705" t="e">
        <f>(E929+E930+E931+E932+E933+E934+E935+E936+E937)-E940</f>
        <v>#REF!</v>
      </c>
      <c r="F941" s="747"/>
      <c r="G941" s="704" t="s">
        <v>82</v>
      </c>
      <c r="H941" s="848" t="s">
        <v>438</v>
      </c>
      <c r="I941" s="705"/>
      <c r="J941" s="705"/>
      <c r="K941" s="705" t="e">
        <f>(K929+K930+K931+K932+K933+K934+K935+K936+K937)-K940</f>
        <v>#REF!</v>
      </c>
      <c r="L941" s="707" t="e">
        <f>E941+K941</f>
        <v>#REF!</v>
      </c>
    </row>
    <row r="942" spans="1:12" s="27" customFormat="1" ht="6.75" customHeight="1">
      <c r="A942" s="739"/>
      <c r="B942" s="740"/>
      <c r="C942" s="741"/>
      <c r="D942" s="741"/>
      <c r="E942" s="741"/>
      <c r="F942" s="742"/>
      <c r="G942" s="837"/>
      <c r="H942" s="837"/>
      <c r="I942" s="837"/>
      <c r="J942" s="837"/>
      <c r="K942" s="743"/>
      <c r="L942" s="690"/>
    </row>
    <row r="943" spans="1:12" s="27" customFormat="1" ht="17.25" customHeight="1">
      <c r="A943" s="763" t="str">
        <f>A926</f>
        <v>LƯƠNG THÁNG 01/2025</v>
      </c>
      <c r="B943" s="763"/>
      <c r="C943" s="763"/>
      <c r="D943" s="763"/>
      <c r="E943" s="763" t="e">
        <f>VLOOKUP(B944,'CNKT '!$D$99:$AD$112,26,0)</f>
        <v>#REF!</v>
      </c>
      <c r="F943" s="742"/>
      <c r="G943" s="763" t="str">
        <f>A943</f>
        <v>LƯƠNG THÁNG 01/2025</v>
      </c>
      <c r="H943" s="763"/>
      <c r="I943" s="763"/>
      <c r="J943" s="763"/>
      <c r="K943" s="763" t="e">
        <f>VLOOKUP(H944,'CNKT '!$D$99:$AD$112,26,0)</f>
        <v>#REF!</v>
      </c>
      <c r="L943" s="690"/>
    </row>
    <row r="944" spans="1:12" s="27" customFormat="1" ht="17.25" customHeight="1">
      <c r="A944" s="709" t="s">
        <v>15</v>
      </c>
      <c r="B944" s="840" t="e">
        <f>'CNKT '!#REF!</f>
        <v>#REF!</v>
      </c>
      <c r="C944" s="694"/>
      <c r="D944" s="840" t="s">
        <v>396</v>
      </c>
      <c r="E944" s="840" t="s">
        <v>18</v>
      </c>
      <c r="F944" s="750"/>
      <c r="G944" s="709" t="s">
        <v>15</v>
      </c>
      <c r="H944" s="840" t="e">
        <f>'CNKT '!#REF!</f>
        <v>#REF!</v>
      </c>
      <c r="I944" s="694"/>
      <c r="J944" s="840" t="s">
        <v>396</v>
      </c>
      <c r="K944" s="840" t="s">
        <v>18</v>
      </c>
      <c r="L944" s="690"/>
    </row>
    <row r="945" spans="1:12" s="27" customFormat="1" ht="17.25" customHeight="1">
      <c r="A945" s="693" t="s">
        <v>397</v>
      </c>
      <c r="B945" s="842" t="s">
        <v>527</v>
      </c>
      <c r="C945" s="694" t="e">
        <f>VLOOKUP(B944,'BTH mủ tạp'!#REF!,36,0)</f>
        <v>#REF!</v>
      </c>
      <c r="D945" s="695"/>
      <c r="E945" s="695"/>
      <c r="F945" s="750"/>
      <c r="G945" s="693" t="s">
        <v>397</v>
      </c>
      <c r="H945" s="842" t="s">
        <v>527</v>
      </c>
      <c r="I945" s="694" t="e">
        <f>VLOOKUP(H944,'BTH mủ tạp'!#REF!,36,0)</f>
        <v>#REF!</v>
      </c>
      <c r="J945" s="695"/>
      <c r="K945" s="695"/>
      <c r="L945" s="690"/>
    </row>
    <row r="946" spans="1:12" s="27" customFormat="1" ht="17.25" customHeight="1">
      <c r="A946" s="693" t="s">
        <v>77</v>
      </c>
      <c r="B946" s="843" t="s">
        <v>432</v>
      </c>
      <c r="C946" s="696" t="e">
        <f>VLOOKUP(B944,'CNKT '!$D$99:$AA$106,3,0)</f>
        <v>#REF!</v>
      </c>
      <c r="D946" s="697">
        <v>25000</v>
      </c>
      <c r="E946" s="695" t="e">
        <f t="shared" ref="E946:E951" si="109">C946*D946</f>
        <v>#REF!</v>
      </c>
      <c r="F946" s="750"/>
      <c r="G946" s="693" t="s">
        <v>77</v>
      </c>
      <c r="H946" s="843" t="s">
        <v>432</v>
      </c>
      <c r="I946" s="696" t="e">
        <f>VLOOKUP(H944,'CNKT '!$D$99:$AA$106,3,0)</f>
        <v>#REF!</v>
      </c>
      <c r="J946" s="697">
        <v>25000</v>
      </c>
      <c r="K946" s="695" t="e">
        <f t="shared" ref="K946:K951" si="110">I946*J946</f>
        <v>#REF!</v>
      </c>
      <c r="L946" s="690"/>
    </row>
    <row r="947" spans="1:12" s="27" customFormat="1" ht="17.25" customHeight="1">
      <c r="A947" s="693" t="s">
        <v>307</v>
      </c>
      <c r="B947" s="844" t="s">
        <v>528</v>
      </c>
      <c r="C947" s="747" t="e">
        <f>VLOOKUP(B944,'CNKT '!$D$99:$AA$106,11,0)</f>
        <v>#REF!</v>
      </c>
      <c r="D947" s="698">
        <f>46.1*$B$2</f>
        <v>30833.524000000001</v>
      </c>
      <c r="E947" s="695" t="e">
        <f t="shared" si="109"/>
        <v>#REF!</v>
      </c>
      <c r="F947" s="750"/>
      <c r="G947" s="693" t="s">
        <v>307</v>
      </c>
      <c r="H947" s="844" t="s">
        <v>528</v>
      </c>
      <c r="I947" s="747" t="e">
        <f>VLOOKUP(H944,'CNKT '!$D$99:$AA$106,11,0)</f>
        <v>#REF!</v>
      </c>
      <c r="J947" s="698">
        <f>46.1*$B$2</f>
        <v>30833.524000000001</v>
      </c>
      <c r="K947" s="695" t="e">
        <f t="shared" si="110"/>
        <v>#REF!</v>
      </c>
      <c r="L947" s="690"/>
    </row>
    <row r="948" spans="1:12" s="27" customFormat="1" ht="17.25" customHeight="1">
      <c r="A948" s="693" t="s">
        <v>399</v>
      </c>
      <c r="B948" s="844" t="s">
        <v>529</v>
      </c>
      <c r="C948" s="747" t="e">
        <f>VLOOKUP(B944,'CNKT '!$D$99:$AA$106,12,0)</f>
        <v>#REF!</v>
      </c>
      <c r="D948" s="697">
        <f>76.9*$B$2</f>
        <v>51433.796000000009</v>
      </c>
      <c r="E948" s="695" t="e">
        <f t="shared" si="109"/>
        <v>#REF!</v>
      </c>
      <c r="F948" s="750"/>
      <c r="G948" s="693" t="s">
        <v>399</v>
      </c>
      <c r="H948" s="844" t="s">
        <v>529</v>
      </c>
      <c r="I948" s="747" t="e">
        <f>VLOOKUP(H944,'CNKT '!$D$99:$AA$106,12,0)</f>
        <v>#REF!</v>
      </c>
      <c r="J948" s="697">
        <f>76.9*$B$2</f>
        <v>51433.796000000009</v>
      </c>
      <c r="K948" s="695" t="e">
        <f t="shared" si="110"/>
        <v>#REF!</v>
      </c>
      <c r="L948" s="690"/>
    </row>
    <row r="949" spans="1:12" s="27" customFormat="1" ht="17.25" customHeight="1">
      <c r="A949" s="693" t="s">
        <v>78</v>
      </c>
      <c r="B949" s="844" t="s">
        <v>530</v>
      </c>
      <c r="C949" s="747" t="e">
        <f>VLOOKUP(B944,'CNKT '!$D$99:$AA$106,8,0)</f>
        <v>#REF!</v>
      </c>
      <c r="D949" s="697" t="e">
        <f>IF(C945="A",6.1,IF(C945="B",5.8,IF(C945="C",5.5,IF(C945="C.",5.5,IF(C945="D",5.2)))))*$B$2</f>
        <v>#REF!</v>
      </c>
      <c r="E949" s="695" t="e">
        <f t="shared" si="109"/>
        <v>#REF!</v>
      </c>
      <c r="F949" s="750"/>
      <c r="G949" s="693" t="s">
        <v>78</v>
      </c>
      <c r="H949" s="844" t="s">
        <v>530</v>
      </c>
      <c r="I949" s="747" t="e">
        <f>VLOOKUP(H944,'CNKT '!$D$99:$AA$106,8,0)</f>
        <v>#REF!</v>
      </c>
      <c r="J949" s="697" t="e">
        <f>IF(I945="A",6.1,IF(I945="B",5.8,IF(I945="C",5.5,IF(I945="C.",5.5,IF(I945="D",5.2)))))*$B$2</f>
        <v>#REF!</v>
      </c>
      <c r="K949" s="695" t="e">
        <f t="shared" si="110"/>
        <v>#REF!</v>
      </c>
      <c r="L949" s="690"/>
    </row>
    <row r="950" spans="1:12" s="27" customFormat="1" ht="17.25" customHeight="1">
      <c r="A950" s="693" t="s">
        <v>491</v>
      </c>
      <c r="B950" s="844" t="s">
        <v>531</v>
      </c>
      <c r="C950" s="747" t="e">
        <f>VLOOKUP(B944,'CNKT '!$D$99:$AA$106,15,0)</f>
        <v>#REF!</v>
      </c>
      <c r="D950" s="698">
        <f>92.2*$B$2</f>
        <v>61667.048000000003</v>
      </c>
      <c r="E950" s="695" t="e">
        <f t="shared" si="109"/>
        <v>#REF!</v>
      </c>
      <c r="F950" s="750"/>
      <c r="G950" s="693" t="s">
        <v>491</v>
      </c>
      <c r="H950" s="844" t="s">
        <v>531</v>
      </c>
      <c r="I950" s="747" t="e">
        <f>VLOOKUP(H944,'CNKT '!$D$99:$AA$106,15,0)</f>
        <v>#REF!</v>
      </c>
      <c r="J950" s="698">
        <f>92.2*$B$2</f>
        <v>61667.048000000003</v>
      </c>
      <c r="K950" s="695" t="e">
        <f t="shared" si="110"/>
        <v>#REF!</v>
      </c>
      <c r="L950" s="690"/>
    </row>
    <row r="951" spans="1:12" s="27" customFormat="1" ht="17.25" customHeight="1">
      <c r="A951" s="693" t="s">
        <v>492</v>
      </c>
      <c r="B951" s="844" t="s">
        <v>496</v>
      </c>
      <c r="C951" s="747" t="e">
        <f>VLOOKUP(B944,'CNKT '!$D$99:$AA$106,16,0)</f>
        <v>#REF!</v>
      </c>
      <c r="D951" s="697">
        <f>153.8*$B$2</f>
        <v>102867.59200000002</v>
      </c>
      <c r="E951" s="695" t="e">
        <f t="shared" si="109"/>
        <v>#REF!</v>
      </c>
      <c r="F951" s="750"/>
      <c r="G951" s="693" t="s">
        <v>492</v>
      </c>
      <c r="H951" s="844" t="s">
        <v>496</v>
      </c>
      <c r="I951" s="747" t="e">
        <f>VLOOKUP(H944,'CNKT '!$D$99:$AA$106,16,0)</f>
        <v>#REF!</v>
      </c>
      <c r="J951" s="697">
        <f>153.8*$B$2</f>
        <v>102867.59200000002</v>
      </c>
      <c r="K951" s="695" t="e">
        <f t="shared" si="110"/>
        <v>#REF!</v>
      </c>
      <c r="L951" s="690"/>
    </row>
    <row r="952" spans="1:12" s="27" customFormat="1" ht="17.25" customHeight="1">
      <c r="A952" s="693" t="s">
        <v>453</v>
      </c>
      <c r="B952" s="844" t="s">
        <v>497</v>
      </c>
      <c r="C952" s="747" t="e">
        <f>VLOOKUP(B944,'CNKT '!$D$99:$AA$112,18,0)</f>
        <v>#REF!</v>
      </c>
      <c r="D952" s="697">
        <v>10000</v>
      </c>
      <c r="E952" s="695" t="e">
        <f>C952*D952</f>
        <v>#REF!</v>
      </c>
      <c r="F952" s="750"/>
      <c r="G952" s="693" t="s">
        <v>453</v>
      </c>
      <c r="H952" s="844" t="s">
        <v>497</v>
      </c>
      <c r="I952" s="747" t="e">
        <f>VLOOKUP(H944,'CNKT '!$D$99:$AA$112,18,0)</f>
        <v>#REF!</v>
      </c>
      <c r="J952" s="697">
        <v>10000</v>
      </c>
      <c r="K952" s="695" t="e">
        <f>I952*J952</f>
        <v>#REF!</v>
      </c>
      <c r="L952" s="690"/>
    </row>
    <row r="953" spans="1:12" s="27" customFormat="1" ht="17.25" customHeight="1">
      <c r="A953" s="693" t="s">
        <v>453</v>
      </c>
      <c r="B953" s="844" t="s">
        <v>497</v>
      </c>
      <c r="C953" s="747" t="e">
        <f>VLOOKUP(B944,'CNKT '!$D$99:$AA$112,19,0)</f>
        <v>#REF!</v>
      </c>
      <c r="D953" s="697">
        <v>20000</v>
      </c>
      <c r="E953" s="695" t="e">
        <f>C953*D953</f>
        <v>#REF!</v>
      </c>
      <c r="F953" s="750"/>
      <c r="G953" s="693" t="s">
        <v>453</v>
      </c>
      <c r="H953" s="844" t="s">
        <v>497</v>
      </c>
      <c r="I953" s="747" t="e">
        <f>VLOOKUP(H944,'CNKT '!$D$99:$AA$112,19,0)</f>
        <v>#REF!</v>
      </c>
      <c r="J953" s="697">
        <v>20000</v>
      </c>
      <c r="K953" s="695" t="e">
        <f>I953*J953</f>
        <v>#REF!</v>
      </c>
      <c r="L953" s="690"/>
    </row>
    <row r="954" spans="1:12" s="27" customFormat="1" ht="17.25" customHeight="1">
      <c r="A954" s="693" t="s">
        <v>512</v>
      </c>
      <c r="B954" s="844" t="s">
        <v>513</v>
      </c>
      <c r="C954" s="747"/>
      <c r="D954" s="697"/>
      <c r="E954" s="695"/>
      <c r="F954" s="750"/>
      <c r="G954" s="693" t="s">
        <v>512</v>
      </c>
      <c r="H954" s="844" t="s">
        <v>513</v>
      </c>
      <c r="I954" s="747"/>
      <c r="J954" s="697"/>
      <c r="K954" s="695"/>
      <c r="L954" s="690"/>
    </row>
    <row r="955" spans="1:12" s="27" customFormat="1" ht="17.25" customHeight="1">
      <c r="A955" s="699" t="s">
        <v>79</v>
      </c>
      <c r="B955" s="845" t="s">
        <v>532</v>
      </c>
      <c r="C955" s="700"/>
      <c r="D955" s="701"/>
      <c r="E955" s="700"/>
      <c r="F955" s="750"/>
      <c r="G955" s="699" t="s">
        <v>79</v>
      </c>
      <c r="H955" s="845" t="s">
        <v>532</v>
      </c>
      <c r="I955" s="700"/>
      <c r="J955" s="701"/>
      <c r="K955" s="700"/>
      <c r="L955" s="690"/>
    </row>
    <row r="956" spans="1:12" s="27" customFormat="1" ht="17.25" customHeight="1">
      <c r="A956" s="702" t="s">
        <v>80</v>
      </c>
      <c r="B956" s="846" t="s">
        <v>533</v>
      </c>
      <c r="C956" s="700"/>
      <c r="D956" s="700"/>
      <c r="E956" s="700"/>
      <c r="F956" s="750"/>
      <c r="G956" s="702" t="s">
        <v>80</v>
      </c>
      <c r="H956" s="846" t="s">
        <v>533</v>
      </c>
      <c r="I956" s="700"/>
      <c r="J956" s="700"/>
      <c r="K956" s="700"/>
      <c r="L956" s="690"/>
    </row>
    <row r="957" spans="1:12" s="27" customFormat="1" ht="17.25" customHeight="1">
      <c r="A957" s="702" t="s">
        <v>81</v>
      </c>
      <c r="B957" s="847" t="s">
        <v>534</v>
      </c>
      <c r="C957" s="700"/>
      <c r="D957" s="700"/>
      <c r="E957" s="695">
        <f>SUM(E956)</f>
        <v>0</v>
      </c>
      <c r="F957" s="746"/>
      <c r="G957" s="702" t="s">
        <v>81</v>
      </c>
      <c r="H957" s="847" t="s">
        <v>534</v>
      </c>
      <c r="I957" s="700"/>
      <c r="J957" s="700"/>
      <c r="K957" s="695">
        <f>SUM(K956)</f>
        <v>0</v>
      </c>
      <c r="L957" s="690"/>
    </row>
    <row r="958" spans="1:12" s="27" customFormat="1" ht="17.25" customHeight="1">
      <c r="A958" s="704" t="s">
        <v>82</v>
      </c>
      <c r="B958" s="848" t="s">
        <v>438</v>
      </c>
      <c r="C958" s="705"/>
      <c r="D958" s="705"/>
      <c r="E958" s="705" t="e">
        <f>(E946+E947+E948+E949+E950+E951+E952+E953+E954)-E957</f>
        <v>#REF!</v>
      </c>
      <c r="F958" s="746"/>
      <c r="G958" s="704" t="s">
        <v>82</v>
      </c>
      <c r="H958" s="848" t="s">
        <v>438</v>
      </c>
      <c r="I958" s="705"/>
      <c r="J958" s="705"/>
      <c r="K958" s="705" t="e">
        <f>(K946+K947+K948+K949+K950+K951+K952+K953+K954)-K957</f>
        <v>#REF!</v>
      </c>
      <c r="L958" s="707" t="e">
        <f>E958+K958</f>
        <v>#REF!</v>
      </c>
    </row>
    <row r="959" spans="1:12" s="27" customFormat="1" ht="17.25" customHeight="1">
      <c r="A959" s="739"/>
      <c r="B959" s="740"/>
      <c r="C959" s="741"/>
      <c r="D959" s="741"/>
      <c r="E959" s="741"/>
      <c r="F959" s="742"/>
      <c r="G959" s="837"/>
      <c r="H959" s="837"/>
      <c r="I959" s="837"/>
      <c r="J959" s="837"/>
      <c r="K959" s="743"/>
      <c r="L959" s="690"/>
    </row>
    <row r="960" spans="1:12" s="27" customFormat="1" ht="17.25" customHeight="1">
      <c r="A960" s="763" t="str">
        <f>A943</f>
        <v>LƯƠNG THÁNG 01/2025</v>
      </c>
      <c r="B960" s="763"/>
      <c r="C960" s="763"/>
      <c r="D960" s="763"/>
      <c r="E960" s="763" t="e">
        <f>VLOOKUP(B961,'CNKT '!$D$99:$AD$112,26,0)</f>
        <v>#REF!</v>
      </c>
      <c r="F960" s="742"/>
      <c r="G960" s="763" t="str">
        <f>A960</f>
        <v>LƯƠNG THÁNG 01/2025</v>
      </c>
      <c r="H960" s="763"/>
      <c r="I960" s="763"/>
      <c r="J960" s="763"/>
      <c r="K960" s="763" t="e">
        <f>VLOOKUP(H961,'CNKT '!$D$99:$AD$112,26,0)</f>
        <v>#REF!</v>
      </c>
      <c r="L960" s="690"/>
    </row>
    <row r="961" spans="1:12" s="27" customFormat="1" ht="17.25" customHeight="1">
      <c r="A961" s="709" t="s">
        <v>15</v>
      </c>
      <c r="B961" s="840" t="e">
        <f>'CNKT '!#REF!</f>
        <v>#REF!</v>
      </c>
      <c r="C961" s="694"/>
      <c r="D961" s="840" t="s">
        <v>396</v>
      </c>
      <c r="E961" s="840" t="s">
        <v>18</v>
      </c>
      <c r="F961" s="750"/>
      <c r="G961" s="709" t="s">
        <v>15</v>
      </c>
      <c r="H961" s="840" t="e">
        <f>'CNKT '!#REF!</f>
        <v>#REF!</v>
      </c>
      <c r="I961" s="694"/>
      <c r="J961" s="840" t="s">
        <v>396</v>
      </c>
      <c r="K961" s="840" t="s">
        <v>18</v>
      </c>
      <c r="L961" s="690"/>
    </row>
    <row r="962" spans="1:12" s="27" customFormat="1" ht="17.25" customHeight="1">
      <c r="A962" s="693" t="s">
        <v>397</v>
      </c>
      <c r="B962" s="842" t="s">
        <v>527</v>
      </c>
      <c r="C962" s="694" t="e">
        <f>VLOOKUP(B961,'BTH mủ tạp'!#REF!,36,0)</f>
        <v>#REF!</v>
      </c>
      <c r="D962" s="695"/>
      <c r="E962" s="695"/>
      <c r="F962" s="750"/>
      <c r="G962" s="693" t="s">
        <v>397</v>
      </c>
      <c r="H962" s="842" t="s">
        <v>527</v>
      </c>
      <c r="I962" s="694" t="e">
        <f>VLOOKUP(H961,'BTH mủ tạp'!#REF!,36,0)</f>
        <v>#REF!</v>
      </c>
      <c r="J962" s="695"/>
      <c r="K962" s="695"/>
      <c r="L962" s="690"/>
    </row>
    <row r="963" spans="1:12" s="27" customFormat="1" ht="17.25" customHeight="1">
      <c r="A963" s="693" t="s">
        <v>77</v>
      </c>
      <c r="B963" s="843" t="s">
        <v>432</v>
      </c>
      <c r="C963" s="696" t="e">
        <f>VLOOKUP(B961,'CNKT '!$D$99:$AA$106,3,0)</f>
        <v>#REF!</v>
      </c>
      <c r="D963" s="697">
        <v>25000</v>
      </c>
      <c r="E963" s="695" t="e">
        <f t="shared" ref="E963:E968" si="111">C963*D963</f>
        <v>#REF!</v>
      </c>
      <c r="F963" s="750"/>
      <c r="G963" s="693" t="s">
        <v>77</v>
      </c>
      <c r="H963" s="843" t="s">
        <v>432</v>
      </c>
      <c r="I963" s="696" t="e">
        <f>VLOOKUP(H961,'CNKT '!$D$99:$AA$106,3,0)</f>
        <v>#REF!</v>
      </c>
      <c r="J963" s="697">
        <v>25000</v>
      </c>
      <c r="K963" s="695" t="e">
        <f t="shared" ref="K963:K968" si="112">I963*J963</f>
        <v>#REF!</v>
      </c>
      <c r="L963" s="690"/>
    </row>
    <row r="964" spans="1:12" s="27" customFormat="1" ht="17.25" customHeight="1">
      <c r="A964" s="693" t="s">
        <v>307</v>
      </c>
      <c r="B964" s="844" t="s">
        <v>528</v>
      </c>
      <c r="C964" s="747" t="e">
        <f>VLOOKUP(B961,'CNKT '!$D$99:$AA$106,11,0)</f>
        <v>#REF!</v>
      </c>
      <c r="D964" s="698">
        <f>46.1*$B$2</f>
        <v>30833.524000000001</v>
      </c>
      <c r="E964" s="695" t="e">
        <f t="shared" si="111"/>
        <v>#REF!</v>
      </c>
      <c r="F964" s="750"/>
      <c r="G964" s="693" t="s">
        <v>307</v>
      </c>
      <c r="H964" s="844" t="s">
        <v>528</v>
      </c>
      <c r="I964" s="747" t="e">
        <f>VLOOKUP(H961,'CNKT '!$D$99:$AA$106,11,0)</f>
        <v>#REF!</v>
      </c>
      <c r="J964" s="698">
        <f>46.1*$B$2</f>
        <v>30833.524000000001</v>
      </c>
      <c r="K964" s="695" t="e">
        <f t="shared" si="112"/>
        <v>#REF!</v>
      </c>
      <c r="L964" s="690"/>
    </row>
    <row r="965" spans="1:12" s="27" customFormat="1" ht="17.25" customHeight="1">
      <c r="A965" s="693" t="s">
        <v>399</v>
      </c>
      <c r="B965" s="844" t="s">
        <v>529</v>
      </c>
      <c r="C965" s="747" t="e">
        <f>VLOOKUP(B961,'CNKT '!$D$99:$AA$106,12,0)</f>
        <v>#REF!</v>
      </c>
      <c r="D965" s="697">
        <f>76.9*$B$2</f>
        <v>51433.796000000009</v>
      </c>
      <c r="E965" s="695" t="e">
        <f t="shared" si="111"/>
        <v>#REF!</v>
      </c>
      <c r="F965" s="750"/>
      <c r="G965" s="693" t="s">
        <v>399</v>
      </c>
      <c r="H965" s="844" t="s">
        <v>529</v>
      </c>
      <c r="I965" s="747" t="e">
        <f>VLOOKUP(H961,'CNKT '!$D$99:$AA$106,12,0)</f>
        <v>#REF!</v>
      </c>
      <c r="J965" s="697">
        <f>76.9*$B$2</f>
        <v>51433.796000000009</v>
      </c>
      <c r="K965" s="695" t="e">
        <f t="shared" si="112"/>
        <v>#REF!</v>
      </c>
      <c r="L965" s="690"/>
    </row>
    <row r="966" spans="1:12" s="27" customFormat="1" ht="17.25" customHeight="1">
      <c r="A966" s="693" t="s">
        <v>78</v>
      </c>
      <c r="B966" s="844" t="s">
        <v>530</v>
      </c>
      <c r="C966" s="747" t="e">
        <f>VLOOKUP(B961,'CNKT '!$D$99:$AA$106,8,0)</f>
        <v>#REF!</v>
      </c>
      <c r="D966" s="697" t="e">
        <f>IF(C962="A",6.1,IF(C962="B",5.8,IF(C962="C",5.5,IF(C962="C.",5.5,IF(C962="D",5.2)))))*$B$2</f>
        <v>#REF!</v>
      </c>
      <c r="E966" s="695" t="e">
        <f t="shared" si="111"/>
        <v>#REF!</v>
      </c>
      <c r="F966" s="750"/>
      <c r="G966" s="693" t="s">
        <v>78</v>
      </c>
      <c r="H966" s="844" t="s">
        <v>530</v>
      </c>
      <c r="I966" s="747" t="e">
        <f>VLOOKUP(H961,'CNKT '!$D$99:$AA$106,8,0)</f>
        <v>#REF!</v>
      </c>
      <c r="J966" s="697" t="e">
        <f>IF(I962="A",6.1,IF(I962="B",5.8,IF(I962="C",5.5,IF(I962="C.",5.5,IF(I962="D",5.2)))))*$B$2</f>
        <v>#REF!</v>
      </c>
      <c r="K966" s="695" t="e">
        <f t="shared" si="112"/>
        <v>#REF!</v>
      </c>
      <c r="L966" s="690"/>
    </row>
    <row r="967" spans="1:12" s="27" customFormat="1" ht="17.25" customHeight="1">
      <c r="A967" s="693" t="s">
        <v>491</v>
      </c>
      <c r="B967" s="844" t="s">
        <v>531</v>
      </c>
      <c r="C967" s="747" t="e">
        <f>VLOOKUP(B961,'CNKT '!$D$99:$AA$106,15,0)</f>
        <v>#REF!</v>
      </c>
      <c r="D967" s="698">
        <f>92.2*$B$2</f>
        <v>61667.048000000003</v>
      </c>
      <c r="E967" s="695" t="e">
        <f t="shared" si="111"/>
        <v>#REF!</v>
      </c>
      <c r="F967" s="750"/>
      <c r="G967" s="693" t="s">
        <v>491</v>
      </c>
      <c r="H967" s="844" t="s">
        <v>531</v>
      </c>
      <c r="I967" s="747" t="e">
        <f>VLOOKUP(H961,'CNKT '!$D$99:$AA$106,15,0)</f>
        <v>#REF!</v>
      </c>
      <c r="J967" s="698">
        <f>92.2*$B$2</f>
        <v>61667.048000000003</v>
      </c>
      <c r="K967" s="695" t="e">
        <f t="shared" si="112"/>
        <v>#REF!</v>
      </c>
      <c r="L967" s="690"/>
    </row>
    <row r="968" spans="1:12" s="27" customFormat="1" ht="17.25" customHeight="1">
      <c r="A968" s="693" t="s">
        <v>492</v>
      </c>
      <c r="B968" s="844" t="s">
        <v>496</v>
      </c>
      <c r="C968" s="747" t="e">
        <f>VLOOKUP(B961,'CNKT '!$D$99:$AA$106,16,0)</f>
        <v>#REF!</v>
      </c>
      <c r="D968" s="697">
        <f>153.8*$B$2</f>
        <v>102867.59200000002</v>
      </c>
      <c r="E968" s="695" t="e">
        <f t="shared" si="111"/>
        <v>#REF!</v>
      </c>
      <c r="F968" s="750"/>
      <c r="G968" s="693" t="s">
        <v>492</v>
      </c>
      <c r="H968" s="844" t="s">
        <v>496</v>
      </c>
      <c r="I968" s="747" t="e">
        <f>VLOOKUP(H961,'CNKT '!$D$99:$AA$106,16,0)</f>
        <v>#REF!</v>
      </c>
      <c r="J968" s="697">
        <f>153.8*$B$2</f>
        <v>102867.59200000002</v>
      </c>
      <c r="K968" s="695" t="e">
        <f t="shared" si="112"/>
        <v>#REF!</v>
      </c>
      <c r="L968" s="690"/>
    </row>
    <row r="969" spans="1:12" s="27" customFormat="1" ht="17.25" customHeight="1">
      <c r="A969" s="693" t="s">
        <v>453</v>
      </c>
      <c r="B969" s="844" t="s">
        <v>497</v>
      </c>
      <c r="C969" s="747" t="e">
        <f>VLOOKUP(B961,'CNKT '!$D$99:$AA$112,18,0)</f>
        <v>#REF!</v>
      </c>
      <c r="D969" s="697">
        <v>10000</v>
      </c>
      <c r="E969" s="695" t="e">
        <f>C969*D969</f>
        <v>#REF!</v>
      </c>
      <c r="F969" s="750"/>
      <c r="G969" s="693" t="s">
        <v>453</v>
      </c>
      <c r="H969" s="844" t="s">
        <v>497</v>
      </c>
      <c r="I969" s="747" t="e">
        <f>VLOOKUP(H961,'CNKT '!$D$99:$AA$112,18,0)</f>
        <v>#REF!</v>
      </c>
      <c r="J969" s="697">
        <v>10000</v>
      </c>
      <c r="K969" s="695" t="e">
        <f>I969*J969</f>
        <v>#REF!</v>
      </c>
      <c r="L969" s="690"/>
    </row>
    <row r="970" spans="1:12" s="27" customFormat="1" ht="17.25" customHeight="1">
      <c r="A970" s="693" t="s">
        <v>453</v>
      </c>
      <c r="B970" s="844" t="s">
        <v>497</v>
      </c>
      <c r="C970" s="747" t="e">
        <f>VLOOKUP(B961,'CNKT '!$D$99:$AA$112,19,0)</f>
        <v>#REF!</v>
      </c>
      <c r="D970" s="697">
        <v>20000</v>
      </c>
      <c r="E970" s="695" t="e">
        <f>C970*D970</f>
        <v>#REF!</v>
      </c>
      <c r="F970" s="750"/>
      <c r="G970" s="693" t="s">
        <v>453</v>
      </c>
      <c r="H970" s="844" t="s">
        <v>497</v>
      </c>
      <c r="I970" s="747" t="e">
        <f>VLOOKUP(H961,'CNKT '!$D$99:$AA$112,19,0)</f>
        <v>#REF!</v>
      </c>
      <c r="J970" s="697">
        <v>20000</v>
      </c>
      <c r="K970" s="695" t="e">
        <f>I970*J970</f>
        <v>#REF!</v>
      </c>
      <c r="L970" s="690"/>
    </row>
    <row r="971" spans="1:12" s="27" customFormat="1" ht="17.25" customHeight="1">
      <c r="A971" s="693" t="s">
        <v>512</v>
      </c>
      <c r="B971" s="844" t="s">
        <v>513</v>
      </c>
      <c r="C971" s="747"/>
      <c r="D971" s="697"/>
      <c r="E971" s="695"/>
      <c r="F971" s="750"/>
      <c r="G971" s="693" t="s">
        <v>512</v>
      </c>
      <c r="H971" s="844" t="s">
        <v>513</v>
      </c>
      <c r="I971" s="747"/>
      <c r="J971" s="697"/>
      <c r="K971" s="695"/>
      <c r="L971" s="690"/>
    </row>
    <row r="972" spans="1:12" s="27" customFormat="1" ht="17.25" customHeight="1">
      <c r="A972" s="699" t="s">
        <v>79</v>
      </c>
      <c r="B972" s="845" t="s">
        <v>532</v>
      </c>
      <c r="C972" s="700"/>
      <c r="D972" s="701"/>
      <c r="E972" s="700"/>
      <c r="F972" s="750"/>
      <c r="G972" s="699" t="s">
        <v>79</v>
      </c>
      <c r="H972" s="845" t="s">
        <v>532</v>
      </c>
      <c r="I972" s="700"/>
      <c r="J972" s="701"/>
      <c r="K972" s="700"/>
      <c r="L972" s="690"/>
    </row>
    <row r="973" spans="1:12" s="27" customFormat="1" ht="17.25" customHeight="1">
      <c r="A973" s="702" t="s">
        <v>80</v>
      </c>
      <c r="B973" s="846" t="s">
        <v>533</v>
      </c>
      <c r="C973" s="700"/>
      <c r="D973" s="700"/>
      <c r="E973" s="700"/>
      <c r="F973" s="750"/>
      <c r="G973" s="702" t="s">
        <v>80</v>
      </c>
      <c r="H973" s="846" t="s">
        <v>533</v>
      </c>
      <c r="I973" s="700"/>
      <c r="J973" s="700"/>
      <c r="K973" s="700"/>
      <c r="L973" s="690"/>
    </row>
    <row r="974" spans="1:12" s="27" customFormat="1" ht="17.25" customHeight="1">
      <c r="A974" s="702" t="s">
        <v>81</v>
      </c>
      <c r="B974" s="847" t="s">
        <v>534</v>
      </c>
      <c r="C974" s="700"/>
      <c r="D974" s="700"/>
      <c r="E974" s="695">
        <f>SUM(E973)</f>
        <v>0</v>
      </c>
      <c r="F974" s="738"/>
      <c r="G974" s="702" t="s">
        <v>81</v>
      </c>
      <c r="H974" s="847" t="s">
        <v>534</v>
      </c>
      <c r="I974" s="700"/>
      <c r="J974" s="700"/>
      <c r="K974" s="695">
        <f>SUM(K973)</f>
        <v>0</v>
      </c>
      <c r="L974" s="690"/>
    </row>
    <row r="975" spans="1:12" s="27" customFormat="1" ht="17.25" customHeight="1">
      <c r="A975" s="704" t="s">
        <v>82</v>
      </c>
      <c r="B975" s="848" t="s">
        <v>438</v>
      </c>
      <c r="C975" s="705"/>
      <c r="D975" s="705"/>
      <c r="E975" s="705" t="e">
        <f>(E963+E964+E965+E966+E967+E968+E969+E970+E971)-E974</f>
        <v>#REF!</v>
      </c>
      <c r="F975" s="738"/>
      <c r="G975" s="704" t="s">
        <v>82</v>
      </c>
      <c r="H975" s="848" t="s">
        <v>438</v>
      </c>
      <c r="I975" s="705"/>
      <c r="J975" s="705"/>
      <c r="K975" s="705" t="e">
        <f>(K963+K964+K965+K966+K967+K968+K969+K970+K971)-K974</f>
        <v>#REF!</v>
      </c>
      <c r="L975" s="707" t="e">
        <f>E975+K975</f>
        <v>#REF!</v>
      </c>
    </row>
    <row r="976" spans="1:12" s="27" customFormat="1" ht="17.25" customHeight="1">
      <c r="A976" s="1568"/>
      <c r="B976" s="1568"/>
      <c r="C976" s="1568"/>
      <c r="D976" s="1568"/>
      <c r="E976" s="1568"/>
      <c r="F976" s="742"/>
      <c r="G976" s="1568"/>
      <c r="H976" s="1568"/>
      <c r="I976" s="1568"/>
      <c r="J976" s="1568"/>
      <c r="K976" s="743"/>
      <c r="L976" s="690"/>
    </row>
    <row r="977" spans="1:13" s="27" customFormat="1" ht="17.25" customHeight="1">
      <c r="A977" s="763" t="str">
        <f>A960</f>
        <v>LƯƠNG THÁNG 01/2025</v>
      </c>
      <c r="B977" s="763"/>
      <c r="C977" s="763"/>
      <c r="D977" s="763"/>
      <c r="E977" s="763" t="e">
        <f>VLOOKUP(B978,'CNKT '!$D$99:$AD$112,26,0)</f>
        <v>#REF!</v>
      </c>
      <c r="F977" s="742"/>
      <c r="G977" s="763" t="str">
        <f>A977</f>
        <v>LƯƠNG THÁNG 01/2025</v>
      </c>
      <c r="H977" s="763"/>
      <c r="I977" s="763"/>
      <c r="J977" s="763"/>
      <c r="K977" s="763" t="e">
        <f>VLOOKUP(H978,'CNKT '!$D$99:$AD$112,26,0)</f>
        <v>#REF!</v>
      </c>
      <c r="L977" s="690"/>
    </row>
    <row r="978" spans="1:13" s="27" customFormat="1" ht="17.25" customHeight="1">
      <c r="A978" s="709" t="s">
        <v>15</v>
      </c>
      <c r="B978" s="840" t="e">
        <f>'CNKT '!#REF!</f>
        <v>#REF!</v>
      </c>
      <c r="C978" s="694"/>
      <c r="D978" s="840" t="s">
        <v>396</v>
      </c>
      <c r="E978" s="840" t="s">
        <v>18</v>
      </c>
      <c r="F978" s="750"/>
      <c r="G978" s="709" t="s">
        <v>15</v>
      </c>
      <c r="H978" s="840" t="e">
        <f>'CNKT '!#REF!</f>
        <v>#REF!</v>
      </c>
      <c r="I978" s="694"/>
      <c r="J978" s="840" t="s">
        <v>396</v>
      </c>
      <c r="K978" s="840" t="s">
        <v>18</v>
      </c>
      <c r="L978" s="690"/>
    </row>
    <row r="979" spans="1:13" s="27" customFormat="1" ht="17.25" customHeight="1">
      <c r="A979" s="693" t="s">
        <v>397</v>
      </c>
      <c r="B979" s="842" t="s">
        <v>527</v>
      </c>
      <c r="C979" s="694" t="e">
        <f>VLOOKUP(B978,'BTH mủ tạp'!#REF!,36,0)</f>
        <v>#REF!</v>
      </c>
      <c r="D979" s="695"/>
      <c r="E979" s="695"/>
      <c r="F979" s="750"/>
      <c r="G979" s="693" t="s">
        <v>397</v>
      </c>
      <c r="H979" s="842" t="s">
        <v>527</v>
      </c>
      <c r="I979" s="694" t="e">
        <f>VLOOKUP(H978,'BTH mủ tạp'!#REF!,36,0)</f>
        <v>#REF!</v>
      </c>
      <c r="J979" s="695"/>
      <c r="K979" s="695"/>
      <c r="L979" s="690"/>
    </row>
    <row r="980" spans="1:13" s="27" customFormat="1" ht="17.25" customHeight="1">
      <c r="A980" s="693" t="s">
        <v>77</v>
      </c>
      <c r="B980" s="843" t="s">
        <v>432</v>
      </c>
      <c r="C980" s="696" t="e">
        <f>VLOOKUP(B978,'CNKT '!$D$99:$AA$106,3,0)</f>
        <v>#REF!</v>
      </c>
      <c r="D980" s="697">
        <v>25000</v>
      </c>
      <c r="E980" s="695" t="e">
        <f t="shared" ref="E980:E985" si="113">C980*D980</f>
        <v>#REF!</v>
      </c>
      <c r="F980" s="750"/>
      <c r="G980" s="693" t="s">
        <v>77</v>
      </c>
      <c r="H980" s="843" t="s">
        <v>432</v>
      </c>
      <c r="I980" s="696" t="e">
        <f>VLOOKUP(H978,'CNKT '!$D$99:$AA$106,3,0)</f>
        <v>#REF!</v>
      </c>
      <c r="J980" s="697">
        <v>25000</v>
      </c>
      <c r="K980" s="695" t="e">
        <f t="shared" ref="K980:K985" si="114">I980*J980</f>
        <v>#REF!</v>
      </c>
      <c r="L980" s="690"/>
    </row>
    <row r="981" spans="1:13" s="27" customFormat="1" ht="17.25" customHeight="1">
      <c r="A981" s="693" t="s">
        <v>307</v>
      </c>
      <c r="B981" s="844" t="s">
        <v>528</v>
      </c>
      <c r="C981" s="747" t="e">
        <f>VLOOKUP(B978,'CNKT '!$D$99:$AA$106,11,0)</f>
        <v>#REF!</v>
      </c>
      <c r="D981" s="698">
        <f>46.1*$B$2</f>
        <v>30833.524000000001</v>
      </c>
      <c r="E981" s="695" t="e">
        <f t="shared" si="113"/>
        <v>#REF!</v>
      </c>
      <c r="F981" s="750"/>
      <c r="G981" s="693" t="s">
        <v>307</v>
      </c>
      <c r="H981" s="844" t="s">
        <v>528</v>
      </c>
      <c r="I981" s="747" t="e">
        <f>VLOOKUP(H978,'CNKT '!$D$99:$AA$106,11,0)</f>
        <v>#REF!</v>
      </c>
      <c r="J981" s="698">
        <f>46.1*$B$2</f>
        <v>30833.524000000001</v>
      </c>
      <c r="K981" s="695" t="e">
        <f t="shared" si="114"/>
        <v>#REF!</v>
      </c>
      <c r="L981" s="690"/>
    </row>
    <row r="982" spans="1:13" s="27" customFormat="1" ht="17.25" customHeight="1">
      <c r="A982" s="693" t="s">
        <v>399</v>
      </c>
      <c r="B982" s="844" t="s">
        <v>529</v>
      </c>
      <c r="C982" s="747" t="e">
        <f>VLOOKUP(B978,'CNKT '!$D$99:$AA$106,12,0)</f>
        <v>#REF!</v>
      </c>
      <c r="D982" s="697">
        <f>76.9*$B$2</f>
        <v>51433.796000000009</v>
      </c>
      <c r="E982" s="695" t="e">
        <f t="shared" si="113"/>
        <v>#REF!</v>
      </c>
      <c r="F982" s="750"/>
      <c r="G982" s="693" t="s">
        <v>399</v>
      </c>
      <c r="H982" s="844" t="s">
        <v>529</v>
      </c>
      <c r="I982" s="747" t="e">
        <f>VLOOKUP(H978,'CNKT '!$D$99:$AA$106,12,0)</f>
        <v>#REF!</v>
      </c>
      <c r="J982" s="697">
        <f>76.9*$B$2</f>
        <v>51433.796000000009</v>
      </c>
      <c r="K982" s="695" t="e">
        <f t="shared" si="114"/>
        <v>#REF!</v>
      </c>
      <c r="L982" s="690"/>
    </row>
    <row r="983" spans="1:13" s="27" customFormat="1" ht="17.25" customHeight="1">
      <c r="A983" s="693" t="s">
        <v>78</v>
      </c>
      <c r="B983" s="844" t="s">
        <v>530</v>
      </c>
      <c r="C983" s="747" t="e">
        <f>VLOOKUP(B978,'CNKT '!$D$99:$AA$106,8,0)</f>
        <v>#REF!</v>
      </c>
      <c r="D983" s="697" t="e">
        <f>IF(C979="A",6.1,IF(C979="B",5.8,IF(C979="C",5.5,IF(C979="C.",5.5,IF(C979="D",5.2)))))*$B$2</f>
        <v>#REF!</v>
      </c>
      <c r="E983" s="695" t="e">
        <f t="shared" si="113"/>
        <v>#REF!</v>
      </c>
      <c r="F983" s="750"/>
      <c r="G983" s="693" t="s">
        <v>78</v>
      </c>
      <c r="H983" s="844" t="s">
        <v>530</v>
      </c>
      <c r="I983" s="747" t="e">
        <f>VLOOKUP(H978,'CNKT '!$D$99:$AA$106,8,0)</f>
        <v>#REF!</v>
      </c>
      <c r="J983" s="697" t="e">
        <f>IF(I979="A",6.1,IF(I979="B",5.8,IF(I979="C",5.5,IF(I979="C.",5.5,IF(I979="D",5.2)))))*$B$2</f>
        <v>#REF!</v>
      </c>
      <c r="K983" s="695" t="e">
        <f t="shared" si="114"/>
        <v>#REF!</v>
      </c>
      <c r="L983" s="690"/>
    </row>
    <row r="984" spans="1:13" s="27" customFormat="1" ht="17.25" customHeight="1">
      <c r="A984" s="693" t="s">
        <v>491</v>
      </c>
      <c r="B984" s="844" t="s">
        <v>531</v>
      </c>
      <c r="C984" s="747" t="e">
        <f>VLOOKUP(B978,'CNKT '!$D$99:$AA$106,15,0)</f>
        <v>#REF!</v>
      </c>
      <c r="D984" s="698">
        <f>92.2*$B$2</f>
        <v>61667.048000000003</v>
      </c>
      <c r="E984" s="695" t="e">
        <f t="shared" si="113"/>
        <v>#REF!</v>
      </c>
      <c r="F984" s="750"/>
      <c r="G984" s="693" t="s">
        <v>491</v>
      </c>
      <c r="H984" s="844" t="s">
        <v>531</v>
      </c>
      <c r="I984" s="747" t="e">
        <f>VLOOKUP(H978,'CNKT '!$D$99:$AA$106,15,0)</f>
        <v>#REF!</v>
      </c>
      <c r="J984" s="698">
        <f>92.2*$B$2</f>
        <v>61667.048000000003</v>
      </c>
      <c r="K984" s="695" t="e">
        <f t="shared" si="114"/>
        <v>#REF!</v>
      </c>
      <c r="L984" s="690"/>
    </row>
    <row r="985" spans="1:13" s="27" customFormat="1" ht="17.25" customHeight="1">
      <c r="A985" s="693" t="s">
        <v>492</v>
      </c>
      <c r="B985" s="844" t="s">
        <v>496</v>
      </c>
      <c r="C985" s="747" t="e">
        <f>VLOOKUP(B978,'CNKT '!$D$99:$AA$106,16,0)</f>
        <v>#REF!</v>
      </c>
      <c r="D985" s="697">
        <f>153.8*$B$2</f>
        <v>102867.59200000002</v>
      </c>
      <c r="E985" s="695" t="e">
        <f t="shared" si="113"/>
        <v>#REF!</v>
      </c>
      <c r="F985" s="750"/>
      <c r="G985" s="693" t="s">
        <v>492</v>
      </c>
      <c r="H985" s="844" t="s">
        <v>496</v>
      </c>
      <c r="I985" s="747" t="e">
        <f>VLOOKUP(H978,'CNKT '!$D$99:$AA$106,16,0)</f>
        <v>#REF!</v>
      </c>
      <c r="J985" s="697">
        <f>153.8*$B$2</f>
        <v>102867.59200000002</v>
      </c>
      <c r="K985" s="695" t="e">
        <f t="shared" si="114"/>
        <v>#REF!</v>
      </c>
      <c r="L985" s="690"/>
    </row>
    <row r="986" spans="1:13" s="27" customFormat="1" ht="17.25" customHeight="1">
      <c r="A986" s="693" t="s">
        <v>453</v>
      </c>
      <c r="B986" s="844" t="s">
        <v>497</v>
      </c>
      <c r="C986" s="747" t="e">
        <f>VLOOKUP(B978,'CNKT '!$D$99:$AA$112,18,0)</f>
        <v>#REF!</v>
      </c>
      <c r="D986" s="697">
        <v>10000</v>
      </c>
      <c r="E986" s="695" t="e">
        <f>C986*D986</f>
        <v>#REF!</v>
      </c>
      <c r="F986" s="750"/>
      <c r="G986" s="693" t="s">
        <v>453</v>
      </c>
      <c r="H986" s="844" t="s">
        <v>497</v>
      </c>
      <c r="I986" s="747" t="e">
        <f>VLOOKUP(H978,'CNKT '!$D$99:$AA$112,18,0)</f>
        <v>#REF!</v>
      </c>
      <c r="J986" s="697">
        <v>10000</v>
      </c>
      <c r="K986" s="695" t="e">
        <f>I986*J986</f>
        <v>#REF!</v>
      </c>
      <c r="L986" s="690"/>
    </row>
    <row r="987" spans="1:13" s="27" customFormat="1" ht="17.25" customHeight="1">
      <c r="A987" s="693" t="s">
        <v>453</v>
      </c>
      <c r="B987" s="844" t="s">
        <v>497</v>
      </c>
      <c r="C987" s="747" t="e">
        <f>VLOOKUP(B978,'CNKT '!$D$99:$AA$112,19,0)</f>
        <v>#REF!</v>
      </c>
      <c r="D987" s="697">
        <v>20000</v>
      </c>
      <c r="E987" s="695" t="e">
        <f>C987*D987</f>
        <v>#REF!</v>
      </c>
      <c r="F987" s="750"/>
      <c r="G987" s="693" t="s">
        <v>453</v>
      </c>
      <c r="H987" s="844" t="s">
        <v>497</v>
      </c>
      <c r="I987" s="747" t="e">
        <f>VLOOKUP(H978,'CNKT '!$D$99:$AA$112,19,0)</f>
        <v>#REF!</v>
      </c>
      <c r="J987" s="697">
        <v>20000</v>
      </c>
      <c r="K987" s="695" t="e">
        <f>I987*J987</f>
        <v>#REF!</v>
      </c>
      <c r="L987" s="690"/>
    </row>
    <row r="988" spans="1:13" s="27" customFormat="1" ht="17.25" customHeight="1">
      <c r="A988" s="693" t="s">
        <v>512</v>
      </c>
      <c r="B988" s="844" t="s">
        <v>513</v>
      </c>
      <c r="C988" s="747"/>
      <c r="D988" s="697"/>
      <c r="E988" s="695"/>
      <c r="F988" s="750"/>
      <c r="G988" s="693" t="s">
        <v>512</v>
      </c>
      <c r="H988" s="844" t="s">
        <v>513</v>
      </c>
      <c r="I988" s="747"/>
      <c r="J988" s="697"/>
      <c r="K988" s="695"/>
      <c r="L988" s="690"/>
    </row>
    <row r="989" spans="1:13" s="27" customFormat="1" ht="17.25" customHeight="1">
      <c r="A989" s="699" t="s">
        <v>79</v>
      </c>
      <c r="B989" s="845" t="s">
        <v>532</v>
      </c>
      <c r="C989" s="700"/>
      <c r="D989" s="701"/>
      <c r="E989" s="700"/>
      <c r="F989" s="750"/>
      <c r="G989" s="699" t="s">
        <v>79</v>
      </c>
      <c r="H989" s="845" t="s">
        <v>532</v>
      </c>
      <c r="I989" s="700"/>
      <c r="J989" s="701"/>
      <c r="K989" s="700"/>
      <c r="L989" s="690"/>
    </row>
    <row r="990" spans="1:13" s="27" customFormat="1" ht="17.25" customHeight="1">
      <c r="A990" s="702" t="s">
        <v>80</v>
      </c>
      <c r="B990" s="846" t="s">
        <v>533</v>
      </c>
      <c r="C990" s="700"/>
      <c r="D990" s="700"/>
      <c r="E990" s="700"/>
      <c r="F990" s="750"/>
      <c r="G990" s="702" t="s">
        <v>80</v>
      </c>
      <c r="H990" s="846" t="s">
        <v>533</v>
      </c>
      <c r="I990" s="700"/>
      <c r="J990" s="700"/>
      <c r="K990" s="700"/>
      <c r="L990" s="690"/>
      <c r="M990" s="703"/>
    </row>
    <row r="991" spans="1:13" s="27" customFormat="1" ht="17.25" customHeight="1">
      <c r="A991" s="702" t="s">
        <v>81</v>
      </c>
      <c r="B991" s="847" t="s">
        <v>534</v>
      </c>
      <c r="C991" s="700"/>
      <c r="D991" s="700"/>
      <c r="E991" s="695">
        <f>SUM(E990)</f>
        <v>0</v>
      </c>
      <c r="F991" s="747"/>
      <c r="G991" s="702" t="s">
        <v>81</v>
      </c>
      <c r="H991" s="847" t="s">
        <v>534</v>
      </c>
      <c r="I991" s="700"/>
      <c r="J991" s="700"/>
      <c r="K991" s="695">
        <f>SUM(K990)</f>
        <v>0</v>
      </c>
      <c r="L991" s="690"/>
      <c r="M991" s="703">
        <f>E991+K991</f>
        <v>0</v>
      </c>
    </row>
    <row r="992" spans="1:13" s="27" customFormat="1" ht="17.25" customHeight="1">
      <c r="A992" s="704" t="s">
        <v>82</v>
      </c>
      <c r="B992" s="848" t="s">
        <v>438</v>
      </c>
      <c r="C992" s="705"/>
      <c r="D992" s="705"/>
      <c r="E992" s="705" t="e">
        <f>(E980+E981+E982+E983+E984+E985+E986+E987+E988)-E991</f>
        <v>#REF!</v>
      </c>
      <c r="F992" s="747"/>
      <c r="G992" s="704" t="s">
        <v>82</v>
      </c>
      <c r="H992" s="848" t="s">
        <v>438</v>
      </c>
      <c r="I992" s="705"/>
      <c r="J992" s="705"/>
      <c r="K992" s="705" t="e">
        <f>(K980+K981+K982+K983+K984+K985+K986+K987+K988)-K991</f>
        <v>#REF!</v>
      </c>
      <c r="L992" s="707" t="e">
        <f>E992+K992</f>
        <v>#REF!</v>
      </c>
    </row>
    <row r="993" spans="1:12" s="27" customFormat="1" ht="17.25" customHeight="1">
      <c r="A993" s="1568"/>
      <c r="B993" s="1568"/>
      <c r="C993" s="1568"/>
      <c r="D993" s="1568"/>
      <c r="E993" s="1568"/>
      <c r="F993" s="742"/>
      <c r="G993" s="1568"/>
      <c r="H993" s="1568"/>
      <c r="I993" s="1568"/>
      <c r="J993" s="1568"/>
      <c r="K993" s="743"/>
      <c r="L993" s="690"/>
    </row>
    <row r="994" spans="1:12" s="27" customFormat="1" ht="17.25" customHeight="1">
      <c r="A994" s="763" t="str">
        <f>A977</f>
        <v>LƯƠNG THÁNG 01/2025</v>
      </c>
      <c r="B994" s="763"/>
      <c r="C994" s="763"/>
      <c r="D994" s="763"/>
      <c r="E994" s="763" t="e">
        <f>VLOOKUP(B995,'CNKT '!$D$99:$AD$112,26,0)</f>
        <v>#REF!</v>
      </c>
      <c r="F994" s="742"/>
      <c r="G994" s="763" t="str">
        <f>A994</f>
        <v>LƯƠNG THÁNG 01/2025</v>
      </c>
      <c r="H994" s="763"/>
      <c r="I994" s="763"/>
      <c r="J994" s="763"/>
      <c r="K994" s="763" t="e">
        <f>VLOOKUP(H995,'CNKT '!$D$99:$AD$112,26,0)</f>
        <v>#REF!</v>
      </c>
      <c r="L994" s="690"/>
    </row>
    <row r="995" spans="1:12" s="27" customFormat="1" ht="17.25" customHeight="1">
      <c r="A995" s="709" t="s">
        <v>15</v>
      </c>
      <c r="B995" s="840" t="e">
        <f>'CNKT '!#REF!</f>
        <v>#REF!</v>
      </c>
      <c r="C995" s="694"/>
      <c r="D995" s="840" t="s">
        <v>396</v>
      </c>
      <c r="E995" s="840" t="s">
        <v>18</v>
      </c>
      <c r="F995" s="750"/>
      <c r="G995" s="709" t="s">
        <v>15</v>
      </c>
      <c r="H995" s="840" t="e">
        <f>'CNKT '!#REF!</f>
        <v>#REF!</v>
      </c>
      <c r="I995" s="694"/>
      <c r="J995" s="840" t="s">
        <v>396</v>
      </c>
      <c r="K995" s="840" t="s">
        <v>18</v>
      </c>
      <c r="L995" s="690"/>
    </row>
    <row r="996" spans="1:12" s="27" customFormat="1" ht="17.25" customHeight="1">
      <c r="A996" s="693" t="s">
        <v>397</v>
      </c>
      <c r="B996" s="842" t="s">
        <v>527</v>
      </c>
      <c r="C996" s="694" t="e">
        <f>VLOOKUP(B995,'BTH mủ tạp'!#REF!,36,0)</f>
        <v>#REF!</v>
      </c>
      <c r="D996" s="695"/>
      <c r="E996" s="695"/>
      <c r="F996" s="750"/>
      <c r="G996" s="693" t="s">
        <v>397</v>
      </c>
      <c r="H996" s="842" t="s">
        <v>527</v>
      </c>
      <c r="I996" s="694" t="e">
        <f>VLOOKUP(H995,'BTH mủ tạp'!#REF!,36,0)</f>
        <v>#REF!</v>
      </c>
      <c r="J996" s="695"/>
      <c r="K996" s="695"/>
      <c r="L996" s="690"/>
    </row>
    <row r="997" spans="1:12" s="27" customFormat="1" ht="17.25" customHeight="1">
      <c r="A997" s="693" t="s">
        <v>77</v>
      </c>
      <c r="B997" s="843" t="s">
        <v>432</v>
      </c>
      <c r="C997" s="696" t="e">
        <f>VLOOKUP(B995,'CNKT '!$D$99:$AA$106,3,0)</f>
        <v>#REF!</v>
      </c>
      <c r="D997" s="697">
        <v>25000</v>
      </c>
      <c r="E997" s="695" t="e">
        <f t="shared" ref="E997:E1002" si="115">C997*D997</f>
        <v>#REF!</v>
      </c>
      <c r="F997" s="750"/>
      <c r="G997" s="693" t="s">
        <v>77</v>
      </c>
      <c r="H997" s="843" t="s">
        <v>432</v>
      </c>
      <c r="I997" s="696" t="e">
        <f>VLOOKUP(H995,'CNKT '!$D$99:$AA$106,3,0)</f>
        <v>#REF!</v>
      </c>
      <c r="J997" s="697">
        <v>25000</v>
      </c>
      <c r="K997" s="695" t="e">
        <f t="shared" ref="K997:K1002" si="116">I997*J997</f>
        <v>#REF!</v>
      </c>
      <c r="L997" s="690"/>
    </row>
    <row r="998" spans="1:12" s="27" customFormat="1" ht="17.25" customHeight="1">
      <c r="A998" s="693" t="s">
        <v>307</v>
      </c>
      <c r="B998" s="844" t="s">
        <v>528</v>
      </c>
      <c r="C998" s="747" t="e">
        <f>VLOOKUP(B995,'CNKT '!$D$99:$AA$106,11,0)</f>
        <v>#REF!</v>
      </c>
      <c r="D998" s="698">
        <f>46.1*$B$2</f>
        <v>30833.524000000001</v>
      </c>
      <c r="E998" s="695" t="e">
        <f t="shared" si="115"/>
        <v>#REF!</v>
      </c>
      <c r="F998" s="750"/>
      <c r="G998" s="693" t="s">
        <v>307</v>
      </c>
      <c r="H998" s="844" t="s">
        <v>528</v>
      </c>
      <c r="I998" s="747" t="e">
        <f>VLOOKUP(H995,'CNKT '!$D$99:$AA$106,11,0)</f>
        <v>#REF!</v>
      </c>
      <c r="J998" s="698">
        <f>46.1*$B$2</f>
        <v>30833.524000000001</v>
      </c>
      <c r="K998" s="695" t="e">
        <f t="shared" si="116"/>
        <v>#REF!</v>
      </c>
      <c r="L998" s="690"/>
    </row>
    <row r="999" spans="1:12" s="27" customFormat="1" ht="17.25" customHeight="1">
      <c r="A999" s="693" t="s">
        <v>399</v>
      </c>
      <c r="B999" s="844" t="s">
        <v>529</v>
      </c>
      <c r="C999" s="747" t="e">
        <f>VLOOKUP(B995,'CNKT '!$D$99:$AA$106,12,0)</f>
        <v>#REF!</v>
      </c>
      <c r="D999" s="697">
        <f>76.9*$B$2</f>
        <v>51433.796000000009</v>
      </c>
      <c r="E999" s="695" t="e">
        <f t="shared" si="115"/>
        <v>#REF!</v>
      </c>
      <c r="F999" s="750"/>
      <c r="G999" s="693" t="s">
        <v>399</v>
      </c>
      <c r="H999" s="844" t="s">
        <v>529</v>
      </c>
      <c r="I999" s="747" t="e">
        <f>VLOOKUP(H995,'CNKT '!$D$99:$AA$106,12,0)</f>
        <v>#REF!</v>
      </c>
      <c r="J999" s="697">
        <f>76.9*$B$2</f>
        <v>51433.796000000009</v>
      </c>
      <c r="K999" s="695" t="e">
        <f t="shared" si="116"/>
        <v>#REF!</v>
      </c>
      <c r="L999" s="690"/>
    </row>
    <row r="1000" spans="1:12" s="27" customFormat="1" ht="17.25" customHeight="1">
      <c r="A1000" s="693" t="s">
        <v>78</v>
      </c>
      <c r="B1000" s="844" t="s">
        <v>530</v>
      </c>
      <c r="C1000" s="747" t="e">
        <f>VLOOKUP(B995,'CNKT '!$D$99:$AA$106,8,0)</f>
        <v>#REF!</v>
      </c>
      <c r="D1000" s="697" t="e">
        <f>IF(C996="A",6.1,IF(C996="B",5.8,IF(C996="C",5.5,IF(C996="C.",5.5,IF(C996="D",5.2)))))*$B$2</f>
        <v>#REF!</v>
      </c>
      <c r="E1000" s="695" t="e">
        <f t="shared" si="115"/>
        <v>#REF!</v>
      </c>
      <c r="F1000" s="750"/>
      <c r="G1000" s="693" t="s">
        <v>78</v>
      </c>
      <c r="H1000" s="844" t="s">
        <v>530</v>
      </c>
      <c r="I1000" s="747" t="e">
        <f>VLOOKUP(H995,'CNKT '!$D$99:$AA$106,8,0)</f>
        <v>#REF!</v>
      </c>
      <c r="J1000" s="697" t="e">
        <f>IF(I996="A",6.1,IF(I996="B",5.8,IF(I996="C",5.5,IF(I996="C.",5.5,IF(I996="D",5.2)))))*$B$2</f>
        <v>#REF!</v>
      </c>
      <c r="K1000" s="695" t="e">
        <f t="shared" si="116"/>
        <v>#REF!</v>
      </c>
      <c r="L1000" s="690"/>
    </row>
    <row r="1001" spans="1:12" s="27" customFormat="1" ht="17.25" customHeight="1">
      <c r="A1001" s="693" t="s">
        <v>491</v>
      </c>
      <c r="B1001" s="844" t="s">
        <v>531</v>
      </c>
      <c r="C1001" s="747" t="e">
        <f>VLOOKUP(B995,'CNKT '!$D$99:$AA$106,15,0)</f>
        <v>#REF!</v>
      </c>
      <c r="D1001" s="698">
        <f>92.2*$B$2</f>
        <v>61667.048000000003</v>
      </c>
      <c r="E1001" s="695" t="e">
        <f t="shared" si="115"/>
        <v>#REF!</v>
      </c>
      <c r="F1001" s="750"/>
      <c r="G1001" s="693" t="s">
        <v>491</v>
      </c>
      <c r="H1001" s="844" t="s">
        <v>531</v>
      </c>
      <c r="I1001" s="747" t="e">
        <f>VLOOKUP(H995,'CNKT '!$D$99:$AA$106,15,0)</f>
        <v>#REF!</v>
      </c>
      <c r="J1001" s="698">
        <f>92.2*$B$2</f>
        <v>61667.048000000003</v>
      </c>
      <c r="K1001" s="695" t="e">
        <f t="shared" si="116"/>
        <v>#REF!</v>
      </c>
      <c r="L1001" s="690"/>
    </row>
    <row r="1002" spans="1:12" s="27" customFormat="1" ht="17.25" customHeight="1">
      <c r="A1002" s="693" t="s">
        <v>492</v>
      </c>
      <c r="B1002" s="844" t="s">
        <v>496</v>
      </c>
      <c r="C1002" s="747" t="e">
        <f>VLOOKUP(B995,'CNKT '!$D$99:$AA$106,16,0)</f>
        <v>#REF!</v>
      </c>
      <c r="D1002" s="697">
        <f>153.8*$B$2</f>
        <v>102867.59200000002</v>
      </c>
      <c r="E1002" s="695" t="e">
        <f t="shared" si="115"/>
        <v>#REF!</v>
      </c>
      <c r="F1002" s="750"/>
      <c r="G1002" s="693" t="s">
        <v>492</v>
      </c>
      <c r="H1002" s="844" t="s">
        <v>496</v>
      </c>
      <c r="I1002" s="747" t="e">
        <f>VLOOKUP(H995,'CNKT '!$D$99:$AA$106,16,0)</f>
        <v>#REF!</v>
      </c>
      <c r="J1002" s="697">
        <f>153.8*$B$2</f>
        <v>102867.59200000002</v>
      </c>
      <c r="K1002" s="695" t="e">
        <f t="shared" si="116"/>
        <v>#REF!</v>
      </c>
      <c r="L1002" s="690"/>
    </row>
    <row r="1003" spans="1:12" s="27" customFormat="1" ht="17.25" customHeight="1">
      <c r="A1003" s="693" t="s">
        <v>453</v>
      </c>
      <c r="B1003" s="844" t="s">
        <v>497</v>
      </c>
      <c r="C1003" s="747" t="e">
        <f>VLOOKUP(B995,'CNKT '!$D$99:$AA$112,18,0)</f>
        <v>#REF!</v>
      </c>
      <c r="D1003" s="697">
        <v>10000</v>
      </c>
      <c r="E1003" s="695" t="e">
        <f>C1003*D1003</f>
        <v>#REF!</v>
      </c>
      <c r="F1003" s="750"/>
      <c r="G1003" s="693" t="s">
        <v>453</v>
      </c>
      <c r="H1003" s="844" t="s">
        <v>497</v>
      </c>
      <c r="I1003" s="747" t="e">
        <f>VLOOKUP(H995,'CNKT '!$D$99:$AA$112,18,0)</f>
        <v>#REF!</v>
      </c>
      <c r="J1003" s="697">
        <v>10000</v>
      </c>
      <c r="K1003" s="695" t="e">
        <f>I1003*J1003</f>
        <v>#REF!</v>
      </c>
      <c r="L1003" s="690"/>
    </row>
    <row r="1004" spans="1:12" s="27" customFormat="1" ht="17.25" customHeight="1">
      <c r="A1004" s="693" t="s">
        <v>453</v>
      </c>
      <c r="B1004" s="844" t="s">
        <v>497</v>
      </c>
      <c r="C1004" s="747" t="e">
        <f>VLOOKUP(B995,'CNKT '!$D$99:$AA$112,19,0)</f>
        <v>#REF!</v>
      </c>
      <c r="D1004" s="697">
        <v>20000</v>
      </c>
      <c r="E1004" s="695" t="e">
        <f>C1004*D1004</f>
        <v>#REF!</v>
      </c>
      <c r="F1004" s="750"/>
      <c r="G1004" s="693" t="s">
        <v>453</v>
      </c>
      <c r="H1004" s="844" t="s">
        <v>497</v>
      </c>
      <c r="I1004" s="747" t="e">
        <f>VLOOKUP(H995,'CNKT '!$D$99:$AA$112,19,0)</f>
        <v>#REF!</v>
      </c>
      <c r="J1004" s="697">
        <v>20000</v>
      </c>
      <c r="K1004" s="695" t="e">
        <f>I1004*J1004</f>
        <v>#REF!</v>
      </c>
      <c r="L1004" s="690"/>
    </row>
    <row r="1005" spans="1:12" s="27" customFormat="1" ht="17.25" customHeight="1">
      <c r="A1005" s="693" t="s">
        <v>512</v>
      </c>
      <c r="B1005" s="844" t="s">
        <v>513</v>
      </c>
      <c r="C1005" s="747"/>
      <c r="D1005" s="697"/>
      <c r="E1005" s="695"/>
      <c r="F1005" s="750"/>
      <c r="G1005" s="693" t="s">
        <v>512</v>
      </c>
      <c r="H1005" s="844" t="s">
        <v>513</v>
      </c>
      <c r="I1005" s="747"/>
      <c r="J1005" s="697"/>
      <c r="K1005" s="695"/>
      <c r="L1005" s="690"/>
    </row>
    <row r="1006" spans="1:12" s="27" customFormat="1" ht="17.25" customHeight="1">
      <c r="A1006" s="699" t="s">
        <v>79</v>
      </c>
      <c r="B1006" s="845" t="s">
        <v>532</v>
      </c>
      <c r="C1006" s="700"/>
      <c r="D1006" s="701"/>
      <c r="E1006" s="700"/>
      <c r="F1006" s="750"/>
      <c r="G1006" s="699" t="s">
        <v>79</v>
      </c>
      <c r="H1006" s="845" t="s">
        <v>532</v>
      </c>
      <c r="I1006" s="700"/>
      <c r="J1006" s="701"/>
      <c r="K1006" s="700"/>
      <c r="L1006" s="690"/>
    </row>
    <row r="1007" spans="1:12" s="27" customFormat="1" ht="17.25" customHeight="1">
      <c r="A1007" s="702" t="s">
        <v>80</v>
      </c>
      <c r="B1007" s="846" t="s">
        <v>533</v>
      </c>
      <c r="C1007" s="700"/>
      <c r="D1007" s="700"/>
      <c r="E1007" s="700"/>
      <c r="F1007" s="750"/>
      <c r="G1007" s="702" t="s">
        <v>80</v>
      </c>
      <c r="H1007" s="846" t="s">
        <v>533</v>
      </c>
      <c r="I1007" s="700"/>
      <c r="J1007" s="700"/>
      <c r="K1007" s="700"/>
      <c r="L1007" s="690"/>
    </row>
    <row r="1008" spans="1:12" s="27" customFormat="1" ht="17.25" customHeight="1">
      <c r="A1008" s="702" t="s">
        <v>81</v>
      </c>
      <c r="B1008" s="847" t="s">
        <v>534</v>
      </c>
      <c r="C1008" s="700"/>
      <c r="D1008" s="700"/>
      <c r="E1008" s="695">
        <f>SUM(E1007)</f>
        <v>0</v>
      </c>
      <c r="F1008" s="746"/>
      <c r="G1008" s="702" t="s">
        <v>81</v>
      </c>
      <c r="H1008" s="847" t="s">
        <v>534</v>
      </c>
      <c r="I1008" s="700"/>
      <c r="J1008" s="700"/>
      <c r="K1008" s="695">
        <f>SUM(K1007)</f>
        <v>0</v>
      </c>
      <c r="L1008" s="690"/>
    </row>
    <row r="1009" spans="1:12" s="27" customFormat="1" ht="17.25" customHeight="1">
      <c r="A1009" s="704" t="s">
        <v>82</v>
      </c>
      <c r="B1009" s="848" t="s">
        <v>438</v>
      </c>
      <c r="C1009" s="705"/>
      <c r="D1009" s="705"/>
      <c r="E1009" s="705" t="e">
        <f>(E997+E998+E999+E1000+E1001+E1002+E1003+E1004+E1005)-E1008</f>
        <v>#REF!</v>
      </c>
      <c r="F1009" s="746"/>
      <c r="G1009" s="704" t="s">
        <v>82</v>
      </c>
      <c r="H1009" s="848" t="s">
        <v>438</v>
      </c>
      <c r="I1009" s="705"/>
      <c r="J1009" s="705"/>
      <c r="K1009" s="705" t="e">
        <f>(K997+K998+K999+K1000+K1001+K1002+K1003+K1004+K1005)-K1008</f>
        <v>#REF!</v>
      </c>
      <c r="L1009" s="707" t="e">
        <f>E1009+K1009</f>
        <v>#REF!</v>
      </c>
    </row>
    <row r="1010" spans="1:12" s="27" customFormat="1" ht="17.25" customHeight="1">
      <c r="A1010" s="1568"/>
      <c r="B1010" s="1568"/>
      <c r="C1010" s="1568"/>
      <c r="D1010" s="1568"/>
      <c r="E1010" s="1568"/>
      <c r="F1010" s="742"/>
      <c r="G1010" s="1568"/>
      <c r="H1010" s="1568"/>
      <c r="I1010" s="1568"/>
      <c r="J1010" s="1568"/>
      <c r="K1010" s="743"/>
      <c r="L1010" s="690"/>
    </row>
    <row r="1011" spans="1:12" s="27" customFormat="1" ht="17.25" customHeight="1">
      <c r="A1011" s="763" t="str">
        <f>A994</f>
        <v>LƯƠNG THÁNG 01/2025</v>
      </c>
      <c r="B1011" s="763"/>
      <c r="C1011" s="763"/>
      <c r="D1011" s="763"/>
      <c r="E1011" s="763" t="e">
        <f>VLOOKUP(B1012,'CNKT '!$D$99:$AD$112,26,0)</f>
        <v>#REF!</v>
      </c>
      <c r="F1011" s="742"/>
      <c r="G1011" s="763" t="str">
        <f>A1011</f>
        <v>LƯƠNG THÁNG 01/2025</v>
      </c>
      <c r="H1011" s="763"/>
      <c r="I1011" s="763"/>
      <c r="J1011" s="763"/>
      <c r="K1011" s="763" t="e">
        <f>VLOOKUP(H1012,'CNKT '!$D$99:$AD$112,26,0)</f>
        <v>#REF!</v>
      </c>
      <c r="L1011" s="690"/>
    </row>
    <row r="1012" spans="1:12" s="27" customFormat="1" ht="17.25" customHeight="1">
      <c r="A1012" s="709" t="s">
        <v>15</v>
      </c>
      <c r="B1012" s="840" t="e">
        <f>'CNKT '!#REF!</f>
        <v>#REF!</v>
      </c>
      <c r="C1012" s="694"/>
      <c r="D1012" s="840" t="s">
        <v>396</v>
      </c>
      <c r="E1012" s="840" t="s">
        <v>18</v>
      </c>
      <c r="F1012" s="750"/>
      <c r="G1012" s="709" t="s">
        <v>15</v>
      </c>
      <c r="H1012" s="840" t="e">
        <f>'CNKT '!#REF!</f>
        <v>#REF!</v>
      </c>
      <c r="I1012" s="694"/>
      <c r="J1012" s="840" t="s">
        <v>396</v>
      </c>
      <c r="K1012" s="840" t="s">
        <v>18</v>
      </c>
      <c r="L1012" s="690"/>
    </row>
    <row r="1013" spans="1:12" s="27" customFormat="1" ht="17.25" customHeight="1">
      <c r="A1013" s="693" t="s">
        <v>397</v>
      </c>
      <c r="B1013" s="842" t="s">
        <v>527</v>
      </c>
      <c r="C1013" s="694" t="e">
        <f>VLOOKUP(B1012,'BTH mủ tạp'!#REF!,36,0)</f>
        <v>#REF!</v>
      </c>
      <c r="D1013" s="695"/>
      <c r="E1013" s="695"/>
      <c r="F1013" s="750"/>
      <c r="G1013" s="693" t="s">
        <v>397</v>
      </c>
      <c r="H1013" s="842" t="s">
        <v>527</v>
      </c>
      <c r="I1013" s="694" t="e">
        <f>VLOOKUP(H1012,'BTH mủ tạp'!#REF!,36,0)</f>
        <v>#REF!</v>
      </c>
      <c r="J1013" s="695"/>
      <c r="K1013" s="695"/>
      <c r="L1013" s="690"/>
    </row>
    <row r="1014" spans="1:12" s="27" customFormat="1" ht="17.25" customHeight="1">
      <c r="A1014" s="693" t="s">
        <v>77</v>
      </c>
      <c r="B1014" s="843" t="s">
        <v>432</v>
      </c>
      <c r="C1014" s="696" t="e">
        <f>VLOOKUP(B1012,'CNKT '!$D$99:$AA$106,3,0)</f>
        <v>#REF!</v>
      </c>
      <c r="D1014" s="697">
        <v>25000</v>
      </c>
      <c r="E1014" s="695" t="e">
        <f t="shared" ref="E1014:E1019" si="117">C1014*D1014</f>
        <v>#REF!</v>
      </c>
      <c r="F1014" s="750"/>
      <c r="G1014" s="693" t="s">
        <v>77</v>
      </c>
      <c r="H1014" s="843" t="s">
        <v>432</v>
      </c>
      <c r="I1014" s="696" t="e">
        <f>VLOOKUP(H1012,'CNKT '!$D$99:$AA$106,3,0)</f>
        <v>#REF!</v>
      </c>
      <c r="J1014" s="697">
        <v>25000</v>
      </c>
      <c r="K1014" s="695" t="e">
        <f t="shared" ref="K1014:K1019" si="118">I1014*J1014</f>
        <v>#REF!</v>
      </c>
      <c r="L1014" s="690"/>
    </row>
    <row r="1015" spans="1:12" s="27" customFormat="1" ht="17.25" customHeight="1">
      <c r="A1015" s="693" t="s">
        <v>307</v>
      </c>
      <c r="B1015" s="844" t="s">
        <v>528</v>
      </c>
      <c r="C1015" s="747" t="e">
        <f>VLOOKUP(B1012,'CNKT '!$D$99:$AA$106,11,0)</f>
        <v>#REF!</v>
      </c>
      <c r="D1015" s="698">
        <f>46.1*$B$2</f>
        <v>30833.524000000001</v>
      </c>
      <c r="E1015" s="695" t="e">
        <f t="shared" si="117"/>
        <v>#REF!</v>
      </c>
      <c r="F1015" s="750"/>
      <c r="G1015" s="693" t="s">
        <v>307</v>
      </c>
      <c r="H1015" s="844" t="s">
        <v>528</v>
      </c>
      <c r="I1015" s="747" t="e">
        <f>VLOOKUP(H1012,'CNKT '!$D$99:$AA$106,11,0)</f>
        <v>#REF!</v>
      </c>
      <c r="J1015" s="698">
        <f>46.1*$B$2</f>
        <v>30833.524000000001</v>
      </c>
      <c r="K1015" s="695" t="e">
        <f t="shared" si="118"/>
        <v>#REF!</v>
      </c>
      <c r="L1015" s="690"/>
    </row>
    <row r="1016" spans="1:12" s="27" customFormat="1" ht="17.25" customHeight="1">
      <c r="A1016" s="693" t="s">
        <v>399</v>
      </c>
      <c r="B1016" s="844" t="s">
        <v>529</v>
      </c>
      <c r="C1016" s="747" t="e">
        <f>VLOOKUP(B1012,'CNKT '!$D$99:$AA$106,12,0)</f>
        <v>#REF!</v>
      </c>
      <c r="D1016" s="697">
        <f>76.9*$B$2</f>
        <v>51433.796000000009</v>
      </c>
      <c r="E1016" s="695" t="e">
        <f t="shared" si="117"/>
        <v>#REF!</v>
      </c>
      <c r="F1016" s="750"/>
      <c r="G1016" s="693" t="s">
        <v>399</v>
      </c>
      <c r="H1016" s="844" t="s">
        <v>529</v>
      </c>
      <c r="I1016" s="747" t="e">
        <f>VLOOKUP(H1012,'CNKT '!$D$99:$AA$106,12,0)</f>
        <v>#REF!</v>
      </c>
      <c r="J1016" s="697">
        <f>76.9*$B$2</f>
        <v>51433.796000000009</v>
      </c>
      <c r="K1016" s="695" t="e">
        <f t="shared" si="118"/>
        <v>#REF!</v>
      </c>
      <c r="L1016" s="690"/>
    </row>
    <row r="1017" spans="1:12" s="27" customFormat="1" ht="17.25" customHeight="1">
      <c r="A1017" s="693" t="s">
        <v>78</v>
      </c>
      <c r="B1017" s="844" t="s">
        <v>530</v>
      </c>
      <c r="C1017" s="747" t="e">
        <f>VLOOKUP(B1012,'CNKT '!$D$99:$AA$106,8,0)</f>
        <v>#REF!</v>
      </c>
      <c r="D1017" s="697" t="e">
        <f>IF(C1013="A",6.1,IF(C1013="B",5.8,IF(C1013="C",5.5,IF(C1013="C.",5.5,IF(C1013="D",5.2)))))*$B$2</f>
        <v>#REF!</v>
      </c>
      <c r="E1017" s="695" t="e">
        <f t="shared" si="117"/>
        <v>#REF!</v>
      </c>
      <c r="F1017" s="750"/>
      <c r="G1017" s="693" t="s">
        <v>78</v>
      </c>
      <c r="H1017" s="844" t="s">
        <v>530</v>
      </c>
      <c r="I1017" s="747" t="e">
        <f>VLOOKUP(H1012,'CNKT '!$D$99:$AA$106,8,0)</f>
        <v>#REF!</v>
      </c>
      <c r="J1017" s="697" t="e">
        <f>IF(I1013="A",6.1,IF(I1013="B",5.8,IF(I1013="C",5.5,IF(I1013="C.",5.5,IF(I1013="D",5.2)))))*$B$2</f>
        <v>#REF!</v>
      </c>
      <c r="K1017" s="695" t="e">
        <f t="shared" si="118"/>
        <v>#REF!</v>
      </c>
      <c r="L1017" s="690"/>
    </row>
    <row r="1018" spans="1:12" s="27" customFormat="1" ht="17.25" customHeight="1">
      <c r="A1018" s="693" t="s">
        <v>491</v>
      </c>
      <c r="B1018" s="844" t="s">
        <v>531</v>
      </c>
      <c r="C1018" s="747" t="e">
        <f>VLOOKUP(B1012,'CNKT '!$D$99:$AA$106,15,0)</f>
        <v>#REF!</v>
      </c>
      <c r="D1018" s="698">
        <f>92.2*$B$2</f>
        <v>61667.048000000003</v>
      </c>
      <c r="E1018" s="695" t="e">
        <f t="shared" si="117"/>
        <v>#REF!</v>
      </c>
      <c r="F1018" s="750"/>
      <c r="G1018" s="693" t="s">
        <v>491</v>
      </c>
      <c r="H1018" s="844" t="s">
        <v>531</v>
      </c>
      <c r="I1018" s="747" t="e">
        <f>VLOOKUP(H1012,'CNKT '!$D$99:$AA$106,15,0)</f>
        <v>#REF!</v>
      </c>
      <c r="J1018" s="698">
        <f>92.2*$B$2</f>
        <v>61667.048000000003</v>
      </c>
      <c r="K1018" s="695" t="e">
        <f t="shared" si="118"/>
        <v>#REF!</v>
      </c>
      <c r="L1018" s="690"/>
    </row>
    <row r="1019" spans="1:12" s="27" customFormat="1" ht="17.25" customHeight="1">
      <c r="A1019" s="693" t="s">
        <v>492</v>
      </c>
      <c r="B1019" s="844" t="s">
        <v>496</v>
      </c>
      <c r="C1019" s="747" t="e">
        <f>VLOOKUP(B1012,'CNKT '!$D$99:$AA$106,16,0)</f>
        <v>#REF!</v>
      </c>
      <c r="D1019" s="697">
        <f>153.8*$B$2</f>
        <v>102867.59200000002</v>
      </c>
      <c r="E1019" s="695" t="e">
        <f t="shared" si="117"/>
        <v>#REF!</v>
      </c>
      <c r="F1019" s="750"/>
      <c r="G1019" s="693" t="s">
        <v>492</v>
      </c>
      <c r="H1019" s="844" t="s">
        <v>496</v>
      </c>
      <c r="I1019" s="747" t="e">
        <f>VLOOKUP(H1012,'CNKT '!$D$99:$AA$106,16,0)</f>
        <v>#REF!</v>
      </c>
      <c r="J1019" s="697">
        <f>153.8*$B$2</f>
        <v>102867.59200000002</v>
      </c>
      <c r="K1019" s="695" t="e">
        <f t="shared" si="118"/>
        <v>#REF!</v>
      </c>
      <c r="L1019" s="690"/>
    </row>
    <row r="1020" spans="1:12" s="27" customFormat="1" ht="17.25" customHeight="1">
      <c r="A1020" s="693" t="s">
        <v>453</v>
      </c>
      <c r="B1020" s="844" t="s">
        <v>497</v>
      </c>
      <c r="C1020" s="747" t="e">
        <f>VLOOKUP(B1012,'CNKT '!$D$99:$AA$112,18,0)</f>
        <v>#REF!</v>
      </c>
      <c r="D1020" s="697">
        <v>10000</v>
      </c>
      <c r="E1020" s="695" t="e">
        <f>C1020*D1020</f>
        <v>#REF!</v>
      </c>
      <c r="F1020" s="750"/>
      <c r="G1020" s="693" t="s">
        <v>453</v>
      </c>
      <c r="H1020" s="844" t="s">
        <v>497</v>
      </c>
      <c r="I1020" s="747" t="e">
        <f>VLOOKUP(H1012,'CNKT '!$D$99:$AA$112,18,0)</f>
        <v>#REF!</v>
      </c>
      <c r="J1020" s="697">
        <v>10000</v>
      </c>
      <c r="K1020" s="695" t="e">
        <f>I1020*J1020</f>
        <v>#REF!</v>
      </c>
      <c r="L1020" s="690"/>
    </row>
    <row r="1021" spans="1:12" s="27" customFormat="1" ht="17.25" customHeight="1">
      <c r="A1021" s="693" t="s">
        <v>453</v>
      </c>
      <c r="B1021" s="844" t="s">
        <v>497</v>
      </c>
      <c r="C1021" s="747" t="e">
        <f>VLOOKUP(B1012,'CNKT '!$D$99:$AA$112,19,0)</f>
        <v>#REF!</v>
      </c>
      <c r="D1021" s="697">
        <v>20000</v>
      </c>
      <c r="E1021" s="695" t="e">
        <f>C1021*D1021</f>
        <v>#REF!</v>
      </c>
      <c r="F1021" s="750"/>
      <c r="G1021" s="693" t="s">
        <v>453</v>
      </c>
      <c r="H1021" s="844" t="s">
        <v>497</v>
      </c>
      <c r="I1021" s="747" t="e">
        <f>VLOOKUP(H1012,'CNKT '!$D$99:$AA$112,19,0)</f>
        <v>#REF!</v>
      </c>
      <c r="J1021" s="697">
        <v>20000</v>
      </c>
      <c r="K1021" s="695" t="e">
        <f>I1021*J1021</f>
        <v>#REF!</v>
      </c>
      <c r="L1021" s="690"/>
    </row>
    <row r="1022" spans="1:12" s="27" customFormat="1" ht="17.25" customHeight="1">
      <c r="A1022" s="693" t="s">
        <v>512</v>
      </c>
      <c r="B1022" s="844" t="s">
        <v>513</v>
      </c>
      <c r="C1022" s="747"/>
      <c r="D1022" s="697"/>
      <c r="E1022" s="695"/>
      <c r="F1022" s="750"/>
      <c r="G1022" s="693" t="s">
        <v>512</v>
      </c>
      <c r="H1022" s="844" t="s">
        <v>513</v>
      </c>
      <c r="I1022" s="747"/>
      <c r="J1022" s="697"/>
      <c r="K1022" s="695"/>
      <c r="L1022" s="690"/>
    </row>
    <row r="1023" spans="1:12" s="27" customFormat="1" ht="17.25" customHeight="1">
      <c r="A1023" s="699" t="s">
        <v>79</v>
      </c>
      <c r="B1023" s="845" t="s">
        <v>532</v>
      </c>
      <c r="C1023" s="700"/>
      <c r="D1023" s="701"/>
      <c r="E1023" s="700"/>
      <c r="F1023" s="750"/>
      <c r="G1023" s="699" t="s">
        <v>79</v>
      </c>
      <c r="H1023" s="845" t="s">
        <v>532</v>
      </c>
      <c r="I1023" s="700"/>
      <c r="J1023" s="701"/>
      <c r="K1023" s="700"/>
      <c r="L1023" s="690"/>
    </row>
    <row r="1024" spans="1:12" s="27" customFormat="1" ht="17.25" customHeight="1">
      <c r="A1024" s="702" t="s">
        <v>80</v>
      </c>
      <c r="B1024" s="846" t="s">
        <v>533</v>
      </c>
      <c r="C1024" s="700"/>
      <c r="D1024" s="700"/>
      <c r="E1024" s="700"/>
      <c r="F1024" s="750"/>
      <c r="G1024" s="702" t="s">
        <v>80</v>
      </c>
      <c r="H1024" s="846" t="s">
        <v>533</v>
      </c>
      <c r="I1024" s="700"/>
      <c r="J1024" s="700"/>
      <c r="K1024" s="700"/>
      <c r="L1024" s="690"/>
    </row>
    <row r="1025" spans="1:13" s="27" customFormat="1" ht="17.25" customHeight="1">
      <c r="A1025" s="702" t="s">
        <v>81</v>
      </c>
      <c r="B1025" s="847" t="s">
        <v>534</v>
      </c>
      <c r="C1025" s="700"/>
      <c r="D1025" s="700"/>
      <c r="E1025" s="695">
        <f>SUM(E1024)</f>
        <v>0</v>
      </c>
      <c r="F1025" s="738"/>
      <c r="G1025" s="702" t="s">
        <v>81</v>
      </c>
      <c r="H1025" s="847" t="s">
        <v>534</v>
      </c>
      <c r="I1025" s="700"/>
      <c r="J1025" s="700"/>
      <c r="K1025" s="695">
        <f>SUM(K1024)</f>
        <v>0</v>
      </c>
      <c r="L1025" s="690"/>
      <c r="M1025" s="703">
        <f>E1025+K1025</f>
        <v>0</v>
      </c>
    </row>
    <row r="1026" spans="1:13" s="27" customFormat="1" ht="17.25" customHeight="1">
      <c r="A1026" s="704" t="s">
        <v>82</v>
      </c>
      <c r="B1026" s="848" t="s">
        <v>438</v>
      </c>
      <c r="C1026" s="705"/>
      <c r="D1026" s="705"/>
      <c r="E1026" s="705" t="e">
        <f>(E1014+E1015+E1016+E1017+E1018+E1019+E1020+E1021+E1022)-E1025</f>
        <v>#REF!</v>
      </c>
      <c r="F1026" s="738"/>
      <c r="G1026" s="704" t="s">
        <v>82</v>
      </c>
      <c r="H1026" s="848" t="s">
        <v>438</v>
      </c>
      <c r="I1026" s="705"/>
      <c r="J1026" s="705"/>
      <c r="K1026" s="705" t="e">
        <f>(K1014+K1015+K1016+K1017+K1018+K1019+K1020+K1021+K1022)-K1025</f>
        <v>#REF!</v>
      </c>
      <c r="L1026" s="707" t="e">
        <f>E1026+K1026</f>
        <v>#REF!</v>
      </c>
    </row>
    <row r="1027" spans="1:13" s="27" customFormat="1" ht="255" customHeight="1">
      <c r="A1027" s="1568"/>
      <c r="B1027" s="1568"/>
      <c r="C1027" s="1568"/>
      <c r="D1027" s="1568"/>
      <c r="E1027" s="1568"/>
      <c r="F1027" s="742"/>
      <c r="G1027" s="1568"/>
      <c r="H1027" s="1568"/>
      <c r="I1027" s="1568"/>
      <c r="J1027" s="1568"/>
      <c r="K1027" s="743"/>
      <c r="L1027" s="690"/>
    </row>
    <row r="1028" spans="1:13" s="27" customFormat="1" ht="17.25" customHeight="1">
      <c r="A1028" s="763" t="str">
        <f>A1011</f>
        <v>LƯƠNG THÁNG 01/2025</v>
      </c>
      <c r="B1028" s="763"/>
      <c r="C1028" s="763"/>
      <c r="D1028" s="763"/>
      <c r="E1028" s="763" t="e">
        <f>VLOOKUP(B1029,'CNKT '!$D$99:$AD$112,26,0)</f>
        <v>#REF!</v>
      </c>
      <c r="F1028" s="742"/>
      <c r="G1028" s="763" t="str">
        <f>A1028</f>
        <v>LƯƠNG THÁNG 01/2025</v>
      </c>
      <c r="H1028" s="763"/>
      <c r="I1028" s="763"/>
      <c r="J1028" s="763"/>
      <c r="K1028" s="763" t="e">
        <f>VLOOKUP(H1029,'CNKT '!$D$99:$AD$112,26,0)</f>
        <v>#REF!</v>
      </c>
      <c r="L1028" s="690"/>
    </row>
    <row r="1029" spans="1:13" s="27" customFormat="1" ht="17.25" customHeight="1">
      <c r="A1029" s="709" t="s">
        <v>15</v>
      </c>
      <c r="B1029" s="840" t="e">
        <f>'CNKT '!#REF!</f>
        <v>#REF!</v>
      </c>
      <c r="C1029" s="694"/>
      <c r="D1029" s="840" t="s">
        <v>396</v>
      </c>
      <c r="E1029" s="840" t="s">
        <v>18</v>
      </c>
      <c r="F1029" s="750"/>
      <c r="G1029" s="709" t="s">
        <v>15</v>
      </c>
      <c r="H1029" s="840" t="e">
        <f>'CNKT '!#REF!</f>
        <v>#REF!</v>
      </c>
      <c r="I1029" s="694"/>
      <c r="J1029" s="840" t="s">
        <v>396</v>
      </c>
      <c r="K1029" s="840" t="s">
        <v>18</v>
      </c>
      <c r="L1029" s="690"/>
    </row>
    <row r="1030" spans="1:13" s="27" customFormat="1" ht="17.25" customHeight="1">
      <c r="A1030" s="693" t="s">
        <v>397</v>
      </c>
      <c r="B1030" s="842" t="s">
        <v>527</v>
      </c>
      <c r="C1030" s="694" t="e">
        <f>VLOOKUP(B1029,'BTH mủ tạp'!#REF!,36,0)</f>
        <v>#REF!</v>
      </c>
      <c r="D1030" s="695"/>
      <c r="E1030" s="695"/>
      <c r="F1030" s="750"/>
      <c r="G1030" s="693" t="s">
        <v>397</v>
      </c>
      <c r="H1030" s="842" t="s">
        <v>527</v>
      </c>
      <c r="I1030" s="694" t="e">
        <f>VLOOKUP(H1029,'BTH mủ tạp'!#REF!,36,0)</f>
        <v>#REF!</v>
      </c>
      <c r="J1030" s="695"/>
      <c r="K1030" s="695"/>
      <c r="L1030" s="690"/>
    </row>
    <row r="1031" spans="1:13" s="27" customFormat="1" ht="17.25" customHeight="1">
      <c r="A1031" s="693" t="s">
        <v>77</v>
      </c>
      <c r="B1031" s="843" t="s">
        <v>432</v>
      </c>
      <c r="C1031" s="696" t="e">
        <f>VLOOKUP(B1029,'CNKT '!$D$99:$AA$106,3,0)</f>
        <v>#REF!</v>
      </c>
      <c r="D1031" s="697">
        <v>25000</v>
      </c>
      <c r="E1031" s="695" t="e">
        <f t="shared" ref="E1031:E1036" si="119">C1031*D1031</f>
        <v>#REF!</v>
      </c>
      <c r="F1031" s="750"/>
      <c r="G1031" s="693" t="s">
        <v>77</v>
      </c>
      <c r="H1031" s="843" t="s">
        <v>432</v>
      </c>
      <c r="I1031" s="696" t="e">
        <f>VLOOKUP(H1029,'CNKT '!$D$99:$AA$106,3,0)</f>
        <v>#REF!</v>
      </c>
      <c r="J1031" s="697">
        <v>25000</v>
      </c>
      <c r="K1031" s="695" t="e">
        <f t="shared" ref="K1031:K1036" si="120">I1031*J1031</f>
        <v>#REF!</v>
      </c>
      <c r="L1031" s="690"/>
    </row>
    <row r="1032" spans="1:13" s="27" customFormat="1" ht="17.25" customHeight="1">
      <c r="A1032" s="693" t="s">
        <v>307</v>
      </c>
      <c r="B1032" s="844" t="s">
        <v>528</v>
      </c>
      <c r="C1032" s="747" t="e">
        <f>VLOOKUP(B1029,'CNKT '!$D$99:$AA$106,11,0)</f>
        <v>#REF!</v>
      </c>
      <c r="D1032" s="698">
        <f>46.1*$B$2</f>
        <v>30833.524000000001</v>
      </c>
      <c r="E1032" s="695" t="e">
        <f t="shared" si="119"/>
        <v>#REF!</v>
      </c>
      <c r="F1032" s="750"/>
      <c r="G1032" s="693" t="s">
        <v>307</v>
      </c>
      <c r="H1032" s="844" t="s">
        <v>528</v>
      </c>
      <c r="I1032" s="747" t="e">
        <f>VLOOKUP(H1029,'CNKT '!$D$99:$AA$106,11,0)</f>
        <v>#REF!</v>
      </c>
      <c r="J1032" s="698">
        <f>46.1*$B$2</f>
        <v>30833.524000000001</v>
      </c>
      <c r="K1032" s="695" t="e">
        <f t="shared" si="120"/>
        <v>#REF!</v>
      </c>
      <c r="L1032" s="690"/>
    </row>
    <row r="1033" spans="1:13" s="27" customFormat="1" ht="17.25" customHeight="1">
      <c r="A1033" s="693" t="s">
        <v>399</v>
      </c>
      <c r="B1033" s="844" t="s">
        <v>529</v>
      </c>
      <c r="C1033" s="747" t="e">
        <f>VLOOKUP(B1029,'CNKT '!$D$99:$AA$106,12,0)</f>
        <v>#REF!</v>
      </c>
      <c r="D1033" s="697">
        <f>76.9*$B$2</f>
        <v>51433.796000000009</v>
      </c>
      <c r="E1033" s="695" t="e">
        <f t="shared" si="119"/>
        <v>#REF!</v>
      </c>
      <c r="F1033" s="750"/>
      <c r="G1033" s="693" t="s">
        <v>399</v>
      </c>
      <c r="H1033" s="844" t="s">
        <v>529</v>
      </c>
      <c r="I1033" s="747" t="e">
        <f>VLOOKUP(H1029,'CNKT '!$D$99:$AA$106,12,0)</f>
        <v>#REF!</v>
      </c>
      <c r="J1033" s="697">
        <f>76.9*$B$2</f>
        <v>51433.796000000009</v>
      </c>
      <c r="K1033" s="695" t="e">
        <f t="shared" si="120"/>
        <v>#REF!</v>
      </c>
      <c r="L1033" s="690"/>
    </row>
    <row r="1034" spans="1:13" s="27" customFormat="1" ht="17.25" customHeight="1">
      <c r="A1034" s="693" t="s">
        <v>78</v>
      </c>
      <c r="B1034" s="844" t="s">
        <v>530</v>
      </c>
      <c r="C1034" s="747" t="e">
        <f>VLOOKUP(B1029,'CNKT '!$D$99:$AA$106,8,0)</f>
        <v>#REF!</v>
      </c>
      <c r="D1034" s="697" t="e">
        <f>IF(C1030="A",6.1,IF(C1030="B",5.8,IF(C1030="C",5.5,IF(C1030="C.",5.5,IF(C1030="D",5.2)))))*$B$2</f>
        <v>#REF!</v>
      </c>
      <c r="E1034" s="695" t="e">
        <f t="shared" si="119"/>
        <v>#REF!</v>
      </c>
      <c r="F1034" s="750"/>
      <c r="G1034" s="693" t="s">
        <v>78</v>
      </c>
      <c r="H1034" s="844" t="s">
        <v>530</v>
      </c>
      <c r="I1034" s="747" t="e">
        <f>VLOOKUP(H1029,'CNKT '!$D$99:$AA$106,8,0)</f>
        <v>#REF!</v>
      </c>
      <c r="J1034" s="697" t="e">
        <f>IF(I1030="A",6.1,IF(I1030="B",5.8,IF(I1030="C",5.5,IF(I1030="C.",5.5,IF(I1030="D",5.2)))))*$B$2</f>
        <v>#REF!</v>
      </c>
      <c r="K1034" s="695" t="e">
        <f t="shared" si="120"/>
        <v>#REF!</v>
      </c>
      <c r="L1034" s="690"/>
    </row>
    <row r="1035" spans="1:13" s="27" customFormat="1" ht="17.25" customHeight="1">
      <c r="A1035" s="693" t="s">
        <v>491</v>
      </c>
      <c r="B1035" s="844" t="s">
        <v>531</v>
      </c>
      <c r="C1035" s="747" t="e">
        <f>VLOOKUP(B1029,'CNKT '!$D$99:$AA$106,15,0)</f>
        <v>#REF!</v>
      </c>
      <c r="D1035" s="698">
        <f>92.2*$B$2</f>
        <v>61667.048000000003</v>
      </c>
      <c r="E1035" s="695" t="e">
        <f t="shared" si="119"/>
        <v>#REF!</v>
      </c>
      <c r="F1035" s="750"/>
      <c r="G1035" s="693" t="s">
        <v>491</v>
      </c>
      <c r="H1035" s="844" t="s">
        <v>531</v>
      </c>
      <c r="I1035" s="747" t="e">
        <f>VLOOKUP(H1029,'CNKT '!$D$99:$AA$106,15,0)</f>
        <v>#REF!</v>
      </c>
      <c r="J1035" s="698">
        <f>92.2*$B$2</f>
        <v>61667.048000000003</v>
      </c>
      <c r="K1035" s="695" t="e">
        <f t="shared" si="120"/>
        <v>#REF!</v>
      </c>
      <c r="L1035" s="690"/>
    </row>
    <row r="1036" spans="1:13" s="27" customFormat="1" ht="17.25" customHeight="1">
      <c r="A1036" s="693" t="s">
        <v>492</v>
      </c>
      <c r="B1036" s="844" t="s">
        <v>496</v>
      </c>
      <c r="C1036" s="747" t="e">
        <f>VLOOKUP(B1029,'CNKT '!$D$99:$AA$106,16,0)</f>
        <v>#REF!</v>
      </c>
      <c r="D1036" s="697">
        <f>153.8*$B$2</f>
        <v>102867.59200000002</v>
      </c>
      <c r="E1036" s="695" t="e">
        <f t="shared" si="119"/>
        <v>#REF!</v>
      </c>
      <c r="F1036" s="750"/>
      <c r="G1036" s="693" t="s">
        <v>492</v>
      </c>
      <c r="H1036" s="844" t="s">
        <v>496</v>
      </c>
      <c r="I1036" s="747" t="e">
        <f>VLOOKUP(H1029,'CNKT '!$D$99:$AA$106,16,0)</f>
        <v>#REF!</v>
      </c>
      <c r="J1036" s="697">
        <f>153.8*$B$2</f>
        <v>102867.59200000002</v>
      </c>
      <c r="K1036" s="695" t="e">
        <f t="shared" si="120"/>
        <v>#REF!</v>
      </c>
      <c r="L1036" s="690"/>
    </row>
    <row r="1037" spans="1:13" s="27" customFormat="1" ht="17.25" customHeight="1">
      <c r="A1037" s="693" t="s">
        <v>453</v>
      </c>
      <c r="B1037" s="844" t="s">
        <v>497</v>
      </c>
      <c r="C1037" s="747" t="e">
        <f>VLOOKUP(B1029,'CNKT '!$D$99:$AA$112,18,0)</f>
        <v>#REF!</v>
      </c>
      <c r="D1037" s="697">
        <v>10000</v>
      </c>
      <c r="E1037" s="695" t="e">
        <f>C1037*D1037</f>
        <v>#REF!</v>
      </c>
      <c r="F1037" s="750"/>
      <c r="G1037" s="693" t="s">
        <v>453</v>
      </c>
      <c r="H1037" s="844" t="s">
        <v>497</v>
      </c>
      <c r="I1037" s="747" t="e">
        <f>VLOOKUP(H1029,'CNKT '!$D$99:$AA$112,18,0)</f>
        <v>#REF!</v>
      </c>
      <c r="J1037" s="697">
        <v>10000</v>
      </c>
      <c r="K1037" s="695" t="e">
        <f>I1037*J1037</f>
        <v>#REF!</v>
      </c>
      <c r="L1037" s="690"/>
    </row>
    <row r="1038" spans="1:13" s="27" customFormat="1" ht="17.25" customHeight="1">
      <c r="A1038" s="693" t="s">
        <v>453</v>
      </c>
      <c r="B1038" s="844" t="s">
        <v>497</v>
      </c>
      <c r="C1038" s="747" t="e">
        <f>VLOOKUP(B1029,'CNKT '!$D$99:$AA$112,19,0)</f>
        <v>#REF!</v>
      </c>
      <c r="D1038" s="697">
        <v>20000</v>
      </c>
      <c r="E1038" s="695" t="e">
        <f>C1038*D1038</f>
        <v>#REF!</v>
      </c>
      <c r="F1038" s="750"/>
      <c r="G1038" s="693" t="s">
        <v>453</v>
      </c>
      <c r="H1038" s="844" t="s">
        <v>497</v>
      </c>
      <c r="I1038" s="747" t="e">
        <f>VLOOKUP(H1029,'CNKT '!$D$99:$AA$112,19,0)</f>
        <v>#REF!</v>
      </c>
      <c r="J1038" s="697">
        <v>20000</v>
      </c>
      <c r="K1038" s="695" t="e">
        <f>I1038*J1038</f>
        <v>#REF!</v>
      </c>
      <c r="L1038" s="690"/>
    </row>
    <row r="1039" spans="1:13" s="27" customFormat="1" ht="17.25" customHeight="1">
      <c r="A1039" s="693" t="s">
        <v>512</v>
      </c>
      <c r="B1039" s="844" t="s">
        <v>513</v>
      </c>
      <c r="C1039" s="747"/>
      <c r="D1039" s="697"/>
      <c r="E1039" s="695"/>
      <c r="F1039" s="750"/>
      <c r="G1039" s="693" t="s">
        <v>512</v>
      </c>
      <c r="H1039" s="844" t="s">
        <v>513</v>
      </c>
      <c r="I1039" s="747"/>
      <c r="J1039" s="697"/>
      <c r="K1039" s="695"/>
      <c r="L1039" s="690"/>
    </row>
    <row r="1040" spans="1:13" s="27" customFormat="1" ht="17.25" customHeight="1">
      <c r="A1040" s="699" t="s">
        <v>79</v>
      </c>
      <c r="B1040" s="845" t="s">
        <v>532</v>
      </c>
      <c r="C1040" s="700"/>
      <c r="D1040" s="701"/>
      <c r="E1040" s="700"/>
      <c r="F1040" s="750"/>
      <c r="G1040" s="699" t="s">
        <v>79</v>
      </c>
      <c r="H1040" s="845" t="s">
        <v>532</v>
      </c>
      <c r="I1040" s="700"/>
      <c r="J1040" s="701"/>
      <c r="K1040" s="700"/>
      <c r="L1040" s="690"/>
    </row>
    <row r="1041" spans="1:12" s="27" customFormat="1" ht="17.25" customHeight="1">
      <c r="A1041" s="702" t="s">
        <v>80</v>
      </c>
      <c r="B1041" s="846" t="s">
        <v>533</v>
      </c>
      <c r="C1041" s="700"/>
      <c r="D1041" s="700"/>
      <c r="E1041" s="700"/>
      <c r="F1041" s="750"/>
      <c r="G1041" s="702" t="s">
        <v>80</v>
      </c>
      <c r="H1041" s="846" t="s">
        <v>533</v>
      </c>
      <c r="I1041" s="700"/>
      <c r="J1041" s="700"/>
      <c r="K1041" s="700"/>
      <c r="L1041" s="690"/>
    </row>
    <row r="1042" spans="1:12" s="27" customFormat="1" ht="17.25" customHeight="1">
      <c r="A1042" s="702" t="s">
        <v>81</v>
      </c>
      <c r="B1042" s="847" t="s">
        <v>534</v>
      </c>
      <c r="C1042" s="700"/>
      <c r="D1042" s="700"/>
      <c r="E1042" s="695">
        <f>SUM(E1041)</f>
        <v>0</v>
      </c>
      <c r="F1042" s="738"/>
      <c r="G1042" s="702" t="s">
        <v>81</v>
      </c>
      <c r="H1042" s="847" t="s">
        <v>534</v>
      </c>
      <c r="I1042" s="700"/>
      <c r="J1042" s="700"/>
      <c r="K1042" s="695">
        <f>SUM(K1041)</f>
        <v>0</v>
      </c>
      <c r="L1042" s="690"/>
    </row>
    <row r="1043" spans="1:12" s="27" customFormat="1" ht="17.25" customHeight="1">
      <c r="A1043" s="704" t="s">
        <v>82</v>
      </c>
      <c r="B1043" s="848" t="s">
        <v>438</v>
      </c>
      <c r="C1043" s="705"/>
      <c r="D1043" s="705"/>
      <c r="E1043" s="705" t="e">
        <f>(E1031+E1032+E1033+E1034+E1035+E1036+E1037+E1038+E1039)-E1042</f>
        <v>#REF!</v>
      </c>
      <c r="F1043" s="738"/>
      <c r="G1043" s="704" t="s">
        <v>82</v>
      </c>
      <c r="H1043" s="848" t="s">
        <v>438</v>
      </c>
      <c r="I1043" s="705"/>
      <c r="J1043" s="705"/>
      <c r="K1043" s="705" t="e">
        <f>(K1031+K1032+K1033+K1034+K1035+K1036+K1037+K1038+K1039)-K1042</f>
        <v>#REF!</v>
      </c>
      <c r="L1043" s="707" t="e">
        <f>E1043+K1043</f>
        <v>#REF!</v>
      </c>
    </row>
    <row r="1044" spans="1:12" s="27" customFormat="1" ht="17.25" customHeight="1">
      <c r="A1044" s="1568"/>
      <c r="B1044" s="1568"/>
      <c r="C1044" s="1568"/>
      <c r="D1044" s="1568"/>
      <c r="E1044" s="1568"/>
      <c r="F1044" s="742"/>
      <c r="G1044" s="1568"/>
      <c r="H1044" s="1568"/>
      <c r="I1044" s="1568"/>
      <c r="J1044" s="1568"/>
      <c r="K1044" s="743"/>
      <c r="L1044" s="690"/>
    </row>
    <row r="1045" spans="1:12" s="27" customFormat="1" ht="17.25" customHeight="1">
      <c r="A1045" s="763" t="str">
        <f>A1028</f>
        <v>LƯƠNG THÁNG 01/2025</v>
      </c>
      <c r="B1045" s="763"/>
      <c r="C1045" s="763"/>
      <c r="D1045" s="763"/>
      <c r="E1045" s="763" t="e">
        <f>VLOOKUP(B1046,'CNKT '!$D$99:$AD$112,26,0)</f>
        <v>#REF!</v>
      </c>
      <c r="F1045" s="742"/>
      <c r="G1045" s="763" t="str">
        <f>A1045</f>
        <v>LƯƠNG THÁNG 01/2025</v>
      </c>
      <c r="H1045" s="763"/>
      <c r="I1045" s="763"/>
      <c r="J1045" s="763"/>
      <c r="K1045" s="763" t="e">
        <f>VLOOKUP(H1046,'CNKT '!$D$99:$AD$112,26,0)</f>
        <v>#REF!</v>
      </c>
      <c r="L1045" s="690"/>
    </row>
    <row r="1046" spans="1:12" s="27" customFormat="1" ht="17.25" customHeight="1">
      <c r="A1046" s="709" t="s">
        <v>15</v>
      </c>
      <c r="B1046" s="840" t="e">
        <f>'CNKT '!#REF!</f>
        <v>#REF!</v>
      </c>
      <c r="C1046" s="694"/>
      <c r="D1046" s="840" t="s">
        <v>396</v>
      </c>
      <c r="E1046" s="840" t="s">
        <v>18</v>
      </c>
      <c r="F1046" s="750"/>
      <c r="G1046" s="709" t="s">
        <v>15</v>
      </c>
      <c r="H1046" s="840" t="e">
        <f>'CNKT '!#REF!</f>
        <v>#REF!</v>
      </c>
      <c r="I1046" s="694"/>
      <c r="J1046" s="840" t="s">
        <v>396</v>
      </c>
      <c r="K1046" s="840" t="s">
        <v>18</v>
      </c>
      <c r="L1046" s="690"/>
    </row>
    <row r="1047" spans="1:12" s="27" customFormat="1" ht="17.25" customHeight="1">
      <c r="A1047" s="693" t="s">
        <v>397</v>
      </c>
      <c r="B1047" s="842" t="s">
        <v>527</v>
      </c>
      <c r="C1047" s="694" t="e">
        <f>VLOOKUP(B1046,'BTH mủ tạp'!#REF!,36,0)</f>
        <v>#REF!</v>
      </c>
      <c r="D1047" s="695"/>
      <c r="E1047" s="695"/>
      <c r="F1047" s="750"/>
      <c r="G1047" s="693" t="s">
        <v>397</v>
      </c>
      <c r="H1047" s="842" t="s">
        <v>527</v>
      </c>
      <c r="I1047" s="694" t="e">
        <f>VLOOKUP(H1046,'BTH mủ tạp'!#REF!,36,0)</f>
        <v>#REF!</v>
      </c>
      <c r="J1047" s="695"/>
      <c r="K1047" s="695"/>
      <c r="L1047" s="690"/>
    </row>
    <row r="1048" spans="1:12" s="27" customFormat="1" ht="17.25" customHeight="1">
      <c r="A1048" s="693" t="s">
        <v>77</v>
      </c>
      <c r="B1048" s="843" t="s">
        <v>432</v>
      </c>
      <c r="C1048" s="696" t="e">
        <f>VLOOKUP(B1046,'CNKT '!$D$99:$AA$106,3,0)</f>
        <v>#REF!</v>
      </c>
      <c r="D1048" s="697">
        <v>25000</v>
      </c>
      <c r="E1048" s="695" t="e">
        <f t="shared" ref="E1048:E1053" si="121">C1048*D1048</f>
        <v>#REF!</v>
      </c>
      <c r="F1048" s="750"/>
      <c r="G1048" s="693" t="s">
        <v>77</v>
      </c>
      <c r="H1048" s="843" t="s">
        <v>432</v>
      </c>
      <c r="I1048" s="696" t="e">
        <f>VLOOKUP(H1046,'CNKT '!$D$99:$AA$106,3,0)</f>
        <v>#REF!</v>
      </c>
      <c r="J1048" s="697">
        <v>25000</v>
      </c>
      <c r="K1048" s="695" t="e">
        <f t="shared" ref="K1048:K1053" si="122">I1048*J1048</f>
        <v>#REF!</v>
      </c>
      <c r="L1048" s="690"/>
    </row>
    <row r="1049" spans="1:12" s="27" customFormat="1" ht="17.25" customHeight="1">
      <c r="A1049" s="693" t="s">
        <v>307</v>
      </c>
      <c r="B1049" s="844" t="s">
        <v>528</v>
      </c>
      <c r="C1049" s="747" t="e">
        <f>VLOOKUP(B1046,'CNKT '!$D$99:$AA$106,11,0)</f>
        <v>#REF!</v>
      </c>
      <c r="D1049" s="698">
        <f>46.1*$B$2</f>
        <v>30833.524000000001</v>
      </c>
      <c r="E1049" s="695" t="e">
        <f t="shared" si="121"/>
        <v>#REF!</v>
      </c>
      <c r="F1049" s="750"/>
      <c r="G1049" s="693" t="s">
        <v>307</v>
      </c>
      <c r="H1049" s="844" t="s">
        <v>528</v>
      </c>
      <c r="I1049" s="747" t="e">
        <f>VLOOKUP(H1046,'CNKT '!$D$99:$AA$106,11,0)</f>
        <v>#REF!</v>
      </c>
      <c r="J1049" s="698">
        <f>46.1*$B$2</f>
        <v>30833.524000000001</v>
      </c>
      <c r="K1049" s="695" t="e">
        <f t="shared" si="122"/>
        <v>#REF!</v>
      </c>
      <c r="L1049" s="690"/>
    </row>
    <row r="1050" spans="1:12" s="27" customFormat="1" ht="17.25" customHeight="1">
      <c r="A1050" s="693" t="s">
        <v>399</v>
      </c>
      <c r="B1050" s="844" t="s">
        <v>529</v>
      </c>
      <c r="C1050" s="747" t="e">
        <f>VLOOKUP(B1046,'CNKT '!$D$99:$AA$106,12,0)</f>
        <v>#REF!</v>
      </c>
      <c r="D1050" s="697">
        <f>76.9*$B$2</f>
        <v>51433.796000000009</v>
      </c>
      <c r="E1050" s="695" t="e">
        <f t="shared" si="121"/>
        <v>#REF!</v>
      </c>
      <c r="F1050" s="750"/>
      <c r="G1050" s="693" t="s">
        <v>399</v>
      </c>
      <c r="H1050" s="844" t="s">
        <v>529</v>
      </c>
      <c r="I1050" s="747" t="e">
        <f>VLOOKUP(H1046,'CNKT '!$D$99:$AA$106,12,0)</f>
        <v>#REF!</v>
      </c>
      <c r="J1050" s="697">
        <f>76.9*$B$2</f>
        <v>51433.796000000009</v>
      </c>
      <c r="K1050" s="695" t="e">
        <f t="shared" si="122"/>
        <v>#REF!</v>
      </c>
      <c r="L1050" s="690"/>
    </row>
    <row r="1051" spans="1:12" s="27" customFormat="1" ht="17.25" customHeight="1">
      <c r="A1051" s="693" t="s">
        <v>78</v>
      </c>
      <c r="B1051" s="844" t="s">
        <v>530</v>
      </c>
      <c r="C1051" s="747" t="e">
        <f>VLOOKUP(B1046,'CNKT '!$D$99:$AA$106,8,0)</f>
        <v>#REF!</v>
      </c>
      <c r="D1051" s="697" t="e">
        <f>IF(C1047="A",6.1,IF(C1047="B",5.8,IF(C1047="C",5.5,IF(C1047="C.",5.5,IF(C1047="D",5.2)))))*$B$2</f>
        <v>#REF!</v>
      </c>
      <c r="E1051" s="695" t="e">
        <f t="shared" si="121"/>
        <v>#REF!</v>
      </c>
      <c r="F1051" s="750"/>
      <c r="G1051" s="693" t="s">
        <v>78</v>
      </c>
      <c r="H1051" s="844" t="s">
        <v>530</v>
      </c>
      <c r="I1051" s="747" t="e">
        <f>VLOOKUP(H1046,'CNKT '!$D$99:$AA$106,8,0)</f>
        <v>#REF!</v>
      </c>
      <c r="J1051" s="697" t="e">
        <f>IF(I1047="A",6.1,IF(I1047="B",5.8,IF(I1047="C",5.5,IF(I1047="C.",5.5,IF(I1047="D",5.2)))))*$B$2</f>
        <v>#REF!</v>
      </c>
      <c r="K1051" s="695" t="e">
        <f t="shared" si="122"/>
        <v>#REF!</v>
      </c>
      <c r="L1051" s="690"/>
    </row>
    <row r="1052" spans="1:12" s="27" customFormat="1" ht="17.25" customHeight="1">
      <c r="A1052" s="693" t="s">
        <v>491</v>
      </c>
      <c r="B1052" s="844" t="s">
        <v>531</v>
      </c>
      <c r="C1052" s="747" t="e">
        <f>VLOOKUP(B1046,'CNKT '!$D$99:$AA$106,15,0)</f>
        <v>#REF!</v>
      </c>
      <c r="D1052" s="698">
        <f>92.2*$B$2</f>
        <v>61667.048000000003</v>
      </c>
      <c r="E1052" s="695" t="e">
        <f t="shared" si="121"/>
        <v>#REF!</v>
      </c>
      <c r="F1052" s="750"/>
      <c r="G1052" s="693" t="s">
        <v>491</v>
      </c>
      <c r="H1052" s="844" t="s">
        <v>531</v>
      </c>
      <c r="I1052" s="747" t="e">
        <f>VLOOKUP(H1046,'CNKT '!$D$99:$AA$106,15,0)</f>
        <v>#REF!</v>
      </c>
      <c r="J1052" s="698">
        <f>92.2*$B$2</f>
        <v>61667.048000000003</v>
      </c>
      <c r="K1052" s="695" t="e">
        <f t="shared" si="122"/>
        <v>#REF!</v>
      </c>
      <c r="L1052" s="690"/>
    </row>
    <row r="1053" spans="1:12" s="27" customFormat="1" ht="17.25" customHeight="1">
      <c r="A1053" s="693" t="s">
        <v>492</v>
      </c>
      <c r="B1053" s="844" t="s">
        <v>496</v>
      </c>
      <c r="C1053" s="747" t="e">
        <f>VLOOKUP(B1046,'CNKT '!$D$99:$AA$106,16,0)</f>
        <v>#REF!</v>
      </c>
      <c r="D1053" s="697">
        <f>153.8*$B$2</f>
        <v>102867.59200000002</v>
      </c>
      <c r="E1053" s="695" t="e">
        <f t="shared" si="121"/>
        <v>#REF!</v>
      </c>
      <c r="F1053" s="750"/>
      <c r="G1053" s="693" t="s">
        <v>492</v>
      </c>
      <c r="H1053" s="844" t="s">
        <v>496</v>
      </c>
      <c r="I1053" s="747" t="e">
        <f>VLOOKUP(H1046,'CNKT '!$D$99:$AA$106,16,0)</f>
        <v>#REF!</v>
      </c>
      <c r="J1053" s="697">
        <f>153.8*$B$2</f>
        <v>102867.59200000002</v>
      </c>
      <c r="K1053" s="695" t="e">
        <f t="shared" si="122"/>
        <v>#REF!</v>
      </c>
      <c r="L1053" s="690"/>
    </row>
    <row r="1054" spans="1:12" s="27" customFormat="1" ht="17.25" customHeight="1">
      <c r="A1054" s="693" t="s">
        <v>453</v>
      </c>
      <c r="B1054" s="844" t="s">
        <v>497</v>
      </c>
      <c r="C1054" s="747" t="e">
        <f>VLOOKUP(B1046,'CNKT '!$D$99:$AA$112,18,0)</f>
        <v>#REF!</v>
      </c>
      <c r="D1054" s="697">
        <v>10000</v>
      </c>
      <c r="E1054" s="695" t="e">
        <f>C1054*D1054</f>
        <v>#REF!</v>
      </c>
      <c r="F1054" s="750"/>
      <c r="G1054" s="693" t="s">
        <v>453</v>
      </c>
      <c r="H1054" s="844" t="s">
        <v>497</v>
      </c>
      <c r="I1054" s="747" t="e">
        <f>VLOOKUP(H1046,'CNKT '!$D$99:$AA$112,18,0)</f>
        <v>#REF!</v>
      </c>
      <c r="J1054" s="697">
        <v>10000</v>
      </c>
      <c r="K1054" s="695" t="e">
        <f>I1054*J1054</f>
        <v>#REF!</v>
      </c>
      <c r="L1054" s="690"/>
    </row>
    <row r="1055" spans="1:12" s="27" customFormat="1" ht="17.25" customHeight="1">
      <c r="A1055" s="693" t="s">
        <v>453</v>
      </c>
      <c r="B1055" s="844" t="s">
        <v>497</v>
      </c>
      <c r="C1055" s="747" t="e">
        <f>VLOOKUP(B1046,'CNKT '!$D$99:$AA$112,19,0)</f>
        <v>#REF!</v>
      </c>
      <c r="D1055" s="697">
        <v>20000</v>
      </c>
      <c r="E1055" s="695" t="e">
        <f>C1055*D1055</f>
        <v>#REF!</v>
      </c>
      <c r="F1055" s="750"/>
      <c r="G1055" s="693" t="s">
        <v>453</v>
      </c>
      <c r="H1055" s="844" t="s">
        <v>497</v>
      </c>
      <c r="I1055" s="747" t="e">
        <f>VLOOKUP(H1046,'CNKT '!$D$99:$AA$112,19,0)</f>
        <v>#REF!</v>
      </c>
      <c r="J1055" s="697">
        <v>20000</v>
      </c>
      <c r="K1055" s="695" t="e">
        <f>I1055*J1055</f>
        <v>#REF!</v>
      </c>
      <c r="L1055" s="690"/>
    </row>
    <row r="1056" spans="1:12" s="27" customFormat="1" ht="17.25" customHeight="1">
      <c r="A1056" s="693" t="s">
        <v>512</v>
      </c>
      <c r="B1056" s="844" t="s">
        <v>513</v>
      </c>
      <c r="C1056" s="747"/>
      <c r="D1056" s="697"/>
      <c r="E1056" s="695"/>
      <c r="F1056" s="750"/>
      <c r="G1056" s="693" t="s">
        <v>512</v>
      </c>
      <c r="H1056" s="844" t="s">
        <v>513</v>
      </c>
      <c r="I1056" s="747"/>
      <c r="J1056" s="697"/>
      <c r="K1056" s="695"/>
      <c r="L1056" s="690"/>
    </row>
    <row r="1057" spans="1:13" s="27" customFormat="1" ht="17.25" customHeight="1">
      <c r="A1057" s="699" t="s">
        <v>79</v>
      </c>
      <c r="B1057" s="845" t="s">
        <v>532</v>
      </c>
      <c r="C1057" s="700"/>
      <c r="D1057" s="701"/>
      <c r="E1057" s="700"/>
      <c r="F1057" s="750"/>
      <c r="G1057" s="699" t="s">
        <v>79</v>
      </c>
      <c r="H1057" s="845" t="s">
        <v>532</v>
      </c>
      <c r="I1057" s="700"/>
      <c r="J1057" s="701"/>
      <c r="K1057" s="700"/>
      <c r="L1057" s="690"/>
    </row>
    <row r="1058" spans="1:13" s="27" customFormat="1" ht="17.25" customHeight="1">
      <c r="A1058" s="702" t="s">
        <v>80</v>
      </c>
      <c r="B1058" s="846" t="s">
        <v>533</v>
      </c>
      <c r="C1058" s="700"/>
      <c r="D1058" s="700"/>
      <c r="E1058" s="700"/>
      <c r="F1058" s="750"/>
      <c r="G1058" s="702" t="s">
        <v>80</v>
      </c>
      <c r="H1058" s="846" t="s">
        <v>533</v>
      </c>
      <c r="I1058" s="700"/>
      <c r="J1058" s="700"/>
      <c r="K1058" s="700"/>
      <c r="L1058" s="690"/>
    </row>
    <row r="1059" spans="1:13" s="27" customFormat="1" ht="17.25" customHeight="1">
      <c r="A1059" s="702" t="s">
        <v>81</v>
      </c>
      <c r="B1059" s="847" t="s">
        <v>534</v>
      </c>
      <c r="C1059" s="700"/>
      <c r="D1059" s="700"/>
      <c r="E1059" s="695">
        <f>SUM(E1058)</f>
        <v>0</v>
      </c>
      <c r="F1059" s="746"/>
      <c r="G1059" s="702" t="s">
        <v>81</v>
      </c>
      <c r="H1059" s="847" t="s">
        <v>534</v>
      </c>
      <c r="I1059" s="700"/>
      <c r="J1059" s="700"/>
      <c r="K1059" s="695">
        <f>SUM(K1058)</f>
        <v>0</v>
      </c>
      <c r="L1059" s="690"/>
      <c r="M1059" s="703">
        <f>E1059+K1059</f>
        <v>0</v>
      </c>
    </row>
    <row r="1060" spans="1:13" s="27" customFormat="1" ht="17.25" customHeight="1">
      <c r="A1060" s="704" t="s">
        <v>82</v>
      </c>
      <c r="B1060" s="848" t="s">
        <v>438</v>
      </c>
      <c r="C1060" s="705"/>
      <c r="D1060" s="705"/>
      <c r="E1060" s="705" t="e">
        <f>(E1048+E1049+E1050+E1051+E1052+E1053+E1054+E1055+E1056)-E1059</f>
        <v>#REF!</v>
      </c>
      <c r="F1060" s="746"/>
      <c r="G1060" s="704" t="s">
        <v>82</v>
      </c>
      <c r="H1060" s="848" t="s">
        <v>438</v>
      </c>
      <c r="I1060" s="705"/>
      <c r="J1060" s="705"/>
      <c r="K1060" s="705" t="e">
        <f>(K1048+K1049+K1050+K1051+K1052+K1053+K1054+K1055+K1056)-K1059</f>
        <v>#REF!</v>
      </c>
      <c r="L1060" s="707" t="e">
        <f>E1060+K1060</f>
        <v>#REF!</v>
      </c>
    </row>
    <row r="1061" spans="1:13" s="27" customFormat="1" ht="17.25" customHeight="1">
      <c r="A1061" s="1568"/>
      <c r="B1061" s="1568"/>
      <c r="C1061" s="1568"/>
      <c r="D1061" s="1568"/>
      <c r="E1061" s="1568"/>
      <c r="F1061" s="742"/>
      <c r="G1061" s="1568"/>
      <c r="H1061" s="1568"/>
      <c r="I1061" s="1568"/>
      <c r="J1061" s="1568"/>
      <c r="K1061" s="743"/>
      <c r="L1061" s="690"/>
    </row>
    <row r="1062" spans="1:13" s="27" customFormat="1" ht="17.25" customHeight="1">
      <c r="A1062" s="763" t="str">
        <f>A1045</f>
        <v>LƯƠNG THÁNG 01/2025</v>
      </c>
      <c r="B1062" s="763"/>
      <c r="C1062" s="763"/>
      <c r="D1062" s="763"/>
      <c r="E1062" s="763" t="e">
        <f>VLOOKUP(B1063,'CNKT '!$D$99:$AD$112,26,0)</f>
        <v>#REF!</v>
      </c>
      <c r="F1062" s="742"/>
      <c r="G1062" s="763" t="str">
        <f>A1062</f>
        <v>LƯƠNG THÁNG 01/2025</v>
      </c>
      <c r="H1062" s="763"/>
      <c r="I1062" s="763"/>
      <c r="J1062" s="763"/>
      <c r="K1062" s="763" t="e">
        <f>VLOOKUP(H1063,'CNKT '!$D$99:$AD$112,26,0)</f>
        <v>#REF!</v>
      </c>
      <c r="L1062" s="690"/>
    </row>
    <row r="1063" spans="1:13" s="27" customFormat="1" ht="17.25" customHeight="1">
      <c r="A1063" s="709" t="s">
        <v>15</v>
      </c>
      <c r="B1063" s="840" t="e">
        <f>'CNKT '!#REF!</f>
        <v>#REF!</v>
      </c>
      <c r="C1063" s="694"/>
      <c r="D1063" s="840" t="s">
        <v>396</v>
      </c>
      <c r="E1063" s="840" t="s">
        <v>18</v>
      </c>
      <c r="F1063" s="750"/>
      <c r="G1063" s="709" t="s">
        <v>15</v>
      </c>
      <c r="H1063" s="840" t="e">
        <f>'CNKT '!#REF!</f>
        <v>#REF!</v>
      </c>
      <c r="I1063" s="694"/>
      <c r="J1063" s="840" t="s">
        <v>396</v>
      </c>
      <c r="K1063" s="840" t="s">
        <v>18</v>
      </c>
      <c r="L1063" s="690"/>
    </row>
    <row r="1064" spans="1:13" s="27" customFormat="1" ht="17.25" customHeight="1">
      <c r="A1064" s="693" t="s">
        <v>397</v>
      </c>
      <c r="B1064" s="842" t="s">
        <v>527</v>
      </c>
      <c r="C1064" s="694" t="e">
        <f>VLOOKUP(B1063,'BTH mủ tạp'!#REF!,36,0)</f>
        <v>#REF!</v>
      </c>
      <c r="D1064" s="695"/>
      <c r="E1064" s="695"/>
      <c r="F1064" s="750"/>
      <c r="G1064" s="693" t="s">
        <v>397</v>
      </c>
      <c r="H1064" s="842" t="s">
        <v>527</v>
      </c>
      <c r="I1064" s="694" t="e">
        <f>VLOOKUP(H1063,'BTH mủ tạp'!#REF!,36,0)</f>
        <v>#REF!</v>
      </c>
      <c r="J1064" s="695"/>
      <c r="K1064" s="695"/>
      <c r="L1064" s="690"/>
    </row>
    <row r="1065" spans="1:13" s="27" customFormat="1" ht="17.25" customHeight="1">
      <c r="A1065" s="693" t="s">
        <v>77</v>
      </c>
      <c r="B1065" s="843" t="s">
        <v>432</v>
      </c>
      <c r="C1065" s="696" t="e">
        <f>VLOOKUP(B1063,'CNKT '!$D$99:$AA$106,3,0)</f>
        <v>#REF!</v>
      </c>
      <c r="D1065" s="697">
        <v>25000</v>
      </c>
      <c r="E1065" s="695" t="e">
        <f t="shared" ref="E1065:E1070" si="123">C1065*D1065</f>
        <v>#REF!</v>
      </c>
      <c r="F1065" s="750"/>
      <c r="G1065" s="693" t="s">
        <v>77</v>
      </c>
      <c r="H1065" s="843" t="s">
        <v>432</v>
      </c>
      <c r="I1065" s="696" t="e">
        <f>VLOOKUP(H1063,'CNKT '!$D$99:$AA$106,3,0)</f>
        <v>#REF!</v>
      </c>
      <c r="J1065" s="697">
        <v>25000</v>
      </c>
      <c r="K1065" s="695" t="e">
        <f t="shared" ref="K1065:K1070" si="124">I1065*J1065</f>
        <v>#REF!</v>
      </c>
      <c r="L1065" s="690"/>
    </row>
    <row r="1066" spans="1:13" s="27" customFormat="1" ht="17.25" customHeight="1">
      <c r="A1066" s="693" t="s">
        <v>307</v>
      </c>
      <c r="B1066" s="844" t="s">
        <v>528</v>
      </c>
      <c r="C1066" s="747" t="e">
        <f>VLOOKUP(B1063,'CNKT '!$D$99:$AA$106,11,0)</f>
        <v>#REF!</v>
      </c>
      <c r="D1066" s="698">
        <f>46.1*$B$2</f>
        <v>30833.524000000001</v>
      </c>
      <c r="E1066" s="695" t="e">
        <f t="shared" si="123"/>
        <v>#REF!</v>
      </c>
      <c r="F1066" s="750"/>
      <c r="G1066" s="693" t="s">
        <v>307</v>
      </c>
      <c r="H1066" s="844" t="s">
        <v>528</v>
      </c>
      <c r="I1066" s="747" t="e">
        <f>VLOOKUP(H1063,'CNKT '!$D$99:$AA$106,11,0)</f>
        <v>#REF!</v>
      </c>
      <c r="J1066" s="698">
        <f>46.1*$B$2</f>
        <v>30833.524000000001</v>
      </c>
      <c r="K1066" s="695" t="e">
        <f t="shared" si="124"/>
        <v>#REF!</v>
      </c>
      <c r="L1066" s="690"/>
    </row>
    <row r="1067" spans="1:13" s="27" customFormat="1" ht="17.25" customHeight="1">
      <c r="A1067" s="693" t="s">
        <v>399</v>
      </c>
      <c r="B1067" s="844" t="s">
        <v>529</v>
      </c>
      <c r="C1067" s="747" t="e">
        <f>VLOOKUP(B1063,'CNKT '!$D$99:$AA$106,12,0)</f>
        <v>#REF!</v>
      </c>
      <c r="D1067" s="697">
        <f>76.9*$B$2</f>
        <v>51433.796000000009</v>
      </c>
      <c r="E1067" s="695" t="e">
        <f t="shared" si="123"/>
        <v>#REF!</v>
      </c>
      <c r="F1067" s="750"/>
      <c r="G1067" s="693" t="s">
        <v>399</v>
      </c>
      <c r="H1067" s="844" t="s">
        <v>529</v>
      </c>
      <c r="I1067" s="747" t="e">
        <f>VLOOKUP(H1063,'CNKT '!$D$99:$AA$106,12,0)</f>
        <v>#REF!</v>
      </c>
      <c r="J1067" s="697">
        <f>76.9*$B$2</f>
        <v>51433.796000000009</v>
      </c>
      <c r="K1067" s="695" t="e">
        <f t="shared" si="124"/>
        <v>#REF!</v>
      </c>
      <c r="L1067" s="690"/>
    </row>
    <row r="1068" spans="1:13" s="27" customFormat="1" ht="17.25" customHeight="1">
      <c r="A1068" s="693" t="s">
        <v>78</v>
      </c>
      <c r="B1068" s="844" t="s">
        <v>530</v>
      </c>
      <c r="C1068" s="747" t="e">
        <f>VLOOKUP(B1063,'CNKT '!$D$99:$AA$106,8,0)</f>
        <v>#REF!</v>
      </c>
      <c r="D1068" s="697" t="e">
        <f>IF(C1064="A",6.1,IF(C1064="B",5.8,IF(C1064="C",5.5,IF(C1064="C.",5.5,IF(C1064="D",5.2)))))*$B$2</f>
        <v>#REF!</v>
      </c>
      <c r="E1068" s="695" t="e">
        <f t="shared" si="123"/>
        <v>#REF!</v>
      </c>
      <c r="F1068" s="750"/>
      <c r="G1068" s="693" t="s">
        <v>78</v>
      </c>
      <c r="H1068" s="844" t="s">
        <v>530</v>
      </c>
      <c r="I1068" s="747" t="e">
        <f>VLOOKUP(H1063,'CNKT '!$D$99:$AA$106,8,0)</f>
        <v>#REF!</v>
      </c>
      <c r="J1068" s="697" t="e">
        <f>IF(I1064="A",6.1,IF(I1064="B",5.8,IF(I1064="C",5.5,IF(I1064="C.",5.5,IF(I1064="D",5.2)))))*$B$2</f>
        <v>#REF!</v>
      </c>
      <c r="K1068" s="695" t="e">
        <f t="shared" si="124"/>
        <v>#REF!</v>
      </c>
      <c r="L1068" s="690"/>
    </row>
    <row r="1069" spans="1:13" s="27" customFormat="1" ht="17.25" customHeight="1">
      <c r="A1069" s="693" t="s">
        <v>491</v>
      </c>
      <c r="B1069" s="844" t="s">
        <v>531</v>
      </c>
      <c r="C1069" s="747" t="e">
        <f>VLOOKUP(B1063,'CNKT '!$D$99:$AA$106,15,0)</f>
        <v>#REF!</v>
      </c>
      <c r="D1069" s="698">
        <f>92.2*$B$2</f>
        <v>61667.048000000003</v>
      </c>
      <c r="E1069" s="695" t="e">
        <f t="shared" si="123"/>
        <v>#REF!</v>
      </c>
      <c r="F1069" s="750"/>
      <c r="G1069" s="693" t="s">
        <v>491</v>
      </c>
      <c r="H1069" s="844" t="s">
        <v>531</v>
      </c>
      <c r="I1069" s="747" t="e">
        <f>VLOOKUP(H1063,'CNKT '!$D$99:$AA$106,15,0)</f>
        <v>#REF!</v>
      </c>
      <c r="J1069" s="698">
        <f>92.2*$B$2</f>
        <v>61667.048000000003</v>
      </c>
      <c r="K1069" s="695" t="e">
        <f t="shared" si="124"/>
        <v>#REF!</v>
      </c>
      <c r="L1069" s="690"/>
    </row>
    <row r="1070" spans="1:13" s="27" customFormat="1" ht="17.25" customHeight="1">
      <c r="A1070" s="693" t="s">
        <v>492</v>
      </c>
      <c r="B1070" s="844" t="s">
        <v>496</v>
      </c>
      <c r="C1070" s="747" t="e">
        <f>VLOOKUP(B1063,'CNKT '!$D$99:$AA$106,16,0)</f>
        <v>#REF!</v>
      </c>
      <c r="D1070" s="697">
        <f>153.8*$B$2</f>
        <v>102867.59200000002</v>
      </c>
      <c r="E1070" s="695" t="e">
        <f t="shared" si="123"/>
        <v>#REF!</v>
      </c>
      <c r="F1070" s="750"/>
      <c r="G1070" s="693" t="s">
        <v>492</v>
      </c>
      <c r="H1070" s="844" t="s">
        <v>496</v>
      </c>
      <c r="I1070" s="747" t="e">
        <f>VLOOKUP(H1063,'CNKT '!$D$99:$AA$106,16,0)</f>
        <v>#REF!</v>
      </c>
      <c r="J1070" s="697">
        <f>153.8*$B$2</f>
        <v>102867.59200000002</v>
      </c>
      <c r="K1070" s="695" t="e">
        <f t="shared" si="124"/>
        <v>#REF!</v>
      </c>
      <c r="L1070" s="690"/>
    </row>
    <row r="1071" spans="1:13" s="27" customFormat="1" ht="17.25" customHeight="1">
      <c r="A1071" s="693" t="s">
        <v>453</v>
      </c>
      <c r="B1071" s="844" t="s">
        <v>497</v>
      </c>
      <c r="C1071" s="747" t="e">
        <f>VLOOKUP(B1063,'CNKT '!$D$99:$AA$112,18,0)</f>
        <v>#REF!</v>
      </c>
      <c r="D1071" s="697">
        <v>10000</v>
      </c>
      <c r="E1071" s="695" t="e">
        <f>C1071*D1071</f>
        <v>#REF!</v>
      </c>
      <c r="F1071" s="750"/>
      <c r="G1071" s="693" t="s">
        <v>453</v>
      </c>
      <c r="H1071" s="844" t="s">
        <v>497</v>
      </c>
      <c r="I1071" s="747" t="e">
        <f>VLOOKUP(H1063,'CNKT '!$D$99:$AA$112,18,0)</f>
        <v>#REF!</v>
      </c>
      <c r="J1071" s="697">
        <v>10000</v>
      </c>
      <c r="K1071" s="695" t="e">
        <f>I1071*J1071</f>
        <v>#REF!</v>
      </c>
      <c r="L1071" s="690"/>
    </row>
    <row r="1072" spans="1:13" s="27" customFormat="1" ht="17.25" customHeight="1">
      <c r="A1072" s="693" t="s">
        <v>453</v>
      </c>
      <c r="B1072" s="844" t="s">
        <v>497</v>
      </c>
      <c r="C1072" s="747" t="e">
        <f>VLOOKUP(B1063,'CNKT '!$D$99:$AA$112,19,0)</f>
        <v>#REF!</v>
      </c>
      <c r="D1072" s="697">
        <v>20000</v>
      </c>
      <c r="E1072" s="695" t="e">
        <f>C1072*D1072</f>
        <v>#REF!</v>
      </c>
      <c r="F1072" s="750"/>
      <c r="G1072" s="693" t="s">
        <v>453</v>
      </c>
      <c r="H1072" s="844" t="s">
        <v>497</v>
      </c>
      <c r="I1072" s="747" t="e">
        <f>VLOOKUP(H1063,'CNKT '!$D$99:$AA$112,19,0)</f>
        <v>#REF!</v>
      </c>
      <c r="J1072" s="697">
        <v>20000</v>
      </c>
      <c r="K1072" s="695" t="e">
        <f>I1072*J1072</f>
        <v>#REF!</v>
      </c>
      <c r="L1072" s="690"/>
    </row>
    <row r="1073" spans="1:12" s="27" customFormat="1" ht="17.25" customHeight="1">
      <c r="A1073" s="693" t="s">
        <v>512</v>
      </c>
      <c r="B1073" s="844" t="s">
        <v>513</v>
      </c>
      <c r="C1073" s="747"/>
      <c r="D1073" s="697"/>
      <c r="E1073" s="695"/>
      <c r="F1073" s="750"/>
      <c r="G1073" s="693" t="s">
        <v>512</v>
      </c>
      <c r="H1073" s="844" t="s">
        <v>513</v>
      </c>
      <c r="I1073" s="747"/>
      <c r="J1073" s="697"/>
      <c r="K1073" s="695"/>
      <c r="L1073" s="690"/>
    </row>
    <row r="1074" spans="1:12" s="27" customFormat="1" ht="17.25" customHeight="1">
      <c r="A1074" s="699" t="s">
        <v>79</v>
      </c>
      <c r="B1074" s="845" t="s">
        <v>532</v>
      </c>
      <c r="C1074" s="700"/>
      <c r="D1074" s="701"/>
      <c r="E1074" s="700"/>
      <c r="F1074" s="750"/>
      <c r="G1074" s="699" t="s">
        <v>79</v>
      </c>
      <c r="H1074" s="845" t="s">
        <v>532</v>
      </c>
      <c r="I1074" s="700"/>
      <c r="J1074" s="701"/>
      <c r="K1074" s="700"/>
      <c r="L1074" s="690"/>
    </row>
    <row r="1075" spans="1:12" s="27" customFormat="1" ht="17.25" customHeight="1">
      <c r="A1075" s="702" t="s">
        <v>80</v>
      </c>
      <c r="B1075" s="846" t="s">
        <v>533</v>
      </c>
      <c r="C1075" s="700"/>
      <c r="D1075" s="700"/>
      <c r="E1075" s="700"/>
      <c r="F1075" s="750"/>
      <c r="G1075" s="702" t="s">
        <v>80</v>
      </c>
      <c r="H1075" s="846" t="s">
        <v>533</v>
      </c>
      <c r="I1075" s="700"/>
      <c r="J1075" s="700"/>
      <c r="K1075" s="700"/>
      <c r="L1075" s="690"/>
    </row>
    <row r="1076" spans="1:12" s="27" customFormat="1" ht="17.25" customHeight="1">
      <c r="A1076" s="702" t="s">
        <v>81</v>
      </c>
      <c r="B1076" s="847" t="s">
        <v>534</v>
      </c>
      <c r="C1076" s="700"/>
      <c r="D1076" s="700"/>
      <c r="E1076" s="695">
        <f>SUM(E1075)</f>
        <v>0</v>
      </c>
      <c r="F1076" s="738"/>
      <c r="G1076" s="702" t="s">
        <v>81</v>
      </c>
      <c r="H1076" s="847" t="s">
        <v>534</v>
      </c>
      <c r="I1076" s="700"/>
      <c r="J1076" s="700"/>
      <c r="K1076" s="695">
        <f>SUM(K1075)</f>
        <v>0</v>
      </c>
      <c r="L1076" s="690"/>
    </row>
    <row r="1077" spans="1:12" s="27" customFormat="1" ht="17.25" customHeight="1">
      <c r="A1077" s="704" t="s">
        <v>82</v>
      </c>
      <c r="B1077" s="848" t="s">
        <v>438</v>
      </c>
      <c r="C1077" s="705"/>
      <c r="D1077" s="705"/>
      <c r="E1077" s="705" t="e">
        <f>(E1065+E1066+E1067+E1068+E1069+E1070+E1071+E1072+E1073)-E1076</f>
        <v>#REF!</v>
      </c>
      <c r="F1077" s="738"/>
      <c r="G1077" s="704" t="s">
        <v>82</v>
      </c>
      <c r="H1077" s="848" t="s">
        <v>438</v>
      </c>
      <c r="I1077" s="705"/>
      <c r="J1077" s="705"/>
      <c r="K1077" s="705" t="e">
        <f>(K1065+K1066+K1067+K1068+K1069+K1070+K1071+K1072+K1073)-K1076</f>
        <v>#REF!</v>
      </c>
      <c r="L1077" s="707" t="e">
        <f>E1077+K1077</f>
        <v>#REF!</v>
      </c>
    </row>
    <row r="1078" spans="1:12" s="27" customFormat="1" ht="17.25" customHeight="1">
      <c r="A1078" s="1568"/>
      <c r="B1078" s="1568"/>
      <c r="C1078" s="1568"/>
      <c r="D1078" s="1568"/>
      <c r="E1078" s="1568"/>
      <c r="F1078" s="742"/>
      <c r="G1078" s="1568"/>
      <c r="H1078" s="1568"/>
      <c r="I1078" s="1568"/>
      <c r="J1078" s="1568"/>
      <c r="K1078" s="743"/>
      <c r="L1078" s="690"/>
    </row>
    <row r="1079" spans="1:12" s="27" customFormat="1" ht="17.25" customHeight="1">
      <c r="A1079" s="763" t="str">
        <f>A1062</f>
        <v>LƯƠNG THÁNG 01/2025</v>
      </c>
      <c r="B1079" s="763"/>
      <c r="C1079" s="763"/>
      <c r="D1079" s="763"/>
      <c r="E1079" s="763" t="e">
        <f>VLOOKUP(B1080,'CNKT '!$D$99:$AD$112,26,0)</f>
        <v>#REF!</v>
      </c>
      <c r="F1079" s="742"/>
      <c r="G1079" s="763" t="str">
        <f>A1079</f>
        <v>LƯƠNG THÁNG 01/2025</v>
      </c>
      <c r="H1079" s="763"/>
      <c r="I1079" s="763"/>
      <c r="J1079" s="763"/>
      <c r="K1079" s="763" t="e">
        <f>VLOOKUP(H1080,'CNKT '!$D$99:$AD$112,26,0)</f>
        <v>#REF!</v>
      </c>
      <c r="L1079" s="690"/>
    </row>
    <row r="1080" spans="1:12" s="27" customFormat="1" ht="17.25" customHeight="1">
      <c r="A1080" s="709" t="s">
        <v>15</v>
      </c>
      <c r="B1080" s="840" t="e">
        <f>'CNKT '!#REF!</f>
        <v>#REF!</v>
      </c>
      <c r="C1080" s="694"/>
      <c r="D1080" s="840" t="s">
        <v>396</v>
      </c>
      <c r="E1080" s="840" t="s">
        <v>18</v>
      </c>
      <c r="F1080" s="750"/>
      <c r="G1080" s="709" t="s">
        <v>15</v>
      </c>
      <c r="H1080" s="840" t="e">
        <f>'CNKT '!#REF!</f>
        <v>#REF!</v>
      </c>
      <c r="I1080" s="694"/>
      <c r="J1080" s="840" t="s">
        <v>396</v>
      </c>
      <c r="K1080" s="840" t="s">
        <v>18</v>
      </c>
      <c r="L1080" s="690"/>
    </row>
    <row r="1081" spans="1:12" s="27" customFormat="1" ht="17.25" customHeight="1">
      <c r="A1081" s="693" t="s">
        <v>397</v>
      </c>
      <c r="B1081" s="842" t="s">
        <v>527</v>
      </c>
      <c r="C1081" s="694" t="e">
        <f>VLOOKUP(B1080,'BTH mủ tạp'!#REF!,36,0)</f>
        <v>#REF!</v>
      </c>
      <c r="D1081" s="695"/>
      <c r="E1081" s="695"/>
      <c r="F1081" s="750"/>
      <c r="G1081" s="693" t="s">
        <v>397</v>
      </c>
      <c r="H1081" s="842" t="s">
        <v>527</v>
      </c>
      <c r="I1081" s="694" t="e">
        <f>VLOOKUP(H1080,'BTH mủ tạp'!#REF!,36,0)</f>
        <v>#REF!</v>
      </c>
      <c r="J1081" s="695"/>
      <c r="K1081" s="695"/>
      <c r="L1081" s="690"/>
    </row>
    <row r="1082" spans="1:12" s="27" customFormat="1" ht="17.25" customHeight="1">
      <c r="A1082" s="693" t="s">
        <v>77</v>
      </c>
      <c r="B1082" s="843" t="s">
        <v>432</v>
      </c>
      <c r="C1082" s="696" t="e">
        <f>VLOOKUP(B1080,'CNKT '!$D$99:$AA$106,3,0)</f>
        <v>#REF!</v>
      </c>
      <c r="D1082" s="697">
        <v>25000</v>
      </c>
      <c r="E1082" s="695" t="e">
        <f t="shared" ref="E1082:E1087" si="125">C1082*D1082</f>
        <v>#REF!</v>
      </c>
      <c r="F1082" s="750"/>
      <c r="G1082" s="693" t="s">
        <v>77</v>
      </c>
      <c r="H1082" s="843" t="s">
        <v>432</v>
      </c>
      <c r="I1082" s="696" t="e">
        <f>VLOOKUP(H1080,'CNKT '!$D$99:$AA$106,3,0)</f>
        <v>#REF!</v>
      </c>
      <c r="J1082" s="697">
        <v>25000</v>
      </c>
      <c r="K1082" s="695" t="e">
        <f t="shared" ref="K1082:K1087" si="126">I1082*J1082</f>
        <v>#REF!</v>
      </c>
      <c r="L1082" s="690"/>
    </row>
    <row r="1083" spans="1:12" s="27" customFormat="1" ht="17.25" customHeight="1">
      <c r="A1083" s="693" t="s">
        <v>307</v>
      </c>
      <c r="B1083" s="844" t="s">
        <v>528</v>
      </c>
      <c r="C1083" s="747" t="e">
        <f>VLOOKUP(B1080,'CNKT '!$D$99:$AA$106,11,0)</f>
        <v>#REF!</v>
      </c>
      <c r="D1083" s="698">
        <f>46.1*$B$2</f>
        <v>30833.524000000001</v>
      </c>
      <c r="E1083" s="695" t="e">
        <f t="shared" si="125"/>
        <v>#REF!</v>
      </c>
      <c r="F1083" s="750"/>
      <c r="G1083" s="693" t="s">
        <v>307</v>
      </c>
      <c r="H1083" s="844" t="s">
        <v>528</v>
      </c>
      <c r="I1083" s="747" t="e">
        <f>VLOOKUP(H1080,'CNKT '!$D$99:$AA$106,11,0)</f>
        <v>#REF!</v>
      </c>
      <c r="J1083" s="698">
        <f>46.1*$B$2</f>
        <v>30833.524000000001</v>
      </c>
      <c r="K1083" s="695" t="e">
        <f t="shared" si="126"/>
        <v>#REF!</v>
      </c>
      <c r="L1083" s="690"/>
    </row>
    <row r="1084" spans="1:12" s="27" customFormat="1" ht="17.25" customHeight="1">
      <c r="A1084" s="693" t="s">
        <v>399</v>
      </c>
      <c r="B1084" s="844" t="s">
        <v>529</v>
      </c>
      <c r="C1084" s="747" t="e">
        <f>VLOOKUP(B1080,'CNKT '!$D$99:$AA$106,12,0)</f>
        <v>#REF!</v>
      </c>
      <c r="D1084" s="697">
        <f>76.9*$B$2</f>
        <v>51433.796000000009</v>
      </c>
      <c r="E1084" s="695" t="e">
        <f t="shared" si="125"/>
        <v>#REF!</v>
      </c>
      <c r="F1084" s="750"/>
      <c r="G1084" s="693" t="s">
        <v>399</v>
      </c>
      <c r="H1084" s="844" t="s">
        <v>529</v>
      </c>
      <c r="I1084" s="747" t="e">
        <f>VLOOKUP(H1080,'CNKT '!$D$99:$AA$106,12,0)</f>
        <v>#REF!</v>
      </c>
      <c r="J1084" s="697">
        <f>76.9*$B$2</f>
        <v>51433.796000000009</v>
      </c>
      <c r="K1084" s="695" t="e">
        <f t="shared" si="126"/>
        <v>#REF!</v>
      </c>
      <c r="L1084" s="690"/>
    </row>
    <row r="1085" spans="1:12" s="27" customFormat="1" ht="17.25" customHeight="1">
      <c r="A1085" s="693" t="s">
        <v>78</v>
      </c>
      <c r="B1085" s="844" t="s">
        <v>530</v>
      </c>
      <c r="C1085" s="747" t="e">
        <f>VLOOKUP(B1080,'CNKT '!$D$99:$AA$106,8,0)</f>
        <v>#REF!</v>
      </c>
      <c r="D1085" s="697" t="e">
        <f>IF(C1081="A",6.1,IF(C1081="B",5.8,IF(C1081="C",5.5,IF(C1081="C.",5.5,IF(C1081="D",5.2)))))*$B$2</f>
        <v>#REF!</v>
      </c>
      <c r="E1085" s="695" t="e">
        <f t="shared" si="125"/>
        <v>#REF!</v>
      </c>
      <c r="F1085" s="750"/>
      <c r="G1085" s="693" t="s">
        <v>78</v>
      </c>
      <c r="H1085" s="844" t="s">
        <v>530</v>
      </c>
      <c r="I1085" s="747" t="e">
        <f>VLOOKUP(H1080,'CNKT '!$D$99:$AA$106,8,0)</f>
        <v>#REF!</v>
      </c>
      <c r="J1085" s="697" t="e">
        <f>IF(I1081="A",6.1,IF(I1081="B",5.8,IF(I1081="C",5.5,IF(I1081="C.",5.5,IF(I1081="D",5.2)))))*$B$2</f>
        <v>#REF!</v>
      </c>
      <c r="K1085" s="695" t="e">
        <f t="shared" si="126"/>
        <v>#REF!</v>
      </c>
      <c r="L1085" s="690"/>
    </row>
    <row r="1086" spans="1:12" s="27" customFormat="1" ht="17.25" customHeight="1">
      <c r="A1086" s="693" t="s">
        <v>491</v>
      </c>
      <c r="B1086" s="844" t="s">
        <v>531</v>
      </c>
      <c r="C1086" s="747" t="e">
        <f>VLOOKUP(B1080,'CNKT '!$D$99:$AA$106,15,0)</f>
        <v>#REF!</v>
      </c>
      <c r="D1086" s="698">
        <f>92.2*$B$2</f>
        <v>61667.048000000003</v>
      </c>
      <c r="E1086" s="695" t="e">
        <f t="shared" si="125"/>
        <v>#REF!</v>
      </c>
      <c r="F1086" s="750"/>
      <c r="G1086" s="693" t="s">
        <v>491</v>
      </c>
      <c r="H1086" s="844" t="s">
        <v>531</v>
      </c>
      <c r="I1086" s="747" t="e">
        <f>VLOOKUP(H1080,'CNKT '!$D$99:$AA$106,15,0)</f>
        <v>#REF!</v>
      </c>
      <c r="J1086" s="698">
        <f>92.2*$B$2</f>
        <v>61667.048000000003</v>
      </c>
      <c r="K1086" s="695" t="e">
        <f t="shared" si="126"/>
        <v>#REF!</v>
      </c>
      <c r="L1086" s="690"/>
    </row>
    <row r="1087" spans="1:12" s="27" customFormat="1" ht="17.25" customHeight="1">
      <c r="A1087" s="693" t="s">
        <v>492</v>
      </c>
      <c r="B1087" s="844" t="s">
        <v>496</v>
      </c>
      <c r="C1087" s="747" t="e">
        <f>VLOOKUP(B1080,'CNKT '!$D$99:$AA$106,16,0)</f>
        <v>#REF!</v>
      </c>
      <c r="D1087" s="697">
        <f>153.8*$B$2</f>
        <v>102867.59200000002</v>
      </c>
      <c r="E1087" s="695" t="e">
        <f t="shared" si="125"/>
        <v>#REF!</v>
      </c>
      <c r="F1087" s="750"/>
      <c r="G1087" s="693" t="s">
        <v>492</v>
      </c>
      <c r="H1087" s="844" t="s">
        <v>496</v>
      </c>
      <c r="I1087" s="747" t="e">
        <f>VLOOKUP(H1080,'CNKT '!$D$99:$AA$106,16,0)</f>
        <v>#REF!</v>
      </c>
      <c r="J1087" s="697">
        <f>153.8*$B$2</f>
        <v>102867.59200000002</v>
      </c>
      <c r="K1087" s="695" t="e">
        <f t="shared" si="126"/>
        <v>#REF!</v>
      </c>
      <c r="L1087" s="690"/>
    </row>
    <row r="1088" spans="1:12" s="27" customFormat="1" ht="17.25" customHeight="1">
      <c r="A1088" s="693" t="s">
        <v>453</v>
      </c>
      <c r="B1088" s="844" t="s">
        <v>497</v>
      </c>
      <c r="C1088" s="747" t="e">
        <f>VLOOKUP(B1080,'CNKT '!$D$99:$AA$112,18,0)</f>
        <v>#REF!</v>
      </c>
      <c r="D1088" s="697">
        <v>10000</v>
      </c>
      <c r="E1088" s="695" t="e">
        <f>C1088*D1088</f>
        <v>#REF!</v>
      </c>
      <c r="F1088" s="750"/>
      <c r="G1088" s="693" t="s">
        <v>453</v>
      </c>
      <c r="H1088" s="844" t="s">
        <v>497</v>
      </c>
      <c r="I1088" s="747" t="e">
        <f>VLOOKUP(H1080,'CNKT '!$D$99:$AA$112,18,0)</f>
        <v>#REF!</v>
      </c>
      <c r="J1088" s="697">
        <v>10000</v>
      </c>
      <c r="K1088" s="695" t="e">
        <f>I1088*J1088</f>
        <v>#REF!</v>
      </c>
      <c r="L1088" s="690"/>
    </row>
    <row r="1089" spans="1:12" s="27" customFormat="1" ht="17.25" customHeight="1">
      <c r="A1089" s="693" t="s">
        <v>453</v>
      </c>
      <c r="B1089" s="844" t="s">
        <v>497</v>
      </c>
      <c r="C1089" s="747" t="e">
        <f>VLOOKUP(B1080,'CNKT '!$D$99:$AA$112,19,0)</f>
        <v>#REF!</v>
      </c>
      <c r="D1089" s="697">
        <v>20000</v>
      </c>
      <c r="E1089" s="695" t="e">
        <f>C1089*D1089</f>
        <v>#REF!</v>
      </c>
      <c r="F1089" s="750"/>
      <c r="G1089" s="693" t="s">
        <v>453</v>
      </c>
      <c r="H1089" s="844" t="s">
        <v>497</v>
      </c>
      <c r="I1089" s="747" t="e">
        <f>VLOOKUP(H1080,'CNKT '!$D$99:$AA$112,19,0)</f>
        <v>#REF!</v>
      </c>
      <c r="J1089" s="697">
        <v>20000</v>
      </c>
      <c r="K1089" s="695" t="e">
        <f>I1089*J1089</f>
        <v>#REF!</v>
      </c>
      <c r="L1089" s="690"/>
    </row>
    <row r="1090" spans="1:12" s="27" customFormat="1" ht="17.25" customHeight="1">
      <c r="A1090" s="693" t="s">
        <v>512</v>
      </c>
      <c r="B1090" s="844" t="s">
        <v>513</v>
      </c>
      <c r="C1090" s="747"/>
      <c r="D1090" s="697"/>
      <c r="E1090" s="695"/>
      <c r="F1090" s="750"/>
      <c r="G1090" s="693" t="s">
        <v>512</v>
      </c>
      <c r="H1090" s="844" t="s">
        <v>513</v>
      </c>
      <c r="I1090" s="747"/>
      <c r="J1090" s="697"/>
      <c r="K1090" s="695"/>
      <c r="L1090" s="690"/>
    </row>
    <row r="1091" spans="1:12" s="27" customFormat="1" ht="17.25" customHeight="1">
      <c r="A1091" s="699" t="s">
        <v>79</v>
      </c>
      <c r="B1091" s="845" t="s">
        <v>532</v>
      </c>
      <c r="C1091" s="700"/>
      <c r="D1091" s="701"/>
      <c r="E1091" s="700"/>
      <c r="F1091" s="750"/>
      <c r="G1091" s="699" t="s">
        <v>79</v>
      </c>
      <c r="H1091" s="845" t="s">
        <v>532</v>
      </c>
      <c r="I1091" s="700"/>
      <c r="J1091" s="701"/>
      <c r="K1091" s="700"/>
      <c r="L1091" s="690"/>
    </row>
    <row r="1092" spans="1:12" s="27" customFormat="1" ht="17.25" customHeight="1">
      <c r="A1092" s="702" t="s">
        <v>80</v>
      </c>
      <c r="B1092" s="846" t="s">
        <v>533</v>
      </c>
      <c r="C1092" s="700"/>
      <c r="D1092" s="700"/>
      <c r="E1092" s="700"/>
      <c r="F1092" s="750"/>
      <c r="G1092" s="702" t="s">
        <v>80</v>
      </c>
      <c r="H1092" s="846" t="s">
        <v>533</v>
      </c>
      <c r="I1092" s="700"/>
      <c r="J1092" s="700"/>
      <c r="K1092" s="700"/>
      <c r="L1092" s="690"/>
    </row>
    <row r="1093" spans="1:12" s="27" customFormat="1" ht="17.25" customHeight="1">
      <c r="A1093" s="702" t="s">
        <v>81</v>
      </c>
      <c r="B1093" s="847" t="s">
        <v>534</v>
      </c>
      <c r="C1093" s="700"/>
      <c r="D1093" s="700"/>
      <c r="E1093" s="695">
        <f>SUM(E1092)</f>
        <v>0</v>
      </c>
      <c r="F1093" s="738"/>
      <c r="G1093" s="702" t="s">
        <v>81</v>
      </c>
      <c r="H1093" s="847" t="s">
        <v>534</v>
      </c>
      <c r="I1093" s="700"/>
      <c r="J1093" s="700"/>
      <c r="K1093" s="695">
        <f>SUM(K1092)</f>
        <v>0</v>
      </c>
      <c r="L1093" s="690"/>
    </row>
    <row r="1094" spans="1:12" s="27" customFormat="1" ht="17.25" customHeight="1">
      <c r="A1094" s="704" t="s">
        <v>82</v>
      </c>
      <c r="B1094" s="848" t="s">
        <v>438</v>
      </c>
      <c r="C1094" s="705"/>
      <c r="D1094" s="705"/>
      <c r="E1094" s="705" t="e">
        <f>(E1082+E1083+E1084+E1085+E1086+E1087+E1088+E1089+E1090)-E1093</f>
        <v>#REF!</v>
      </c>
      <c r="F1094" s="738"/>
      <c r="G1094" s="704" t="s">
        <v>82</v>
      </c>
      <c r="H1094" s="848" t="s">
        <v>438</v>
      </c>
      <c r="I1094" s="705"/>
      <c r="J1094" s="705"/>
      <c r="K1094" s="705" t="e">
        <f>(K1082+K1083+K1084+K1085+K1086+K1087+K1088+K1089+K1090)-K1093</f>
        <v>#REF!</v>
      </c>
      <c r="L1094" s="707" t="e">
        <f>E1094+K1094</f>
        <v>#REF!</v>
      </c>
    </row>
    <row r="1095" spans="1:12" s="27" customFormat="1" ht="9" customHeight="1">
      <c r="A1095" s="1568"/>
      <c r="B1095" s="1568"/>
      <c r="C1095" s="1568"/>
      <c r="D1095" s="1568"/>
      <c r="E1095" s="1568"/>
      <c r="F1095" s="742"/>
      <c r="G1095" s="1568"/>
      <c r="H1095" s="1568"/>
      <c r="I1095" s="1568"/>
      <c r="J1095" s="1568"/>
      <c r="K1095" s="743"/>
      <c r="L1095" s="690"/>
    </row>
    <row r="1096" spans="1:12" s="27" customFormat="1" ht="17.25" customHeight="1">
      <c r="A1096" s="763" t="str">
        <f>A1079</f>
        <v>LƯƠNG THÁNG 01/2025</v>
      </c>
      <c r="B1096" s="763"/>
      <c r="C1096" s="763"/>
      <c r="D1096" s="763"/>
      <c r="E1096" s="763" t="e">
        <f>VLOOKUP(B1097,'CNKT '!$D$99:$AD$112,26,0)</f>
        <v>#REF!</v>
      </c>
      <c r="F1096" s="742"/>
      <c r="G1096" s="763" t="str">
        <f>A1096</f>
        <v>LƯƠNG THÁNG 01/2025</v>
      </c>
      <c r="H1096" s="763"/>
      <c r="I1096" s="763"/>
      <c r="J1096" s="763"/>
      <c r="K1096" s="763" t="e">
        <f>VLOOKUP(H1097,'CNKT '!$D$99:$AD$112,26,0)</f>
        <v>#REF!</v>
      </c>
      <c r="L1096" s="690"/>
    </row>
    <row r="1097" spans="1:12" s="27" customFormat="1" ht="17.25" customHeight="1">
      <c r="A1097" s="709" t="s">
        <v>15</v>
      </c>
      <c r="B1097" s="840" t="e">
        <f>'CNKT '!#REF!</f>
        <v>#REF!</v>
      </c>
      <c r="C1097" s="694"/>
      <c r="D1097" s="840" t="s">
        <v>396</v>
      </c>
      <c r="E1097" s="840" t="s">
        <v>18</v>
      </c>
      <c r="F1097" s="750"/>
      <c r="G1097" s="709" t="s">
        <v>15</v>
      </c>
      <c r="H1097" s="840" t="e">
        <f>'CNKT '!#REF!</f>
        <v>#REF!</v>
      </c>
      <c r="I1097" s="694"/>
      <c r="J1097" s="840" t="s">
        <v>396</v>
      </c>
      <c r="K1097" s="840" t="s">
        <v>18</v>
      </c>
      <c r="L1097" s="690"/>
    </row>
    <row r="1098" spans="1:12" s="27" customFormat="1" ht="17.25" customHeight="1">
      <c r="A1098" s="693" t="s">
        <v>397</v>
      </c>
      <c r="B1098" s="842" t="s">
        <v>527</v>
      </c>
      <c r="C1098" s="694" t="e">
        <f>VLOOKUP(B1097,'BTH mủ tạp'!#REF!,36,0)</f>
        <v>#REF!</v>
      </c>
      <c r="D1098" s="695"/>
      <c r="E1098" s="695"/>
      <c r="F1098" s="750"/>
      <c r="G1098" s="693" t="s">
        <v>397</v>
      </c>
      <c r="H1098" s="842" t="s">
        <v>527</v>
      </c>
      <c r="I1098" s="694" t="e">
        <f>VLOOKUP(H1097,'BTH mủ tạp'!#REF!,36,0)</f>
        <v>#REF!</v>
      </c>
      <c r="J1098" s="695"/>
      <c r="K1098" s="695"/>
      <c r="L1098" s="690"/>
    </row>
    <row r="1099" spans="1:12" s="27" customFormat="1" ht="17.25" customHeight="1">
      <c r="A1099" s="693" t="s">
        <v>77</v>
      </c>
      <c r="B1099" s="843" t="s">
        <v>432</v>
      </c>
      <c r="C1099" s="696" t="e">
        <f>VLOOKUP(B1097,'CNKT '!$D$99:$AA$106,3,0)</f>
        <v>#REF!</v>
      </c>
      <c r="D1099" s="697">
        <v>25000</v>
      </c>
      <c r="E1099" s="695" t="e">
        <f t="shared" ref="E1099:E1104" si="127">C1099*D1099</f>
        <v>#REF!</v>
      </c>
      <c r="F1099" s="750"/>
      <c r="G1099" s="693" t="s">
        <v>77</v>
      </c>
      <c r="H1099" s="843" t="s">
        <v>432</v>
      </c>
      <c r="I1099" s="696" t="e">
        <f>VLOOKUP(H1097,'CNKT '!$D$99:$AA$106,3,0)</f>
        <v>#REF!</v>
      </c>
      <c r="J1099" s="697">
        <v>25000</v>
      </c>
      <c r="K1099" s="695" t="e">
        <f t="shared" ref="K1099:K1104" si="128">I1099*J1099</f>
        <v>#REF!</v>
      </c>
      <c r="L1099" s="690"/>
    </row>
    <row r="1100" spans="1:12" s="27" customFormat="1" ht="17.25" customHeight="1">
      <c r="A1100" s="693" t="s">
        <v>307</v>
      </c>
      <c r="B1100" s="844" t="s">
        <v>528</v>
      </c>
      <c r="C1100" s="747" t="e">
        <f>VLOOKUP(B1097,'CNKT '!$D$99:$AA$106,11,0)</f>
        <v>#REF!</v>
      </c>
      <c r="D1100" s="698">
        <f>46.1*$B$2</f>
        <v>30833.524000000001</v>
      </c>
      <c r="E1100" s="695" t="e">
        <f t="shared" si="127"/>
        <v>#REF!</v>
      </c>
      <c r="F1100" s="750"/>
      <c r="G1100" s="693" t="s">
        <v>307</v>
      </c>
      <c r="H1100" s="844" t="s">
        <v>528</v>
      </c>
      <c r="I1100" s="747" t="e">
        <f>VLOOKUP(H1097,'CNKT '!$D$99:$AA$106,11,0)</f>
        <v>#REF!</v>
      </c>
      <c r="J1100" s="698">
        <f>46.1*$B$2</f>
        <v>30833.524000000001</v>
      </c>
      <c r="K1100" s="695" t="e">
        <f t="shared" si="128"/>
        <v>#REF!</v>
      </c>
      <c r="L1100" s="690"/>
    </row>
    <row r="1101" spans="1:12" s="27" customFormat="1" ht="17.25" customHeight="1">
      <c r="A1101" s="693" t="s">
        <v>399</v>
      </c>
      <c r="B1101" s="844" t="s">
        <v>529</v>
      </c>
      <c r="C1101" s="747" t="e">
        <f>VLOOKUP(B1097,'CNKT '!$D$99:$AA$106,12,0)</f>
        <v>#REF!</v>
      </c>
      <c r="D1101" s="697">
        <f>76.9*$B$2</f>
        <v>51433.796000000009</v>
      </c>
      <c r="E1101" s="695" t="e">
        <f t="shared" si="127"/>
        <v>#REF!</v>
      </c>
      <c r="F1101" s="750"/>
      <c r="G1101" s="693" t="s">
        <v>399</v>
      </c>
      <c r="H1101" s="844" t="s">
        <v>529</v>
      </c>
      <c r="I1101" s="747" t="e">
        <f>VLOOKUP(H1097,'CNKT '!$D$99:$AA$106,12,0)</f>
        <v>#REF!</v>
      </c>
      <c r="J1101" s="697">
        <f>76.9*$B$2</f>
        <v>51433.796000000009</v>
      </c>
      <c r="K1101" s="695" t="e">
        <f t="shared" si="128"/>
        <v>#REF!</v>
      </c>
      <c r="L1101" s="690"/>
    </row>
    <row r="1102" spans="1:12" s="27" customFormat="1" ht="17.25" customHeight="1">
      <c r="A1102" s="693" t="s">
        <v>78</v>
      </c>
      <c r="B1102" s="844" t="s">
        <v>530</v>
      </c>
      <c r="C1102" s="747" t="e">
        <f>VLOOKUP(B1097,'CNKT '!$D$99:$AA$106,8,0)</f>
        <v>#REF!</v>
      </c>
      <c r="D1102" s="697" t="e">
        <f>IF(C1098="A",6.1,IF(C1098="B",5.8,IF(C1098="C",5.5,IF(C1098="C.",5.5,IF(C1098="D",5.2)))))*$B$2</f>
        <v>#REF!</v>
      </c>
      <c r="E1102" s="695" t="e">
        <f t="shared" si="127"/>
        <v>#REF!</v>
      </c>
      <c r="F1102" s="750"/>
      <c r="G1102" s="693" t="s">
        <v>78</v>
      </c>
      <c r="H1102" s="844" t="s">
        <v>530</v>
      </c>
      <c r="I1102" s="747" t="e">
        <f>VLOOKUP(H1097,'CNKT '!$D$99:$AA$106,8,0)</f>
        <v>#REF!</v>
      </c>
      <c r="J1102" s="697" t="e">
        <f>IF(I1098="A",6.1,IF(I1098="B",5.8,IF(I1098="C",5.5,IF(I1098="C.",5.5,IF(I1098="D",5.2)))))*$B$2</f>
        <v>#REF!</v>
      </c>
      <c r="K1102" s="695" t="e">
        <f t="shared" si="128"/>
        <v>#REF!</v>
      </c>
      <c r="L1102" s="690"/>
    </row>
    <row r="1103" spans="1:12" s="27" customFormat="1" ht="17.25" customHeight="1">
      <c r="A1103" s="693" t="s">
        <v>491</v>
      </c>
      <c r="B1103" s="844" t="s">
        <v>531</v>
      </c>
      <c r="C1103" s="747" t="e">
        <f>VLOOKUP(B1097,'CNKT '!$D$99:$AA$106,15,0)</f>
        <v>#REF!</v>
      </c>
      <c r="D1103" s="698">
        <f>92.2*$B$2</f>
        <v>61667.048000000003</v>
      </c>
      <c r="E1103" s="695" t="e">
        <f t="shared" si="127"/>
        <v>#REF!</v>
      </c>
      <c r="F1103" s="750"/>
      <c r="G1103" s="693" t="s">
        <v>491</v>
      </c>
      <c r="H1103" s="844" t="s">
        <v>531</v>
      </c>
      <c r="I1103" s="747" t="e">
        <f>VLOOKUP(H1097,'CNKT '!$D$99:$AA$106,15,0)</f>
        <v>#REF!</v>
      </c>
      <c r="J1103" s="698">
        <f>92.2*$B$2</f>
        <v>61667.048000000003</v>
      </c>
      <c r="K1103" s="695" t="e">
        <f t="shared" si="128"/>
        <v>#REF!</v>
      </c>
      <c r="L1103" s="690"/>
    </row>
    <row r="1104" spans="1:12" s="27" customFormat="1" ht="17.25" customHeight="1">
      <c r="A1104" s="693" t="s">
        <v>492</v>
      </c>
      <c r="B1104" s="844" t="s">
        <v>496</v>
      </c>
      <c r="C1104" s="747" t="e">
        <f>VLOOKUP(B1097,'CNKT '!$D$99:$AA$106,16,0)</f>
        <v>#REF!</v>
      </c>
      <c r="D1104" s="697">
        <f>153.8*$B$2</f>
        <v>102867.59200000002</v>
      </c>
      <c r="E1104" s="695" t="e">
        <f t="shared" si="127"/>
        <v>#REF!</v>
      </c>
      <c r="F1104" s="750"/>
      <c r="G1104" s="693" t="s">
        <v>492</v>
      </c>
      <c r="H1104" s="844" t="s">
        <v>496</v>
      </c>
      <c r="I1104" s="747" t="e">
        <f>VLOOKUP(H1097,'CNKT '!$D$99:$AA$106,16,0)</f>
        <v>#REF!</v>
      </c>
      <c r="J1104" s="697">
        <f>153.8*$B$2</f>
        <v>102867.59200000002</v>
      </c>
      <c r="K1104" s="695" t="e">
        <f t="shared" si="128"/>
        <v>#REF!</v>
      </c>
      <c r="L1104" s="690"/>
    </row>
    <row r="1105" spans="1:12" s="27" customFormat="1" ht="17.25" customHeight="1">
      <c r="A1105" s="693" t="s">
        <v>453</v>
      </c>
      <c r="B1105" s="844" t="s">
        <v>497</v>
      </c>
      <c r="C1105" s="747" t="e">
        <f>VLOOKUP(B1097,'CNKT '!$D$99:$AA$112,18,0)</f>
        <v>#REF!</v>
      </c>
      <c r="D1105" s="697">
        <v>10000</v>
      </c>
      <c r="E1105" s="695" t="e">
        <f>C1105*D1105</f>
        <v>#REF!</v>
      </c>
      <c r="F1105" s="750"/>
      <c r="G1105" s="693" t="s">
        <v>453</v>
      </c>
      <c r="H1105" s="844" t="s">
        <v>497</v>
      </c>
      <c r="I1105" s="747" t="e">
        <f>VLOOKUP(H1097,'CNKT '!$D$99:$AA$112,18,0)</f>
        <v>#REF!</v>
      </c>
      <c r="J1105" s="697">
        <v>10000</v>
      </c>
      <c r="K1105" s="695" t="e">
        <f>I1105*J1105</f>
        <v>#REF!</v>
      </c>
      <c r="L1105" s="690"/>
    </row>
    <row r="1106" spans="1:12" s="27" customFormat="1" ht="17.25" customHeight="1">
      <c r="A1106" s="693" t="s">
        <v>453</v>
      </c>
      <c r="B1106" s="844" t="s">
        <v>497</v>
      </c>
      <c r="C1106" s="747" t="e">
        <f>VLOOKUP(B1097,'CNKT '!$D$99:$AA$112,19,0)</f>
        <v>#REF!</v>
      </c>
      <c r="D1106" s="697">
        <v>20000</v>
      </c>
      <c r="E1106" s="695" t="e">
        <f>C1106*D1106</f>
        <v>#REF!</v>
      </c>
      <c r="F1106" s="750"/>
      <c r="G1106" s="693" t="s">
        <v>453</v>
      </c>
      <c r="H1106" s="844" t="s">
        <v>497</v>
      </c>
      <c r="I1106" s="747" t="e">
        <f>VLOOKUP(H1097,'CNKT '!$D$99:$AA$112,19,0)</f>
        <v>#REF!</v>
      </c>
      <c r="J1106" s="697">
        <v>20000</v>
      </c>
      <c r="K1106" s="695" t="e">
        <f>I1106*J1106</f>
        <v>#REF!</v>
      </c>
      <c r="L1106" s="690"/>
    </row>
    <row r="1107" spans="1:12" s="27" customFormat="1" ht="17.25" customHeight="1">
      <c r="A1107" s="693" t="s">
        <v>512</v>
      </c>
      <c r="B1107" s="844" t="s">
        <v>513</v>
      </c>
      <c r="C1107" s="747"/>
      <c r="D1107" s="697"/>
      <c r="E1107" s="695"/>
      <c r="F1107" s="750"/>
      <c r="G1107" s="693" t="s">
        <v>512</v>
      </c>
      <c r="H1107" s="844" t="s">
        <v>513</v>
      </c>
      <c r="I1107" s="747"/>
      <c r="J1107" s="697"/>
      <c r="K1107" s="695"/>
      <c r="L1107" s="690"/>
    </row>
    <row r="1108" spans="1:12" s="27" customFormat="1" ht="17.25" customHeight="1">
      <c r="A1108" s="699" t="s">
        <v>79</v>
      </c>
      <c r="B1108" s="845" t="s">
        <v>532</v>
      </c>
      <c r="C1108" s="700"/>
      <c r="D1108" s="701"/>
      <c r="E1108" s="700"/>
      <c r="F1108" s="750"/>
      <c r="G1108" s="699" t="s">
        <v>79</v>
      </c>
      <c r="H1108" s="845" t="s">
        <v>532</v>
      </c>
      <c r="I1108" s="700"/>
      <c r="J1108" s="701"/>
      <c r="K1108" s="700"/>
      <c r="L1108" s="690"/>
    </row>
    <row r="1109" spans="1:12" s="27" customFormat="1" ht="17.25" customHeight="1">
      <c r="A1109" s="702" t="s">
        <v>80</v>
      </c>
      <c r="B1109" s="846" t="s">
        <v>533</v>
      </c>
      <c r="C1109" s="700"/>
      <c r="D1109" s="700"/>
      <c r="E1109" s="700"/>
      <c r="F1109" s="750"/>
      <c r="G1109" s="702" t="s">
        <v>80</v>
      </c>
      <c r="H1109" s="846" t="s">
        <v>533</v>
      </c>
      <c r="I1109" s="700"/>
      <c r="J1109" s="700"/>
      <c r="K1109" s="700"/>
      <c r="L1109" s="690"/>
    </row>
    <row r="1110" spans="1:12" s="27" customFormat="1" ht="17.25" customHeight="1">
      <c r="A1110" s="702" t="s">
        <v>81</v>
      </c>
      <c r="B1110" s="847" t="s">
        <v>534</v>
      </c>
      <c r="C1110" s="700"/>
      <c r="D1110" s="700"/>
      <c r="E1110" s="695">
        <f>SUM(E1109)</f>
        <v>0</v>
      </c>
      <c r="F1110" s="747"/>
      <c r="G1110" s="702" t="s">
        <v>81</v>
      </c>
      <c r="H1110" s="847" t="s">
        <v>534</v>
      </c>
      <c r="I1110" s="700"/>
      <c r="J1110" s="700"/>
      <c r="K1110" s="695">
        <f>SUM(K1109)</f>
        <v>0</v>
      </c>
      <c r="L1110" s="690"/>
    </row>
    <row r="1111" spans="1:12" s="27" customFormat="1" ht="17.25" customHeight="1">
      <c r="A1111" s="704" t="s">
        <v>82</v>
      </c>
      <c r="B1111" s="848" t="s">
        <v>438</v>
      </c>
      <c r="C1111" s="705"/>
      <c r="D1111" s="705"/>
      <c r="E1111" s="705" t="e">
        <f>(E1099+E1100+E1101+E1102+E1103+E1104+E1105+E1106+E1107)-E1110</f>
        <v>#REF!</v>
      </c>
      <c r="F1111" s="747"/>
      <c r="G1111" s="704" t="s">
        <v>82</v>
      </c>
      <c r="H1111" s="848" t="s">
        <v>438</v>
      </c>
      <c r="I1111" s="705"/>
      <c r="J1111" s="705"/>
      <c r="K1111" s="705" t="e">
        <f>(K1099+K1100+K1101+K1102+K1103+K1104+K1105+K1106+K1107)-K1110</f>
        <v>#REF!</v>
      </c>
      <c r="L1111" s="707" t="e">
        <f>E1111+K1111</f>
        <v>#REF!</v>
      </c>
    </row>
    <row r="1112" spans="1:12" s="27" customFormat="1" ht="16.5" customHeight="1">
      <c r="A1112" s="1568"/>
      <c r="B1112" s="1568"/>
      <c r="C1112" s="1568"/>
      <c r="D1112" s="1568"/>
      <c r="E1112" s="1568"/>
      <c r="F1112" s="742"/>
      <c r="G1112" s="763"/>
      <c r="H1112" s="763"/>
      <c r="I1112" s="763"/>
      <c r="J1112" s="763"/>
      <c r="K1112" s="743"/>
      <c r="L1112" s="690"/>
    </row>
    <row r="1113" spans="1:12" s="27" customFormat="1" ht="17.25" customHeight="1">
      <c r="A1113" s="763" t="str">
        <f>A1096</f>
        <v>LƯƠNG THÁNG 01/2025</v>
      </c>
      <c r="B1113" s="763"/>
      <c r="C1113" s="763"/>
      <c r="D1113" s="763"/>
      <c r="E1113" s="763" t="e">
        <f>VLOOKUP(B1114,'CNKT '!$D$99:$AD$112,26,0)</f>
        <v>#REF!</v>
      </c>
      <c r="F1113" s="742"/>
      <c r="G1113" s="763" t="str">
        <f>A1113</f>
        <v>LƯƠNG THÁNG 01/2025</v>
      </c>
      <c r="H1113" s="763"/>
      <c r="I1113" s="763"/>
      <c r="J1113" s="763"/>
      <c r="K1113" s="763" t="e">
        <f>VLOOKUP(H1114,'CNKT '!$D$99:$AD$112,26,0)</f>
        <v>#REF!</v>
      </c>
      <c r="L1113" s="690"/>
    </row>
    <row r="1114" spans="1:12" s="27" customFormat="1" ht="17.25" customHeight="1">
      <c r="A1114" s="709" t="s">
        <v>15</v>
      </c>
      <c r="B1114" s="840" t="e">
        <f>'CNKT '!#REF!</f>
        <v>#REF!</v>
      </c>
      <c r="C1114" s="694"/>
      <c r="D1114" s="840" t="s">
        <v>396</v>
      </c>
      <c r="E1114" s="840" t="s">
        <v>18</v>
      </c>
      <c r="F1114" s="750"/>
      <c r="G1114" s="709" t="s">
        <v>15</v>
      </c>
      <c r="H1114" s="840" t="e">
        <f>'CNKT '!#REF!</f>
        <v>#REF!</v>
      </c>
      <c r="I1114" s="694"/>
      <c r="J1114" s="840" t="s">
        <v>396</v>
      </c>
      <c r="K1114" s="840" t="s">
        <v>18</v>
      </c>
      <c r="L1114" s="690"/>
    </row>
    <row r="1115" spans="1:12" s="27" customFormat="1" ht="17.25" customHeight="1">
      <c r="A1115" s="693" t="s">
        <v>397</v>
      </c>
      <c r="B1115" s="842" t="s">
        <v>527</v>
      </c>
      <c r="C1115" s="694" t="e">
        <f>VLOOKUP(B1114,'BTH mủ tạp'!#REF!,36,0)</f>
        <v>#REF!</v>
      </c>
      <c r="D1115" s="695"/>
      <c r="E1115" s="695"/>
      <c r="F1115" s="750"/>
      <c r="G1115" s="693" t="s">
        <v>397</v>
      </c>
      <c r="H1115" s="842" t="s">
        <v>527</v>
      </c>
      <c r="I1115" s="694" t="e">
        <f>VLOOKUP(H1114,'BTH mủ tạp'!#REF!,36,0)</f>
        <v>#REF!</v>
      </c>
      <c r="J1115" s="695"/>
      <c r="K1115" s="695"/>
      <c r="L1115" s="690"/>
    </row>
    <row r="1116" spans="1:12" s="27" customFormat="1" ht="17.25" customHeight="1">
      <c r="A1116" s="693" t="s">
        <v>77</v>
      </c>
      <c r="B1116" s="843" t="s">
        <v>432</v>
      </c>
      <c r="C1116" s="696" t="e">
        <f>VLOOKUP(B1114,'CNKT '!$D$99:$AA$106,3,0)</f>
        <v>#REF!</v>
      </c>
      <c r="D1116" s="697">
        <v>25000</v>
      </c>
      <c r="E1116" s="695" t="e">
        <f t="shared" ref="E1116:E1121" si="129">C1116*D1116</f>
        <v>#REF!</v>
      </c>
      <c r="F1116" s="750"/>
      <c r="G1116" s="693" t="s">
        <v>77</v>
      </c>
      <c r="H1116" s="843" t="s">
        <v>432</v>
      </c>
      <c r="I1116" s="696" t="e">
        <f>VLOOKUP(H1114,'CNKT '!$D$99:$AA$106,3,0)</f>
        <v>#REF!</v>
      </c>
      <c r="J1116" s="697">
        <v>25000</v>
      </c>
      <c r="K1116" s="695" t="e">
        <f t="shared" ref="K1116:K1121" si="130">I1116*J1116</f>
        <v>#REF!</v>
      </c>
      <c r="L1116" s="690"/>
    </row>
    <row r="1117" spans="1:12" s="27" customFormat="1" ht="17.25" customHeight="1">
      <c r="A1117" s="693" t="s">
        <v>307</v>
      </c>
      <c r="B1117" s="844" t="s">
        <v>528</v>
      </c>
      <c r="C1117" s="747" t="e">
        <f>VLOOKUP(B1114,'CNKT '!$D$99:$AA$106,11,0)</f>
        <v>#REF!</v>
      </c>
      <c r="D1117" s="698">
        <f>46.1*$B$2</f>
        <v>30833.524000000001</v>
      </c>
      <c r="E1117" s="695" t="e">
        <f t="shared" si="129"/>
        <v>#REF!</v>
      </c>
      <c r="F1117" s="750"/>
      <c r="G1117" s="693" t="s">
        <v>307</v>
      </c>
      <c r="H1117" s="844" t="s">
        <v>528</v>
      </c>
      <c r="I1117" s="747" t="e">
        <f>VLOOKUP(H1114,'CNKT '!$D$99:$AA$106,11,0)</f>
        <v>#REF!</v>
      </c>
      <c r="J1117" s="698">
        <f>46.1*$B$2</f>
        <v>30833.524000000001</v>
      </c>
      <c r="K1117" s="695" t="e">
        <f t="shared" si="130"/>
        <v>#REF!</v>
      </c>
      <c r="L1117" s="690"/>
    </row>
    <row r="1118" spans="1:12" s="27" customFormat="1" ht="17.25" customHeight="1">
      <c r="A1118" s="693" t="s">
        <v>399</v>
      </c>
      <c r="B1118" s="844" t="s">
        <v>529</v>
      </c>
      <c r="C1118" s="747" t="e">
        <f>VLOOKUP(B1114,'CNKT '!$D$99:$AA$106,12,0)</f>
        <v>#REF!</v>
      </c>
      <c r="D1118" s="697">
        <f>76.9*$B$2</f>
        <v>51433.796000000009</v>
      </c>
      <c r="E1118" s="695" t="e">
        <f t="shared" si="129"/>
        <v>#REF!</v>
      </c>
      <c r="F1118" s="750"/>
      <c r="G1118" s="693" t="s">
        <v>399</v>
      </c>
      <c r="H1118" s="844" t="s">
        <v>529</v>
      </c>
      <c r="I1118" s="747" t="e">
        <f>VLOOKUP(H1114,'CNKT '!$D$99:$AA$106,12,0)</f>
        <v>#REF!</v>
      </c>
      <c r="J1118" s="697">
        <f>76.9*$B$2</f>
        <v>51433.796000000009</v>
      </c>
      <c r="K1118" s="695" t="e">
        <f t="shared" si="130"/>
        <v>#REF!</v>
      </c>
      <c r="L1118" s="690"/>
    </row>
    <row r="1119" spans="1:12" s="27" customFormat="1" ht="17.25" customHeight="1">
      <c r="A1119" s="693" t="s">
        <v>78</v>
      </c>
      <c r="B1119" s="844" t="s">
        <v>530</v>
      </c>
      <c r="C1119" s="747" t="e">
        <f>VLOOKUP(B1114,'CNKT '!$D$99:$AA$106,8,0)</f>
        <v>#REF!</v>
      </c>
      <c r="D1119" s="697" t="e">
        <f>IF(C1115="A",6.1,IF(C1115="B",5.8,IF(C1115="C",5.5,IF(C1115="C.",5.5,IF(C1115="D",5.2)))))*$B$2</f>
        <v>#REF!</v>
      </c>
      <c r="E1119" s="695" t="e">
        <f t="shared" si="129"/>
        <v>#REF!</v>
      </c>
      <c r="F1119" s="750"/>
      <c r="G1119" s="693" t="s">
        <v>78</v>
      </c>
      <c r="H1119" s="844" t="s">
        <v>530</v>
      </c>
      <c r="I1119" s="747" t="e">
        <f>VLOOKUP(H1114,'CNKT '!$D$99:$AA$106,8,0)</f>
        <v>#REF!</v>
      </c>
      <c r="J1119" s="697" t="e">
        <f>IF(I1115="A",6.1,IF(I1115="B",5.8,IF(I1115="C",5.5,IF(I1115="C.",5.5,IF(I1115="D",5.2)))))*$B$2</f>
        <v>#REF!</v>
      </c>
      <c r="K1119" s="695" t="e">
        <f t="shared" si="130"/>
        <v>#REF!</v>
      </c>
      <c r="L1119" s="690"/>
    </row>
    <row r="1120" spans="1:12" s="27" customFormat="1" ht="17.25" customHeight="1">
      <c r="A1120" s="693" t="s">
        <v>491</v>
      </c>
      <c r="B1120" s="844" t="s">
        <v>531</v>
      </c>
      <c r="C1120" s="747" t="e">
        <f>VLOOKUP(B1114,'CNKT '!$D$99:$AA$106,15,0)</f>
        <v>#REF!</v>
      </c>
      <c r="D1120" s="698">
        <f>92.2*$B$2</f>
        <v>61667.048000000003</v>
      </c>
      <c r="E1120" s="695" t="e">
        <f t="shared" si="129"/>
        <v>#REF!</v>
      </c>
      <c r="F1120" s="750"/>
      <c r="G1120" s="693" t="s">
        <v>491</v>
      </c>
      <c r="H1120" s="844" t="s">
        <v>531</v>
      </c>
      <c r="I1120" s="747" t="e">
        <f>VLOOKUP(H1114,'CNKT '!$D$99:$AA$106,15,0)</f>
        <v>#REF!</v>
      </c>
      <c r="J1120" s="698">
        <f>92.2*$B$2</f>
        <v>61667.048000000003</v>
      </c>
      <c r="K1120" s="695" t="e">
        <f t="shared" si="130"/>
        <v>#REF!</v>
      </c>
      <c r="L1120" s="690"/>
    </row>
    <row r="1121" spans="1:12" s="27" customFormat="1" ht="17.25" customHeight="1">
      <c r="A1121" s="693" t="s">
        <v>492</v>
      </c>
      <c r="B1121" s="844" t="s">
        <v>496</v>
      </c>
      <c r="C1121" s="747" t="e">
        <f>VLOOKUP(B1114,'CNKT '!$D$99:$AA$106,16,0)</f>
        <v>#REF!</v>
      </c>
      <c r="D1121" s="697">
        <f>153.8*$B$2</f>
        <v>102867.59200000002</v>
      </c>
      <c r="E1121" s="695" t="e">
        <f t="shared" si="129"/>
        <v>#REF!</v>
      </c>
      <c r="F1121" s="750"/>
      <c r="G1121" s="693" t="s">
        <v>492</v>
      </c>
      <c r="H1121" s="844" t="s">
        <v>496</v>
      </c>
      <c r="I1121" s="747" t="e">
        <f>VLOOKUP(H1114,'CNKT '!$D$99:$AA$106,16,0)</f>
        <v>#REF!</v>
      </c>
      <c r="J1121" s="697">
        <f>153.8*$B$2</f>
        <v>102867.59200000002</v>
      </c>
      <c r="K1121" s="695" t="e">
        <f t="shared" si="130"/>
        <v>#REF!</v>
      </c>
      <c r="L1121" s="690"/>
    </row>
    <row r="1122" spans="1:12" s="27" customFormat="1" ht="17.25" customHeight="1">
      <c r="A1122" s="693" t="s">
        <v>453</v>
      </c>
      <c r="B1122" s="844" t="s">
        <v>497</v>
      </c>
      <c r="C1122" s="747" t="e">
        <f>VLOOKUP(B1114,'CNKT '!$D$99:$AA$112,18,0)</f>
        <v>#REF!</v>
      </c>
      <c r="D1122" s="697">
        <v>10000</v>
      </c>
      <c r="E1122" s="695" t="e">
        <f>C1122*D1122</f>
        <v>#REF!</v>
      </c>
      <c r="F1122" s="750"/>
      <c r="G1122" s="693" t="s">
        <v>453</v>
      </c>
      <c r="H1122" s="844" t="s">
        <v>497</v>
      </c>
      <c r="I1122" s="747" t="e">
        <f>VLOOKUP(H1114,'CNKT '!$D$99:$AA$112,18,0)</f>
        <v>#REF!</v>
      </c>
      <c r="J1122" s="697">
        <v>10000</v>
      </c>
      <c r="K1122" s="695" t="e">
        <f>I1122*J1122</f>
        <v>#REF!</v>
      </c>
      <c r="L1122" s="690"/>
    </row>
    <row r="1123" spans="1:12" s="27" customFormat="1" ht="17.25" customHeight="1">
      <c r="A1123" s="693" t="s">
        <v>453</v>
      </c>
      <c r="B1123" s="844" t="s">
        <v>497</v>
      </c>
      <c r="C1123" s="747" t="e">
        <f>VLOOKUP(B1114,'CNKT '!$D$99:$AA$112,19,0)</f>
        <v>#REF!</v>
      </c>
      <c r="D1123" s="697">
        <v>20000</v>
      </c>
      <c r="E1123" s="695" t="e">
        <f>C1123*D1123</f>
        <v>#REF!</v>
      </c>
      <c r="F1123" s="750"/>
      <c r="G1123" s="693" t="s">
        <v>453</v>
      </c>
      <c r="H1123" s="844" t="s">
        <v>497</v>
      </c>
      <c r="I1123" s="747" t="e">
        <f>VLOOKUP(H1114,'CNKT '!$D$99:$AA$112,19,0)</f>
        <v>#REF!</v>
      </c>
      <c r="J1123" s="697">
        <v>20000</v>
      </c>
      <c r="K1123" s="695" t="e">
        <f>I1123*J1123</f>
        <v>#REF!</v>
      </c>
      <c r="L1123" s="690"/>
    </row>
    <row r="1124" spans="1:12" s="27" customFormat="1" ht="17.25" customHeight="1">
      <c r="A1124" s="693" t="s">
        <v>512</v>
      </c>
      <c r="B1124" s="844" t="s">
        <v>513</v>
      </c>
      <c r="C1124" s="747"/>
      <c r="D1124" s="697"/>
      <c r="E1124" s="695"/>
      <c r="F1124" s="750"/>
      <c r="G1124" s="693" t="s">
        <v>512</v>
      </c>
      <c r="H1124" s="844" t="s">
        <v>513</v>
      </c>
      <c r="I1124" s="747"/>
      <c r="J1124" s="697"/>
      <c r="K1124" s="695"/>
      <c r="L1124" s="690"/>
    </row>
    <row r="1125" spans="1:12" s="27" customFormat="1" ht="17.25" customHeight="1">
      <c r="A1125" s="699" t="s">
        <v>79</v>
      </c>
      <c r="B1125" s="845" t="s">
        <v>532</v>
      </c>
      <c r="C1125" s="700"/>
      <c r="D1125" s="701"/>
      <c r="E1125" s="700"/>
      <c r="F1125" s="750"/>
      <c r="G1125" s="699" t="s">
        <v>79</v>
      </c>
      <c r="H1125" s="845" t="s">
        <v>532</v>
      </c>
      <c r="I1125" s="700"/>
      <c r="J1125" s="701"/>
      <c r="K1125" s="700"/>
      <c r="L1125" s="690"/>
    </row>
    <row r="1126" spans="1:12" s="27" customFormat="1" ht="17.25" customHeight="1">
      <c r="A1126" s="702" t="s">
        <v>80</v>
      </c>
      <c r="B1126" s="846" t="s">
        <v>533</v>
      </c>
      <c r="C1126" s="700"/>
      <c r="D1126" s="700"/>
      <c r="E1126" s="700"/>
      <c r="F1126" s="750"/>
      <c r="G1126" s="702" t="s">
        <v>80</v>
      </c>
      <c r="H1126" s="846" t="s">
        <v>533</v>
      </c>
      <c r="I1126" s="700"/>
      <c r="J1126" s="700"/>
      <c r="K1126" s="700"/>
      <c r="L1126" s="690"/>
    </row>
    <row r="1127" spans="1:12" s="27" customFormat="1" ht="17.25" customHeight="1">
      <c r="A1127" s="702" t="s">
        <v>81</v>
      </c>
      <c r="B1127" s="847" t="s">
        <v>534</v>
      </c>
      <c r="C1127" s="700"/>
      <c r="D1127" s="700"/>
      <c r="E1127" s="695">
        <f>SUM(E1126)</f>
        <v>0</v>
      </c>
      <c r="F1127" s="840"/>
      <c r="G1127" s="702" t="s">
        <v>81</v>
      </c>
      <c r="H1127" s="847" t="s">
        <v>534</v>
      </c>
      <c r="I1127" s="700"/>
      <c r="J1127" s="700"/>
      <c r="K1127" s="695">
        <f>SUM(K1126)</f>
        <v>0</v>
      </c>
      <c r="L1127" s="690"/>
    </row>
    <row r="1128" spans="1:12" s="27" customFormat="1" ht="17.25" customHeight="1">
      <c r="A1128" s="704" t="s">
        <v>82</v>
      </c>
      <c r="B1128" s="848" t="s">
        <v>438</v>
      </c>
      <c r="C1128" s="705"/>
      <c r="D1128" s="705"/>
      <c r="E1128" s="705" t="e">
        <f>(E1116+E1117+E1118+E1119+E1120+E1121+E1122+E1123+E1124)-E1127</f>
        <v>#REF!</v>
      </c>
      <c r="F1128" s="840"/>
      <c r="G1128" s="704" t="s">
        <v>82</v>
      </c>
      <c r="H1128" s="848" t="s">
        <v>438</v>
      </c>
      <c r="I1128" s="705"/>
      <c r="J1128" s="705"/>
      <c r="K1128" s="705" t="e">
        <f>(K1116+K1117+K1118+K1119+K1120+K1121+K1122+K1123+K1124)-K1127</f>
        <v>#REF!</v>
      </c>
      <c r="L1128" s="707" t="e">
        <f>E1128+K1128</f>
        <v>#REF!</v>
      </c>
    </row>
    <row r="1129" spans="1:12" s="27" customFormat="1" ht="10.5" customHeight="1">
      <c r="A1129" s="1568"/>
      <c r="B1129" s="1568"/>
      <c r="C1129" s="1568"/>
      <c r="D1129" s="1568"/>
      <c r="E1129" s="1568"/>
      <c r="F1129" s="742"/>
      <c r="G1129" s="1568"/>
      <c r="H1129" s="1568"/>
      <c r="I1129" s="1568"/>
      <c r="J1129" s="1568"/>
      <c r="K1129" s="743"/>
      <c r="L1129" s="690"/>
    </row>
    <row r="1130" spans="1:12" s="27" customFormat="1" ht="17.25" customHeight="1">
      <c r="A1130" s="763" t="str">
        <f>A1113</f>
        <v>LƯƠNG THÁNG 01/2025</v>
      </c>
      <c r="B1130" s="763"/>
      <c r="C1130" s="763"/>
      <c r="D1130" s="763"/>
      <c r="E1130" s="763" t="e">
        <f>VLOOKUP(B1131,'CNKT '!$D$99:$AD$112,26,0)</f>
        <v>#REF!</v>
      </c>
      <c r="F1130" s="742"/>
      <c r="G1130" s="763" t="str">
        <f>A1130</f>
        <v>LƯƠNG THÁNG 01/2025</v>
      </c>
      <c r="H1130" s="763"/>
      <c r="I1130" s="763"/>
      <c r="J1130" s="763"/>
      <c r="K1130" s="763" t="e">
        <f>VLOOKUP(H1131,'CNKT '!$D$99:$AD$112,26,0)</f>
        <v>#REF!</v>
      </c>
      <c r="L1130" s="690"/>
    </row>
    <row r="1131" spans="1:12" s="27" customFormat="1" ht="17.25" customHeight="1">
      <c r="A1131" s="709" t="s">
        <v>15</v>
      </c>
      <c r="B1131" s="840" t="e">
        <f>'CNKT '!#REF!</f>
        <v>#REF!</v>
      </c>
      <c r="C1131" s="694"/>
      <c r="D1131" s="840" t="s">
        <v>396</v>
      </c>
      <c r="E1131" s="840" t="s">
        <v>18</v>
      </c>
      <c r="F1131" s="750"/>
      <c r="G1131" s="709" t="s">
        <v>15</v>
      </c>
      <c r="H1131" s="840" t="e">
        <f>'CNKT '!#REF!</f>
        <v>#REF!</v>
      </c>
      <c r="I1131" s="694"/>
      <c r="J1131" s="840" t="s">
        <v>396</v>
      </c>
      <c r="K1131" s="840" t="s">
        <v>18</v>
      </c>
      <c r="L1131" s="690"/>
    </row>
    <row r="1132" spans="1:12" s="27" customFormat="1" ht="17.25" customHeight="1">
      <c r="A1132" s="693" t="s">
        <v>397</v>
      </c>
      <c r="B1132" s="842" t="s">
        <v>527</v>
      </c>
      <c r="C1132" s="694" t="e">
        <f>VLOOKUP(B1131,'BTH mủ tạp'!#REF!,36,0)</f>
        <v>#REF!</v>
      </c>
      <c r="D1132" s="695"/>
      <c r="E1132" s="695"/>
      <c r="F1132" s="750"/>
      <c r="G1132" s="693" t="s">
        <v>397</v>
      </c>
      <c r="H1132" s="842" t="s">
        <v>527</v>
      </c>
      <c r="I1132" s="694" t="e">
        <f>VLOOKUP(H1131,'BTH mủ tạp'!#REF!,36,0)</f>
        <v>#REF!</v>
      </c>
      <c r="J1132" s="695"/>
      <c r="K1132" s="695"/>
      <c r="L1132" s="690"/>
    </row>
    <row r="1133" spans="1:12" s="27" customFormat="1" ht="17.25" customHeight="1">
      <c r="A1133" s="693" t="s">
        <v>77</v>
      </c>
      <c r="B1133" s="843" t="s">
        <v>432</v>
      </c>
      <c r="C1133" s="696" t="e">
        <f>VLOOKUP(B1131,'CNKT '!$D$99:$AA$106,3,0)</f>
        <v>#REF!</v>
      </c>
      <c r="D1133" s="697">
        <v>25000</v>
      </c>
      <c r="E1133" s="695" t="e">
        <f t="shared" ref="E1133:E1138" si="131">C1133*D1133</f>
        <v>#REF!</v>
      </c>
      <c r="F1133" s="750"/>
      <c r="G1133" s="693" t="s">
        <v>77</v>
      </c>
      <c r="H1133" s="843" t="s">
        <v>432</v>
      </c>
      <c r="I1133" s="696" t="e">
        <f>VLOOKUP(H1131,'CNKT '!$D$99:$AA$106,3,0)</f>
        <v>#REF!</v>
      </c>
      <c r="J1133" s="697">
        <v>25000</v>
      </c>
      <c r="K1133" s="695" t="e">
        <f t="shared" ref="K1133:K1138" si="132">I1133*J1133</f>
        <v>#REF!</v>
      </c>
      <c r="L1133" s="690"/>
    </row>
    <row r="1134" spans="1:12" s="27" customFormat="1" ht="17.25" customHeight="1">
      <c r="A1134" s="693" t="s">
        <v>307</v>
      </c>
      <c r="B1134" s="844" t="s">
        <v>528</v>
      </c>
      <c r="C1134" s="747" t="e">
        <f>VLOOKUP(B1131,'CNKT '!$D$99:$AA$106,11,0)</f>
        <v>#REF!</v>
      </c>
      <c r="D1134" s="698">
        <f>46.1*$B$2</f>
        <v>30833.524000000001</v>
      </c>
      <c r="E1134" s="695" t="e">
        <f t="shared" si="131"/>
        <v>#REF!</v>
      </c>
      <c r="F1134" s="750"/>
      <c r="G1134" s="693" t="s">
        <v>307</v>
      </c>
      <c r="H1134" s="844" t="s">
        <v>528</v>
      </c>
      <c r="I1134" s="747" t="e">
        <f>VLOOKUP(H1131,'CNKT '!$D$99:$AA$106,11,0)</f>
        <v>#REF!</v>
      </c>
      <c r="J1134" s="698">
        <f>46.1*$B$2</f>
        <v>30833.524000000001</v>
      </c>
      <c r="K1134" s="695" t="e">
        <f t="shared" si="132"/>
        <v>#REF!</v>
      </c>
      <c r="L1134" s="690"/>
    </row>
    <row r="1135" spans="1:12" s="27" customFormat="1" ht="17.25" customHeight="1">
      <c r="A1135" s="693" t="s">
        <v>399</v>
      </c>
      <c r="B1135" s="844" t="s">
        <v>529</v>
      </c>
      <c r="C1135" s="747" t="e">
        <f>VLOOKUP(B1131,'CNKT '!$D$99:$AA$106,12,0)</f>
        <v>#REF!</v>
      </c>
      <c r="D1135" s="697">
        <f>76.9*$B$2</f>
        <v>51433.796000000009</v>
      </c>
      <c r="E1135" s="695" t="e">
        <f t="shared" si="131"/>
        <v>#REF!</v>
      </c>
      <c r="F1135" s="750"/>
      <c r="G1135" s="693" t="s">
        <v>399</v>
      </c>
      <c r="H1135" s="844" t="s">
        <v>529</v>
      </c>
      <c r="I1135" s="747" t="e">
        <f>VLOOKUP(H1131,'CNKT '!$D$99:$AA$106,12,0)</f>
        <v>#REF!</v>
      </c>
      <c r="J1135" s="697">
        <f>76.9*$B$2</f>
        <v>51433.796000000009</v>
      </c>
      <c r="K1135" s="695" t="e">
        <f t="shared" si="132"/>
        <v>#REF!</v>
      </c>
      <c r="L1135" s="690"/>
    </row>
    <row r="1136" spans="1:12" s="27" customFormat="1" ht="17.25" customHeight="1">
      <c r="A1136" s="693" t="s">
        <v>78</v>
      </c>
      <c r="B1136" s="844" t="s">
        <v>530</v>
      </c>
      <c r="C1136" s="747" t="e">
        <f>VLOOKUP(B1131,'CNKT '!$D$99:$AA$106,8,0)</f>
        <v>#REF!</v>
      </c>
      <c r="D1136" s="697" t="e">
        <f>IF(C1132="A",6.1,IF(C1132="B",5.8,IF(C1132="C",5.5,IF(C1132="C.",5.5,IF(C1132="D",5.2)))))*$B$2</f>
        <v>#REF!</v>
      </c>
      <c r="E1136" s="695" t="e">
        <f t="shared" si="131"/>
        <v>#REF!</v>
      </c>
      <c r="F1136" s="750"/>
      <c r="G1136" s="693" t="s">
        <v>78</v>
      </c>
      <c r="H1136" s="844" t="s">
        <v>530</v>
      </c>
      <c r="I1136" s="747" t="e">
        <f>VLOOKUP(H1131,'CNKT '!$D$99:$AA$106,8,0)</f>
        <v>#REF!</v>
      </c>
      <c r="J1136" s="697" t="e">
        <f>IF(I1132="A",6.1,IF(I1132="B",5.8,IF(I1132="C",5.5,IF(I1132="C.",5.5,IF(I1132="D",5.2)))))*$B$2</f>
        <v>#REF!</v>
      </c>
      <c r="K1136" s="695" t="e">
        <f t="shared" si="132"/>
        <v>#REF!</v>
      </c>
      <c r="L1136" s="690"/>
    </row>
    <row r="1137" spans="1:12" s="27" customFormat="1" ht="17.25" customHeight="1">
      <c r="A1137" s="693" t="s">
        <v>491</v>
      </c>
      <c r="B1137" s="844" t="s">
        <v>531</v>
      </c>
      <c r="C1137" s="747" t="e">
        <f>VLOOKUP(B1131,'CNKT '!$D$99:$AA$106,15,0)</f>
        <v>#REF!</v>
      </c>
      <c r="D1137" s="698">
        <f>92.2*$B$2</f>
        <v>61667.048000000003</v>
      </c>
      <c r="E1137" s="695" t="e">
        <f t="shared" si="131"/>
        <v>#REF!</v>
      </c>
      <c r="F1137" s="750"/>
      <c r="G1137" s="693" t="s">
        <v>491</v>
      </c>
      <c r="H1137" s="844" t="s">
        <v>531</v>
      </c>
      <c r="I1137" s="747" t="e">
        <f>VLOOKUP(H1131,'CNKT '!$D$99:$AA$106,15,0)</f>
        <v>#REF!</v>
      </c>
      <c r="J1137" s="698">
        <f>92.2*$B$2</f>
        <v>61667.048000000003</v>
      </c>
      <c r="K1137" s="695" t="e">
        <f t="shared" si="132"/>
        <v>#REF!</v>
      </c>
      <c r="L1137" s="690"/>
    </row>
    <row r="1138" spans="1:12" s="27" customFormat="1" ht="17.25" customHeight="1">
      <c r="A1138" s="693" t="s">
        <v>492</v>
      </c>
      <c r="B1138" s="844" t="s">
        <v>496</v>
      </c>
      <c r="C1138" s="747" t="e">
        <f>VLOOKUP(B1131,'CNKT '!$D$99:$AA$106,16,0)</f>
        <v>#REF!</v>
      </c>
      <c r="D1138" s="697">
        <f>153.8*$B$2</f>
        <v>102867.59200000002</v>
      </c>
      <c r="E1138" s="695" t="e">
        <f t="shared" si="131"/>
        <v>#REF!</v>
      </c>
      <c r="F1138" s="750"/>
      <c r="G1138" s="693" t="s">
        <v>492</v>
      </c>
      <c r="H1138" s="844" t="s">
        <v>496</v>
      </c>
      <c r="I1138" s="747" t="e">
        <f>VLOOKUP(H1131,'CNKT '!$D$99:$AA$106,16,0)</f>
        <v>#REF!</v>
      </c>
      <c r="J1138" s="697">
        <f>153.8*$B$2</f>
        <v>102867.59200000002</v>
      </c>
      <c r="K1138" s="695" t="e">
        <f t="shared" si="132"/>
        <v>#REF!</v>
      </c>
      <c r="L1138" s="690"/>
    </row>
    <row r="1139" spans="1:12" s="27" customFormat="1" ht="17.25" customHeight="1">
      <c r="A1139" s="693" t="s">
        <v>453</v>
      </c>
      <c r="B1139" s="844" t="s">
        <v>497</v>
      </c>
      <c r="C1139" s="747" t="e">
        <f>VLOOKUP(B1131,'CNKT '!$D$99:$AA$112,18,0)</f>
        <v>#REF!</v>
      </c>
      <c r="D1139" s="697">
        <v>10000</v>
      </c>
      <c r="E1139" s="695" t="e">
        <f>C1139*D1139</f>
        <v>#REF!</v>
      </c>
      <c r="F1139" s="750"/>
      <c r="G1139" s="693" t="s">
        <v>453</v>
      </c>
      <c r="H1139" s="844" t="s">
        <v>497</v>
      </c>
      <c r="I1139" s="747" t="e">
        <f>VLOOKUP(H1131,'CNKT '!$D$99:$AA$112,18,0)</f>
        <v>#REF!</v>
      </c>
      <c r="J1139" s="697">
        <v>10000</v>
      </c>
      <c r="K1139" s="695" t="e">
        <f>I1139*J1139</f>
        <v>#REF!</v>
      </c>
      <c r="L1139" s="690"/>
    </row>
    <row r="1140" spans="1:12" s="27" customFormat="1" ht="17.25" customHeight="1">
      <c r="A1140" s="693" t="s">
        <v>453</v>
      </c>
      <c r="B1140" s="844" t="s">
        <v>497</v>
      </c>
      <c r="C1140" s="747" t="e">
        <f>VLOOKUP(B1131,'CNKT '!$D$99:$AA$112,19,0)</f>
        <v>#REF!</v>
      </c>
      <c r="D1140" s="697">
        <v>20000</v>
      </c>
      <c r="E1140" s="695" t="e">
        <f>C1140*D1140</f>
        <v>#REF!</v>
      </c>
      <c r="F1140" s="750"/>
      <c r="G1140" s="693" t="s">
        <v>453</v>
      </c>
      <c r="H1140" s="844" t="s">
        <v>497</v>
      </c>
      <c r="I1140" s="747" t="e">
        <f>VLOOKUP(H1131,'CNKT '!$D$99:$AA$112,19,0)</f>
        <v>#REF!</v>
      </c>
      <c r="J1140" s="697">
        <v>20000</v>
      </c>
      <c r="K1140" s="695" t="e">
        <f>I1140*J1140</f>
        <v>#REF!</v>
      </c>
      <c r="L1140" s="690"/>
    </row>
    <row r="1141" spans="1:12" s="27" customFormat="1" ht="17.25" customHeight="1">
      <c r="A1141" s="693" t="s">
        <v>512</v>
      </c>
      <c r="B1141" s="844" t="s">
        <v>513</v>
      </c>
      <c r="C1141" s="747"/>
      <c r="D1141" s="697"/>
      <c r="E1141" s="695"/>
      <c r="F1141" s="750"/>
      <c r="G1141" s="693" t="s">
        <v>512</v>
      </c>
      <c r="H1141" s="844" t="s">
        <v>513</v>
      </c>
      <c r="I1141" s="747"/>
      <c r="J1141" s="697"/>
      <c r="K1141" s="695"/>
      <c r="L1141" s="690"/>
    </row>
    <row r="1142" spans="1:12" s="27" customFormat="1" ht="17.25" customHeight="1">
      <c r="A1142" s="699" t="s">
        <v>79</v>
      </c>
      <c r="B1142" s="845" t="s">
        <v>532</v>
      </c>
      <c r="C1142" s="700"/>
      <c r="D1142" s="701"/>
      <c r="E1142" s="700"/>
      <c r="F1142" s="750"/>
      <c r="G1142" s="699" t="s">
        <v>79</v>
      </c>
      <c r="H1142" s="845" t="s">
        <v>532</v>
      </c>
      <c r="I1142" s="700"/>
      <c r="J1142" s="701"/>
      <c r="K1142" s="700"/>
      <c r="L1142" s="690"/>
    </row>
    <row r="1143" spans="1:12" s="27" customFormat="1" ht="17.25" customHeight="1">
      <c r="A1143" s="702" t="s">
        <v>80</v>
      </c>
      <c r="B1143" s="846" t="s">
        <v>533</v>
      </c>
      <c r="C1143" s="700"/>
      <c r="D1143" s="700"/>
      <c r="E1143" s="700"/>
      <c r="F1143" s="750"/>
      <c r="G1143" s="702" t="s">
        <v>80</v>
      </c>
      <c r="H1143" s="846" t="s">
        <v>533</v>
      </c>
      <c r="I1143" s="700"/>
      <c r="J1143" s="700"/>
      <c r="K1143" s="700"/>
      <c r="L1143" s="690"/>
    </row>
    <row r="1144" spans="1:12" s="27" customFormat="1" ht="17.25" customHeight="1">
      <c r="A1144" s="702" t="s">
        <v>81</v>
      </c>
      <c r="B1144" s="847" t="s">
        <v>534</v>
      </c>
      <c r="C1144" s="700"/>
      <c r="D1144" s="700"/>
      <c r="E1144" s="695">
        <f>SUM(E1143)</f>
        <v>0</v>
      </c>
      <c r="F1144" s="750"/>
      <c r="G1144" s="702" t="s">
        <v>81</v>
      </c>
      <c r="H1144" s="847" t="s">
        <v>534</v>
      </c>
      <c r="I1144" s="700"/>
      <c r="J1144" s="700"/>
      <c r="K1144" s="695">
        <f>SUM(K1143)</f>
        <v>0</v>
      </c>
      <c r="L1144" s="690"/>
    </row>
    <row r="1145" spans="1:12" s="27" customFormat="1" ht="17.25" customHeight="1">
      <c r="A1145" s="704" t="s">
        <v>82</v>
      </c>
      <c r="B1145" s="848" t="s">
        <v>438</v>
      </c>
      <c r="C1145" s="705"/>
      <c r="D1145" s="705"/>
      <c r="E1145" s="705" t="e">
        <f>(E1133+E1134+E1135+E1136+E1137+E1138+E1139+E1140+E1141)-E1144</f>
        <v>#REF!</v>
      </c>
      <c r="F1145" s="750"/>
      <c r="G1145" s="704" t="s">
        <v>82</v>
      </c>
      <c r="H1145" s="848" t="s">
        <v>438</v>
      </c>
      <c r="I1145" s="705"/>
      <c r="J1145" s="705"/>
      <c r="K1145" s="705" t="e">
        <f>(K1133+K1134+K1135+K1136+K1137+K1138+K1139+K1140+K1141)-K1144</f>
        <v>#REF!</v>
      </c>
      <c r="L1145" s="707" t="e">
        <f>E1145+K1145</f>
        <v>#REF!</v>
      </c>
    </row>
    <row r="1146" spans="1:12" s="27" customFormat="1" ht="6.75" customHeight="1">
      <c r="A1146" s="1568"/>
      <c r="B1146" s="1568"/>
      <c r="C1146" s="1568"/>
      <c r="D1146" s="1568"/>
      <c r="E1146" s="1568"/>
      <c r="F1146" s="742"/>
      <c r="G1146" s="1568"/>
      <c r="H1146" s="1568"/>
      <c r="I1146" s="1568"/>
      <c r="J1146" s="1568"/>
      <c r="K1146" s="743"/>
      <c r="L1146" s="690"/>
    </row>
    <row r="1147" spans="1:12" s="27" customFormat="1" ht="17.25" customHeight="1">
      <c r="A1147" s="763" t="str">
        <f>A1130</f>
        <v>LƯƠNG THÁNG 01/2025</v>
      </c>
      <c r="B1147" s="763"/>
      <c r="C1147" s="763"/>
      <c r="D1147" s="763"/>
      <c r="E1147" s="763" t="e">
        <f>VLOOKUP(B1148,'CNKT '!$D$99:$AD$112,26,0)</f>
        <v>#REF!</v>
      </c>
      <c r="F1147" s="742"/>
      <c r="G1147" s="763" t="str">
        <f>A1147</f>
        <v>LƯƠNG THÁNG 01/2025</v>
      </c>
      <c r="H1147" s="763"/>
      <c r="I1147" s="763"/>
      <c r="J1147" s="763"/>
      <c r="K1147" s="763" t="e">
        <f>VLOOKUP(H1148,'CNKT '!$D$99:$AD$112,26,0)</f>
        <v>#REF!</v>
      </c>
      <c r="L1147" s="690"/>
    </row>
    <row r="1148" spans="1:12" s="27" customFormat="1" ht="17.25" customHeight="1">
      <c r="A1148" s="709" t="s">
        <v>15</v>
      </c>
      <c r="B1148" s="840" t="e">
        <f>'CNKT '!#REF!</f>
        <v>#REF!</v>
      </c>
      <c r="C1148" s="694"/>
      <c r="D1148" s="840" t="s">
        <v>396</v>
      </c>
      <c r="E1148" s="840" t="s">
        <v>18</v>
      </c>
      <c r="F1148" s="750"/>
      <c r="G1148" s="709" t="s">
        <v>15</v>
      </c>
      <c r="H1148" s="840" t="e">
        <f>'CNKT '!#REF!</f>
        <v>#REF!</v>
      </c>
      <c r="I1148" s="694"/>
      <c r="J1148" s="840" t="s">
        <v>396</v>
      </c>
      <c r="K1148" s="840" t="s">
        <v>18</v>
      </c>
      <c r="L1148" s="690"/>
    </row>
    <row r="1149" spans="1:12" s="27" customFormat="1" ht="17.25" customHeight="1">
      <c r="A1149" s="693" t="s">
        <v>397</v>
      </c>
      <c r="B1149" s="842" t="s">
        <v>527</v>
      </c>
      <c r="C1149" s="694" t="e">
        <f>VLOOKUP(B1148,'BTH mủ tạp'!#REF!,36,0)</f>
        <v>#REF!</v>
      </c>
      <c r="D1149" s="695"/>
      <c r="E1149" s="695"/>
      <c r="F1149" s="750"/>
      <c r="G1149" s="693" t="s">
        <v>397</v>
      </c>
      <c r="H1149" s="842" t="s">
        <v>527</v>
      </c>
      <c r="I1149" s="694" t="e">
        <f>VLOOKUP(H1148,'BTH mủ tạp'!#REF!,36,0)</f>
        <v>#REF!</v>
      </c>
      <c r="J1149" s="695"/>
      <c r="K1149" s="695"/>
      <c r="L1149" s="690"/>
    </row>
    <row r="1150" spans="1:12" s="27" customFormat="1" ht="17.25" customHeight="1">
      <c r="A1150" s="693" t="s">
        <v>77</v>
      </c>
      <c r="B1150" s="843" t="s">
        <v>432</v>
      </c>
      <c r="C1150" s="696" t="e">
        <f>VLOOKUP(B1148,'CNKT '!$D$99:$AA$106,3,0)</f>
        <v>#REF!</v>
      </c>
      <c r="D1150" s="697">
        <v>25000</v>
      </c>
      <c r="E1150" s="695" t="e">
        <f t="shared" ref="E1150:E1155" si="133">C1150*D1150</f>
        <v>#REF!</v>
      </c>
      <c r="F1150" s="750"/>
      <c r="G1150" s="693" t="s">
        <v>77</v>
      </c>
      <c r="H1150" s="843" t="s">
        <v>432</v>
      </c>
      <c r="I1150" s="696" t="e">
        <f>VLOOKUP(H1148,'CNKT '!$D$99:$AA$106,3,0)</f>
        <v>#REF!</v>
      </c>
      <c r="J1150" s="697">
        <v>25000</v>
      </c>
      <c r="K1150" s="695" t="e">
        <f t="shared" ref="K1150:K1155" si="134">I1150*J1150</f>
        <v>#REF!</v>
      </c>
      <c r="L1150" s="690"/>
    </row>
    <row r="1151" spans="1:12" s="27" customFormat="1" ht="17.25" customHeight="1">
      <c r="A1151" s="693" t="s">
        <v>307</v>
      </c>
      <c r="B1151" s="844" t="s">
        <v>528</v>
      </c>
      <c r="C1151" s="747" t="e">
        <f>VLOOKUP(B1148,'CNKT '!$D$99:$AA$106,11,0)</f>
        <v>#REF!</v>
      </c>
      <c r="D1151" s="698">
        <f>46.1*$B$2</f>
        <v>30833.524000000001</v>
      </c>
      <c r="E1151" s="695" t="e">
        <f t="shared" si="133"/>
        <v>#REF!</v>
      </c>
      <c r="F1151" s="750"/>
      <c r="G1151" s="693" t="s">
        <v>307</v>
      </c>
      <c r="H1151" s="844" t="s">
        <v>528</v>
      </c>
      <c r="I1151" s="747" t="e">
        <f>VLOOKUP(H1148,'CNKT '!$D$99:$AA$106,11,0)</f>
        <v>#REF!</v>
      </c>
      <c r="J1151" s="698">
        <f>46.1*$B$2</f>
        <v>30833.524000000001</v>
      </c>
      <c r="K1151" s="695" t="e">
        <f t="shared" si="134"/>
        <v>#REF!</v>
      </c>
      <c r="L1151" s="690"/>
    </row>
    <row r="1152" spans="1:12" s="27" customFormat="1" ht="17.25" customHeight="1">
      <c r="A1152" s="693" t="s">
        <v>399</v>
      </c>
      <c r="B1152" s="844" t="s">
        <v>529</v>
      </c>
      <c r="C1152" s="747" t="e">
        <f>VLOOKUP(B1148,'CNKT '!$D$99:$AA$106,12,0)</f>
        <v>#REF!</v>
      </c>
      <c r="D1152" s="697">
        <f>76.9*$B$2</f>
        <v>51433.796000000009</v>
      </c>
      <c r="E1152" s="695" t="e">
        <f t="shared" si="133"/>
        <v>#REF!</v>
      </c>
      <c r="F1152" s="750"/>
      <c r="G1152" s="693" t="s">
        <v>399</v>
      </c>
      <c r="H1152" s="844" t="s">
        <v>529</v>
      </c>
      <c r="I1152" s="747" t="e">
        <f>VLOOKUP(H1148,'CNKT '!$D$99:$AA$106,12,0)</f>
        <v>#REF!</v>
      </c>
      <c r="J1152" s="697">
        <f>76.9*$B$2</f>
        <v>51433.796000000009</v>
      </c>
      <c r="K1152" s="695" t="e">
        <f t="shared" si="134"/>
        <v>#REF!</v>
      </c>
      <c r="L1152" s="690"/>
    </row>
    <row r="1153" spans="1:12" s="27" customFormat="1" ht="17.25" customHeight="1">
      <c r="A1153" s="693" t="s">
        <v>78</v>
      </c>
      <c r="B1153" s="844" t="s">
        <v>530</v>
      </c>
      <c r="C1153" s="747" t="e">
        <f>VLOOKUP(B1148,'CNKT '!$D$99:$AA$106,8,0)</f>
        <v>#REF!</v>
      </c>
      <c r="D1153" s="697" t="e">
        <f>IF(C1149="A",6.1,IF(C1149="B",5.8,IF(C1149="C",5.5,IF(C1149="C.",5.5,IF(C1149="D",5.2)))))*$B$2</f>
        <v>#REF!</v>
      </c>
      <c r="E1153" s="695" t="e">
        <f t="shared" si="133"/>
        <v>#REF!</v>
      </c>
      <c r="F1153" s="750"/>
      <c r="G1153" s="693" t="s">
        <v>78</v>
      </c>
      <c r="H1153" s="844" t="s">
        <v>530</v>
      </c>
      <c r="I1153" s="747" t="e">
        <f>VLOOKUP(H1148,'CNKT '!$D$99:$AA$106,8,0)</f>
        <v>#REF!</v>
      </c>
      <c r="J1153" s="697" t="e">
        <f>IF(I1149="A",6.1,IF(I1149="B",5.8,IF(I1149="C",5.5,IF(I1149="C.",5.5,IF(I1149="D",5.2)))))*$B$2</f>
        <v>#REF!</v>
      </c>
      <c r="K1153" s="695" t="e">
        <f t="shared" si="134"/>
        <v>#REF!</v>
      </c>
      <c r="L1153" s="690"/>
    </row>
    <row r="1154" spans="1:12" s="27" customFormat="1" ht="17.25" customHeight="1">
      <c r="A1154" s="693" t="s">
        <v>491</v>
      </c>
      <c r="B1154" s="844" t="s">
        <v>531</v>
      </c>
      <c r="C1154" s="747" t="e">
        <f>VLOOKUP(B1148,'CNKT '!$D$99:$AA$106,15,0)</f>
        <v>#REF!</v>
      </c>
      <c r="D1154" s="698">
        <f>92.2*$B$2</f>
        <v>61667.048000000003</v>
      </c>
      <c r="E1154" s="695" t="e">
        <f t="shared" si="133"/>
        <v>#REF!</v>
      </c>
      <c r="F1154" s="750"/>
      <c r="G1154" s="693" t="s">
        <v>491</v>
      </c>
      <c r="H1154" s="844" t="s">
        <v>531</v>
      </c>
      <c r="I1154" s="747" t="e">
        <f>VLOOKUP(H1148,'CNKT '!$D$99:$AA$106,15,0)</f>
        <v>#REF!</v>
      </c>
      <c r="J1154" s="698">
        <f>92.2*$B$2</f>
        <v>61667.048000000003</v>
      </c>
      <c r="K1154" s="695" t="e">
        <f t="shared" si="134"/>
        <v>#REF!</v>
      </c>
      <c r="L1154" s="690"/>
    </row>
    <row r="1155" spans="1:12" s="27" customFormat="1" ht="17.25" customHeight="1">
      <c r="A1155" s="693" t="s">
        <v>492</v>
      </c>
      <c r="B1155" s="844" t="s">
        <v>496</v>
      </c>
      <c r="C1155" s="747" t="e">
        <f>VLOOKUP(B1148,'CNKT '!$D$99:$AA$106,16,0)</f>
        <v>#REF!</v>
      </c>
      <c r="D1155" s="697">
        <f>153.8*$B$2</f>
        <v>102867.59200000002</v>
      </c>
      <c r="E1155" s="695" t="e">
        <f t="shared" si="133"/>
        <v>#REF!</v>
      </c>
      <c r="F1155" s="750"/>
      <c r="G1155" s="693" t="s">
        <v>492</v>
      </c>
      <c r="H1155" s="844" t="s">
        <v>496</v>
      </c>
      <c r="I1155" s="747" t="e">
        <f>VLOOKUP(H1148,'CNKT '!$D$99:$AA$106,16,0)</f>
        <v>#REF!</v>
      </c>
      <c r="J1155" s="697">
        <f>153.8*$B$2</f>
        <v>102867.59200000002</v>
      </c>
      <c r="K1155" s="695" t="e">
        <f t="shared" si="134"/>
        <v>#REF!</v>
      </c>
      <c r="L1155" s="690"/>
    </row>
    <row r="1156" spans="1:12" s="27" customFormat="1" ht="17.25" customHeight="1">
      <c r="A1156" s="693" t="s">
        <v>453</v>
      </c>
      <c r="B1156" s="844" t="s">
        <v>497</v>
      </c>
      <c r="C1156" s="747" t="e">
        <f>VLOOKUP(B1148,'CNKT '!$D$99:$AA$112,18,0)</f>
        <v>#REF!</v>
      </c>
      <c r="D1156" s="697">
        <v>10000</v>
      </c>
      <c r="E1156" s="695" t="e">
        <f>C1156*D1156</f>
        <v>#REF!</v>
      </c>
      <c r="F1156" s="750"/>
      <c r="G1156" s="693" t="s">
        <v>453</v>
      </c>
      <c r="H1156" s="844" t="s">
        <v>497</v>
      </c>
      <c r="I1156" s="747" t="e">
        <f>VLOOKUP(H1148,'CNKT '!$D$99:$AA$112,18,0)</f>
        <v>#REF!</v>
      </c>
      <c r="J1156" s="697">
        <v>10000</v>
      </c>
      <c r="K1156" s="695" t="e">
        <f>I1156*J1156</f>
        <v>#REF!</v>
      </c>
      <c r="L1156" s="690"/>
    </row>
    <row r="1157" spans="1:12" s="27" customFormat="1" ht="17.25" customHeight="1">
      <c r="A1157" s="693" t="s">
        <v>453</v>
      </c>
      <c r="B1157" s="844" t="s">
        <v>497</v>
      </c>
      <c r="C1157" s="747" t="e">
        <f>VLOOKUP(B1148,'CNKT '!$D$99:$AA$112,19,0)</f>
        <v>#REF!</v>
      </c>
      <c r="D1157" s="697">
        <v>20000</v>
      </c>
      <c r="E1157" s="695" t="e">
        <f>C1157*D1157</f>
        <v>#REF!</v>
      </c>
      <c r="F1157" s="750"/>
      <c r="G1157" s="693" t="s">
        <v>453</v>
      </c>
      <c r="H1157" s="844" t="s">
        <v>497</v>
      </c>
      <c r="I1157" s="747" t="e">
        <f>VLOOKUP(H1148,'CNKT '!$D$99:$AA$112,19,0)</f>
        <v>#REF!</v>
      </c>
      <c r="J1157" s="697">
        <v>20000</v>
      </c>
      <c r="K1157" s="695" t="e">
        <f>I1157*J1157</f>
        <v>#REF!</v>
      </c>
      <c r="L1157" s="690"/>
    </row>
    <row r="1158" spans="1:12" s="27" customFormat="1" ht="17.25" customHeight="1">
      <c r="A1158" s="693" t="s">
        <v>512</v>
      </c>
      <c r="B1158" s="844" t="s">
        <v>513</v>
      </c>
      <c r="C1158" s="747"/>
      <c r="D1158" s="697"/>
      <c r="E1158" s="695"/>
      <c r="F1158" s="750"/>
      <c r="G1158" s="693" t="s">
        <v>512</v>
      </c>
      <c r="H1158" s="844" t="s">
        <v>513</v>
      </c>
      <c r="I1158" s="747"/>
      <c r="J1158" s="697"/>
      <c r="K1158" s="695"/>
      <c r="L1158" s="690"/>
    </row>
    <row r="1159" spans="1:12" s="27" customFormat="1" ht="17.25" customHeight="1">
      <c r="A1159" s="699" t="s">
        <v>79</v>
      </c>
      <c r="B1159" s="845" t="s">
        <v>532</v>
      </c>
      <c r="C1159" s="700"/>
      <c r="D1159" s="701"/>
      <c r="E1159" s="700"/>
      <c r="F1159" s="750"/>
      <c r="G1159" s="699" t="s">
        <v>79</v>
      </c>
      <c r="H1159" s="845" t="s">
        <v>532</v>
      </c>
      <c r="I1159" s="700"/>
      <c r="J1159" s="701"/>
      <c r="K1159" s="700"/>
      <c r="L1159" s="690"/>
    </row>
    <row r="1160" spans="1:12" s="27" customFormat="1" ht="17.25" customHeight="1">
      <c r="A1160" s="702" t="s">
        <v>80</v>
      </c>
      <c r="B1160" s="846" t="s">
        <v>533</v>
      </c>
      <c r="C1160" s="700"/>
      <c r="D1160" s="700"/>
      <c r="E1160" s="700"/>
      <c r="F1160" s="750"/>
      <c r="G1160" s="702" t="s">
        <v>80</v>
      </c>
      <c r="H1160" s="846" t="s">
        <v>533</v>
      </c>
      <c r="I1160" s="700"/>
      <c r="J1160" s="700"/>
      <c r="K1160" s="700"/>
      <c r="L1160" s="690"/>
    </row>
    <row r="1161" spans="1:12" s="27" customFormat="1" ht="17.25" customHeight="1">
      <c r="A1161" s="702" t="s">
        <v>81</v>
      </c>
      <c r="B1161" s="847" t="s">
        <v>534</v>
      </c>
      <c r="C1161" s="700"/>
      <c r="D1161" s="700"/>
      <c r="E1161" s="695">
        <f>SUM(E1160)</f>
        <v>0</v>
      </c>
      <c r="F1161" s="750"/>
      <c r="G1161" s="702" t="s">
        <v>81</v>
      </c>
      <c r="H1161" s="847" t="s">
        <v>534</v>
      </c>
      <c r="I1161" s="700"/>
      <c r="J1161" s="700"/>
      <c r="K1161" s="695">
        <f>SUM(K1160)</f>
        <v>0</v>
      </c>
      <c r="L1161" s="690"/>
    </row>
    <row r="1162" spans="1:12" s="27" customFormat="1" ht="17.25" customHeight="1">
      <c r="A1162" s="704" t="s">
        <v>82</v>
      </c>
      <c r="B1162" s="848" t="s">
        <v>438</v>
      </c>
      <c r="C1162" s="705"/>
      <c r="D1162" s="705"/>
      <c r="E1162" s="705" t="e">
        <f>(E1150+E1151+E1152+E1153+E1154+E1155+E1156+E1157+E1158)-E1161</f>
        <v>#REF!</v>
      </c>
      <c r="F1162" s="750"/>
      <c r="G1162" s="704" t="s">
        <v>82</v>
      </c>
      <c r="H1162" s="848" t="s">
        <v>438</v>
      </c>
      <c r="I1162" s="705"/>
      <c r="J1162" s="705"/>
      <c r="K1162" s="705" t="e">
        <f>(K1150+K1151+K1152+K1153+K1154+K1155+K1156+K1157+K1158)-K1161</f>
        <v>#REF!</v>
      </c>
      <c r="L1162" s="707" t="e">
        <f>E1162+K1162</f>
        <v>#REF!</v>
      </c>
    </row>
    <row r="1163" spans="1:12" s="27" customFormat="1" ht="17.25" customHeight="1">
      <c r="A1163" s="1568"/>
      <c r="B1163" s="1568"/>
      <c r="C1163" s="1568"/>
      <c r="D1163" s="1568"/>
      <c r="E1163" s="1568"/>
      <c r="F1163" s="742"/>
      <c r="G1163" s="1568"/>
      <c r="H1163" s="1568"/>
      <c r="I1163" s="1568"/>
      <c r="J1163" s="1568"/>
      <c r="K1163" s="743"/>
      <c r="L1163" s="690"/>
    </row>
    <row r="1164" spans="1:12" s="27" customFormat="1" ht="17.25" customHeight="1">
      <c r="A1164" s="763" t="str">
        <f>A1147</f>
        <v>LƯƠNG THÁNG 01/2025</v>
      </c>
      <c r="B1164" s="763"/>
      <c r="C1164" s="763"/>
      <c r="D1164" s="763"/>
      <c r="E1164" s="763" t="e">
        <f>VLOOKUP(B1165,'CNKT '!$D$99:$AD$112,26,0)</f>
        <v>#REF!</v>
      </c>
      <c r="F1164" s="742"/>
      <c r="G1164" s="763" t="str">
        <f>A1164</f>
        <v>LƯƠNG THÁNG 01/2025</v>
      </c>
      <c r="H1164" s="763"/>
      <c r="I1164" s="763"/>
      <c r="J1164" s="763"/>
      <c r="K1164" s="763" t="e">
        <f>VLOOKUP(H1165,'CNKT '!$D$99:$AD$112,26,0)</f>
        <v>#REF!</v>
      </c>
      <c r="L1164" s="690"/>
    </row>
    <row r="1165" spans="1:12" s="27" customFormat="1" ht="17.25" customHeight="1">
      <c r="A1165" s="709" t="s">
        <v>15</v>
      </c>
      <c r="B1165" s="840" t="e">
        <f>'CNKT '!#REF!</f>
        <v>#REF!</v>
      </c>
      <c r="C1165" s="694"/>
      <c r="D1165" s="840" t="s">
        <v>396</v>
      </c>
      <c r="E1165" s="840" t="s">
        <v>18</v>
      </c>
      <c r="F1165" s="750"/>
      <c r="G1165" s="709" t="s">
        <v>15</v>
      </c>
      <c r="H1165" s="840" t="e">
        <f>'CNKT '!#REF!</f>
        <v>#REF!</v>
      </c>
      <c r="I1165" s="694"/>
      <c r="J1165" s="840" t="s">
        <v>396</v>
      </c>
      <c r="K1165" s="840" t="s">
        <v>18</v>
      </c>
      <c r="L1165" s="690"/>
    </row>
    <row r="1166" spans="1:12" s="27" customFormat="1" ht="17.25" customHeight="1">
      <c r="A1166" s="693" t="s">
        <v>397</v>
      </c>
      <c r="B1166" s="842" t="s">
        <v>527</v>
      </c>
      <c r="C1166" s="694" t="e">
        <f>VLOOKUP(B1165,'BTH mủ tạp'!#REF!,36,0)</f>
        <v>#REF!</v>
      </c>
      <c r="D1166" s="695"/>
      <c r="E1166" s="695"/>
      <c r="F1166" s="750"/>
      <c r="G1166" s="693" t="s">
        <v>397</v>
      </c>
      <c r="H1166" s="842" t="s">
        <v>527</v>
      </c>
      <c r="I1166" s="694" t="e">
        <f>VLOOKUP(H1165,'BTH mủ tạp'!#REF!,36,0)</f>
        <v>#REF!</v>
      </c>
      <c r="J1166" s="695"/>
      <c r="K1166" s="695"/>
      <c r="L1166" s="690"/>
    </row>
    <row r="1167" spans="1:12" s="27" customFormat="1" ht="17.25" customHeight="1">
      <c r="A1167" s="693" t="s">
        <v>77</v>
      </c>
      <c r="B1167" s="843" t="s">
        <v>432</v>
      </c>
      <c r="C1167" s="696" t="e">
        <f>VLOOKUP(B1165,'CNKT '!$D$99:$AA$106,3,0)</f>
        <v>#REF!</v>
      </c>
      <c r="D1167" s="697">
        <v>25000</v>
      </c>
      <c r="E1167" s="695" t="e">
        <f t="shared" ref="E1167:E1172" si="135">C1167*D1167</f>
        <v>#REF!</v>
      </c>
      <c r="F1167" s="750"/>
      <c r="G1167" s="693" t="s">
        <v>77</v>
      </c>
      <c r="H1167" s="843" t="s">
        <v>432</v>
      </c>
      <c r="I1167" s="696" t="e">
        <f>VLOOKUP(H1165,'CNKT '!$D$99:$AA$106,3,0)</f>
        <v>#REF!</v>
      </c>
      <c r="J1167" s="697">
        <v>25000</v>
      </c>
      <c r="K1167" s="695" t="e">
        <f t="shared" ref="K1167:K1172" si="136">I1167*J1167</f>
        <v>#REF!</v>
      </c>
      <c r="L1167" s="690"/>
    </row>
    <row r="1168" spans="1:12" s="27" customFormat="1" ht="17.25" customHeight="1">
      <c r="A1168" s="693" t="s">
        <v>307</v>
      </c>
      <c r="B1168" s="844" t="s">
        <v>528</v>
      </c>
      <c r="C1168" s="747" t="e">
        <f>VLOOKUP(B1165,'CNKT '!$D$99:$AA$106,11,0)</f>
        <v>#REF!</v>
      </c>
      <c r="D1168" s="698">
        <f>46.1*$B$2</f>
        <v>30833.524000000001</v>
      </c>
      <c r="E1168" s="695" t="e">
        <f t="shared" si="135"/>
        <v>#REF!</v>
      </c>
      <c r="F1168" s="750"/>
      <c r="G1168" s="693" t="s">
        <v>307</v>
      </c>
      <c r="H1168" s="844" t="s">
        <v>528</v>
      </c>
      <c r="I1168" s="747" t="e">
        <f>VLOOKUP(H1165,'CNKT '!$D$99:$AA$106,11,0)</f>
        <v>#REF!</v>
      </c>
      <c r="J1168" s="698">
        <f>46.1*$B$2</f>
        <v>30833.524000000001</v>
      </c>
      <c r="K1168" s="695" t="e">
        <f t="shared" si="136"/>
        <v>#REF!</v>
      </c>
      <c r="L1168" s="690"/>
    </row>
    <row r="1169" spans="1:12" s="27" customFormat="1" ht="17.25" customHeight="1">
      <c r="A1169" s="693" t="s">
        <v>399</v>
      </c>
      <c r="B1169" s="844" t="s">
        <v>529</v>
      </c>
      <c r="C1169" s="747" t="e">
        <f>VLOOKUP(B1165,'CNKT '!$D$99:$AA$106,12,0)</f>
        <v>#REF!</v>
      </c>
      <c r="D1169" s="697">
        <f>76.9*$B$2</f>
        <v>51433.796000000009</v>
      </c>
      <c r="E1169" s="695" t="e">
        <f t="shared" si="135"/>
        <v>#REF!</v>
      </c>
      <c r="F1169" s="750"/>
      <c r="G1169" s="693" t="s">
        <v>399</v>
      </c>
      <c r="H1169" s="844" t="s">
        <v>529</v>
      </c>
      <c r="I1169" s="747" t="e">
        <f>VLOOKUP(H1165,'CNKT '!$D$99:$AA$106,12,0)</f>
        <v>#REF!</v>
      </c>
      <c r="J1169" s="697">
        <f>76.9*$B$2</f>
        <v>51433.796000000009</v>
      </c>
      <c r="K1169" s="695" t="e">
        <f t="shared" si="136"/>
        <v>#REF!</v>
      </c>
      <c r="L1169" s="690"/>
    </row>
    <row r="1170" spans="1:12" s="27" customFormat="1" ht="17.25" customHeight="1">
      <c r="A1170" s="693" t="s">
        <v>78</v>
      </c>
      <c r="B1170" s="844" t="s">
        <v>530</v>
      </c>
      <c r="C1170" s="747" t="e">
        <f>VLOOKUP(B1165,'CNKT '!$D$99:$AA$106,8,0)</f>
        <v>#REF!</v>
      </c>
      <c r="D1170" s="697" t="e">
        <f>IF(C1166="A",6.1,IF(C1166="B",5.8,IF(C1166="C",5.5,IF(C1166="C.",5.5,IF(C1166="D",5.2)))))*$B$2</f>
        <v>#REF!</v>
      </c>
      <c r="E1170" s="695" t="e">
        <f t="shared" si="135"/>
        <v>#REF!</v>
      </c>
      <c r="F1170" s="750"/>
      <c r="G1170" s="693" t="s">
        <v>78</v>
      </c>
      <c r="H1170" s="844" t="s">
        <v>530</v>
      </c>
      <c r="I1170" s="747" t="e">
        <f>VLOOKUP(H1165,'CNKT '!$D$99:$AA$106,8,0)</f>
        <v>#REF!</v>
      </c>
      <c r="J1170" s="697" t="e">
        <f>IF(I1166="A",6.1,IF(I1166="B",5.8,IF(I1166="C",5.5,IF(I1166="C.",5.5,IF(I1166="D",5.2)))))*$B$2</f>
        <v>#REF!</v>
      </c>
      <c r="K1170" s="695" t="e">
        <f t="shared" si="136"/>
        <v>#REF!</v>
      </c>
      <c r="L1170" s="690"/>
    </row>
    <row r="1171" spans="1:12" s="27" customFormat="1" ht="17.25" customHeight="1">
      <c r="A1171" s="693" t="s">
        <v>491</v>
      </c>
      <c r="B1171" s="844" t="s">
        <v>531</v>
      </c>
      <c r="C1171" s="747" t="e">
        <f>VLOOKUP(B1165,'CNKT '!$D$99:$AA$106,15,0)</f>
        <v>#REF!</v>
      </c>
      <c r="D1171" s="698">
        <f>92.2*$B$2</f>
        <v>61667.048000000003</v>
      </c>
      <c r="E1171" s="695" t="e">
        <f t="shared" si="135"/>
        <v>#REF!</v>
      </c>
      <c r="F1171" s="750"/>
      <c r="G1171" s="693" t="s">
        <v>491</v>
      </c>
      <c r="H1171" s="844" t="s">
        <v>531</v>
      </c>
      <c r="I1171" s="747" t="e">
        <f>VLOOKUP(H1165,'CNKT '!$D$99:$AA$106,15,0)</f>
        <v>#REF!</v>
      </c>
      <c r="J1171" s="698">
        <f>92.2*$B$2</f>
        <v>61667.048000000003</v>
      </c>
      <c r="K1171" s="695" t="e">
        <f t="shared" si="136"/>
        <v>#REF!</v>
      </c>
      <c r="L1171" s="690"/>
    </row>
    <row r="1172" spans="1:12" s="27" customFormat="1" ht="17.25" customHeight="1">
      <c r="A1172" s="693" t="s">
        <v>492</v>
      </c>
      <c r="B1172" s="844" t="s">
        <v>496</v>
      </c>
      <c r="C1172" s="747" t="e">
        <f>VLOOKUP(B1165,'CNKT '!$D$99:$AA$106,16,0)</f>
        <v>#REF!</v>
      </c>
      <c r="D1172" s="697">
        <f>153.8*$B$2</f>
        <v>102867.59200000002</v>
      </c>
      <c r="E1172" s="695" t="e">
        <f t="shared" si="135"/>
        <v>#REF!</v>
      </c>
      <c r="F1172" s="750"/>
      <c r="G1172" s="693" t="s">
        <v>492</v>
      </c>
      <c r="H1172" s="844" t="s">
        <v>496</v>
      </c>
      <c r="I1172" s="747" t="e">
        <f>VLOOKUP(H1165,'CNKT '!$D$99:$AA$106,16,0)</f>
        <v>#REF!</v>
      </c>
      <c r="J1172" s="697">
        <f>153.8*$B$2</f>
        <v>102867.59200000002</v>
      </c>
      <c r="K1172" s="695" t="e">
        <f t="shared" si="136"/>
        <v>#REF!</v>
      </c>
      <c r="L1172" s="690"/>
    </row>
    <row r="1173" spans="1:12" s="27" customFormat="1" ht="17.25" customHeight="1">
      <c r="A1173" s="693" t="s">
        <v>453</v>
      </c>
      <c r="B1173" s="844" t="s">
        <v>497</v>
      </c>
      <c r="C1173" s="747" t="e">
        <f>VLOOKUP(B1165,'CNKT '!$D$99:$AA$112,18,0)</f>
        <v>#REF!</v>
      </c>
      <c r="D1173" s="697">
        <v>10000</v>
      </c>
      <c r="E1173" s="695" t="e">
        <f>C1173*D1173</f>
        <v>#REF!</v>
      </c>
      <c r="F1173" s="750"/>
      <c r="G1173" s="693" t="s">
        <v>453</v>
      </c>
      <c r="H1173" s="844" t="s">
        <v>497</v>
      </c>
      <c r="I1173" s="747" t="e">
        <f>VLOOKUP(H1165,'CNKT '!$D$99:$AA$112,18,0)</f>
        <v>#REF!</v>
      </c>
      <c r="J1173" s="697">
        <v>10000</v>
      </c>
      <c r="K1173" s="695" t="e">
        <f>I1173*J1173</f>
        <v>#REF!</v>
      </c>
      <c r="L1173" s="690"/>
    </row>
    <row r="1174" spans="1:12" s="27" customFormat="1" ht="17.25" customHeight="1">
      <c r="A1174" s="693" t="s">
        <v>453</v>
      </c>
      <c r="B1174" s="844" t="s">
        <v>497</v>
      </c>
      <c r="C1174" s="747" t="e">
        <f>VLOOKUP(B1165,'CNKT '!$D$99:$AA$112,19,0)</f>
        <v>#REF!</v>
      </c>
      <c r="D1174" s="697">
        <v>20000</v>
      </c>
      <c r="E1174" s="695" t="e">
        <f>C1174*D1174</f>
        <v>#REF!</v>
      </c>
      <c r="F1174" s="750"/>
      <c r="G1174" s="693" t="s">
        <v>453</v>
      </c>
      <c r="H1174" s="844" t="s">
        <v>497</v>
      </c>
      <c r="I1174" s="747" t="e">
        <f>VLOOKUP(H1165,'CNKT '!$D$99:$AA$112,19,0)</f>
        <v>#REF!</v>
      </c>
      <c r="J1174" s="697">
        <v>20000</v>
      </c>
      <c r="K1174" s="695" t="e">
        <f>I1174*J1174</f>
        <v>#REF!</v>
      </c>
      <c r="L1174" s="690"/>
    </row>
    <row r="1175" spans="1:12" s="27" customFormat="1" ht="17.25" customHeight="1">
      <c r="A1175" s="693" t="s">
        <v>512</v>
      </c>
      <c r="B1175" s="844" t="s">
        <v>513</v>
      </c>
      <c r="C1175" s="747"/>
      <c r="D1175" s="697"/>
      <c r="E1175" s="695"/>
      <c r="F1175" s="750"/>
      <c r="G1175" s="693" t="s">
        <v>512</v>
      </c>
      <c r="H1175" s="844" t="s">
        <v>513</v>
      </c>
      <c r="I1175" s="747"/>
      <c r="J1175" s="697"/>
      <c r="K1175" s="695"/>
      <c r="L1175" s="690"/>
    </row>
    <row r="1176" spans="1:12" s="27" customFormat="1" ht="17.25" customHeight="1">
      <c r="A1176" s="699" t="s">
        <v>79</v>
      </c>
      <c r="B1176" s="845" t="s">
        <v>532</v>
      </c>
      <c r="C1176" s="700"/>
      <c r="D1176" s="701"/>
      <c r="E1176" s="700"/>
      <c r="F1176" s="750"/>
      <c r="G1176" s="699" t="s">
        <v>79</v>
      </c>
      <c r="H1176" s="845" t="s">
        <v>532</v>
      </c>
      <c r="I1176" s="700"/>
      <c r="J1176" s="701"/>
      <c r="K1176" s="700"/>
      <c r="L1176" s="690"/>
    </row>
    <row r="1177" spans="1:12" s="27" customFormat="1" ht="17.25" customHeight="1">
      <c r="A1177" s="702" t="s">
        <v>80</v>
      </c>
      <c r="B1177" s="846" t="s">
        <v>533</v>
      </c>
      <c r="C1177" s="700"/>
      <c r="D1177" s="700"/>
      <c r="E1177" s="700"/>
      <c r="F1177" s="750"/>
      <c r="G1177" s="702" t="s">
        <v>80</v>
      </c>
      <c r="H1177" s="846" t="s">
        <v>533</v>
      </c>
      <c r="I1177" s="700"/>
      <c r="J1177" s="700"/>
      <c r="K1177" s="700"/>
      <c r="L1177" s="690"/>
    </row>
    <row r="1178" spans="1:12" s="27" customFormat="1" ht="17.25" customHeight="1">
      <c r="A1178" s="702" t="s">
        <v>81</v>
      </c>
      <c r="B1178" s="847" t="s">
        <v>534</v>
      </c>
      <c r="C1178" s="700"/>
      <c r="D1178" s="700"/>
      <c r="E1178" s="695">
        <f>SUM(E1177)</f>
        <v>0</v>
      </c>
      <c r="F1178" s="750"/>
      <c r="G1178" s="702" t="s">
        <v>81</v>
      </c>
      <c r="H1178" s="847" t="s">
        <v>534</v>
      </c>
      <c r="I1178" s="700"/>
      <c r="J1178" s="700"/>
      <c r="K1178" s="695">
        <f>SUM(K1177)</f>
        <v>0</v>
      </c>
      <c r="L1178" s="690"/>
    </row>
    <row r="1179" spans="1:12" s="27" customFormat="1" ht="17.25" customHeight="1">
      <c r="A1179" s="704" t="s">
        <v>82</v>
      </c>
      <c r="B1179" s="848" t="s">
        <v>438</v>
      </c>
      <c r="C1179" s="705"/>
      <c r="D1179" s="705"/>
      <c r="E1179" s="705" t="e">
        <f>(E1167+E1168+E1169+E1170+E1171+E1172+E1173+E1174+E1175)-E1178</f>
        <v>#REF!</v>
      </c>
      <c r="F1179" s="750"/>
      <c r="G1179" s="704" t="s">
        <v>82</v>
      </c>
      <c r="H1179" s="848" t="s">
        <v>438</v>
      </c>
      <c r="I1179" s="705"/>
      <c r="J1179" s="705"/>
      <c r="K1179" s="705" t="e">
        <f>(K1167+K1168+K1169+K1170+K1171+K1172+K1173+K1174+K1175)-K1178</f>
        <v>#REF!</v>
      </c>
      <c r="L1179" s="707" t="e">
        <f>E1179+K1179</f>
        <v>#REF!</v>
      </c>
    </row>
    <row r="1180" spans="1:12" s="27" customFormat="1" ht="9" customHeight="1">
      <c r="A1180" s="1568"/>
      <c r="B1180" s="1568"/>
      <c r="C1180" s="1568"/>
      <c r="D1180" s="1568"/>
      <c r="E1180" s="1568"/>
      <c r="F1180" s="742"/>
      <c r="G1180" s="1568"/>
      <c r="H1180" s="1568"/>
      <c r="I1180" s="1568"/>
      <c r="J1180" s="1568"/>
      <c r="K1180" s="743"/>
      <c r="L1180" s="690"/>
    </row>
    <row r="1181" spans="1:12" s="27" customFormat="1" ht="17.25" customHeight="1">
      <c r="A1181" s="763" t="str">
        <f>A1164</f>
        <v>LƯƠNG THÁNG 01/2025</v>
      </c>
      <c r="B1181" s="763"/>
      <c r="C1181" s="763"/>
      <c r="D1181" s="763"/>
      <c r="E1181" s="763" t="e">
        <f>VLOOKUP(B1182,'CNKT '!$D$99:$AD$112,26,0)</f>
        <v>#REF!</v>
      </c>
      <c r="F1181" s="742"/>
      <c r="G1181" s="763" t="str">
        <f>A1181</f>
        <v>LƯƠNG THÁNG 01/2025</v>
      </c>
      <c r="H1181" s="763"/>
      <c r="I1181" s="763"/>
      <c r="J1181" s="763"/>
      <c r="K1181" s="763" t="e">
        <f>VLOOKUP(H1182,'CNKT '!$D$99:$AD$112,26,0)</f>
        <v>#REF!</v>
      </c>
      <c r="L1181" s="690"/>
    </row>
    <row r="1182" spans="1:12" s="27" customFormat="1" ht="17.25" customHeight="1">
      <c r="A1182" s="709" t="s">
        <v>15</v>
      </c>
      <c r="B1182" s="840" t="e">
        <f>'CNKT '!#REF!</f>
        <v>#REF!</v>
      </c>
      <c r="C1182" s="694"/>
      <c r="D1182" s="840" t="s">
        <v>396</v>
      </c>
      <c r="E1182" s="840" t="s">
        <v>18</v>
      </c>
      <c r="F1182" s="750"/>
      <c r="G1182" s="709" t="s">
        <v>15</v>
      </c>
      <c r="H1182" s="840" t="e">
        <f>'CNKT '!#REF!</f>
        <v>#REF!</v>
      </c>
      <c r="I1182" s="694"/>
      <c r="J1182" s="840" t="s">
        <v>396</v>
      </c>
      <c r="K1182" s="840" t="s">
        <v>18</v>
      </c>
      <c r="L1182" s="690"/>
    </row>
    <row r="1183" spans="1:12" s="27" customFormat="1" ht="17.25" customHeight="1">
      <c r="A1183" s="693" t="s">
        <v>397</v>
      </c>
      <c r="B1183" s="842" t="s">
        <v>527</v>
      </c>
      <c r="C1183" s="694" t="e">
        <f>VLOOKUP(B1182,'BTH mủ tạp'!#REF!,36,0)</f>
        <v>#REF!</v>
      </c>
      <c r="D1183" s="695"/>
      <c r="E1183" s="695"/>
      <c r="F1183" s="750"/>
      <c r="G1183" s="693" t="s">
        <v>397</v>
      </c>
      <c r="H1183" s="842" t="s">
        <v>527</v>
      </c>
      <c r="I1183" s="694" t="e">
        <f>VLOOKUP(H1182,'BTH mủ tạp'!#REF!,36,0)</f>
        <v>#REF!</v>
      </c>
      <c r="J1183" s="695"/>
      <c r="K1183" s="695"/>
      <c r="L1183" s="690"/>
    </row>
    <row r="1184" spans="1:12" s="27" customFormat="1" ht="17.25" customHeight="1">
      <c r="A1184" s="693" t="s">
        <v>77</v>
      </c>
      <c r="B1184" s="843" t="s">
        <v>432</v>
      </c>
      <c r="C1184" s="696" t="e">
        <f>VLOOKUP(B1182,'CNKT '!$D$99:$AA$106,3,0)</f>
        <v>#REF!</v>
      </c>
      <c r="D1184" s="697">
        <v>25000</v>
      </c>
      <c r="E1184" s="695" t="e">
        <f t="shared" ref="E1184:E1189" si="137">C1184*D1184</f>
        <v>#REF!</v>
      </c>
      <c r="F1184" s="750"/>
      <c r="G1184" s="693" t="s">
        <v>77</v>
      </c>
      <c r="H1184" s="843" t="s">
        <v>432</v>
      </c>
      <c r="I1184" s="696" t="e">
        <f>VLOOKUP(H1182,'CNKT '!$D$99:$AA$106,3,0)</f>
        <v>#REF!</v>
      </c>
      <c r="J1184" s="697">
        <v>25000</v>
      </c>
      <c r="K1184" s="695" t="e">
        <f t="shared" ref="K1184:K1189" si="138">I1184*J1184</f>
        <v>#REF!</v>
      </c>
      <c r="L1184" s="690"/>
    </row>
    <row r="1185" spans="1:12" s="27" customFormat="1" ht="17.25" customHeight="1">
      <c r="A1185" s="693" t="s">
        <v>307</v>
      </c>
      <c r="B1185" s="844" t="s">
        <v>528</v>
      </c>
      <c r="C1185" s="747" t="e">
        <f>VLOOKUP(B1182,'CNKT '!$D$99:$AA$106,11,0)</f>
        <v>#REF!</v>
      </c>
      <c r="D1185" s="698">
        <f>46.1*$B$2</f>
        <v>30833.524000000001</v>
      </c>
      <c r="E1185" s="695" t="e">
        <f t="shared" si="137"/>
        <v>#REF!</v>
      </c>
      <c r="F1185" s="750"/>
      <c r="G1185" s="693" t="s">
        <v>307</v>
      </c>
      <c r="H1185" s="844" t="s">
        <v>528</v>
      </c>
      <c r="I1185" s="747" t="e">
        <f>VLOOKUP(H1182,'CNKT '!$D$99:$AA$106,11,0)</f>
        <v>#REF!</v>
      </c>
      <c r="J1185" s="698">
        <f>46.1*$B$2</f>
        <v>30833.524000000001</v>
      </c>
      <c r="K1185" s="695" t="e">
        <f t="shared" si="138"/>
        <v>#REF!</v>
      </c>
      <c r="L1185" s="690"/>
    </row>
    <row r="1186" spans="1:12" s="27" customFormat="1" ht="17.25" customHeight="1">
      <c r="A1186" s="693" t="s">
        <v>399</v>
      </c>
      <c r="B1186" s="844" t="s">
        <v>529</v>
      </c>
      <c r="C1186" s="747" t="e">
        <f>VLOOKUP(B1182,'CNKT '!$D$99:$AA$106,12,0)</f>
        <v>#REF!</v>
      </c>
      <c r="D1186" s="697">
        <f>76.9*$B$2</f>
        <v>51433.796000000009</v>
      </c>
      <c r="E1186" s="695" t="e">
        <f t="shared" si="137"/>
        <v>#REF!</v>
      </c>
      <c r="F1186" s="750"/>
      <c r="G1186" s="693" t="s">
        <v>399</v>
      </c>
      <c r="H1186" s="844" t="s">
        <v>529</v>
      </c>
      <c r="I1186" s="747" t="e">
        <f>VLOOKUP(H1182,'CNKT '!$D$99:$AA$106,12,0)</f>
        <v>#REF!</v>
      </c>
      <c r="J1186" s="697">
        <f>76.9*$B$2</f>
        <v>51433.796000000009</v>
      </c>
      <c r="K1186" s="695" t="e">
        <f t="shared" si="138"/>
        <v>#REF!</v>
      </c>
      <c r="L1186" s="690"/>
    </row>
    <row r="1187" spans="1:12" s="27" customFormat="1" ht="17.25" customHeight="1">
      <c r="A1187" s="693" t="s">
        <v>78</v>
      </c>
      <c r="B1187" s="844" t="s">
        <v>530</v>
      </c>
      <c r="C1187" s="747" t="e">
        <f>VLOOKUP(B1182,'CNKT '!$D$99:$AA$106,8,0)</f>
        <v>#REF!</v>
      </c>
      <c r="D1187" s="697" t="e">
        <f>IF(C1183="A",6.1,IF(C1183="B",5.8,IF(C1183="C",5.5,IF(C1183="C.",5.5,IF(C1183="D",5.2)))))*$B$2</f>
        <v>#REF!</v>
      </c>
      <c r="E1187" s="695" t="e">
        <f t="shared" si="137"/>
        <v>#REF!</v>
      </c>
      <c r="F1187" s="750"/>
      <c r="G1187" s="693" t="s">
        <v>78</v>
      </c>
      <c r="H1187" s="844" t="s">
        <v>530</v>
      </c>
      <c r="I1187" s="747" t="e">
        <f>VLOOKUP(H1182,'CNKT '!$D$99:$AA$106,8,0)</f>
        <v>#REF!</v>
      </c>
      <c r="J1187" s="697" t="e">
        <f>IF(I1183="A",6.1,IF(I1183="B",5.8,IF(I1183="C",5.5,IF(I1183="C.",5.5,IF(I1183="D",5.2)))))*$B$2</f>
        <v>#REF!</v>
      </c>
      <c r="K1187" s="695" t="e">
        <f t="shared" si="138"/>
        <v>#REF!</v>
      </c>
      <c r="L1187" s="690"/>
    </row>
    <row r="1188" spans="1:12" s="27" customFormat="1" ht="17.25" customHeight="1">
      <c r="A1188" s="693" t="s">
        <v>491</v>
      </c>
      <c r="B1188" s="844" t="s">
        <v>531</v>
      </c>
      <c r="C1188" s="747" t="e">
        <f>VLOOKUP(B1182,'CNKT '!$D$99:$AA$106,15,0)</f>
        <v>#REF!</v>
      </c>
      <c r="D1188" s="698">
        <f>92.2*$B$2</f>
        <v>61667.048000000003</v>
      </c>
      <c r="E1188" s="695" t="e">
        <f t="shared" si="137"/>
        <v>#REF!</v>
      </c>
      <c r="F1188" s="750"/>
      <c r="G1188" s="693" t="s">
        <v>491</v>
      </c>
      <c r="H1188" s="844" t="s">
        <v>531</v>
      </c>
      <c r="I1188" s="747" t="e">
        <f>VLOOKUP(H1182,'CNKT '!$D$99:$AA$106,15,0)</f>
        <v>#REF!</v>
      </c>
      <c r="J1188" s="698">
        <f>92.2*$B$2</f>
        <v>61667.048000000003</v>
      </c>
      <c r="K1188" s="695" t="e">
        <f t="shared" si="138"/>
        <v>#REF!</v>
      </c>
      <c r="L1188" s="690"/>
    </row>
    <row r="1189" spans="1:12" s="27" customFormat="1" ht="17.25" customHeight="1">
      <c r="A1189" s="693" t="s">
        <v>492</v>
      </c>
      <c r="B1189" s="844" t="s">
        <v>496</v>
      </c>
      <c r="C1189" s="747" t="e">
        <f>VLOOKUP(B1182,'CNKT '!$D$99:$AA$106,16,0)</f>
        <v>#REF!</v>
      </c>
      <c r="D1189" s="697">
        <f>153.8*$B$2</f>
        <v>102867.59200000002</v>
      </c>
      <c r="E1189" s="695" t="e">
        <f t="shared" si="137"/>
        <v>#REF!</v>
      </c>
      <c r="F1189" s="750"/>
      <c r="G1189" s="693" t="s">
        <v>492</v>
      </c>
      <c r="H1189" s="844" t="s">
        <v>496</v>
      </c>
      <c r="I1189" s="747" t="e">
        <f>VLOOKUP(H1182,'CNKT '!$D$99:$AA$106,16,0)</f>
        <v>#REF!</v>
      </c>
      <c r="J1189" s="697">
        <f>153.8*$B$2</f>
        <v>102867.59200000002</v>
      </c>
      <c r="K1189" s="695" t="e">
        <f t="shared" si="138"/>
        <v>#REF!</v>
      </c>
      <c r="L1189" s="690"/>
    </row>
    <row r="1190" spans="1:12" s="27" customFormat="1" ht="17.25" customHeight="1">
      <c r="A1190" s="693" t="s">
        <v>453</v>
      </c>
      <c r="B1190" s="844" t="s">
        <v>497</v>
      </c>
      <c r="C1190" s="747" t="e">
        <f>VLOOKUP(B1182,'CNKT '!$D$99:$AA$112,18,0)</f>
        <v>#REF!</v>
      </c>
      <c r="D1190" s="697">
        <v>10000</v>
      </c>
      <c r="E1190" s="695" t="e">
        <f>C1190*D1190</f>
        <v>#REF!</v>
      </c>
      <c r="F1190" s="750"/>
      <c r="G1190" s="693" t="s">
        <v>453</v>
      </c>
      <c r="H1190" s="844" t="s">
        <v>497</v>
      </c>
      <c r="I1190" s="747" t="e">
        <f>VLOOKUP(H1182,'CNKT '!$D$99:$AA$112,18,0)</f>
        <v>#REF!</v>
      </c>
      <c r="J1190" s="697">
        <v>10000</v>
      </c>
      <c r="K1190" s="695" t="e">
        <f>I1190*J1190</f>
        <v>#REF!</v>
      </c>
      <c r="L1190" s="690"/>
    </row>
    <row r="1191" spans="1:12" s="27" customFormat="1" ht="17.25" customHeight="1">
      <c r="A1191" s="693" t="s">
        <v>453</v>
      </c>
      <c r="B1191" s="844" t="s">
        <v>497</v>
      </c>
      <c r="C1191" s="747" t="e">
        <f>VLOOKUP(B1182,'CNKT '!$D$99:$AA$112,19,0)</f>
        <v>#REF!</v>
      </c>
      <c r="D1191" s="697">
        <v>20000</v>
      </c>
      <c r="E1191" s="695" t="e">
        <f>C1191*D1191</f>
        <v>#REF!</v>
      </c>
      <c r="F1191" s="750"/>
      <c r="G1191" s="693" t="s">
        <v>453</v>
      </c>
      <c r="H1191" s="844" t="s">
        <v>497</v>
      </c>
      <c r="I1191" s="747" t="e">
        <f>VLOOKUP(H1182,'CNKT '!$D$99:$AA$112,19,0)</f>
        <v>#REF!</v>
      </c>
      <c r="J1191" s="697">
        <v>20000</v>
      </c>
      <c r="K1191" s="695" t="e">
        <f>I1191*J1191</f>
        <v>#REF!</v>
      </c>
      <c r="L1191" s="690"/>
    </row>
    <row r="1192" spans="1:12" s="27" customFormat="1" ht="17.25" customHeight="1">
      <c r="A1192" s="693" t="s">
        <v>512</v>
      </c>
      <c r="B1192" s="844" t="s">
        <v>513</v>
      </c>
      <c r="C1192" s="747"/>
      <c r="D1192" s="697"/>
      <c r="E1192" s="695"/>
      <c r="F1192" s="750"/>
      <c r="G1192" s="693" t="s">
        <v>512</v>
      </c>
      <c r="H1192" s="844" t="s">
        <v>513</v>
      </c>
      <c r="I1192" s="747"/>
      <c r="J1192" s="697"/>
      <c r="K1192" s="695"/>
      <c r="L1192" s="690"/>
    </row>
    <row r="1193" spans="1:12" s="27" customFormat="1" ht="17.25" customHeight="1">
      <c r="A1193" s="699" t="s">
        <v>79</v>
      </c>
      <c r="B1193" s="845" t="s">
        <v>532</v>
      </c>
      <c r="C1193" s="700"/>
      <c r="D1193" s="701"/>
      <c r="E1193" s="700"/>
      <c r="F1193" s="750"/>
      <c r="G1193" s="699" t="s">
        <v>79</v>
      </c>
      <c r="H1193" s="845" t="s">
        <v>532</v>
      </c>
      <c r="I1193" s="700"/>
      <c r="J1193" s="701"/>
      <c r="K1193" s="700"/>
      <c r="L1193" s="690"/>
    </row>
    <row r="1194" spans="1:12" s="27" customFormat="1" ht="17.25" customHeight="1">
      <c r="A1194" s="702" t="s">
        <v>80</v>
      </c>
      <c r="B1194" s="846" t="s">
        <v>533</v>
      </c>
      <c r="C1194" s="700"/>
      <c r="D1194" s="700"/>
      <c r="E1194" s="700"/>
      <c r="F1194" s="750"/>
      <c r="G1194" s="702" t="s">
        <v>80</v>
      </c>
      <c r="H1194" s="846" t="s">
        <v>533</v>
      </c>
      <c r="I1194" s="700"/>
      <c r="J1194" s="700"/>
      <c r="K1194" s="700"/>
      <c r="L1194" s="690"/>
    </row>
    <row r="1195" spans="1:12" s="27" customFormat="1" ht="17.25" customHeight="1">
      <c r="A1195" s="702" t="s">
        <v>81</v>
      </c>
      <c r="B1195" s="847" t="s">
        <v>534</v>
      </c>
      <c r="C1195" s="700"/>
      <c r="D1195" s="700"/>
      <c r="E1195" s="695">
        <f>SUM(E1194)</f>
        <v>0</v>
      </c>
      <c r="F1195" s="750"/>
      <c r="G1195" s="702" t="s">
        <v>81</v>
      </c>
      <c r="H1195" s="847" t="s">
        <v>534</v>
      </c>
      <c r="I1195" s="700"/>
      <c r="J1195" s="700"/>
      <c r="K1195" s="695">
        <f>SUM(K1194)</f>
        <v>0</v>
      </c>
      <c r="L1195" s="690"/>
    </row>
    <row r="1196" spans="1:12" s="27" customFormat="1" ht="17.25" customHeight="1">
      <c r="A1196" s="704" t="s">
        <v>82</v>
      </c>
      <c r="B1196" s="848" t="s">
        <v>438</v>
      </c>
      <c r="C1196" s="705"/>
      <c r="D1196" s="705"/>
      <c r="E1196" s="705" t="e">
        <f>(E1184+E1185+E1186+E1187+E1188+E1189+E1190+E1191+E1192)-E1195</f>
        <v>#REF!</v>
      </c>
      <c r="F1196" s="750"/>
      <c r="G1196" s="704" t="s">
        <v>82</v>
      </c>
      <c r="H1196" s="848" t="s">
        <v>438</v>
      </c>
      <c r="I1196" s="705"/>
      <c r="J1196" s="705"/>
      <c r="K1196" s="705" t="e">
        <f>(K1184+K1185+K1186+K1187+K1188+K1189+K1190+K1191+K1192)-K1195</f>
        <v>#REF!</v>
      </c>
      <c r="L1196" s="707" t="e">
        <f>E1196+K1196</f>
        <v>#REF!</v>
      </c>
    </row>
    <row r="1197" spans="1:12" s="27" customFormat="1" ht="69" customHeight="1">
      <c r="A1197" s="1568"/>
      <c r="B1197" s="1568"/>
      <c r="C1197" s="1568"/>
      <c r="D1197" s="1568"/>
      <c r="E1197" s="1568"/>
      <c r="F1197" s="742"/>
      <c r="G1197" s="1568"/>
      <c r="H1197" s="1568"/>
      <c r="I1197" s="1568"/>
      <c r="J1197" s="1568"/>
      <c r="K1197" s="743"/>
      <c r="L1197" s="690"/>
    </row>
    <row r="1198" spans="1:12" s="27" customFormat="1" ht="17.25" customHeight="1">
      <c r="A1198" s="763" t="str">
        <f>A1181</f>
        <v>LƯƠNG THÁNG 01/2025</v>
      </c>
      <c r="B1198" s="763"/>
      <c r="C1198" s="763"/>
      <c r="D1198" s="763"/>
      <c r="E1198" s="763" t="e">
        <f>VLOOKUP(B1199,'CNKT '!$D$99:$AD$112,26,0)</f>
        <v>#REF!</v>
      </c>
      <c r="F1198" s="742"/>
      <c r="G1198" s="763" t="str">
        <f>A1198</f>
        <v>LƯƠNG THÁNG 01/2025</v>
      </c>
      <c r="H1198" s="763"/>
      <c r="I1198" s="763"/>
      <c r="J1198" s="763"/>
      <c r="K1198" s="763" t="e">
        <f>VLOOKUP(H1199,'CNKT '!$D$99:$AD$112,26,0)</f>
        <v>#REF!</v>
      </c>
      <c r="L1198" s="690"/>
    </row>
    <row r="1199" spans="1:12" s="27" customFormat="1" ht="17.25" customHeight="1">
      <c r="A1199" s="709" t="s">
        <v>15</v>
      </c>
      <c r="B1199" s="840" t="e">
        <f>'CNKT '!#REF!</f>
        <v>#REF!</v>
      </c>
      <c r="C1199" s="694"/>
      <c r="D1199" s="840" t="s">
        <v>396</v>
      </c>
      <c r="E1199" s="840" t="s">
        <v>18</v>
      </c>
      <c r="F1199" s="750"/>
      <c r="G1199" s="709" t="s">
        <v>15</v>
      </c>
      <c r="H1199" s="840" t="e">
        <f>'CNKT '!#REF!</f>
        <v>#REF!</v>
      </c>
      <c r="I1199" s="694"/>
      <c r="J1199" s="840" t="s">
        <v>396</v>
      </c>
      <c r="K1199" s="840" t="s">
        <v>18</v>
      </c>
      <c r="L1199" s="690"/>
    </row>
    <row r="1200" spans="1:12" s="27" customFormat="1" ht="17.25" customHeight="1">
      <c r="A1200" s="693" t="s">
        <v>397</v>
      </c>
      <c r="B1200" s="842" t="s">
        <v>527</v>
      </c>
      <c r="C1200" s="694" t="e">
        <f>VLOOKUP(B1199,'BTH mủ tạp'!#REF!,36,0)</f>
        <v>#REF!</v>
      </c>
      <c r="D1200" s="695"/>
      <c r="E1200" s="695"/>
      <c r="F1200" s="750"/>
      <c r="G1200" s="693" t="s">
        <v>397</v>
      </c>
      <c r="H1200" s="842" t="s">
        <v>527</v>
      </c>
      <c r="I1200" s="694" t="e">
        <f>VLOOKUP(H1199,'BTH mủ tạp'!#REF!,36,0)</f>
        <v>#REF!</v>
      </c>
      <c r="J1200" s="695"/>
      <c r="K1200" s="695"/>
      <c r="L1200" s="690"/>
    </row>
    <row r="1201" spans="1:12" s="27" customFormat="1" ht="17.25" customHeight="1">
      <c r="A1201" s="693" t="s">
        <v>77</v>
      </c>
      <c r="B1201" s="843" t="s">
        <v>432</v>
      </c>
      <c r="C1201" s="696" t="e">
        <f>VLOOKUP(B1199,'CNKT '!$D$99:$AA$106,3,0)</f>
        <v>#REF!</v>
      </c>
      <c r="D1201" s="697">
        <v>25000</v>
      </c>
      <c r="E1201" s="695" t="e">
        <f t="shared" ref="E1201:E1206" si="139">C1201*D1201</f>
        <v>#REF!</v>
      </c>
      <c r="F1201" s="750"/>
      <c r="G1201" s="693" t="s">
        <v>77</v>
      </c>
      <c r="H1201" s="843" t="s">
        <v>432</v>
      </c>
      <c r="I1201" s="696" t="e">
        <f>VLOOKUP(H1199,'CNKT '!$D$99:$AA$106,3,0)</f>
        <v>#REF!</v>
      </c>
      <c r="J1201" s="697">
        <v>25000</v>
      </c>
      <c r="K1201" s="695" t="e">
        <f t="shared" ref="K1201:K1206" si="140">I1201*J1201</f>
        <v>#REF!</v>
      </c>
      <c r="L1201" s="690"/>
    </row>
    <row r="1202" spans="1:12" s="27" customFormat="1" ht="17.25" customHeight="1">
      <c r="A1202" s="693" t="s">
        <v>307</v>
      </c>
      <c r="B1202" s="844" t="s">
        <v>528</v>
      </c>
      <c r="C1202" s="747" t="e">
        <f>VLOOKUP(B1199,'CNKT '!$D$99:$AA$106,11,0)</f>
        <v>#REF!</v>
      </c>
      <c r="D1202" s="698">
        <f>46.1*$B$2</f>
        <v>30833.524000000001</v>
      </c>
      <c r="E1202" s="695" t="e">
        <f t="shared" si="139"/>
        <v>#REF!</v>
      </c>
      <c r="F1202" s="750"/>
      <c r="G1202" s="693" t="s">
        <v>307</v>
      </c>
      <c r="H1202" s="844" t="s">
        <v>528</v>
      </c>
      <c r="I1202" s="747" t="e">
        <f>VLOOKUP(H1199,'CNKT '!$D$99:$AA$106,11,0)</f>
        <v>#REF!</v>
      </c>
      <c r="J1202" s="698">
        <f>46.1*$B$2</f>
        <v>30833.524000000001</v>
      </c>
      <c r="K1202" s="695" t="e">
        <f t="shared" si="140"/>
        <v>#REF!</v>
      </c>
      <c r="L1202" s="690"/>
    </row>
    <row r="1203" spans="1:12" s="27" customFormat="1" ht="17.25" customHeight="1">
      <c r="A1203" s="693" t="s">
        <v>399</v>
      </c>
      <c r="B1203" s="844" t="s">
        <v>529</v>
      </c>
      <c r="C1203" s="747" t="e">
        <f>VLOOKUP(B1199,'CNKT '!$D$99:$AA$106,12,0)</f>
        <v>#REF!</v>
      </c>
      <c r="D1203" s="697">
        <f>76.9*$B$2</f>
        <v>51433.796000000009</v>
      </c>
      <c r="E1203" s="695" t="e">
        <f t="shared" si="139"/>
        <v>#REF!</v>
      </c>
      <c r="F1203" s="750"/>
      <c r="G1203" s="693" t="s">
        <v>399</v>
      </c>
      <c r="H1203" s="844" t="s">
        <v>529</v>
      </c>
      <c r="I1203" s="747" t="e">
        <f>VLOOKUP(H1199,'CNKT '!$D$99:$AA$106,12,0)</f>
        <v>#REF!</v>
      </c>
      <c r="J1203" s="697">
        <f>76.9*$B$2</f>
        <v>51433.796000000009</v>
      </c>
      <c r="K1203" s="695" t="e">
        <f t="shared" si="140"/>
        <v>#REF!</v>
      </c>
      <c r="L1203" s="690"/>
    </row>
    <row r="1204" spans="1:12" s="27" customFormat="1" ht="17.25" customHeight="1">
      <c r="A1204" s="693" t="s">
        <v>78</v>
      </c>
      <c r="B1204" s="844" t="s">
        <v>530</v>
      </c>
      <c r="C1204" s="747" t="e">
        <f>VLOOKUP(B1199,'CNKT '!$D$99:$AA$106,8,0)</f>
        <v>#REF!</v>
      </c>
      <c r="D1204" s="697" t="e">
        <f>IF(C1200="A",6.1,IF(C1200="B",5.8,IF(C1200="C",5.5,IF(C1200="C.",5.5,IF(C1200="D",5.2)))))*$B$2</f>
        <v>#REF!</v>
      </c>
      <c r="E1204" s="695" t="e">
        <f t="shared" si="139"/>
        <v>#REF!</v>
      </c>
      <c r="F1204" s="750"/>
      <c r="G1204" s="693" t="s">
        <v>78</v>
      </c>
      <c r="H1204" s="844" t="s">
        <v>530</v>
      </c>
      <c r="I1204" s="747" t="e">
        <f>VLOOKUP(H1199,'CNKT '!$D$99:$AA$106,8,0)</f>
        <v>#REF!</v>
      </c>
      <c r="J1204" s="697" t="e">
        <f>IF(I1200="A",6.1,IF(I1200="B",5.8,IF(I1200="C",5.5,IF(I1200="C.",5.5,IF(I1200="D",5.2)))))*$B$2</f>
        <v>#REF!</v>
      </c>
      <c r="K1204" s="695" t="e">
        <f t="shared" si="140"/>
        <v>#REF!</v>
      </c>
      <c r="L1204" s="690"/>
    </row>
    <row r="1205" spans="1:12" s="27" customFormat="1" ht="17.25" customHeight="1">
      <c r="A1205" s="693" t="s">
        <v>491</v>
      </c>
      <c r="B1205" s="844" t="s">
        <v>531</v>
      </c>
      <c r="C1205" s="747" t="e">
        <f>VLOOKUP(B1199,'CNKT '!$D$99:$AA$106,15,0)</f>
        <v>#REF!</v>
      </c>
      <c r="D1205" s="698">
        <f>92.2*$B$2</f>
        <v>61667.048000000003</v>
      </c>
      <c r="E1205" s="695" t="e">
        <f t="shared" si="139"/>
        <v>#REF!</v>
      </c>
      <c r="F1205" s="750"/>
      <c r="G1205" s="693" t="s">
        <v>491</v>
      </c>
      <c r="H1205" s="844" t="s">
        <v>531</v>
      </c>
      <c r="I1205" s="747" t="e">
        <f>VLOOKUP(H1199,'CNKT '!$D$99:$AA$106,15,0)</f>
        <v>#REF!</v>
      </c>
      <c r="J1205" s="698">
        <f>92.2*$B$2</f>
        <v>61667.048000000003</v>
      </c>
      <c r="K1205" s="695" t="e">
        <f t="shared" si="140"/>
        <v>#REF!</v>
      </c>
      <c r="L1205" s="690"/>
    </row>
    <row r="1206" spans="1:12" s="27" customFormat="1" ht="17.25" customHeight="1">
      <c r="A1206" s="693" t="s">
        <v>492</v>
      </c>
      <c r="B1206" s="844" t="s">
        <v>496</v>
      </c>
      <c r="C1206" s="747" t="e">
        <f>VLOOKUP(B1199,'CNKT '!$D$99:$AA$106,16,0)</f>
        <v>#REF!</v>
      </c>
      <c r="D1206" s="697">
        <f>153.8*$B$2</f>
        <v>102867.59200000002</v>
      </c>
      <c r="E1206" s="695" t="e">
        <f t="shared" si="139"/>
        <v>#REF!</v>
      </c>
      <c r="F1206" s="750"/>
      <c r="G1206" s="693" t="s">
        <v>492</v>
      </c>
      <c r="H1206" s="844" t="s">
        <v>496</v>
      </c>
      <c r="I1206" s="747" t="e">
        <f>VLOOKUP(H1199,'CNKT '!$D$99:$AA$106,16,0)</f>
        <v>#REF!</v>
      </c>
      <c r="J1206" s="697">
        <f>153.8*$B$2</f>
        <v>102867.59200000002</v>
      </c>
      <c r="K1206" s="695" t="e">
        <f t="shared" si="140"/>
        <v>#REF!</v>
      </c>
      <c r="L1206" s="690"/>
    </row>
    <row r="1207" spans="1:12" s="27" customFormat="1" ht="17.25" customHeight="1">
      <c r="A1207" s="693" t="s">
        <v>453</v>
      </c>
      <c r="B1207" s="844" t="s">
        <v>497</v>
      </c>
      <c r="C1207" s="747" t="e">
        <f>VLOOKUP(B1199,'CNKT '!$D$99:$AA$112,18,0)</f>
        <v>#REF!</v>
      </c>
      <c r="D1207" s="697">
        <v>10000</v>
      </c>
      <c r="E1207" s="695" t="e">
        <f>C1207*D1207</f>
        <v>#REF!</v>
      </c>
      <c r="F1207" s="750"/>
      <c r="G1207" s="693" t="s">
        <v>453</v>
      </c>
      <c r="H1207" s="844" t="s">
        <v>497</v>
      </c>
      <c r="I1207" s="747" t="e">
        <f>VLOOKUP(H1199,'CNKT '!$D$99:$AA$112,18,0)</f>
        <v>#REF!</v>
      </c>
      <c r="J1207" s="697">
        <v>10000</v>
      </c>
      <c r="K1207" s="695" t="e">
        <f>I1207*J1207</f>
        <v>#REF!</v>
      </c>
      <c r="L1207" s="690"/>
    </row>
    <row r="1208" spans="1:12" s="27" customFormat="1" ht="17.25" customHeight="1">
      <c r="A1208" s="693" t="s">
        <v>453</v>
      </c>
      <c r="B1208" s="844" t="s">
        <v>497</v>
      </c>
      <c r="C1208" s="747" t="e">
        <f>VLOOKUP(B1199,'CNKT '!$D$99:$AA$112,19,0)</f>
        <v>#REF!</v>
      </c>
      <c r="D1208" s="697">
        <v>20000</v>
      </c>
      <c r="E1208" s="695" t="e">
        <f>C1208*D1208</f>
        <v>#REF!</v>
      </c>
      <c r="F1208" s="750"/>
      <c r="G1208" s="693" t="s">
        <v>453</v>
      </c>
      <c r="H1208" s="844" t="s">
        <v>497</v>
      </c>
      <c r="I1208" s="747" t="e">
        <f>VLOOKUP(H1199,'CNKT '!$D$99:$AA$112,19,0)</f>
        <v>#REF!</v>
      </c>
      <c r="J1208" s="697">
        <v>20000</v>
      </c>
      <c r="K1208" s="695" t="e">
        <f>I1208*J1208</f>
        <v>#REF!</v>
      </c>
      <c r="L1208" s="690"/>
    </row>
    <row r="1209" spans="1:12" s="27" customFormat="1" ht="17.25" customHeight="1">
      <c r="A1209" s="693" t="s">
        <v>512</v>
      </c>
      <c r="B1209" s="844" t="s">
        <v>513</v>
      </c>
      <c r="C1209" s="747"/>
      <c r="D1209" s="697"/>
      <c r="E1209" s="695"/>
      <c r="F1209" s="750"/>
      <c r="G1209" s="693" t="s">
        <v>512</v>
      </c>
      <c r="H1209" s="844" t="s">
        <v>513</v>
      </c>
      <c r="I1209" s="747"/>
      <c r="J1209" s="697"/>
      <c r="K1209" s="695"/>
      <c r="L1209" s="690"/>
    </row>
    <row r="1210" spans="1:12" s="27" customFormat="1" ht="17.25" customHeight="1">
      <c r="A1210" s="699" t="s">
        <v>79</v>
      </c>
      <c r="B1210" s="845" t="s">
        <v>532</v>
      </c>
      <c r="C1210" s="700"/>
      <c r="D1210" s="701"/>
      <c r="E1210" s="700"/>
      <c r="F1210" s="750"/>
      <c r="G1210" s="699" t="s">
        <v>79</v>
      </c>
      <c r="H1210" s="845" t="s">
        <v>532</v>
      </c>
      <c r="I1210" s="700"/>
      <c r="J1210" s="701"/>
      <c r="K1210" s="700"/>
      <c r="L1210" s="690"/>
    </row>
    <row r="1211" spans="1:12" s="27" customFormat="1" ht="17.25" customHeight="1">
      <c r="A1211" s="702" t="s">
        <v>80</v>
      </c>
      <c r="B1211" s="846" t="s">
        <v>533</v>
      </c>
      <c r="C1211" s="700"/>
      <c r="D1211" s="700"/>
      <c r="E1211" s="700"/>
      <c r="F1211" s="750"/>
      <c r="G1211" s="702" t="s">
        <v>80</v>
      </c>
      <c r="H1211" s="846" t="s">
        <v>533</v>
      </c>
      <c r="I1211" s="700"/>
      <c r="J1211" s="700"/>
      <c r="K1211" s="700"/>
      <c r="L1211" s="690"/>
    </row>
    <row r="1212" spans="1:12" s="27" customFormat="1" ht="17.25" customHeight="1">
      <c r="A1212" s="702" t="s">
        <v>81</v>
      </c>
      <c r="B1212" s="847" t="s">
        <v>534</v>
      </c>
      <c r="C1212" s="700"/>
      <c r="D1212" s="700"/>
      <c r="E1212" s="695">
        <f>SUM(E1211)</f>
        <v>0</v>
      </c>
      <c r="F1212" s="750"/>
      <c r="G1212" s="702" t="s">
        <v>81</v>
      </c>
      <c r="H1212" s="847" t="s">
        <v>534</v>
      </c>
      <c r="I1212" s="700"/>
      <c r="J1212" s="700"/>
      <c r="K1212" s="695">
        <f>SUM(K1211)</f>
        <v>0</v>
      </c>
      <c r="L1212" s="690"/>
    </row>
    <row r="1213" spans="1:12" s="27" customFormat="1" ht="17.25" customHeight="1">
      <c r="A1213" s="704" t="s">
        <v>82</v>
      </c>
      <c r="B1213" s="848" t="s">
        <v>438</v>
      </c>
      <c r="C1213" s="705"/>
      <c r="D1213" s="705"/>
      <c r="E1213" s="705" t="e">
        <f>(E1201+E1202+E1203+E1204+E1205+E1206+E1207+E1208+E1209)-E1212</f>
        <v>#REF!</v>
      </c>
      <c r="F1213" s="750"/>
      <c r="G1213" s="704" t="s">
        <v>82</v>
      </c>
      <c r="H1213" s="848" t="s">
        <v>438</v>
      </c>
      <c r="I1213" s="705"/>
      <c r="J1213" s="705"/>
      <c r="K1213" s="705" t="e">
        <f>(K1201+K1202+K1203+K1204+K1205+K1206+K1207+K1208+K1209)-K1212</f>
        <v>#REF!</v>
      </c>
      <c r="L1213" s="707" t="e">
        <f>E1213+K1213</f>
        <v>#REF!</v>
      </c>
    </row>
    <row r="1214" spans="1:12" s="27" customFormat="1" ht="17.25" customHeight="1">
      <c r="A1214" s="1568"/>
      <c r="B1214" s="1568"/>
      <c r="C1214" s="1568"/>
      <c r="D1214" s="1568"/>
      <c r="E1214" s="1568"/>
      <c r="F1214" s="742"/>
      <c r="G1214" s="1568"/>
      <c r="H1214" s="1568"/>
      <c r="I1214" s="1568"/>
      <c r="J1214" s="1568"/>
      <c r="K1214" s="743"/>
      <c r="L1214" s="690"/>
    </row>
    <row r="1215" spans="1:12" s="27" customFormat="1" ht="17.25" customHeight="1">
      <c r="A1215" s="763" t="str">
        <f>A1198</f>
        <v>LƯƠNG THÁNG 01/2025</v>
      </c>
      <c r="B1215" s="763"/>
      <c r="C1215" s="763"/>
      <c r="D1215" s="763"/>
      <c r="E1215" s="763" t="e">
        <f>VLOOKUP(B1216,'CNKT '!$D$99:$AD$112,26,0)</f>
        <v>#REF!</v>
      </c>
      <c r="F1215" s="742"/>
      <c r="G1215" s="763" t="str">
        <f>A1215</f>
        <v>LƯƠNG THÁNG 01/2025</v>
      </c>
      <c r="H1215" s="763"/>
      <c r="I1215" s="763"/>
      <c r="J1215" s="763"/>
      <c r="K1215" s="763" t="e">
        <f>VLOOKUP(H1216,'CNKT '!$D$99:$AD$112,26,0)</f>
        <v>#REF!</v>
      </c>
      <c r="L1215" s="690"/>
    </row>
    <row r="1216" spans="1:12" s="27" customFormat="1" ht="17.25" customHeight="1">
      <c r="A1216" s="709" t="s">
        <v>15</v>
      </c>
      <c r="B1216" s="840" t="e">
        <f>'CNKT '!#REF!</f>
        <v>#REF!</v>
      </c>
      <c r="C1216" s="694"/>
      <c r="D1216" s="840" t="s">
        <v>396</v>
      </c>
      <c r="E1216" s="840" t="s">
        <v>18</v>
      </c>
      <c r="F1216" s="750"/>
      <c r="G1216" s="709" t="s">
        <v>15</v>
      </c>
      <c r="H1216" s="840" t="e">
        <f>'CNKT '!#REF!</f>
        <v>#REF!</v>
      </c>
      <c r="I1216" s="694"/>
      <c r="J1216" s="840" t="s">
        <v>396</v>
      </c>
      <c r="K1216" s="840" t="s">
        <v>18</v>
      </c>
      <c r="L1216" s="690"/>
    </row>
    <row r="1217" spans="1:12" s="27" customFormat="1" ht="17.25" customHeight="1">
      <c r="A1217" s="693" t="s">
        <v>397</v>
      </c>
      <c r="B1217" s="842" t="s">
        <v>527</v>
      </c>
      <c r="C1217" s="694" t="e">
        <f>VLOOKUP(B1216,'BTH mủ tạp'!#REF!,36,0)</f>
        <v>#REF!</v>
      </c>
      <c r="D1217" s="695"/>
      <c r="E1217" s="695"/>
      <c r="F1217" s="750"/>
      <c r="G1217" s="693" t="s">
        <v>397</v>
      </c>
      <c r="H1217" s="842" t="s">
        <v>527</v>
      </c>
      <c r="I1217" s="694" t="e">
        <f>VLOOKUP(H1216,'BTH mủ tạp'!#REF!,36,0)</f>
        <v>#REF!</v>
      </c>
      <c r="J1217" s="695"/>
      <c r="K1217" s="695"/>
      <c r="L1217" s="690"/>
    </row>
    <row r="1218" spans="1:12" s="27" customFormat="1" ht="17.25" customHeight="1">
      <c r="A1218" s="693" t="s">
        <v>77</v>
      </c>
      <c r="B1218" s="843" t="s">
        <v>432</v>
      </c>
      <c r="C1218" s="696" t="e">
        <f>VLOOKUP(B1216,'CNKT '!$D$99:$AA$106,3,0)</f>
        <v>#REF!</v>
      </c>
      <c r="D1218" s="697">
        <v>25000</v>
      </c>
      <c r="E1218" s="695" t="e">
        <f t="shared" ref="E1218:E1223" si="141">C1218*D1218</f>
        <v>#REF!</v>
      </c>
      <c r="F1218" s="750"/>
      <c r="G1218" s="693" t="s">
        <v>77</v>
      </c>
      <c r="H1218" s="843" t="s">
        <v>432</v>
      </c>
      <c r="I1218" s="696" t="e">
        <f>VLOOKUP(H1216,'CNKT '!$D$99:$AA$106,3,0)</f>
        <v>#REF!</v>
      </c>
      <c r="J1218" s="697">
        <v>25000</v>
      </c>
      <c r="K1218" s="695" t="e">
        <f t="shared" ref="K1218:K1223" si="142">I1218*J1218</f>
        <v>#REF!</v>
      </c>
      <c r="L1218" s="690"/>
    </row>
    <row r="1219" spans="1:12" s="27" customFormat="1" ht="17.25" customHeight="1">
      <c r="A1219" s="693" t="s">
        <v>307</v>
      </c>
      <c r="B1219" s="844" t="s">
        <v>528</v>
      </c>
      <c r="C1219" s="747" t="e">
        <f>VLOOKUP(B1216,'CNKT '!$D$99:$AA$106,11,0)</f>
        <v>#REF!</v>
      </c>
      <c r="D1219" s="698">
        <f>46.1*$B$2</f>
        <v>30833.524000000001</v>
      </c>
      <c r="E1219" s="695" t="e">
        <f t="shared" si="141"/>
        <v>#REF!</v>
      </c>
      <c r="F1219" s="750"/>
      <c r="G1219" s="693" t="s">
        <v>307</v>
      </c>
      <c r="H1219" s="844" t="s">
        <v>528</v>
      </c>
      <c r="I1219" s="747" t="e">
        <f>VLOOKUP(H1216,'CNKT '!$D$99:$AA$106,11,0)</f>
        <v>#REF!</v>
      </c>
      <c r="J1219" s="698">
        <f>46.1*$B$2</f>
        <v>30833.524000000001</v>
      </c>
      <c r="K1219" s="695" t="e">
        <f t="shared" si="142"/>
        <v>#REF!</v>
      </c>
      <c r="L1219" s="690"/>
    </row>
    <row r="1220" spans="1:12" s="27" customFormat="1" ht="17.25" customHeight="1">
      <c r="A1220" s="693" t="s">
        <v>399</v>
      </c>
      <c r="B1220" s="844" t="s">
        <v>529</v>
      </c>
      <c r="C1220" s="747" t="e">
        <f>VLOOKUP(B1216,'CNKT '!$D$99:$AA$106,12,0)</f>
        <v>#REF!</v>
      </c>
      <c r="D1220" s="697">
        <f>76.9*$B$2</f>
        <v>51433.796000000009</v>
      </c>
      <c r="E1220" s="695" t="e">
        <f t="shared" si="141"/>
        <v>#REF!</v>
      </c>
      <c r="F1220" s="750"/>
      <c r="G1220" s="693" t="s">
        <v>399</v>
      </c>
      <c r="H1220" s="844" t="s">
        <v>529</v>
      </c>
      <c r="I1220" s="747" t="e">
        <f>VLOOKUP(H1216,'CNKT '!$D$99:$AA$106,12,0)</f>
        <v>#REF!</v>
      </c>
      <c r="J1220" s="697">
        <f>76.9*$B$2</f>
        <v>51433.796000000009</v>
      </c>
      <c r="K1220" s="695" t="e">
        <f t="shared" si="142"/>
        <v>#REF!</v>
      </c>
      <c r="L1220" s="690"/>
    </row>
    <row r="1221" spans="1:12" s="27" customFormat="1" ht="17.25" customHeight="1">
      <c r="A1221" s="693" t="s">
        <v>78</v>
      </c>
      <c r="B1221" s="844" t="s">
        <v>530</v>
      </c>
      <c r="C1221" s="747" t="e">
        <f>VLOOKUP(B1216,'CNKT '!$D$99:$AA$106,8,0)</f>
        <v>#REF!</v>
      </c>
      <c r="D1221" s="697" t="e">
        <f>IF(C1217="A",6.1,IF(C1217="B",5.8,IF(C1217="C",5.5,IF(C1217="C.",5.5,IF(C1217="D",5.2)))))*$B$2</f>
        <v>#REF!</v>
      </c>
      <c r="E1221" s="695" t="e">
        <f t="shared" si="141"/>
        <v>#REF!</v>
      </c>
      <c r="F1221" s="750"/>
      <c r="G1221" s="693" t="s">
        <v>78</v>
      </c>
      <c r="H1221" s="844" t="s">
        <v>530</v>
      </c>
      <c r="I1221" s="747" t="e">
        <f>VLOOKUP(H1216,'CNKT '!$D$99:$AA$106,8,0)</f>
        <v>#REF!</v>
      </c>
      <c r="J1221" s="697" t="e">
        <f>IF(I1217="A",6.1,IF(I1217="B",5.8,IF(I1217="C",5.5,IF(I1217="C.",5.5,IF(I1217="D",5.2)))))*$B$2</f>
        <v>#REF!</v>
      </c>
      <c r="K1221" s="695" t="e">
        <f t="shared" si="142"/>
        <v>#REF!</v>
      </c>
      <c r="L1221" s="690"/>
    </row>
    <row r="1222" spans="1:12" s="27" customFormat="1" ht="17.25" customHeight="1">
      <c r="A1222" s="693" t="s">
        <v>491</v>
      </c>
      <c r="B1222" s="844" t="s">
        <v>531</v>
      </c>
      <c r="C1222" s="747" t="e">
        <f>VLOOKUP(B1216,'CNKT '!$D$99:$AA$106,15,0)</f>
        <v>#REF!</v>
      </c>
      <c r="D1222" s="698">
        <f>92.2*$B$2</f>
        <v>61667.048000000003</v>
      </c>
      <c r="E1222" s="695" t="e">
        <f t="shared" si="141"/>
        <v>#REF!</v>
      </c>
      <c r="F1222" s="750"/>
      <c r="G1222" s="693" t="s">
        <v>491</v>
      </c>
      <c r="H1222" s="844" t="s">
        <v>531</v>
      </c>
      <c r="I1222" s="747" t="e">
        <f>VLOOKUP(H1216,'CNKT '!$D$99:$AA$106,15,0)</f>
        <v>#REF!</v>
      </c>
      <c r="J1222" s="698">
        <f>92.2*$B$2</f>
        <v>61667.048000000003</v>
      </c>
      <c r="K1222" s="695" t="e">
        <f t="shared" si="142"/>
        <v>#REF!</v>
      </c>
      <c r="L1222" s="690"/>
    </row>
    <row r="1223" spans="1:12" s="27" customFormat="1" ht="17.25" customHeight="1">
      <c r="A1223" s="693" t="s">
        <v>492</v>
      </c>
      <c r="B1223" s="844" t="s">
        <v>496</v>
      </c>
      <c r="C1223" s="747" t="e">
        <f>VLOOKUP(B1216,'CNKT '!$D$99:$AA$106,16,0)</f>
        <v>#REF!</v>
      </c>
      <c r="D1223" s="697">
        <f>153.8*$B$2</f>
        <v>102867.59200000002</v>
      </c>
      <c r="E1223" s="695" t="e">
        <f t="shared" si="141"/>
        <v>#REF!</v>
      </c>
      <c r="F1223" s="750"/>
      <c r="G1223" s="693" t="s">
        <v>492</v>
      </c>
      <c r="H1223" s="844" t="s">
        <v>496</v>
      </c>
      <c r="I1223" s="747" t="e">
        <f>VLOOKUP(H1216,'CNKT '!$D$99:$AA$106,16,0)</f>
        <v>#REF!</v>
      </c>
      <c r="J1223" s="697">
        <f>153.8*$B$2</f>
        <v>102867.59200000002</v>
      </c>
      <c r="K1223" s="695" t="e">
        <f t="shared" si="142"/>
        <v>#REF!</v>
      </c>
      <c r="L1223" s="690"/>
    </row>
    <row r="1224" spans="1:12" s="27" customFormat="1" ht="17.25" customHeight="1">
      <c r="A1224" s="693" t="s">
        <v>453</v>
      </c>
      <c r="B1224" s="844" t="s">
        <v>497</v>
      </c>
      <c r="C1224" s="747" t="e">
        <f>VLOOKUP(B1216,'CNKT '!$D$99:$AA$112,18,0)</f>
        <v>#REF!</v>
      </c>
      <c r="D1224" s="697">
        <v>10000</v>
      </c>
      <c r="E1224" s="695" t="e">
        <f>C1224*D1224</f>
        <v>#REF!</v>
      </c>
      <c r="F1224" s="750"/>
      <c r="G1224" s="693" t="s">
        <v>453</v>
      </c>
      <c r="H1224" s="844" t="s">
        <v>497</v>
      </c>
      <c r="I1224" s="747" t="e">
        <f>VLOOKUP(H1216,'CNKT '!$D$99:$AA$112,18,0)</f>
        <v>#REF!</v>
      </c>
      <c r="J1224" s="697">
        <v>10000</v>
      </c>
      <c r="K1224" s="695" t="e">
        <f>I1224*J1224</f>
        <v>#REF!</v>
      </c>
      <c r="L1224" s="690"/>
    </row>
    <row r="1225" spans="1:12" s="27" customFormat="1" ht="17.25" customHeight="1">
      <c r="A1225" s="693" t="s">
        <v>453</v>
      </c>
      <c r="B1225" s="844" t="s">
        <v>497</v>
      </c>
      <c r="C1225" s="747" t="e">
        <f>VLOOKUP(B1216,'CNKT '!$D$99:$AA$112,19,0)</f>
        <v>#REF!</v>
      </c>
      <c r="D1225" s="697">
        <v>20000</v>
      </c>
      <c r="E1225" s="695" t="e">
        <f>C1225*D1225</f>
        <v>#REF!</v>
      </c>
      <c r="F1225" s="750"/>
      <c r="G1225" s="693" t="s">
        <v>453</v>
      </c>
      <c r="H1225" s="844" t="s">
        <v>497</v>
      </c>
      <c r="I1225" s="747" t="e">
        <f>VLOOKUP(H1216,'CNKT '!$D$99:$AA$112,19,0)</f>
        <v>#REF!</v>
      </c>
      <c r="J1225" s="697">
        <v>20000</v>
      </c>
      <c r="K1225" s="695" t="e">
        <f>I1225*J1225</f>
        <v>#REF!</v>
      </c>
      <c r="L1225" s="690"/>
    </row>
    <row r="1226" spans="1:12" s="27" customFormat="1" ht="17.25" customHeight="1">
      <c r="A1226" s="693" t="s">
        <v>512</v>
      </c>
      <c r="B1226" s="844" t="s">
        <v>513</v>
      </c>
      <c r="C1226" s="747"/>
      <c r="D1226" s="697"/>
      <c r="E1226" s="695"/>
      <c r="F1226" s="750"/>
      <c r="G1226" s="693" t="s">
        <v>512</v>
      </c>
      <c r="H1226" s="844" t="s">
        <v>513</v>
      </c>
      <c r="I1226" s="747"/>
      <c r="J1226" s="697"/>
      <c r="K1226" s="695"/>
      <c r="L1226" s="690"/>
    </row>
    <row r="1227" spans="1:12" s="27" customFormat="1" ht="17.25" customHeight="1">
      <c r="A1227" s="699" t="s">
        <v>79</v>
      </c>
      <c r="B1227" s="845" t="s">
        <v>532</v>
      </c>
      <c r="C1227" s="700"/>
      <c r="D1227" s="701"/>
      <c r="E1227" s="700"/>
      <c r="F1227" s="750"/>
      <c r="G1227" s="699" t="s">
        <v>79</v>
      </c>
      <c r="H1227" s="845" t="s">
        <v>532</v>
      </c>
      <c r="I1227" s="700"/>
      <c r="J1227" s="701"/>
      <c r="K1227" s="700"/>
      <c r="L1227" s="690"/>
    </row>
    <row r="1228" spans="1:12" s="27" customFormat="1" ht="17.25" customHeight="1">
      <c r="A1228" s="702" t="s">
        <v>80</v>
      </c>
      <c r="B1228" s="846" t="s">
        <v>533</v>
      </c>
      <c r="C1228" s="700"/>
      <c r="D1228" s="700"/>
      <c r="E1228" s="700"/>
      <c r="F1228" s="750"/>
      <c r="G1228" s="702" t="s">
        <v>80</v>
      </c>
      <c r="H1228" s="846" t="s">
        <v>533</v>
      </c>
      <c r="I1228" s="700"/>
      <c r="J1228" s="700"/>
      <c r="K1228" s="700"/>
      <c r="L1228" s="690"/>
    </row>
    <row r="1229" spans="1:12" s="27" customFormat="1" ht="17.25" customHeight="1">
      <c r="A1229" s="702" t="s">
        <v>81</v>
      </c>
      <c r="B1229" s="847" t="s">
        <v>534</v>
      </c>
      <c r="C1229" s="700"/>
      <c r="D1229" s="700"/>
      <c r="E1229" s="695">
        <f>SUM(E1228)</f>
        <v>0</v>
      </c>
      <c r="F1229" s="750"/>
      <c r="G1229" s="702" t="s">
        <v>81</v>
      </c>
      <c r="H1229" s="847" t="s">
        <v>534</v>
      </c>
      <c r="I1229" s="700"/>
      <c r="J1229" s="700"/>
      <c r="K1229" s="695">
        <f>SUM(K1228)</f>
        <v>0</v>
      </c>
      <c r="L1229" s="690"/>
    </row>
    <row r="1230" spans="1:12" s="27" customFormat="1" ht="17.25" customHeight="1">
      <c r="A1230" s="704" t="s">
        <v>82</v>
      </c>
      <c r="B1230" s="848" t="s">
        <v>438</v>
      </c>
      <c r="C1230" s="705"/>
      <c r="D1230" s="705"/>
      <c r="E1230" s="705" t="e">
        <f>(E1218+E1219+E1220+E1221+E1222+E1223+E1224+E1225+E1226)-E1229</f>
        <v>#REF!</v>
      </c>
      <c r="F1230" s="750"/>
      <c r="G1230" s="704" t="s">
        <v>82</v>
      </c>
      <c r="H1230" s="848" t="s">
        <v>438</v>
      </c>
      <c r="I1230" s="705"/>
      <c r="J1230" s="705"/>
      <c r="K1230" s="705" t="e">
        <f>(K1218+K1219+K1220+K1221+K1222+K1223+K1224+K1225+K1226)-K1229</f>
        <v>#REF!</v>
      </c>
      <c r="L1230" s="707" t="e">
        <f>E1230+K1230</f>
        <v>#REF!</v>
      </c>
    </row>
    <row r="1231" spans="1:12" s="27" customFormat="1" ht="17.25" customHeight="1">
      <c r="A1231" s="1568"/>
      <c r="B1231" s="1568"/>
      <c r="C1231" s="1568"/>
      <c r="D1231" s="1568"/>
      <c r="E1231" s="1568"/>
      <c r="F1231" s="742"/>
      <c r="G1231" s="1568"/>
      <c r="H1231" s="1568"/>
      <c r="I1231" s="1568"/>
      <c r="J1231" s="1568"/>
      <c r="K1231" s="743"/>
      <c r="L1231" s="690"/>
    </row>
    <row r="1232" spans="1:12" s="27" customFormat="1" ht="17.25" customHeight="1">
      <c r="A1232" s="763" t="str">
        <f>A1215</f>
        <v>LƯƠNG THÁNG 01/2025</v>
      </c>
      <c r="B1232" s="763"/>
      <c r="C1232" s="763"/>
      <c r="D1232" s="763"/>
      <c r="E1232" s="763" t="e">
        <f>VLOOKUP(B1233,'CNKT '!$D$99:$AD$112,26,0)</f>
        <v>#REF!</v>
      </c>
      <c r="F1232" s="742"/>
      <c r="G1232" s="763" t="str">
        <f>A1232</f>
        <v>LƯƠNG THÁNG 01/2025</v>
      </c>
      <c r="H1232" s="763"/>
      <c r="I1232" s="763"/>
      <c r="J1232" s="763"/>
      <c r="K1232" s="763" t="e">
        <f>VLOOKUP(H1233,'CNKT '!$D$99:$AD$112,26,0)</f>
        <v>#REF!</v>
      </c>
      <c r="L1232" s="690"/>
    </row>
    <row r="1233" spans="1:12" s="27" customFormat="1" ht="17.25" customHeight="1">
      <c r="A1233" s="709" t="s">
        <v>15</v>
      </c>
      <c r="B1233" s="840" t="e">
        <f>'CNKT '!#REF!</f>
        <v>#REF!</v>
      </c>
      <c r="C1233" s="694"/>
      <c r="D1233" s="840" t="s">
        <v>396</v>
      </c>
      <c r="E1233" s="840" t="s">
        <v>18</v>
      </c>
      <c r="F1233" s="750"/>
      <c r="G1233" s="709" t="s">
        <v>15</v>
      </c>
      <c r="H1233" s="840" t="e">
        <f>'CNKT '!#REF!</f>
        <v>#REF!</v>
      </c>
      <c r="I1233" s="694"/>
      <c r="J1233" s="840" t="s">
        <v>396</v>
      </c>
      <c r="K1233" s="840" t="s">
        <v>18</v>
      </c>
      <c r="L1233" s="690"/>
    </row>
    <row r="1234" spans="1:12" s="27" customFormat="1" ht="17.25" customHeight="1">
      <c r="A1234" s="693" t="s">
        <v>397</v>
      </c>
      <c r="B1234" s="842" t="s">
        <v>527</v>
      </c>
      <c r="C1234" s="694" t="e">
        <f>VLOOKUP(B1233,'BTH mủ tạp'!#REF!,36,0)</f>
        <v>#REF!</v>
      </c>
      <c r="D1234" s="695"/>
      <c r="E1234" s="695"/>
      <c r="F1234" s="750"/>
      <c r="G1234" s="693" t="s">
        <v>397</v>
      </c>
      <c r="H1234" s="842" t="s">
        <v>527</v>
      </c>
      <c r="I1234" s="694" t="e">
        <f>VLOOKUP(H1233,'BTH mủ tạp'!#REF!,36,0)</f>
        <v>#REF!</v>
      </c>
      <c r="J1234" s="695"/>
      <c r="K1234" s="695"/>
      <c r="L1234" s="690"/>
    </row>
    <row r="1235" spans="1:12" s="27" customFormat="1" ht="17.25" customHeight="1">
      <c r="A1235" s="693" t="s">
        <v>77</v>
      </c>
      <c r="B1235" s="843" t="s">
        <v>432</v>
      </c>
      <c r="C1235" s="696" t="e">
        <f>VLOOKUP(B1233,'CNKT '!$D$99:$AA$106,3,0)</f>
        <v>#REF!</v>
      </c>
      <c r="D1235" s="697">
        <v>25000</v>
      </c>
      <c r="E1235" s="695" t="e">
        <f t="shared" ref="E1235:E1240" si="143">C1235*D1235</f>
        <v>#REF!</v>
      </c>
      <c r="F1235" s="750"/>
      <c r="G1235" s="693" t="s">
        <v>77</v>
      </c>
      <c r="H1235" s="843" t="s">
        <v>432</v>
      </c>
      <c r="I1235" s="696" t="e">
        <f>VLOOKUP(H1233,'CNKT '!$D$99:$AA$106,3,0)</f>
        <v>#REF!</v>
      </c>
      <c r="J1235" s="697">
        <v>25000</v>
      </c>
      <c r="K1235" s="695" t="e">
        <f t="shared" ref="K1235:K1240" si="144">I1235*J1235</f>
        <v>#REF!</v>
      </c>
      <c r="L1235" s="690"/>
    </row>
    <row r="1236" spans="1:12" s="27" customFormat="1" ht="17.25" customHeight="1">
      <c r="A1236" s="693" t="s">
        <v>307</v>
      </c>
      <c r="B1236" s="844" t="s">
        <v>528</v>
      </c>
      <c r="C1236" s="747" t="e">
        <f>VLOOKUP(B1233,'CNKT '!$D$99:$AA$106,11,0)</f>
        <v>#REF!</v>
      </c>
      <c r="D1236" s="698">
        <f>46.1*$B$2</f>
        <v>30833.524000000001</v>
      </c>
      <c r="E1236" s="695" t="e">
        <f t="shared" si="143"/>
        <v>#REF!</v>
      </c>
      <c r="F1236" s="750"/>
      <c r="G1236" s="693" t="s">
        <v>307</v>
      </c>
      <c r="H1236" s="844" t="s">
        <v>528</v>
      </c>
      <c r="I1236" s="747" t="e">
        <f>VLOOKUP(H1233,'CNKT '!$D$99:$AA$106,11,0)</f>
        <v>#REF!</v>
      </c>
      <c r="J1236" s="698">
        <f>46.1*$B$2</f>
        <v>30833.524000000001</v>
      </c>
      <c r="K1236" s="695" t="e">
        <f t="shared" si="144"/>
        <v>#REF!</v>
      </c>
      <c r="L1236" s="690"/>
    </row>
    <row r="1237" spans="1:12" s="27" customFormat="1" ht="17.25" customHeight="1">
      <c r="A1237" s="693" t="s">
        <v>399</v>
      </c>
      <c r="B1237" s="844" t="s">
        <v>529</v>
      </c>
      <c r="C1237" s="747" t="e">
        <f>VLOOKUP(B1233,'CNKT '!$D$99:$AA$106,12,0)</f>
        <v>#REF!</v>
      </c>
      <c r="D1237" s="697">
        <f>76.9*$B$2</f>
        <v>51433.796000000009</v>
      </c>
      <c r="E1237" s="695" t="e">
        <f t="shared" si="143"/>
        <v>#REF!</v>
      </c>
      <c r="F1237" s="750"/>
      <c r="G1237" s="693" t="s">
        <v>399</v>
      </c>
      <c r="H1237" s="844" t="s">
        <v>529</v>
      </c>
      <c r="I1237" s="747" t="e">
        <f>VLOOKUP(H1233,'CNKT '!$D$99:$AA$106,12,0)</f>
        <v>#REF!</v>
      </c>
      <c r="J1237" s="697">
        <f>76.9*$B$2</f>
        <v>51433.796000000009</v>
      </c>
      <c r="K1237" s="695" t="e">
        <f t="shared" si="144"/>
        <v>#REF!</v>
      </c>
      <c r="L1237" s="690"/>
    </row>
    <row r="1238" spans="1:12" s="27" customFormat="1" ht="17.25" customHeight="1">
      <c r="A1238" s="693" t="s">
        <v>78</v>
      </c>
      <c r="B1238" s="844" t="s">
        <v>530</v>
      </c>
      <c r="C1238" s="747" t="e">
        <f>VLOOKUP(B1233,'CNKT '!$D$99:$AA$106,8,0)</f>
        <v>#REF!</v>
      </c>
      <c r="D1238" s="697" t="e">
        <f>IF(C1234="A",6.1,IF(C1234="B",5.8,IF(C1234="C",5.5,IF(C1234="C.",5.5,IF(C1234="D",5.2)))))*$B$2</f>
        <v>#REF!</v>
      </c>
      <c r="E1238" s="695" t="e">
        <f t="shared" si="143"/>
        <v>#REF!</v>
      </c>
      <c r="F1238" s="750"/>
      <c r="G1238" s="693" t="s">
        <v>78</v>
      </c>
      <c r="H1238" s="844" t="s">
        <v>530</v>
      </c>
      <c r="I1238" s="747" t="e">
        <f>VLOOKUP(H1233,'CNKT '!$D$99:$AA$106,8,0)</f>
        <v>#REF!</v>
      </c>
      <c r="J1238" s="697" t="e">
        <f>IF(I1234="A",6.1,IF(I1234="B",5.8,IF(I1234="C",5.5,IF(I1234="C.",5.5,IF(I1234="D",5.2)))))*$B$2</f>
        <v>#REF!</v>
      </c>
      <c r="K1238" s="695" t="e">
        <f t="shared" si="144"/>
        <v>#REF!</v>
      </c>
      <c r="L1238" s="690"/>
    </row>
    <row r="1239" spans="1:12" s="27" customFormat="1" ht="17.25" customHeight="1">
      <c r="A1239" s="693" t="s">
        <v>491</v>
      </c>
      <c r="B1239" s="844" t="s">
        <v>531</v>
      </c>
      <c r="C1239" s="747" t="e">
        <f>VLOOKUP(B1233,'CNKT '!$D$99:$AA$106,15,0)</f>
        <v>#REF!</v>
      </c>
      <c r="D1239" s="698">
        <f>92.2*$B$2</f>
        <v>61667.048000000003</v>
      </c>
      <c r="E1239" s="695" t="e">
        <f t="shared" si="143"/>
        <v>#REF!</v>
      </c>
      <c r="F1239" s="750"/>
      <c r="G1239" s="693" t="s">
        <v>491</v>
      </c>
      <c r="H1239" s="844" t="s">
        <v>531</v>
      </c>
      <c r="I1239" s="747" t="e">
        <f>VLOOKUP(H1233,'CNKT '!$D$99:$AA$106,15,0)</f>
        <v>#REF!</v>
      </c>
      <c r="J1239" s="698">
        <f>92.2*$B$2</f>
        <v>61667.048000000003</v>
      </c>
      <c r="K1239" s="695" t="e">
        <f t="shared" si="144"/>
        <v>#REF!</v>
      </c>
      <c r="L1239" s="690"/>
    </row>
    <row r="1240" spans="1:12" s="27" customFormat="1" ht="17.25" customHeight="1">
      <c r="A1240" s="693" t="s">
        <v>492</v>
      </c>
      <c r="B1240" s="844" t="s">
        <v>496</v>
      </c>
      <c r="C1240" s="747" t="e">
        <f>VLOOKUP(B1233,'CNKT '!$D$99:$AA$106,16,0)</f>
        <v>#REF!</v>
      </c>
      <c r="D1240" s="697">
        <f>153.8*$B$2</f>
        <v>102867.59200000002</v>
      </c>
      <c r="E1240" s="695" t="e">
        <f t="shared" si="143"/>
        <v>#REF!</v>
      </c>
      <c r="F1240" s="750"/>
      <c r="G1240" s="693" t="s">
        <v>492</v>
      </c>
      <c r="H1240" s="844" t="s">
        <v>496</v>
      </c>
      <c r="I1240" s="747" t="e">
        <f>VLOOKUP(H1233,'CNKT '!$D$99:$AA$106,16,0)</f>
        <v>#REF!</v>
      </c>
      <c r="J1240" s="697">
        <f>153.8*$B$2</f>
        <v>102867.59200000002</v>
      </c>
      <c r="K1240" s="695" t="e">
        <f t="shared" si="144"/>
        <v>#REF!</v>
      </c>
      <c r="L1240" s="690"/>
    </row>
    <row r="1241" spans="1:12" s="27" customFormat="1" ht="17.25" customHeight="1">
      <c r="A1241" s="693" t="s">
        <v>453</v>
      </c>
      <c r="B1241" s="844" t="s">
        <v>497</v>
      </c>
      <c r="C1241" s="747" t="e">
        <f>VLOOKUP(B1233,'CNKT '!$D$99:$AA$112,18,0)</f>
        <v>#REF!</v>
      </c>
      <c r="D1241" s="697">
        <v>10000</v>
      </c>
      <c r="E1241" s="695" t="e">
        <f>C1241*D1241</f>
        <v>#REF!</v>
      </c>
      <c r="F1241" s="750"/>
      <c r="G1241" s="693" t="s">
        <v>453</v>
      </c>
      <c r="H1241" s="844" t="s">
        <v>497</v>
      </c>
      <c r="I1241" s="747" t="e">
        <f>VLOOKUP(H1233,'CNKT '!$D$99:$AA$112,18,0)</f>
        <v>#REF!</v>
      </c>
      <c r="J1241" s="697">
        <v>10000</v>
      </c>
      <c r="K1241" s="695" t="e">
        <f>I1241*J1241</f>
        <v>#REF!</v>
      </c>
      <c r="L1241" s="690"/>
    </row>
    <row r="1242" spans="1:12" s="27" customFormat="1" ht="17.25" customHeight="1">
      <c r="A1242" s="693" t="s">
        <v>453</v>
      </c>
      <c r="B1242" s="844" t="s">
        <v>497</v>
      </c>
      <c r="C1242" s="747" t="e">
        <f>VLOOKUP(B1233,'CNKT '!$D$99:$AA$112,19,0)</f>
        <v>#REF!</v>
      </c>
      <c r="D1242" s="697">
        <v>20000</v>
      </c>
      <c r="E1242" s="695" t="e">
        <f>C1242*D1242</f>
        <v>#REF!</v>
      </c>
      <c r="F1242" s="750"/>
      <c r="G1242" s="693" t="s">
        <v>453</v>
      </c>
      <c r="H1242" s="844" t="s">
        <v>497</v>
      </c>
      <c r="I1242" s="747" t="e">
        <f>VLOOKUP(H1233,'CNKT '!$D$99:$AA$112,19,0)</f>
        <v>#REF!</v>
      </c>
      <c r="J1242" s="697">
        <v>20000</v>
      </c>
      <c r="K1242" s="695" t="e">
        <f>I1242*J1242</f>
        <v>#REF!</v>
      </c>
      <c r="L1242" s="690"/>
    </row>
    <row r="1243" spans="1:12" s="27" customFormat="1" ht="17.25" customHeight="1">
      <c r="A1243" s="693" t="s">
        <v>512</v>
      </c>
      <c r="B1243" s="844" t="s">
        <v>513</v>
      </c>
      <c r="C1243" s="747"/>
      <c r="D1243" s="697"/>
      <c r="E1243" s="695"/>
      <c r="F1243" s="750"/>
      <c r="G1243" s="693" t="s">
        <v>512</v>
      </c>
      <c r="H1243" s="844" t="s">
        <v>513</v>
      </c>
      <c r="I1243" s="747"/>
      <c r="J1243" s="697"/>
      <c r="K1243" s="695"/>
      <c r="L1243" s="690"/>
    </row>
    <row r="1244" spans="1:12" s="27" customFormat="1" ht="17.25" customHeight="1">
      <c r="A1244" s="699" t="s">
        <v>79</v>
      </c>
      <c r="B1244" s="845" t="s">
        <v>532</v>
      </c>
      <c r="C1244" s="700"/>
      <c r="D1244" s="701"/>
      <c r="E1244" s="700"/>
      <c r="F1244" s="750"/>
      <c r="G1244" s="699" t="s">
        <v>79</v>
      </c>
      <c r="H1244" s="845" t="s">
        <v>532</v>
      </c>
      <c r="I1244" s="700"/>
      <c r="J1244" s="701"/>
      <c r="K1244" s="700"/>
      <c r="L1244" s="690"/>
    </row>
    <row r="1245" spans="1:12" s="27" customFormat="1" ht="17.25" customHeight="1">
      <c r="A1245" s="702" t="s">
        <v>80</v>
      </c>
      <c r="B1245" s="846" t="s">
        <v>533</v>
      </c>
      <c r="C1245" s="700"/>
      <c r="D1245" s="700"/>
      <c r="E1245" s="700"/>
      <c r="F1245" s="750"/>
      <c r="G1245" s="702" t="s">
        <v>80</v>
      </c>
      <c r="H1245" s="846" t="s">
        <v>533</v>
      </c>
      <c r="I1245" s="700"/>
      <c r="J1245" s="700"/>
      <c r="K1245" s="700"/>
      <c r="L1245" s="690"/>
    </row>
    <row r="1246" spans="1:12" s="27" customFormat="1" ht="17.25" customHeight="1">
      <c r="A1246" s="702" t="s">
        <v>81</v>
      </c>
      <c r="B1246" s="847" t="s">
        <v>534</v>
      </c>
      <c r="C1246" s="700"/>
      <c r="D1246" s="700"/>
      <c r="E1246" s="695">
        <f>SUM(E1245)</f>
        <v>0</v>
      </c>
      <c r="F1246" s="750"/>
      <c r="G1246" s="702" t="s">
        <v>81</v>
      </c>
      <c r="H1246" s="847" t="s">
        <v>534</v>
      </c>
      <c r="I1246" s="700"/>
      <c r="J1246" s="700"/>
      <c r="K1246" s="695">
        <f>SUM(K1245)</f>
        <v>0</v>
      </c>
      <c r="L1246" s="690"/>
    </row>
    <row r="1247" spans="1:12" s="27" customFormat="1" ht="17.25" customHeight="1">
      <c r="A1247" s="704" t="s">
        <v>82</v>
      </c>
      <c r="B1247" s="848" t="s">
        <v>438</v>
      </c>
      <c r="C1247" s="705"/>
      <c r="D1247" s="705"/>
      <c r="E1247" s="705" t="e">
        <f>(E1235+E1236+E1237+E1238+E1239+E1240+E1241+E1242+E1243)-E1246</f>
        <v>#REF!</v>
      </c>
      <c r="F1247" s="750"/>
      <c r="G1247" s="704" t="s">
        <v>82</v>
      </c>
      <c r="H1247" s="848" t="s">
        <v>438</v>
      </c>
      <c r="I1247" s="705"/>
      <c r="J1247" s="705"/>
      <c r="K1247" s="705" t="e">
        <f>(K1235+K1236+K1237+K1238+K1239+K1240+K1241+K1242+K1243)-K1246</f>
        <v>#REF!</v>
      </c>
      <c r="L1247" s="707" t="e">
        <f>E1247+K1247</f>
        <v>#REF!</v>
      </c>
    </row>
    <row r="1248" spans="1:12" s="27" customFormat="1" ht="17.25" customHeight="1">
      <c r="A1248" s="763"/>
      <c r="B1248" s="763"/>
      <c r="C1248" s="763"/>
      <c r="D1248" s="763"/>
      <c r="E1248" s="763"/>
      <c r="F1248" s="742"/>
      <c r="G1248" s="763"/>
      <c r="H1248" s="763"/>
      <c r="I1248" s="763"/>
      <c r="J1248" s="763"/>
      <c r="K1248" s="743"/>
      <c r="L1248" s="690"/>
    </row>
    <row r="1249" spans="1:12" s="27" customFormat="1" ht="17.25" customHeight="1">
      <c r="A1249" s="763" t="str">
        <f>A1232</f>
        <v>LƯƠNG THÁNG 01/2025</v>
      </c>
      <c r="B1249" s="763"/>
      <c r="C1249" s="763"/>
      <c r="D1249" s="763"/>
      <c r="E1249" s="763" t="e">
        <f>VLOOKUP(B1250,'CNKT '!$D$99:$AD$112,26,0)</f>
        <v>#REF!</v>
      </c>
      <c r="F1249" s="742"/>
      <c r="G1249" s="763" t="str">
        <f>A1249</f>
        <v>LƯƠNG THÁNG 01/2025</v>
      </c>
      <c r="H1249" s="763"/>
      <c r="I1249" s="763"/>
      <c r="J1249" s="763"/>
      <c r="K1249" s="763" t="e">
        <f>VLOOKUP(H1250,'CNKT '!$D$99:$AD$112,26,0)</f>
        <v>#REF!</v>
      </c>
      <c r="L1249" s="690"/>
    </row>
    <row r="1250" spans="1:12" s="27" customFormat="1" ht="17.25" customHeight="1">
      <c r="A1250" s="709" t="s">
        <v>15</v>
      </c>
      <c r="B1250" s="840" t="e">
        <f>'CNKT '!#REF!</f>
        <v>#REF!</v>
      </c>
      <c r="C1250" s="694"/>
      <c r="D1250" s="840" t="s">
        <v>396</v>
      </c>
      <c r="E1250" s="840" t="s">
        <v>18</v>
      </c>
      <c r="F1250" s="750"/>
      <c r="G1250" s="709" t="s">
        <v>15</v>
      </c>
      <c r="H1250" s="840" t="e">
        <f>'CNKT '!#REF!</f>
        <v>#REF!</v>
      </c>
      <c r="I1250" s="694"/>
      <c r="J1250" s="840" t="s">
        <v>396</v>
      </c>
      <c r="K1250" s="840" t="s">
        <v>18</v>
      </c>
      <c r="L1250" s="690"/>
    </row>
    <row r="1251" spans="1:12" s="27" customFormat="1" ht="17.25" customHeight="1">
      <c r="A1251" s="693" t="s">
        <v>397</v>
      </c>
      <c r="B1251" s="842" t="s">
        <v>527</v>
      </c>
      <c r="C1251" s="694" t="e">
        <f>VLOOKUP(B1250,'BTH mủ tạp'!#REF!,36,0)</f>
        <v>#REF!</v>
      </c>
      <c r="D1251" s="695"/>
      <c r="E1251" s="695"/>
      <c r="F1251" s="750"/>
      <c r="G1251" s="693" t="s">
        <v>397</v>
      </c>
      <c r="H1251" s="842" t="s">
        <v>527</v>
      </c>
      <c r="I1251" s="694" t="e">
        <f>VLOOKUP(H1250,'BTH mủ tạp'!#REF!,36,0)</f>
        <v>#REF!</v>
      </c>
      <c r="J1251" s="695"/>
      <c r="K1251" s="695"/>
      <c r="L1251" s="690"/>
    </row>
    <row r="1252" spans="1:12" s="27" customFormat="1" ht="17.25" customHeight="1">
      <c r="A1252" s="693" t="s">
        <v>77</v>
      </c>
      <c r="B1252" s="843" t="s">
        <v>432</v>
      </c>
      <c r="C1252" s="696" t="e">
        <f>VLOOKUP(B1250,'CNKT '!$D$99:$AA$106,3,0)</f>
        <v>#REF!</v>
      </c>
      <c r="D1252" s="697">
        <v>25000</v>
      </c>
      <c r="E1252" s="695" t="e">
        <f t="shared" ref="E1252:E1257" si="145">C1252*D1252</f>
        <v>#REF!</v>
      </c>
      <c r="F1252" s="750"/>
      <c r="G1252" s="693" t="s">
        <v>77</v>
      </c>
      <c r="H1252" s="843" t="s">
        <v>432</v>
      </c>
      <c r="I1252" s="696" t="e">
        <f>VLOOKUP(H1250,'CNKT '!$D$99:$AA$106,3,0)</f>
        <v>#REF!</v>
      </c>
      <c r="J1252" s="697">
        <v>25000</v>
      </c>
      <c r="K1252" s="695" t="e">
        <f t="shared" ref="K1252:K1257" si="146">I1252*J1252</f>
        <v>#REF!</v>
      </c>
      <c r="L1252" s="690"/>
    </row>
    <row r="1253" spans="1:12" s="27" customFormat="1" ht="17.25" customHeight="1">
      <c r="A1253" s="693" t="s">
        <v>307</v>
      </c>
      <c r="B1253" s="844" t="s">
        <v>528</v>
      </c>
      <c r="C1253" s="747" t="e">
        <f>VLOOKUP(B1250,'CNKT '!$D$99:$AA$106,11,0)</f>
        <v>#REF!</v>
      </c>
      <c r="D1253" s="698">
        <f>46.1*$B$2</f>
        <v>30833.524000000001</v>
      </c>
      <c r="E1253" s="695" t="e">
        <f t="shared" si="145"/>
        <v>#REF!</v>
      </c>
      <c r="F1253" s="750"/>
      <c r="G1253" s="693" t="s">
        <v>307</v>
      </c>
      <c r="H1253" s="844" t="s">
        <v>528</v>
      </c>
      <c r="I1253" s="747" t="e">
        <f>VLOOKUP(H1250,'CNKT '!$D$99:$AA$106,11,0)</f>
        <v>#REF!</v>
      </c>
      <c r="J1253" s="698">
        <f>46.1*$B$2</f>
        <v>30833.524000000001</v>
      </c>
      <c r="K1253" s="695" t="e">
        <f t="shared" si="146"/>
        <v>#REF!</v>
      </c>
      <c r="L1253" s="690"/>
    </row>
    <row r="1254" spans="1:12" s="27" customFormat="1" ht="17.25" customHeight="1">
      <c r="A1254" s="693" t="s">
        <v>399</v>
      </c>
      <c r="B1254" s="844" t="s">
        <v>529</v>
      </c>
      <c r="C1254" s="747" t="e">
        <f>VLOOKUP(B1250,'CNKT '!$D$99:$AA$106,12,0)</f>
        <v>#REF!</v>
      </c>
      <c r="D1254" s="697">
        <f>76.9*$B$2</f>
        <v>51433.796000000009</v>
      </c>
      <c r="E1254" s="695" t="e">
        <f t="shared" si="145"/>
        <v>#REF!</v>
      </c>
      <c r="F1254" s="750"/>
      <c r="G1254" s="693" t="s">
        <v>399</v>
      </c>
      <c r="H1254" s="844" t="s">
        <v>529</v>
      </c>
      <c r="I1254" s="747" t="e">
        <f>VLOOKUP(H1250,'CNKT '!$D$99:$AA$106,12,0)</f>
        <v>#REF!</v>
      </c>
      <c r="J1254" s="697">
        <f>76.9*$B$2</f>
        <v>51433.796000000009</v>
      </c>
      <c r="K1254" s="695" t="e">
        <f t="shared" si="146"/>
        <v>#REF!</v>
      </c>
      <c r="L1254" s="690"/>
    </row>
    <row r="1255" spans="1:12" s="27" customFormat="1" ht="17.25" customHeight="1">
      <c r="A1255" s="693" t="s">
        <v>78</v>
      </c>
      <c r="B1255" s="844" t="s">
        <v>530</v>
      </c>
      <c r="C1255" s="747" t="e">
        <f>VLOOKUP(B1250,'CNKT '!$D$99:$AA$106,8,0)</f>
        <v>#REF!</v>
      </c>
      <c r="D1255" s="697" t="e">
        <f>IF(C1251="A",6.1,IF(C1251="B",5.8,IF(C1251="C",5.5,IF(C1251="C.",5.5,IF(C1251="D",5.2)))))*$B$2</f>
        <v>#REF!</v>
      </c>
      <c r="E1255" s="695" t="e">
        <f t="shared" si="145"/>
        <v>#REF!</v>
      </c>
      <c r="F1255" s="750"/>
      <c r="G1255" s="693" t="s">
        <v>78</v>
      </c>
      <c r="H1255" s="844" t="s">
        <v>530</v>
      </c>
      <c r="I1255" s="747" t="e">
        <f>VLOOKUP(H1250,'CNKT '!$D$99:$AA$106,8,0)</f>
        <v>#REF!</v>
      </c>
      <c r="J1255" s="697" t="e">
        <f>IF(I1251="A",6.1,IF(I1251="B",5.8,IF(I1251="C",5.5,IF(I1251="C.",5.5,IF(I1251="D",5.2)))))*$B$2</f>
        <v>#REF!</v>
      </c>
      <c r="K1255" s="695" t="e">
        <f t="shared" si="146"/>
        <v>#REF!</v>
      </c>
      <c r="L1255" s="690"/>
    </row>
    <row r="1256" spans="1:12" s="27" customFormat="1" ht="17.25" customHeight="1">
      <c r="A1256" s="693" t="s">
        <v>491</v>
      </c>
      <c r="B1256" s="844" t="s">
        <v>531</v>
      </c>
      <c r="C1256" s="747" t="e">
        <f>VLOOKUP(B1250,'CNKT '!$D$99:$AA$106,15,0)</f>
        <v>#REF!</v>
      </c>
      <c r="D1256" s="698">
        <f>92.2*$B$2</f>
        <v>61667.048000000003</v>
      </c>
      <c r="E1256" s="695" t="e">
        <f t="shared" si="145"/>
        <v>#REF!</v>
      </c>
      <c r="F1256" s="750"/>
      <c r="G1256" s="693" t="s">
        <v>491</v>
      </c>
      <c r="H1256" s="844" t="s">
        <v>531</v>
      </c>
      <c r="I1256" s="747" t="e">
        <f>VLOOKUP(H1250,'CNKT '!$D$99:$AA$106,15,0)</f>
        <v>#REF!</v>
      </c>
      <c r="J1256" s="698">
        <f>92.2*$B$2</f>
        <v>61667.048000000003</v>
      </c>
      <c r="K1256" s="695" t="e">
        <f t="shared" si="146"/>
        <v>#REF!</v>
      </c>
      <c r="L1256" s="690"/>
    </row>
    <row r="1257" spans="1:12" s="27" customFormat="1" ht="17.25" customHeight="1">
      <c r="A1257" s="693" t="s">
        <v>492</v>
      </c>
      <c r="B1257" s="844" t="s">
        <v>496</v>
      </c>
      <c r="C1257" s="747" t="e">
        <f>VLOOKUP(B1250,'CNKT '!$D$99:$AA$106,16,0)</f>
        <v>#REF!</v>
      </c>
      <c r="D1257" s="697">
        <f>153.8*$B$2</f>
        <v>102867.59200000002</v>
      </c>
      <c r="E1257" s="695" t="e">
        <f t="shared" si="145"/>
        <v>#REF!</v>
      </c>
      <c r="F1257" s="750"/>
      <c r="G1257" s="693" t="s">
        <v>492</v>
      </c>
      <c r="H1257" s="844" t="s">
        <v>496</v>
      </c>
      <c r="I1257" s="747" t="e">
        <f>VLOOKUP(H1250,'CNKT '!$D$99:$AA$106,16,0)</f>
        <v>#REF!</v>
      </c>
      <c r="J1257" s="697">
        <f>153.8*$B$2</f>
        <v>102867.59200000002</v>
      </c>
      <c r="K1257" s="695" t="e">
        <f t="shared" si="146"/>
        <v>#REF!</v>
      </c>
      <c r="L1257" s="690"/>
    </row>
    <row r="1258" spans="1:12" s="27" customFormat="1" ht="17.25" customHeight="1">
      <c r="A1258" s="693" t="s">
        <v>453</v>
      </c>
      <c r="B1258" s="844" t="s">
        <v>497</v>
      </c>
      <c r="C1258" s="747" t="e">
        <f>VLOOKUP(B1250,'CNKT '!$D$99:$AA$112,18,0)</f>
        <v>#REF!</v>
      </c>
      <c r="D1258" s="697">
        <v>10000</v>
      </c>
      <c r="E1258" s="695" t="e">
        <f>C1258*D1258</f>
        <v>#REF!</v>
      </c>
      <c r="F1258" s="750"/>
      <c r="G1258" s="693" t="s">
        <v>453</v>
      </c>
      <c r="H1258" s="844" t="s">
        <v>497</v>
      </c>
      <c r="I1258" s="747" t="e">
        <f>VLOOKUP(H1250,'CNKT '!$D$99:$AA$112,18,0)</f>
        <v>#REF!</v>
      </c>
      <c r="J1258" s="697">
        <v>10000</v>
      </c>
      <c r="K1258" s="695" t="e">
        <f>I1258*J1258</f>
        <v>#REF!</v>
      </c>
      <c r="L1258" s="690"/>
    </row>
    <row r="1259" spans="1:12" s="27" customFormat="1" ht="17.25" customHeight="1">
      <c r="A1259" s="693" t="s">
        <v>453</v>
      </c>
      <c r="B1259" s="844" t="s">
        <v>497</v>
      </c>
      <c r="C1259" s="747" t="e">
        <f>VLOOKUP(B1250,'CNKT '!$D$99:$AA$112,19,0)</f>
        <v>#REF!</v>
      </c>
      <c r="D1259" s="697">
        <v>20000</v>
      </c>
      <c r="E1259" s="695" t="e">
        <f>C1259*D1259</f>
        <v>#REF!</v>
      </c>
      <c r="F1259" s="750"/>
      <c r="G1259" s="693" t="s">
        <v>453</v>
      </c>
      <c r="H1259" s="844" t="s">
        <v>497</v>
      </c>
      <c r="I1259" s="747" t="e">
        <f>VLOOKUP(H1250,'CNKT '!$D$99:$AA$112,19,0)</f>
        <v>#REF!</v>
      </c>
      <c r="J1259" s="697">
        <v>20000</v>
      </c>
      <c r="K1259" s="695" t="e">
        <f>I1259*J1259</f>
        <v>#REF!</v>
      </c>
      <c r="L1259" s="690"/>
    </row>
    <row r="1260" spans="1:12" s="27" customFormat="1" ht="17.25" customHeight="1">
      <c r="A1260" s="693" t="s">
        <v>512</v>
      </c>
      <c r="B1260" s="844" t="s">
        <v>513</v>
      </c>
      <c r="C1260" s="747"/>
      <c r="D1260" s="697"/>
      <c r="E1260" s="695"/>
      <c r="F1260" s="750"/>
      <c r="G1260" s="693" t="s">
        <v>512</v>
      </c>
      <c r="H1260" s="844" t="s">
        <v>513</v>
      </c>
      <c r="I1260" s="747"/>
      <c r="J1260" s="697"/>
      <c r="K1260" s="695"/>
      <c r="L1260" s="690"/>
    </row>
    <row r="1261" spans="1:12" s="27" customFormat="1" ht="17.25" customHeight="1">
      <c r="A1261" s="699" t="s">
        <v>79</v>
      </c>
      <c r="B1261" s="845" t="s">
        <v>532</v>
      </c>
      <c r="C1261" s="700"/>
      <c r="D1261" s="701"/>
      <c r="E1261" s="700"/>
      <c r="F1261" s="750"/>
      <c r="G1261" s="699" t="s">
        <v>79</v>
      </c>
      <c r="H1261" s="845" t="s">
        <v>532</v>
      </c>
      <c r="I1261" s="700"/>
      <c r="J1261" s="701"/>
      <c r="K1261" s="700"/>
      <c r="L1261" s="690"/>
    </row>
    <row r="1262" spans="1:12" s="27" customFormat="1" ht="17.25" customHeight="1">
      <c r="A1262" s="702" t="s">
        <v>80</v>
      </c>
      <c r="B1262" s="846" t="s">
        <v>533</v>
      </c>
      <c r="C1262" s="700"/>
      <c r="D1262" s="700"/>
      <c r="E1262" s="700"/>
      <c r="F1262" s="750"/>
      <c r="G1262" s="702" t="s">
        <v>80</v>
      </c>
      <c r="H1262" s="846" t="s">
        <v>533</v>
      </c>
      <c r="I1262" s="700"/>
      <c r="J1262" s="700"/>
      <c r="K1262" s="700"/>
      <c r="L1262" s="690"/>
    </row>
    <row r="1263" spans="1:12" s="27" customFormat="1" ht="17.25" customHeight="1">
      <c r="A1263" s="702" t="s">
        <v>81</v>
      </c>
      <c r="B1263" s="847" t="s">
        <v>534</v>
      </c>
      <c r="C1263" s="700"/>
      <c r="D1263" s="700"/>
      <c r="E1263" s="695">
        <f>SUM(E1262)</f>
        <v>0</v>
      </c>
      <c r="F1263" s="750"/>
      <c r="G1263" s="702" t="s">
        <v>81</v>
      </c>
      <c r="H1263" s="847" t="s">
        <v>534</v>
      </c>
      <c r="I1263" s="700"/>
      <c r="J1263" s="700"/>
      <c r="K1263" s="695">
        <f>SUM(K1262)</f>
        <v>0</v>
      </c>
      <c r="L1263" s="690"/>
    </row>
    <row r="1264" spans="1:12" s="27" customFormat="1" ht="17.25" customHeight="1">
      <c r="A1264" s="704" t="s">
        <v>82</v>
      </c>
      <c r="B1264" s="848" t="s">
        <v>438</v>
      </c>
      <c r="C1264" s="705"/>
      <c r="D1264" s="705"/>
      <c r="E1264" s="705" t="e">
        <f>(E1252+E1253+E1254+E1255+E1256+E1257+E1258+E1259+E1260)-E1263</f>
        <v>#REF!</v>
      </c>
      <c r="F1264" s="750"/>
      <c r="G1264" s="704" t="s">
        <v>82</v>
      </c>
      <c r="H1264" s="848" t="s">
        <v>438</v>
      </c>
      <c r="I1264" s="705"/>
      <c r="J1264" s="705"/>
      <c r="K1264" s="705" t="e">
        <f>(K1252+K1253+K1254+K1255+K1256+K1257+K1258+K1259+K1260)-K1263</f>
        <v>#REF!</v>
      </c>
      <c r="L1264" s="707" t="e">
        <f>E1264+K1264</f>
        <v>#REF!</v>
      </c>
    </row>
    <row r="1265" spans="1:12" s="27" customFormat="1" ht="204.75" customHeight="1">
      <c r="A1265" s="763"/>
      <c r="B1265" s="763"/>
      <c r="C1265" s="763"/>
      <c r="D1265" s="763"/>
      <c r="E1265" s="763"/>
      <c r="F1265" s="742"/>
      <c r="G1265" s="763"/>
      <c r="H1265" s="763"/>
      <c r="I1265" s="763"/>
      <c r="J1265" s="763"/>
      <c r="K1265" s="743"/>
      <c r="L1265" s="690"/>
    </row>
    <row r="1266" spans="1:12" s="27" customFormat="1" ht="17.25" customHeight="1">
      <c r="A1266" s="763" t="str">
        <f>A1249</f>
        <v>LƯƠNG THÁNG 01/2025</v>
      </c>
      <c r="B1266" s="763"/>
      <c r="C1266" s="763"/>
      <c r="D1266" s="763"/>
      <c r="E1266" s="763" t="e">
        <f>VLOOKUP(B1267,'CNKT '!$D$99:$AD$112,26,0)</f>
        <v>#REF!</v>
      </c>
      <c r="F1266" s="742"/>
      <c r="G1266" s="763" t="str">
        <f>A1266</f>
        <v>LƯƠNG THÁNG 01/2025</v>
      </c>
      <c r="H1266" s="763"/>
      <c r="I1266" s="763"/>
      <c r="J1266" s="763"/>
      <c r="K1266" s="763" t="e">
        <f>VLOOKUP(H1267,'CNKT '!$D$99:$AD$112,26,0)</f>
        <v>#REF!</v>
      </c>
      <c r="L1266" s="690"/>
    </row>
    <row r="1267" spans="1:12" s="27" customFormat="1" ht="17.25" customHeight="1">
      <c r="A1267" s="709" t="s">
        <v>15</v>
      </c>
      <c r="B1267" s="840" t="e">
        <f>'CNKT '!#REF!</f>
        <v>#REF!</v>
      </c>
      <c r="C1267" s="694"/>
      <c r="D1267" s="840" t="s">
        <v>396</v>
      </c>
      <c r="E1267" s="840" t="s">
        <v>18</v>
      </c>
      <c r="F1267" s="750"/>
      <c r="G1267" s="709" t="s">
        <v>15</v>
      </c>
      <c r="H1267" s="840" t="e">
        <f>'CNKT '!#REF!</f>
        <v>#REF!</v>
      </c>
      <c r="I1267" s="694"/>
      <c r="J1267" s="840" t="s">
        <v>396</v>
      </c>
      <c r="K1267" s="840" t="s">
        <v>18</v>
      </c>
      <c r="L1267" s="690"/>
    </row>
    <row r="1268" spans="1:12" s="27" customFormat="1" ht="17.25" customHeight="1">
      <c r="A1268" s="693" t="s">
        <v>397</v>
      </c>
      <c r="B1268" s="842" t="s">
        <v>527</v>
      </c>
      <c r="C1268" s="694" t="e">
        <f>VLOOKUP(B1267,'BTH mủ tạp'!#REF!,36,0)</f>
        <v>#REF!</v>
      </c>
      <c r="D1268" s="695"/>
      <c r="E1268" s="695"/>
      <c r="F1268" s="750"/>
      <c r="G1268" s="693" t="s">
        <v>397</v>
      </c>
      <c r="H1268" s="842" t="s">
        <v>527</v>
      </c>
      <c r="I1268" s="694" t="e">
        <f>VLOOKUP(H1267,'BTH mủ tạp'!#REF!,36,0)</f>
        <v>#REF!</v>
      </c>
      <c r="J1268" s="695"/>
      <c r="K1268" s="695"/>
      <c r="L1268" s="690"/>
    </row>
    <row r="1269" spans="1:12" s="27" customFormat="1" ht="17.25" customHeight="1">
      <c r="A1269" s="693" t="s">
        <v>77</v>
      </c>
      <c r="B1269" s="843" t="s">
        <v>432</v>
      </c>
      <c r="C1269" s="696" t="e">
        <f>VLOOKUP(B1267,'CNKT '!$D$99:$AA$106,3,0)</f>
        <v>#REF!</v>
      </c>
      <c r="D1269" s="697">
        <v>25000</v>
      </c>
      <c r="E1269" s="695" t="e">
        <f t="shared" ref="E1269:E1274" si="147">C1269*D1269</f>
        <v>#REF!</v>
      </c>
      <c r="F1269" s="750"/>
      <c r="G1269" s="693" t="s">
        <v>77</v>
      </c>
      <c r="H1269" s="843" t="s">
        <v>432</v>
      </c>
      <c r="I1269" s="696" t="e">
        <f>VLOOKUP(H1267,'CNKT '!$D$99:$AA$106,3,0)</f>
        <v>#REF!</v>
      </c>
      <c r="J1269" s="697">
        <v>25000</v>
      </c>
      <c r="K1269" s="695" t="e">
        <f t="shared" ref="K1269:K1274" si="148">I1269*J1269</f>
        <v>#REF!</v>
      </c>
      <c r="L1269" s="690"/>
    </row>
    <row r="1270" spans="1:12" s="27" customFormat="1" ht="17.25" customHeight="1">
      <c r="A1270" s="693" t="s">
        <v>307</v>
      </c>
      <c r="B1270" s="844" t="s">
        <v>528</v>
      </c>
      <c r="C1270" s="747" t="e">
        <f>VLOOKUP(B1267,'CNKT '!$D$99:$AA$106,11,0)</f>
        <v>#REF!</v>
      </c>
      <c r="D1270" s="698">
        <f>46.1*$B$2</f>
        <v>30833.524000000001</v>
      </c>
      <c r="E1270" s="695" t="e">
        <f t="shared" si="147"/>
        <v>#REF!</v>
      </c>
      <c r="F1270" s="750"/>
      <c r="G1270" s="693" t="s">
        <v>307</v>
      </c>
      <c r="H1270" s="844" t="s">
        <v>528</v>
      </c>
      <c r="I1270" s="747" t="e">
        <f>VLOOKUP(H1267,'CNKT '!$D$99:$AA$106,11,0)</f>
        <v>#REF!</v>
      </c>
      <c r="J1270" s="698">
        <f>46.1*$B$2</f>
        <v>30833.524000000001</v>
      </c>
      <c r="K1270" s="695" t="e">
        <f t="shared" si="148"/>
        <v>#REF!</v>
      </c>
      <c r="L1270" s="690"/>
    </row>
    <row r="1271" spans="1:12" s="27" customFormat="1" ht="17.25" customHeight="1">
      <c r="A1271" s="693" t="s">
        <v>399</v>
      </c>
      <c r="B1271" s="844" t="s">
        <v>529</v>
      </c>
      <c r="C1271" s="747" t="e">
        <f>VLOOKUP(B1267,'CNKT '!$D$99:$AA$106,12,0)</f>
        <v>#REF!</v>
      </c>
      <c r="D1271" s="697">
        <f>76.9*$B$2</f>
        <v>51433.796000000009</v>
      </c>
      <c r="E1271" s="695" t="e">
        <f t="shared" si="147"/>
        <v>#REF!</v>
      </c>
      <c r="F1271" s="750"/>
      <c r="G1271" s="693" t="s">
        <v>399</v>
      </c>
      <c r="H1271" s="844" t="s">
        <v>529</v>
      </c>
      <c r="I1271" s="747" t="e">
        <f>VLOOKUP(H1267,'CNKT '!$D$99:$AA$106,12,0)</f>
        <v>#REF!</v>
      </c>
      <c r="J1271" s="697">
        <f>76.9*$B$2</f>
        <v>51433.796000000009</v>
      </c>
      <c r="K1271" s="695" t="e">
        <f t="shared" si="148"/>
        <v>#REF!</v>
      </c>
      <c r="L1271" s="690"/>
    </row>
    <row r="1272" spans="1:12" s="27" customFormat="1" ht="17.25" customHeight="1">
      <c r="A1272" s="693" t="s">
        <v>78</v>
      </c>
      <c r="B1272" s="844" t="s">
        <v>530</v>
      </c>
      <c r="C1272" s="747" t="e">
        <f>VLOOKUP(B1267,'CNKT '!$D$99:$AA$106,8,0)</f>
        <v>#REF!</v>
      </c>
      <c r="D1272" s="697" t="e">
        <f>IF(C1268="A",6.1,IF(C1268="B",5.8,IF(C1268="C",5.5,IF(C1268="C.",5.5,IF(C1268="D",5.2)))))*$B$2</f>
        <v>#REF!</v>
      </c>
      <c r="E1272" s="695" t="e">
        <f t="shared" si="147"/>
        <v>#REF!</v>
      </c>
      <c r="F1272" s="750"/>
      <c r="G1272" s="693" t="s">
        <v>78</v>
      </c>
      <c r="H1272" s="844" t="s">
        <v>530</v>
      </c>
      <c r="I1272" s="747" t="e">
        <f>VLOOKUP(H1267,'CNKT '!$D$99:$AA$106,8,0)</f>
        <v>#REF!</v>
      </c>
      <c r="J1272" s="697" t="e">
        <f>IF(I1268="A",6.1,IF(I1268="B",5.8,IF(I1268="C",5.5,IF(I1268="C.",5.5,IF(I1268="D",5.2)))))*$B$2</f>
        <v>#REF!</v>
      </c>
      <c r="K1272" s="695" t="e">
        <f t="shared" si="148"/>
        <v>#REF!</v>
      </c>
      <c r="L1272" s="690"/>
    </row>
    <row r="1273" spans="1:12" s="27" customFormat="1" ht="17.25" customHeight="1">
      <c r="A1273" s="693" t="s">
        <v>491</v>
      </c>
      <c r="B1273" s="844" t="s">
        <v>531</v>
      </c>
      <c r="C1273" s="747" t="e">
        <f>VLOOKUP(B1267,'CNKT '!$D$99:$AA$106,15,0)</f>
        <v>#REF!</v>
      </c>
      <c r="D1273" s="698">
        <f>92.2*$B$2</f>
        <v>61667.048000000003</v>
      </c>
      <c r="E1273" s="695" t="e">
        <f t="shared" si="147"/>
        <v>#REF!</v>
      </c>
      <c r="F1273" s="750"/>
      <c r="G1273" s="693" t="s">
        <v>491</v>
      </c>
      <c r="H1273" s="844" t="s">
        <v>531</v>
      </c>
      <c r="I1273" s="747" t="e">
        <f>VLOOKUP(H1267,'CNKT '!$D$99:$AA$106,15,0)</f>
        <v>#REF!</v>
      </c>
      <c r="J1273" s="698">
        <f>92.2*$B$2</f>
        <v>61667.048000000003</v>
      </c>
      <c r="K1273" s="695" t="e">
        <f t="shared" si="148"/>
        <v>#REF!</v>
      </c>
      <c r="L1273" s="690"/>
    </row>
    <row r="1274" spans="1:12" s="27" customFormat="1" ht="17.25" customHeight="1">
      <c r="A1274" s="693" t="s">
        <v>492</v>
      </c>
      <c r="B1274" s="844" t="s">
        <v>496</v>
      </c>
      <c r="C1274" s="747" t="e">
        <f>VLOOKUP(B1267,'CNKT '!$D$99:$AA$106,16,0)</f>
        <v>#REF!</v>
      </c>
      <c r="D1274" s="697">
        <f>153.8*$B$2</f>
        <v>102867.59200000002</v>
      </c>
      <c r="E1274" s="695" t="e">
        <f t="shared" si="147"/>
        <v>#REF!</v>
      </c>
      <c r="F1274" s="750"/>
      <c r="G1274" s="693" t="s">
        <v>492</v>
      </c>
      <c r="H1274" s="844" t="s">
        <v>496</v>
      </c>
      <c r="I1274" s="747" t="e">
        <f>VLOOKUP(H1267,'CNKT '!$D$99:$AA$106,16,0)</f>
        <v>#REF!</v>
      </c>
      <c r="J1274" s="697">
        <f>153.8*$B$2</f>
        <v>102867.59200000002</v>
      </c>
      <c r="K1274" s="695" t="e">
        <f t="shared" si="148"/>
        <v>#REF!</v>
      </c>
      <c r="L1274" s="690"/>
    </row>
    <row r="1275" spans="1:12" s="27" customFormat="1" ht="17.25" customHeight="1">
      <c r="A1275" s="693" t="s">
        <v>453</v>
      </c>
      <c r="B1275" s="844" t="s">
        <v>497</v>
      </c>
      <c r="C1275" s="747" t="e">
        <f>VLOOKUP(B1267,'CNKT '!$D$99:$AA$112,18,0)</f>
        <v>#REF!</v>
      </c>
      <c r="D1275" s="697">
        <v>10000</v>
      </c>
      <c r="E1275" s="695" t="e">
        <f>C1275*D1275</f>
        <v>#REF!</v>
      </c>
      <c r="F1275" s="750"/>
      <c r="G1275" s="693" t="s">
        <v>453</v>
      </c>
      <c r="H1275" s="844" t="s">
        <v>497</v>
      </c>
      <c r="I1275" s="747" t="e">
        <f>VLOOKUP(H1267,'CNKT '!$D$99:$AA$112,18,0)</f>
        <v>#REF!</v>
      </c>
      <c r="J1275" s="697">
        <v>10000</v>
      </c>
      <c r="K1275" s="695" t="e">
        <f>I1275*J1275</f>
        <v>#REF!</v>
      </c>
      <c r="L1275" s="690"/>
    </row>
    <row r="1276" spans="1:12" s="27" customFormat="1" ht="17.25" customHeight="1">
      <c r="A1276" s="693" t="s">
        <v>453</v>
      </c>
      <c r="B1276" s="844" t="s">
        <v>497</v>
      </c>
      <c r="C1276" s="747" t="e">
        <f>VLOOKUP(B1267,'CNKT '!$D$99:$AA$112,19,0)</f>
        <v>#REF!</v>
      </c>
      <c r="D1276" s="697">
        <v>20000</v>
      </c>
      <c r="E1276" s="695" t="e">
        <f>C1276*D1276</f>
        <v>#REF!</v>
      </c>
      <c r="F1276" s="750"/>
      <c r="G1276" s="693" t="s">
        <v>453</v>
      </c>
      <c r="H1276" s="844" t="s">
        <v>497</v>
      </c>
      <c r="I1276" s="747" t="e">
        <f>VLOOKUP(H1267,'CNKT '!$D$99:$AA$112,19,0)</f>
        <v>#REF!</v>
      </c>
      <c r="J1276" s="697">
        <v>20000</v>
      </c>
      <c r="K1276" s="695" t="e">
        <f>I1276*J1276</f>
        <v>#REF!</v>
      </c>
      <c r="L1276" s="690"/>
    </row>
    <row r="1277" spans="1:12" s="27" customFormat="1" ht="17.25" customHeight="1">
      <c r="A1277" s="693" t="s">
        <v>512</v>
      </c>
      <c r="B1277" s="844" t="s">
        <v>513</v>
      </c>
      <c r="C1277" s="747"/>
      <c r="D1277" s="697"/>
      <c r="E1277" s="695"/>
      <c r="F1277" s="750"/>
      <c r="G1277" s="693" t="s">
        <v>512</v>
      </c>
      <c r="H1277" s="844" t="s">
        <v>513</v>
      </c>
      <c r="I1277" s="747"/>
      <c r="J1277" s="697"/>
      <c r="K1277" s="695"/>
      <c r="L1277" s="690"/>
    </row>
    <row r="1278" spans="1:12" s="27" customFormat="1" ht="17.25" customHeight="1">
      <c r="A1278" s="699" t="s">
        <v>79</v>
      </c>
      <c r="B1278" s="845" t="s">
        <v>532</v>
      </c>
      <c r="C1278" s="700"/>
      <c r="D1278" s="701"/>
      <c r="E1278" s="700"/>
      <c r="F1278" s="750"/>
      <c r="G1278" s="699" t="s">
        <v>79</v>
      </c>
      <c r="H1278" s="845" t="s">
        <v>532</v>
      </c>
      <c r="I1278" s="700"/>
      <c r="J1278" s="701"/>
      <c r="K1278" s="700"/>
      <c r="L1278" s="690"/>
    </row>
    <row r="1279" spans="1:12" s="27" customFormat="1" ht="17.25" customHeight="1">
      <c r="A1279" s="702" t="s">
        <v>80</v>
      </c>
      <c r="B1279" s="846" t="s">
        <v>533</v>
      </c>
      <c r="C1279" s="700"/>
      <c r="D1279" s="700"/>
      <c r="E1279" s="700"/>
      <c r="F1279" s="750"/>
      <c r="G1279" s="702" t="s">
        <v>80</v>
      </c>
      <c r="H1279" s="846" t="s">
        <v>533</v>
      </c>
      <c r="I1279" s="700"/>
      <c r="J1279" s="700"/>
      <c r="K1279" s="700"/>
      <c r="L1279" s="690"/>
    </row>
    <row r="1280" spans="1:12" s="27" customFormat="1" ht="17.25" customHeight="1">
      <c r="A1280" s="702" t="s">
        <v>81</v>
      </c>
      <c r="B1280" s="847" t="s">
        <v>534</v>
      </c>
      <c r="C1280" s="700"/>
      <c r="D1280" s="700"/>
      <c r="E1280" s="695">
        <f>SUM(E1279)</f>
        <v>0</v>
      </c>
      <c r="F1280" s="750"/>
      <c r="G1280" s="702" t="s">
        <v>81</v>
      </c>
      <c r="H1280" s="847" t="s">
        <v>534</v>
      </c>
      <c r="I1280" s="700"/>
      <c r="J1280" s="700"/>
      <c r="K1280" s="695">
        <f>SUM(K1279)</f>
        <v>0</v>
      </c>
      <c r="L1280" s="690"/>
    </row>
    <row r="1281" spans="1:12" s="27" customFormat="1" ht="17.25" customHeight="1">
      <c r="A1281" s="704" t="s">
        <v>82</v>
      </c>
      <c r="B1281" s="848" t="s">
        <v>438</v>
      </c>
      <c r="C1281" s="705"/>
      <c r="D1281" s="705"/>
      <c r="E1281" s="705" t="e">
        <f>(E1269+E1270+E1271+E1272+E1273+E1274+E1275+E1276+E1277)-E1280</f>
        <v>#REF!</v>
      </c>
      <c r="F1281" s="750"/>
      <c r="G1281" s="704" t="s">
        <v>82</v>
      </c>
      <c r="H1281" s="848" t="s">
        <v>438</v>
      </c>
      <c r="I1281" s="705"/>
      <c r="J1281" s="705"/>
      <c r="K1281" s="705" t="e">
        <f>(K1269+K1270+K1271+K1272+K1273+K1274+K1275+K1276+K1277)-K1280</f>
        <v>#REF!</v>
      </c>
      <c r="L1281" s="707" t="e">
        <f>E1281+K1281</f>
        <v>#REF!</v>
      </c>
    </row>
    <row r="1282" spans="1:12" s="27" customFormat="1" ht="66.75" customHeight="1">
      <c r="A1282" s="763"/>
      <c r="B1282" s="763"/>
      <c r="C1282" s="763"/>
      <c r="D1282" s="763"/>
      <c r="E1282" s="763"/>
      <c r="F1282" s="742"/>
      <c r="G1282" s="763"/>
      <c r="H1282" s="763"/>
      <c r="I1282" s="763"/>
      <c r="J1282" s="763"/>
      <c r="K1282" s="743"/>
      <c r="L1282" s="690"/>
    </row>
    <row r="1283" spans="1:12" s="27" customFormat="1" ht="17.25" customHeight="1">
      <c r="A1283" s="763" t="str">
        <f>A1266</f>
        <v>LƯƠNG THÁNG 01/2025</v>
      </c>
      <c r="B1283" s="763"/>
      <c r="C1283" s="763"/>
      <c r="D1283" s="763"/>
      <c r="E1283" s="763" t="e">
        <f>VLOOKUP(B1284,'CNKT '!$D$99:$AD$112,26,0)</f>
        <v>#REF!</v>
      </c>
      <c r="F1283" s="742"/>
      <c r="G1283" s="763" t="str">
        <f>A1283</f>
        <v>LƯƠNG THÁNG 01/2025</v>
      </c>
      <c r="H1283" s="763"/>
      <c r="I1283" s="763"/>
      <c r="J1283" s="763"/>
      <c r="K1283" s="763" t="e">
        <f>VLOOKUP(H1284,'CNKT '!$D$99:$AD$112,26,0)</f>
        <v>#REF!</v>
      </c>
      <c r="L1283" s="690"/>
    </row>
    <row r="1284" spans="1:12" s="27" customFormat="1" ht="17.25" customHeight="1">
      <c r="A1284" s="709" t="s">
        <v>15</v>
      </c>
      <c r="B1284" s="840" t="e">
        <f>'CNKT '!#REF!</f>
        <v>#REF!</v>
      </c>
      <c r="C1284" s="694"/>
      <c r="D1284" s="840" t="s">
        <v>396</v>
      </c>
      <c r="E1284" s="840" t="s">
        <v>18</v>
      </c>
      <c r="F1284" s="750"/>
      <c r="G1284" s="709" t="s">
        <v>15</v>
      </c>
      <c r="H1284" s="840" t="e">
        <f>'CNKT '!#REF!</f>
        <v>#REF!</v>
      </c>
      <c r="I1284" s="694"/>
      <c r="J1284" s="840" t="s">
        <v>396</v>
      </c>
      <c r="K1284" s="840" t="s">
        <v>18</v>
      </c>
      <c r="L1284" s="690"/>
    </row>
    <row r="1285" spans="1:12" s="27" customFormat="1" ht="17.25" customHeight="1">
      <c r="A1285" s="693" t="s">
        <v>397</v>
      </c>
      <c r="B1285" s="842" t="s">
        <v>527</v>
      </c>
      <c r="C1285" s="694" t="e">
        <f>VLOOKUP(B1284,'BTH mủ tạp'!#REF!,36,0)</f>
        <v>#REF!</v>
      </c>
      <c r="D1285" s="695"/>
      <c r="E1285" s="695"/>
      <c r="F1285" s="750"/>
      <c r="G1285" s="693" t="s">
        <v>397</v>
      </c>
      <c r="H1285" s="842" t="s">
        <v>527</v>
      </c>
      <c r="I1285" s="694" t="e">
        <f>VLOOKUP(H1284,'BTH mủ tạp'!#REF!,36,0)</f>
        <v>#REF!</v>
      </c>
      <c r="J1285" s="695"/>
      <c r="K1285" s="695"/>
      <c r="L1285" s="690"/>
    </row>
    <row r="1286" spans="1:12" s="27" customFormat="1" ht="17.25" customHeight="1">
      <c r="A1286" s="693" t="s">
        <v>77</v>
      </c>
      <c r="B1286" s="843" t="s">
        <v>432</v>
      </c>
      <c r="C1286" s="696" t="e">
        <f>VLOOKUP(B1284,'CNKT '!$D$99:$AA$106,3,0)</f>
        <v>#REF!</v>
      </c>
      <c r="D1286" s="697">
        <v>25000</v>
      </c>
      <c r="E1286" s="695" t="e">
        <f t="shared" ref="E1286:E1291" si="149">C1286*D1286</f>
        <v>#REF!</v>
      </c>
      <c r="F1286" s="750"/>
      <c r="G1286" s="693" t="s">
        <v>77</v>
      </c>
      <c r="H1286" s="843" t="s">
        <v>432</v>
      </c>
      <c r="I1286" s="696" t="e">
        <f>VLOOKUP(H1284,'CNKT '!$D$99:$AA$106,3,0)</f>
        <v>#REF!</v>
      </c>
      <c r="J1286" s="697">
        <v>25000</v>
      </c>
      <c r="K1286" s="695" t="e">
        <f t="shared" ref="K1286:K1291" si="150">I1286*J1286</f>
        <v>#REF!</v>
      </c>
      <c r="L1286" s="690"/>
    </row>
    <row r="1287" spans="1:12" s="27" customFormat="1" ht="17.25" customHeight="1">
      <c r="A1287" s="693" t="s">
        <v>307</v>
      </c>
      <c r="B1287" s="844" t="s">
        <v>528</v>
      </c>
      <c r="C1287" s="747" t="e">
        <f>VLOOKUP(B1284,'CNKT '!$D$99:$AA$106,11,0)</f>
        <v>#REF!</v>
      </c>
      <c r="D1287" s="698">
        <f>46.1*$B$2</f>
        <v>30833.524000000001</v>
      </c>
      <c r="E1287" s="695" t="e">
        <f t="shared" si="149"/>
        <v>#REF!</v>
      </c>
      <c r="F1287" s="750"/>
      <c r="G1287" s="693" t="s">
        <v>307</v>
      </c>
      <c r="H1287" s="844" t="s">
        <v>528</v>
      </c>
      <c r="I1287" s="747" t="e">
        <f>VLOOKUP(H1284,'CNKT '!$D$99:$AA$106,11,0)</f>
        <v>#REF!</v>
      </c>
      <c r="J1287" s="698">
        <f>46.1*$B$2</f>
        <v>30833.524000000001</v>
      </c>
      <c r="K1287" s="695" t="e">
        <f t="shared" si="150"/>
        <v>#REF!</v>
      </c>
      <c r="L1287" s="690"/>
    </row>
    <row r="1288" spans="1:12" s="27" customFormat="1" ht="17.25" customHeight="1">
      <c r="A1288" s="693" t="s">
        <v>399</v>
      </c>
      <c r="B1288" s="844" t="s">
        <v>529</v>
      </c>
      <c r="C1288" s="747" t="e">
        <f>VLOOKUP(B1284,'CNKT '!$D$99:$AA$106,12,0)</f>
        <v>#REF!</v>
      </c>
      <c r="D1288" s="697">
        <f>76.9*$B$2</f>
        <v>51433.796000000009</v>
      </c>
      <c r="E1288" s="695" t="e">
        <f t="shared" si="149"/>
        <v>#REF!</v>
      </c>
      <c r="F1288" s="750"/>
      <c r="G1288" s="693" t="s">
        <v>399</v>
      </c>
      <c r="H1288" s="844" t="s">
        <v>529</v>
      </c>
      <c r="I1288" s="747" t="e">
        <f>VLOOKUP(H1284,'CNKT '!$D$99:$AA$106,12,0)</f>
        <v>#REF!</v>
      </c>
      <c r="J1288" s="697">
        <f>76.9*$B$2</f>
        <v>51433.796000000009</v>
      </c>
      <c r="K1288" s="695" t="e">
        <f t="shared" si="150"/>
        <v>#REF!</v>
      </c>
      <c r="L1288" s="690"/>
    </row>
    <row r="1289" spans="1:12" s="27" customFormat="1" ht="17.25" customHeight="1">
      <c r="A1289" s="693" t="s">
        <v>78</v>
      </c>
      <c r="B1289" s="844" t="s">
        <v>530</v>
      </c>
      <c r="C1289" s="747" t="e">
        <f>VLOOKUP(B1284,'CNKT '!$D$99:$AA$106,8,0)</f>
        <v>#REF!</v>
      </c>
      <c r="D1289" s="697" t="e">
        <f>IF(C1285="A",6.1,IF(C1285="B",5.8,IF(C1285="C",5.5,IF(C1285="C.",5.5,IF(C1285="D",5.2)))))*$B$2</f>
        <v>#REF!</v>
      </c>
      <c r="E1289" s="695" t="e">
        <f t="shared" si="149"/>
        <v>#REF!</v>
      </c>
      <c r="F1289" s="750"/>
      <c r="G1289" s="693" t="s">
        <v>78</v>
      </c>
      <c r="H1289" s="844" t="s">
        <v>530</v>
      </c>
      <c r="I1289" s="747" t="e">
        <f>VLOOKUP(H1284,'CNKT '!$D$99:$AA$106,8,0)</f>
        <v>#REF!</v>
      </c>
      <c r="J1289" s="697" t="e">
        <f>IF(I1285="A",6.1,IF(I1285="B",5.8,IF(I1285="C",5.5,IF(I1285="C.",5.5,IF(I1285="D",5.2)))))*$B$2</f>
        <v>#REF!</v>
      </c>
      <c r="K1289" s="695" t="e">
        <f t="shared" si="150"/>
        <v>#REF!</v>
      </c>
      <c r="L1289" s="690"/>
    </row>
    <row r="1290" spans="1:12" s="27" customFormat="1" ht="17.25" customHeight="1">
      <c r="A1290" s="693" t="s">
        <v>491</v>
      </c>
      <c r="B1290" s="844" t="s">
        <v>531</v>
      </c>
      <c r="C1290" s="747" t="e">
        <f>VLOOKUP(B1284,'CNKT '!$D$99:$AA$106,15,0)</f>
        <v>#REF!</v>
      </c>
      <c r="D1290" s="698">
        <f>92.2*$B$2</f>
        <v>61667.048000000003</v>
      </c>
      <c r="E1290" s="695" t="e">
        <f t="shared" si="149"/>
        <v>#REF!</v>
      </c>
      <c r="F1290" s="750"/>
      <c r="G1290" s="693" t="s">
        <v>491</v>
      </c>
      <c r="H1290" s="844" t="s">
        <v>531</v>
      </c>
      <c r="I1290" s="747" t="e">
        <f>VLOOKUP(H1284,'CNKT '!$D$99:$AA$106,15,0)</f>
        <v>#REF!</v>
      </c>
      <c r="J1290" s="698">
        <f>92.2*$B$2</f>
        <v>61667.048000000003</v>
      </c>
      <c r="K1290" s="695" t="e">
        <f t="shared" si="150"/>
        <v>#REF!</v>
      </c>
      <c r="L1290" s="690"/>
    </row>
    <row r="1291" spans="1:12" s="27" customFormat="1" ht="17.25" customHeight="1">
      <c r="A1291" s="693" t="s">
        <v>492</v>
      </c>
      <c r="B1291" s="844" t="s">
        <v>496</v>
      </c>
      <c r="C1291" s="747" t="e">
        <f>VLOOKUP(B1284,'CNKT '!$D$99:$AA$106,16,0)</f>
        <v>#REF!</v>
      </c>
      <c r="D1291" s="697">
        <f>153.8*$B$2</f>
        <v>102867.59200000002</v>
      </c>
      <c r="E1291" s="695" t="e">
        <f t="shared" si="149"/>
        <v>#REF!</v>
      </c>
      <c r="F1291" s="750"/>
      <c r="G1291" s="693" t="s">
        <v>492</v>
      </c>
      <c r="H1291" s="844" t="s">
        <v>496</v>
      </c>
      <c r="I1291" s="747" t="e">
        <f>VLOOKUP(H1284,'CNKT '!$D$99:$AA$106,16,0)</f>
        <v>#REF!</v>
      </c>
      <c r="J1291" s="697">
        <f>153.8*$B$2</f>
        <v>102867.59200000002</v>
      </c>
      <c r="K1291" s="695" t="e">
        <f t="shared" si="150"/>
        <v>#REF!</v>
      </c>
      <c r="L1291" s="690"/>
    </row>
    <row r="1292" spans="1:12" s="27" customFormat="1" ht="17.25" customHeight="1">
      <c r="A1292" s="693" t="s">
        <v>453</v>
      </c>
      <c r="B1292" s="844" t="s">
        <v>497</v>
      </c>
      <c r="C1292" s="747" t="e">
        <f>VLOOKUP(B1284,'CNKT '!$D$99:$AA$112,18,0)</f>
        <v>#REF!</v>
      </c>
      <c r="D1292" s="697">
        <v>10000</v>
      </c>
      <c r="E1292" s="695" t="e">
        <f>C1292*D1292</f>
        <v>#REF!</v>
      </c>
      <c r="F1292" s="750"/>
      <c r="G1292" s="693" t="s">
        <v>453</v>
      </c>
      <c r="H1292" s="844" t="s">
        <v>497</v>
      </c>
      <c r="I1292" s="747" t="e">
        <f>VLOOKUP(H1284,'CNKT '!$D$99:$AA$112,18,0)</f>
        <v>#REF!</v>
      </c>
      <c r="J1292" s="697">
        <v>10000</v>
      </c>
      <c r="K1292" s="695" t="e">
        <f>I1292*J1292</f>
        <v>#REF!</v>
      </c>
      <c r="L1292" s="690"/>
    </row>
    <row r="1293" spans="1:12" s="27" customFormat="1" ht="17.25" customHeight="1">
      <c r="A1293" s="693" t="s">
        <v>453</v>
      </c>
      <c r="B1293" s="844" t="s">
        <v>497</v>
      </c>
      <c r="C1293" s="747" t="e">
        <f>VLOOKUP(B1284,'CNKT '!$D$99:$AA$112,19,0)</f>
        <v>#REF!</v>
      </c>
      <c r="D1293" s="697">
        <v>20000</v>
      </c>
      <c r="E1293" s="695" t="e">
        <f>C1293*D1293</f>
        <v>#REF!</v>
      </c>
      <c r="F1293" s="750"/>
      <c r="G1293" s="693" t="s">
        <v>453</v>
      </c>
      <c r="H1293" s="844" t="s">
        <v>497</v>
      </c>
      <c r="I1293" s="747" t="e">
        <f>VLOOKUP(H1284,'CNKT '!$D$99:$AA$112,19,0)</f>
        <v>#REF!</v>
      </c>
      <c r="J1293" s="697">
        <v>20000</v>
      </c>
      <c r="K1293" s="695" t="e">
        <f>I1293*J1293</f>
        <v>#REF!</v>
      </c>
      <c r="L1293" s="690"/>
    </row>
    <row r="1294" spans="1:12" s="27" customFormat="1" ht="17.25" customHeight="1">
      <c r="A1294" s="693" t="s">
        <v>512</v>
      </c>
      <c r="B1294" s="844" t="s">
        <v>513</v>
      </c>
      <c r="C1294" s="747"/>
      <c r="D1294" s="697"/>
      <c r="E1294" s="695"/>
      <c r="F1294" s="750"/>
      <c r="G1294" s="693" t="s">
        <v>512</v>
      </c>
      <c r="H1294" s="844" t="s">
        <v>513</v>
      </c>
      <c r="I1294" s="747"/>
      <c r="J1294" s="697"/>
      <c r="K1294" s="695"/>
      <c r="L1294" s="690"/>
    </row>
    <row r="1295" spans="1:12" s="27" customFormat="1" ht="17.25" customHeight="1">
      <c r="A1295" s="699" t="s">
        <v>79</v>
      </c>
      <c r="B1295" s="845" t="s">
        <v>532</v>
      </c>
      <c r="C1295" s="700"/>
      <c r="D1295" s="701"/>
      <c r="E1295" s="700"/>
      <c r="F1295" s="750"/>
      <c r="G1295" s="699" t="s">
        <v>79</v>
      </c>
      <c r="H1295" s="845" t="s">
        <v>532</v>
      </c>
      <c r="I1295" s="700"/>
      <c r="J1295" s="701"/>
      <c r="K1295" s="700"/>
      <c r="L1295" s="690"/>
    </row>
    <row r="1296" spans="1:12" s="27" customFormat="1" ht="17.25" customHeight="1">
      <c r="A1296" s="702" t="s">
        <v>80</v>
      </c>
      <c r="B1296" s="846" t="s">
        <v>533</v>
      </c>
      <c r="C1296" s="700"/>
      <c r="D1296" s="700"/>
      <c r="E1296" s="700"/>
      <c r="F1296" s="750"/>
      <c r="G1296" s="702" t="s">
        <v>80</v>
      </c>
      <c r="H1296" s="846" t="s">
        <v>533</v>
      </c>
      <c r="I1296" s="700"/>
      <c r="J1296" s="700"/>
      <c r="K1296" s="700"/>
      <c r="L1296" s="690"/>
    </row>
    <row r="1297" spans="1:12" s="27" customFormat="1" ht="17.25" customHeight="1">
      <c r="A1297" s="702" t="s">
        <v>81</v>
      </c>
      <c r="B1297" s="847" t="s">
        <v>534</v>
      </c>
      <c r="C1297" s="700"/>
      <c r="D1297" s="700"/>
      <c r="E1297" s="695">
        <f>SUM(E1296)</f>
        <v>0</v>
      </c>
      <c r="F1297" s="750"/>
      <c r="G1297" s="702" t="s">
        <v>81</v>
      </c>
      <c r="H1297" s="847" t="s">
        <v>534</v>
      </c>
      <c r="I1297" s="700"/>
      <c r="J1297" s="700"/>
      <c r="K1297" s="695">
        <f>SUM(K1296)</f>
        <v>0</v>
      </c>
      <c r="L1297" s="690"/>
    </row>
    <row r="1298" spans="1:12" s="27" customFormat="1" ht="17.25" customHeight="1">
      <c r="A1298" s="704" t="s">
        <v>82</v>
      </c>
      <c r="B1298" s="848" t="s">
        <v>438</v>
      </c>
      <c r="C1298" s="705"/>
      <c r="D1298" s="705"/>
      <c r="E1298" s="705" t="e">
        <f>(E1286+E1287+E1288+E1289+E1290+E1291+E1292+E1293+E1294)-E1297</f>
        <v>#REF!</v>
      </c>
      <c r="F1298" s="750"/>
      <c r="G1298" s="704" t="s">
        <v>82</v>
      </c>
      <c r="H1298" s="848" t="s">
        <v>438</v>
      </c>
      <c r="I1298" s="705"/>
      <c r="J1298" s="705"/>
      <c r="K1298" s="705" t="e">
        <f>(K1286+K1287+K1288+K1289+K1290+K1291+K1292+K1293+K1294)-K1297</f>
        <v>#REF!</v>
      </c>
      <c r="L1298" s="707" t="e">
        <f>E1298+K1298</f>
        <v>#REF!</v>
      </c>
    </row>
    <row r="1299" spans="1:12" s="27" customFormat="1" ht="17.25" customHeight="1">
      <c r="A1299" s="763"/>
      <c r="B1299" s="763"/>
      <c r="C1299" s="763"/>
      <c r="D1299" s="763"/>
      <c r="E1299" s="763"/>
      <c r="F1299" s="742"/>
      <c r="G1299" s="763"/>
      <c r="H1299" s="763"/>
      <c r="I1299" s="763"/>
      <c r="J1299" s="763"/>
      <c r="K1299" s="743"/>
      <c r="L1299" s="690"/>
    </row>
    <row r="1300" spans="1:12" s="27" customFormat="1" ht="17.25" customHeight="1">
      <c r="A1300" s="763" t="str">
        <f>A1283</f>
        <v>LƯƠNG THÁNG 01/2025</v>
      </c>
      <c r="B1300" s="763"/>
      <c r="C1300" s="763"/>
      <c r="D1300" s="763"/>
      <c r="E1300" s="763" t="e">
        <f>VLOOKUP(B1301,'CNKT '!$D$99:$AD$112,26,0)</f>
        <v>#REF!</v>
      </c>
      <c r="F1300" s="742"/>
      <c r="G1300" s="763" t="str">
        <f>A1300</f>
        <v>LƯƠNG THÁNG 01/2025</v>
      </c>
      <c r="H1300" s="763"/>
      <c r="I1300" s="763"/>
      <c r="J1300" s="763"/>
      <c r="K1300" s="763" t="e">
        <f>VLOOKUP(H1301,'CNKT '!$D$99:$AD$112,26,0)</f>
        <v>#REF!</v>
      </c>
      <c r="L1300" s="690"/>
    </row>
    <row r="1301" spans="1:12" s="27" customFormat="1" ht="17.25" customHeight="1">
      <c r="A1301" s="709" t="s">
        <v>15</v>
      </c>
      <c r="B1301" s="840" t="e">
        <f>'CNKT '!#REF!</f>
        <v>#REF!</v>
      </c>
      <c r="C1301" s="694"/>
      <c r="D1301" s="840" t="s">
        <v>396</v>
      </c>
      <c r="E1301" s="840" t="s">
        <v>18</v>
      </c>
      <c r="F1301" s="750"/>
      <c r="G1301" s="709" t="s">
        <v>15</v>
      </c>
      <c r="H1301" s="840" t="e">
        <f>'CNKT '!#REF!</f>
        <v>#REF!</v>
      </c>
      <c r="I1301" s="694"/>
      <c r="J1301" s="840" t="s">
        <v>396</v>
      </c>
      <c r="K1301" s="840" t="s">
        <v>18</v>
      </c>
      <c r="L1301" s="690"/>
    </row>
    <row r="1302" spans="1:12" s="27" customFormat="1" ht="17.25" customHeight="1">
      <c r="A1302" s="693" t="s">
        <v>397</v>
      </c>
      <c r="B1302" s="842" t="s">
        <v>527</v>
      </c>
      <c r="C1302" s="694" t="e">
        <f>VLOOKUP(B1301,'BTH mủ tạp'!#REF!,36,0)</f>
        <v>#REF!</v>
      </c>
      <c r="D1302" s="695"/>
      <c r="E1302" s="695"/>
      <c r="F1302" s="750"/>
      <c r="G1302" s="693" t="s">
        <v>397</v>
      </c>
      <c r="H1302" s="842" t="s">
        <v>527</v>
      </c>
      <c r="I1302" s="694" t="e">
        <f>VLOOKUP(H1301,'BTH mủ tạp'!#REF!,36,0)</f>
        <v>#REF!</v>
      </c>
      <c r="J1302" s="695"/>
      <c r="K1302" s="695"/>
      <c r="L1302" s="690"/>
    </row>
    <row r="1303" spans="1:12" s="27" customFormat="1" ht="17.25" customHeight="1">
      <c r="A1303" s="693" t="s">
        <v>77</v>
      </c>
      <c r="B1303" s="843" t="s">
        <v>432</v>
      </c>
      <c r="C1303" s="696" t="e">
        <f>VLOOKUP(B1301,'CNKT '!$D$99:$AA$106,3,0)</f>
        <v>#REF!</v>
      </c>
      <c r="D1303" s="697">
        <v>25000</v>
      </c>
      <c r="E1303" s="695" t="e">
        <f t="shared" ref="E1303:E1308" si="151">C1303*D1303</f>
        <v>#REF!</v>
      </c>
      <c r="F1303" s="750"/>
      <c r="G1303" s="693" t="s">
        <v>77</v>
      </c>
      <c r="H1303" s="843" t="s">
        <v>432</v>
      </c>
      <c r="I1303" s="696" t="e">
        <f>VLOOKUP(H1301,'CNKT '!$D$99:$AA$106,3,0)</f>
        <v>#REF!</v>
      </c>
      <c r="J1303" s="697">
        <v>25000</v>
      </c>
      <c r="K1303" s="695" t="e">
        <f t="shared" ref="K1303:K1308" si="152">I1303*J1303</f>
        <v>#REF!</v>
      </c>
      <c r="L1303" s="690"/>
    </row>
    <row r="1304" spans="1:12" s="27" customFormat="1" ht="17.25" customHeight="1">
      <c r="A1304" s="693" t="s">
        <v>307</v>
      </c>
      <c r="B1304" s="844" t="s">
        <v>528</v>
      </c>
      <c r="C1304" s="747" t="e">
        <f>VLOOKUP(B1301,'CNKT '!$D$99:$AA$106,11,0)</f>
        <v>#REF!</v>
      </c>
      <c r="D1304" s="698">
        <f>46.1*$B$2</f>
        <v>30833.524000000001</v>
      </c>
      <c r="E1304" s="695" t="e">
        <f t="shared" si="151"/>
        <v>#REF!</v>
      </c>
      <c r="F1304" s="750"/>
      <c r="G1304" s="693" t="s">
        <v>307</v>
      </c>
      <c r="H1304" s="844" t="s">
        <v>528</v>
      </c>
      <c r="I1304" s="747" t="e">
        <f>VLOOKUP(H1301,'CNKT '!$D$99:$AA$106,11,0)</f>
        <v>#REF!</v>
      </c>
      <c r="J1304" s="698">
        <f>46.1*$B$2</f>
        <v>30833.524000000001</v>
      </c>
      <c r="K1304" s="695" t="e">
        <f t="shared" si="152"/>
        <v>#REF!</v>
      </c>
      <c r="L1304" s="690"/>
    </row>
    <row r="1305" spans="1:12" s="27" customFormat="1" ht="17.25" customHeight="1">
      <c r="A1305" s="693" t="s">
        <v>399</v>
      </c>
      <c r="B1305" s="844" t="s">
        <v>529</v>
      </c>
      <c r="C1305" s="747" t="e">
        <f>VLOOKUP(B1301,'CNKT '!$D$99:$AA$106,12,0)</f>
        <v>#REF!</v>
      </c>
      <c r="D1305" s="697">
        <f>76.9*$B$2</f>
        <v>51433.796000000009</v>
      </c>
      <c r="E1305" s="695" t="e">
        <f t="shared" si="151"/>
        <v>#REF!</v>
      </c>
      <c r="F1305" s="750"/>
      <c r="G1305" s="693" t="s">
        <v>399</v>
      </c>
      <c r="H1305" s="844" t="s">
        <v>529</v>
      </c>
      <c r="I1305" s="747" t="e">
        <f>VLOOKUP(H1301,'CNKT '!$D$99:$AA$106,12,0)</f>
        <v>#REF!</v>
      </c>
      <c r="J1305" s="697">
        <f>76.9*$B$2</f>
        <v>51433.796000000009</v>
      </c>
      <c r="K1305" s="695" t="e">
        <f t="shared" si="152"/>
        <v>#REF!</v>
      </c>
      <c r="L1305" s="690"/>
    </row>
    <row r="1306" spans="1:12" s="27" customFormat="1" ht="17.25" customHeight="1">
      <c r="A1306" s="693" t="s">
        <v>78</v>
      </c>
      <c r="B1306" s="844" t="s">
        <v>530</v>
      </c>
      <c r="C1306" s="747" t="e">
        <f>VLOOKUP(B1301,'CNKT '!$D$99:$AA$106,8,0)</f>
        <v>#REF!</v>
      </c>
      <c r="D1306" s="697" t="e">
        <f>IF(C1302="A",6.1,IF(C1302="B",5.8,IF(C1302="C",5.5,IF(C1302="C.",5.5,IF(C1302="D",5.2)))))*$B$2</f>
        <v>#REF!</v>
      </c>
      <c r="E1306" s="695" t="e">
        <f t="shared" si="151"/>
        <v>#REF!</v>
      </c>
      <c r="F1306" s="750"/>
      <c r="G1306" s="693" t="s">
        <v>78</v>
      </c>
      <c r="H1306" s="844" t="s">
        <v>530</v>
      </c>
      <c r="I1306" s="747" t="e">
        <f>VLOOKUP(H1301,'CNKT '!$D$99:$AA$106,8,0)</f>
        <v>#REF!</v>
      </c>
      <c r="J1306" s="697" t="e">
        <f>IF(I1302="A",6.1,IF(I1302="B",5.8,IF(I1302="C",5.5,IF(I1302="C.",5.5,IF(I1302="D",5.2)))))*$B$2</f>
        <v>#REF!</v>
      </c>
      <c r="K1306" s="695" t="e">
        <f t="shared" si="152"/>
        <v>#REF!</v>
      </c>
      <c r="L1306" s="690"/>
    </row>
    <row r="1307" spans="1:12" s="27" customFormat="1" ht="17.25" customHeight="1">
      <c r="A1307" s="693" t="s">
        <v>491</v>
      </c>
      <c r="B1307" s="844" t="s">
        <v>531</v>
      </c>
      <c r="C1307" s="747" t="e">
        <f>VLOOKUP(B1301,'CNKT '!$D$99:$AA$106,15,0)</f>
        <v>#REF!</v>
      </c>
      <c r="D1307" s="698">
        <f>92.2*$B$2</f>
        <v>61667.048000000003</v>
      </c>
      <c r="E1307" s="695" t="e">
        <f t="shared" si="151"/>
        <v>#REF!</v>
      </c>
      <c r="F1307" s="750"/>
      <c r="G1307" s="693" t="s">
        <v>491</v>
      </c>
      <c r="H1307" s="844" t="s">
        <v>531</v>
      </c>
      <c r="I1307" s="747" t="e">
        <f>VLOOKUP(H1301,'CNKT '!$D$99:$AA$106,15,0)</f>
        <v>#REF!</v>
      </c>
      <c r="J1307" s="698">
        <f>92.2*$B$2</f>
        <v>61667.048000000003</v>
      </c>
      <c r="K1307" s="695" t="e">
        <f t="shared" si="152"/>
        <v>#REF!</v>
      </c>
      <c r="L1307" s="690"/>
    </row>
    <row r="1308" spans="1:12" s="27" customFormat="1" ht="17.25" customHeight="1">
      <c r="A1308" s="693" t="s">
        <v>492</v>
      </c>
      <c r="B1308" s="844" t="s">
        <v>496</v>
      </c>
      <c r="C1308" s="747" t="e">
        <f>VLOOKUP(B1301,'CNKT '!$D$99:$AA$106,16,0)</f>
        <v>#REF!</v>
      </c>
      <c r="D1308" s="697">
        <f>153.8*$B$2</f>
        <v>102867.59200000002</v>
      </c>
      <c r="E1308" s="695" t="e">
        <f t="shared" si="151"/>
        <v>#REF!</v>
      </c>
      <c r="F1308" s="750"/>
      <c r="G1308" s="693" t="s">
        <v>492</v>
      </c>
      <c r="H1308" s="844" t="s">
        <v>496</v>
      </c>
      <c r="I1308" s="747" t="e">
        <f>VLOOKUP(H1301,'CNKT '!$D$99:$AA$106,16,0)</f>
        <v>#REF!</v>
      </c>
      <c r="J1308" s="697">
        <f>153.8*$B$2</f>
        <v>102867.59200000002</v>
      </c>
      <c r="K1308" s="695" t="e">
        <f t="shared" si="152"/>
        <v>#REF!</v>
      </c>
      <c r="L1308" s="690"/>
    </row>
    <row r="1309" spans="1:12" s="27" customFormat="1" ht="17.25" customHeight="1">
      <c r="A1309" s="693" t="s">
        <v>453</v>
      </c>
      <c r="B1309" s="844" t="s">
        <v>497</v>
      </c>
      <c r="C1309" s="747" t="e">
        <f>VLOOKUP(B1301,'CNKT '!$D$99:$AA$112,18,0)</f>
        <v>#REF!</v>
      </c>
      <c r="D1309" s="697">
        <v>10000</v>
      </c>
      <c r="E1309" s="695" t="e">
        <f>C1309*D1309</f>
        <v>#REF!</v>
      </c>
      <c r="F1309" s="750"/>
      <c r="G1309" s="693" t="s">
        <v>453</v>
      </c>
      <c r="H1309" s="844" t="s">
        <v>497</v>
      </c>
      <c r="I1309" s="747" t="e">
        <f>VLOOKUP(H1301,'CNKT '!$D$99:$AA$112,18,0)</f>
        <v>#REF!</v>
      </c>
      <c r="J1309" s="697">
        <v>10000</v>
      </c>
      <c r="K1309" s="695" t="e">
        <f>I1309*J1309</f>
        <v>#REF!</v>
      </c>
      <c r="L1309" s="690"/>
    </row>
    <row r="1310" spans="1:12" s="27" customFormat="1" ht="17.25" customHeight="1">
      <c r="A1310" s="693" t="s">
        <v>453</v>
      </c>
      <c r="B1310" s="844" t="s">
        <v>497</v>
      </c>
      <c r="C1310" s="747" t="e">
        <f>VLOOKUP(B1301,'CNKT '!$D$99:$AA$112,19,0)</f>
        <v>#REF!</v>
      </c>
      <c r="D1310" s="697">
        <v>20000</v>
      </c>
      <c r="E1310" s="695" t="e">
        <f>C1310*D1310</f>
        <v>#REF!</v>
      </c>
      <c r="F1310" s="750"/>
      <c r="G1310" s="693" t="s">
        <v>453</v>
      </c>
      <c r="H1310" s="844" t="s">
        <v>497</v>
      </c>
      <c r="I1310" s="747" t="e">
        <f>VLOOKUP(H1301,'CNKT '!$D$99:$AA$112,19,0)</f>
        <v>#REF!</v>
      </c>
      <c r="J1310" s="697">
        <v>20000</v>
      </c>
      <c r="K1310" s="695" t="e">
        <f>I1310*J1310</f>
        <v>#REF!</v>
      </c>
      <c r="L1310" s="690"/>
    </row>
    <row r="1311" spans="1:12" s="27" customFormat="1" ht="17.25" customHeight="1">
      <c r="A1311" s="693" t="s">
        <v>512</v>
      </c>
      <c r="B1311" s="844" t="s">
        <v>513</v>
      </c>
      <c r="C1311" s="747"/>
      <c r="D1311" s="697"/>
      <c r="E1311" s="695"/>
      <c r="F1311" s="750"/>
      <c r="G1311" s="693" t="s">
        <v>512</v>
      </c>
      <c r="H1311" s="844" t="s">
        <v>513</v>
      </c>
      <c r="I1311" s="747"/>
      <c r="J1311" s="697"/>
      <c r="K1311" s="695"/>
      <c r="L1311" s="690"/>
    </row>
    <row r="1312" spans="1:12" s="27" customFormat="1" ht="17.25" customHeight="1">
      <c r="A1312" s="699" t="s">
        <v>79</v>
      </c>
      <c r="B1312" s="845" t="s">
        <v>532</v>
      </c>
      <c r="C1312" s="700"/>
      <c r="D1312" s="701"/>
      <c r="E1312" s="700"/>
      <c r="F1312" s="750"/>
      <c r="G1312" s="699" t="s">
        <v>79</v>
      </c>
      <c r="H1312" s="845" t="s">
        <v>532</v>
      </c>
      <c r="I1312" s="700"/>
      <c r="J1312" s="701"/>
      <c r="K1312" s="700"/>
      <c r="L1312" s="690"/>
    </row>
    <row r="1313" spans="1:12" s="27" customFormat="1" ht="17.25" customHeight="1">
      <c r="A1313" s="702" t="s">
        <v>80</v>
      </c>
      <c r="B1313" s="846" t="s">
        <v>533</v>
      </c>
      <c r="C1313" s="700"/>
      <c r="D1313" s="700"/>
      <c r="E1313" s="700"/>
      <c r="F1313" s="750"/>
      <c r="G1313" s="702" t="s">
        <v>80</v>
      </c>
      <c r="H1313" s="846" t="s">
        <v>533</v>
      </c>
      <c r="I1313" s="700"/>
      <c r="J1313" s="700"/>
      <c r="K1313" s="700"/>
      <c r="L1313" s="690"/>
    </row>
    <row r="1314" spans="1:12" s="27" customFormat="1" ht="17.25" customHeight="1">
      <c r="A1314" s="702" t="s">
        <v>81</v>
      </c>
      <c r="B1314" s="847" t="s">
        <v>534</v>
      </c>
      <c r="C1314" s="700"/>
      <c r="D1314" s="700"/>
      <c r="E1314" s="695">
        <f>SUM(E1313)</f>
        <v>0</v>
      </c>
      <c r="F1314" s="750"/>
      <c r="G1314" s="702" t="s">
        <v>81</v>
      </c>
      <c r="H1314" s="847" t="s">
        <v>534</v>
      </c>
      <c r="I1314" s="700"/>
      <c r="J1314" s="700"/>
      <c r="K1314" s="695">
        <f>SUM(K1313)</f>
        <v>0</v>
      </c>
      <c r="L1314" s="690"/>
    </row>
    <row r="1315" spans="1:12" s="27" customFormat="1" ht="17.25" customHeight="1">
      <c r="A1315" s="704" t="s">
        <v>82</v>
      </c>
      <c r="B1315" s="848" t="s">
        <v>438</v>
      </c>
      <c r="C1315" s="705"/>
      <c r="D1315" s="705"/>
      <c r="E1315" s="705" t="e">
        <f>(E1303+E1304+E1305+E1306+E1307+E1308+E1309+E1310+E1311)-E1314</f>
        <v>#REF!</v>
      </c>
      <c r="F1315" s="750"/>
      <c r="G1315" s="704" t="s">
        <v>82</v>
      </c>
      <c r="H1315" s="848" t="s">
        <v>438</v>
      </c>
      <c r="I1315" s="705"/>
      <c r="J1315" s="705"/>
      <c r="K1315" s="705" t="e">
        <f>(K1303+K1304+K1305+K1306+K1307+K1308+K1309+K1310+K1311)-K1314</f>
        <v>#REF!</v>
      </c>
      <c r="L1315" s="707" t="e">
        <f>E1315+K1315</f>
        <v>#REF!</v>
      </c>
    </row>
    <row r="1316" spans="1:12" s="27" customFormat="1" ht="17.25" customHeight="1">
      <c r="A1316" s="763"/>
      <c r="B1316" s="763"/>
      <c r="C1316" s="763"/>
      <c r="D1316" s="763"/>
      <c r="E1316" s="763"/>
      <c r="F1316" s="742"/>
      <c r="G1316" s="763"/>
      <c r="H1316" s="763"/>
      <c r="I1316" s="763"/>
      <c r="J1316" s="763"/>
      <c r="K1316" s="743"/>
      <c r="L1316" s="690"/>
    </row>
    <row r="1317" spans="1:12" s="27" customFormat="1" ht="17.25" customHeight="1">
      <c r="A1317" s="763" t="str">
        <f>A1300</f>
        <v>LƯƠNG THÁNG 01/2025</v>
      </c>
      <c r="B1317" s="763"/>
      <c r="C1317" s="763"/>
      <c r="D1317" s="763"/>
      <c r="E1317" s="763" t="e">
        <f>VLOOKUP(B1318,'CNKT '!$D$99:$AD$112,26,0)</f>
        <v>#REF!</v>
      </c>
      <c r="F1317" s="742"/>
      <c r="G1317" s="763" t="str">
        <f>A1317</f>
        <v>LƯƠNG THÁNG 01/2025</v>
      </c>
      <c r="H1317" s="763"/>
      <c r="I1317" s="763"/>
      <c r="J1317" s="763"/>
      <c r="K1317" s="763" t="e">
        <f>VLOOKUP(H1318,'CNKT '!$D$99:$AD$112,26,0)</f>
        <v>#REF!</v>
      </c>
      <c r="L1317" s="690"/>
    </row>
    <row r="1318" spans="1:12" s="27" customFormat="1" ht="17.25" customHeight="1">
      <c r="A1318" s="709" t="s">
        <v>15</v>
      </c>
      <c r="B1318" s="840" t="e">
        <f>'CNKT '!#REF!</f>
        <v>#REF!</v>
      </c>
      <c r="C1318" s="694"/>
      <c r="D1318" s="840" t="s">
        <v>396</v>
      </c>
      <c r="E1318" s="840" t="s">
        <v>18</v>
      </c>
      <c r="F1318" s="750"/>
      <c r="G1318" s="709" t="s">
        <v>15</v>
      </c>
      <c r="H1318" s="840" t="e">
        <f>'CNKT '!#REF!</f>
        <v>#REF!</v>
      </c>
      <c r="I1318" s="694"/>
      <c r="J1318" s="840" t="s">
        <v>396</v>
      </c>
      <c r="K1318" s="840" t="s">
        <v>18</v>
      </c>
      <c r="L1318" s="690"/>
    </row>
    <row r="1319" spans="1:12" s="27" customFormat="1" ht="17.25" customHeight="1">
      <c r="A1319" s="693" t="s">
        <v>397</v>
      </c>
      <c r="B1319" s="842" t="s">
        <v>527</v>
      </c>
      <c r="C1319" s="694" t="e">
        <f>VLOOKUP(B1318,'BTH mủ tạp'!#REF!,36,0)</f>
        <v>#REF!</v>
      </c>
      <c r="D1319" s="695"/>
      <c r="E1319" s="695"/>
      <c r="F1319" s="750"/>
      <c r="G1319" s="693" t="s">
        <v>397</v>
      </c>
      <c r="H1319" s="842" t="s">
        <v>527</v>
      </c>
      <c r="I1319" s="694" t="e">
        <f>VLOOKUP(H1318,'BTH mủ tạp'!#REF!,36,0)</f>
        <v>#REF!</v>
      </c>
      <c r="J1319" s="695"/>
      <c r="K1319" s="695"/>
      <c r="L1319" s="690"/>
    </row>
    <row r="1320" spans="1:12" s="27" customFormat="1" ht="17.25" customHeight="1">
      <c r="A1320" s="693" t="s">
        <v>77</v>
      </c>
      <c r="B1320" s="843" t="s">
        <v>432</v>
      </c>
      <c r="C1320" s="696" t="e">
        <f>VLOOKUP(B1318,'CNKT '!$D$99:$AA$106,3,0)</f>
        <v>#REF!</v>
      </c>
      <c r="D1320" s="697">
        <v>25000</v>
      </c>
      <c r="E1320" s="695" t="e">
        <f t="shared" ref="E1320:E1325" si="153">C1320*D1320</f>
        <v>#REF!</v>
      </c>
      <c r="F1320" s="750"/>
      <c r="G1320" s="693" t="s">
        <v>77</v>
      </c>
      <c r="H1320" s="843" t="s">
        <v>432</v>
      </c>
      <c r="I1320" s="696" t="e">
        <f>VLOOKUP(H1318,'CNKT '!$D$99:$AA$106,3,0)</f>
        <v>#REF!</v>
      </c>
      <c r="J1320" s="697">
        <v>25000</v>
      </c>
      <c r="K1320" s="695" t="e">
        <f t="shared" ref="K1320:K1325" si="154">I1320*J1320</f>
        <v>#REF!</v>
      </c>
      <c r="L1320" s="690"/>
    </row>
    <row r="1321" spans="1:12" s="27" customFormat="1" ht="17.25" customHeight="1">
      <c r="A1321" s="693" t="s">
        <v>307</v>
      </c>
      <c r="B1321" s="844" t="s">
        <v>528</v>
      </c>
      <c r="C1321" s="747" t="e">
        <f>VLOOKUP(B1318,'CNKT '!$D$99:$AA$106,11,0)</f>
        <v>#REF!</v>
      </c>
      <c r="D1321" s="698">
        <f>46.1*$B$2</f>
        <v>30833.524000000001</v>
      </c>
      <c r="E1321" s="695" t="e">
        <f t="shared" si="153"/>
        <v>#REF!</v>
      </c>
      <c r="F1321" s="750"/>
      <c r="G1321" s="693" t="s">
        <v>307</v>
      </c>
      <c r="H1321" s="844" t="s">
        <v>528</v>
      </c>
      <c r="I1321" s="747" t="e">
        <f>VLOOKUP(H1318,'CNKT '!$D$99:$AA$106,11,0)</f>
        <v>#REF!</v>
      </c>
      <c r="J1321" s="698">
        <f>46.1*$B$2</f>
        <v>30833.524000000001</v>
      </c>
      <c r="K1321" s="695" t="e">
        <f t="shared" si="154"/>
        <v>#REF!</v>
      </c>
      <c r="L1321" s="690"/>
    </row>
    <row r="1322" spans="1:12" s="27" customFormat="1" ht="17.25" customHeight="1">
      <c r="A1322" s="693" t="s">
        <v>399</v>
      </c>
      <c r="B1322" s="844" t="s">
        <v>529</v>
      </c>
      <c r="C1322" s="747" t="e">
        <f>VLOOKUP(B1318,'CNKT '!$D$99:$AA$106,12,0)</f>
        <v>#REF!</v>
      </c>
      <c r="D1322" s="697">
        <f>76.9*$B$2</f>
        <v>51433.796000000009</v>
      </c>
      <c r="E1322" s="695" t="e">
        <f t="shared" si="153"/>
        <v>#REF!</v>
      </c>
      <c r="F1322" s="750"/>
      <c r="G1322" s="693" t="s">
        <v>399</v>
      </c>
      <c r="H1322" s="844" t="s">
        <v>529</v>
      </c>
      <c r="I1322" s="747" t="e">
        <f>VLOOKUP(H1318,'CNKT '!$D$99:$AA$106,12,0)</f>
        <v>#REF!</v>
      </c>
      <c r="J1322" s="697">
        <f>76.9*$B$2</f>
        <v>51433.796000000009</v>
      </c>
      <c r="K1322" s="695" t="e">
        <f t="shared" si="154"/>
        <v>#REF!</v>
      </c>
      <c r="L1322" s="690"/>
    </row>
    <row r="1323" spans="1:12" s="27" customFormat="1" ht="17.25" customHeight="1">
      <c r="A1323" s="693" t="s">
        <v>78</v>
      </c>
      <c r="B1323" s="844" t="s">
        <v>530</v>
      </c>
      <c r="C1323" s="747" t="e">
        <f>VLOOKUP(B1318,'CNKT '!$D$99:$AA$106,8,0)</f>
        <v>#REF!</v>
      </c>
      <c r="D1323" s="697" t="e">
        <f>IF(C1319="A",6.1,IF(C1319="B",5.8,IF(C1319="C",5.5,IF(C1319="C.",5.5,IF(C1319="D",5.2)))))*$B$2</f>
        <v>#REF!</v>
      </c>
      <c r="E1323" s="695" t="e">
        <f t="shared" si="153"/>
        <v>#REF!</v>
      </c>
      <c r="F1323" s="750"/>
      <c r="G1323" s="693" t="s">
        <v>78</v>
      </c>
      <c r="H1323" s="844" t="s">
        <v>530</v>
      </c>
      <c r="I1323" s="747" t="e">
        <f>VLOOKUP(H1318,'CNKT '!$D$99:$AA$106,8,0)</f>
        <v>#REF!</v>
      </c>
      <c r="J1323" s="697" t="e">
        <f>IF(I1319="A",6.1,IF(I1319="B",5.8,IF(I1319="C",5.5,IF(I1319="C.",5.5,IF(I1319="D",5.2)))))*$B$2</f>
        <v>#REF!</v>
      </c>
      <c r="K1323" s="695" t="e">
        <f t="shared" si="154"/>
        <v>#REF!</v>
      </c>
      <c r="L1323" s="690"/>
    </row>
    <row r="1324" spans="1:12" s="27" customFormat="1" ht="17.25" customHeight="1">
      <c r="A1324" s="693" t="s">
        <v>491</v>
      </c>
      <c r="B1324" s="844" t="s">
        <v>531</v>
      </c>
      <c r="C1324" s="747" t="e">
        <f>VLOOKUP(B1318,'CNKT '!$D$99:$AA$106,15,0)</f>
        <v>#REF!</v>
      </c>
      <c r="D1324" s="698">
        <f>92.2*$B$2</f>
        <v>61667.048000000003</v>
      </c>
      <c r="E1324" s="695" t="e">
        <f t="shared" si="153"/>
        <v>#REF!</v>
      </c>
      <c r="F1324" s="750"/>
      <c r="G1324" s="693" t="s">
        <v>491</v>
      </c>
      <c r="H1324" s="844" t="s">
        <v>531</v>
      </c>
      <c r="I1324" s="747" t="e">
        <f>VLOOKUP(H1318,'CNKT '!$D$99:$AA$106,15,0)</f>
        <v>#REF!</v>
      </c>
      <c r="J1324" s="698">
        <f>92.2*$B$2</f>
        <v>61667.048000000003</v>
      </c>
      <c r="K1324" s="695" t="e">
        <f t="shared" si="154"/>
        <v>#REF!</v>
      </c>
      <c r="L1324" s="690"/>
    </row>
    <row r="1325" spans="1:12" s="27" customFormat="1" ht="17.25" customHeight="1">
      <c r="A1325" s="693" t="s">
        <v>492</v>
      </c>
      <c r="B1325" s="844" t="s">
        <v>496</v>
      </c>
      <c r="C1325" s="747" t="e">
        <f>VLOOKUP(B1318,'CNKT '!$D$99:$AA$106,16,0)</f>
        <v>#REF!</v>
      </c>
      <c r="D1325" s="697">
        <f>153.8*$B$2</f>
        <v>102867.59200000002</v>
      </c>
      <c r="E1325" s="695" t="e">
        <f t="shared" si="153"/>
        <v>#REF!</v>
      </c>
      <c r="F1325" s="750"/>
      <c r="G1325" s="693" t="s">
        <v>492</v>
      </c>
      <c r="H1325" s="844" t="s">
        <v>496</v>
      </c>
      <c r="I1325" s="747" t="e">
        <f>VLOOKUP(H1318,'CNKT '!$D$99:$AA$106,16,0)</f>
        <v>#REF!</v>
      </c>
      <c r="J1325" s="697">
        <f>153.8*$B$2</f>
        <v>102867.59200000002</v>
      </c>
      <c r="K1325" s="695" t="e">
        <f t="shared" si="154"/>
        <v>#REF!</v>
      </c>
      <c r="L1325" s="690"/>
    </row>
    <row r="1326" spans="1:12" s="27" customFormat="1" ht="17.25" customHeight="1">
      <c r="A1326" s="693" t="s">
        <v>453</v>
      </c>
      <c r="B1326" s="844" t="s">
        <v>497</v>
      </c>
      <c r="C1326" s="747" t="e">
        <f>VLOOKUP(B1318,'CNKT '!$D$99:$AA$112,18,0)</f>
        <v>#REF!</v>
      </c>
      <c r="D1326" s="697">
        <v>10000</v>
      </c>
      <c r="E1326" s="695" t="e">
        <f>C1326*D1326</f>
        <v>#REF!</v>
      </c>
      <c r="F1326" s="750"/>
      <c r="G1326" s="693" t="s">
        <v>453</v>
      </c>
      <c r="H1326" s="844" t="s">
        <v>497</v>
      </c>
      <c r="I1326" s="747" t="e">
        <f>VLOOKUP(H1318,'CNKT '!$D$99:$AA$112,18,0)</f>
        <v>#REF!</v>
      </c>
      <c r="J1326" s="697">
        <v>10000</v>
      </c>
      <c r="K1326" s="695" t="e">
        <f>I1326*J1326</f>
        <v>#REF!</v>
      </c>
      <c r="L1326" s="690"/>
    </row>
    <row r="1327" spans="1:12" s="27" customFormat="1" ht="17.25" customHeight="1">
      <c r="A1327" s="693" t="s">
        <v>453</v>
      </c>
      <c r="B1327" s="844" t="s">
        <v>497</v>
      </c>
      <c r="C1327" s="747" t="e">
        <f>VLOOKUP(B1318,'CNKT '!$D$99:$AA$112,19,0)</f>
        <v>#REF!</v>
      </c>
      <c r="D1327" s="697">
        <v>20000</v>
      </c>
      <c r="E1327" s="695" t="e">
        <f>C1327*D1327</f>
        <v>#REF!</v>
      </c>
      <c r="F1327" s="750"/>
      <c r="G1327" s="693" t="s">
        <v>453</v>
      </c>
      <c r="H1327" s="844" t="s">
        <v>497</v>
      </c>
      <c r="I1327" s="747" t="e">
        <f>VLOOKUP(H1318,'CNKT '!$D$99:$AA$112,19,0)</f>
        <v>#REF!</v>
      </c>
      <c r="J1327" s="697">
        <v>20000</v>
      </c>
      <c r="K1327" s="695" t="e">
        <f>I1327*J1327</f>
        <v>#REF!</v>
      </c>
      <c r="L1327" s="690"/>
    </row>
    <row r="1328" spans="1:12" s="27" customFormat="1" ht="17.25" customHeight="1">
      <c r="A1328" s="693" t="s">
        <v>512</v>
      </c>
      <c r="B1328" s="844" t="s">
        <v>513</v>
      </c>
      <c r="C1328" s="747"/>
      <c r="D1328" s="697"/>
      <c r="E1328" s="695"/>
      <c r="F1328" s="750"/>
      <c r="G1328" s="693" t="s">
        <v>512</v>
      </c>
      <c r="H1328" s="844" t="s">
        <v>513</v>
      </c>
      <c r="I1328" s="747"/>
      <c r="J1328" s="697"/>
      <c r="K1328" s="695"/>
      <c r="L1328" s="690"/>
    </row>
    <row r="1329" spans="1:12" s="27" customFormat="1" ht="17.25" customHeight="1">
      <c r="A1329" s="699" t="s">
        <v>79</v>
      </c>
      <c r="B1329" s="845" t="s">
        <v>532</v>
      </c>
      <c r="C1329" s="700"/>
      <c r="D1329" s="701"/>
      <c r="E1329" s="700"/>
      <c r="F1329" s="750"/>
      <c r="G1329" s="699" t="s">
        <v>79</v>
      </c>
      <c r="H1329" s="845" t="s">
        <v>532</v>
      </c>
      <c r="I1329" s="700"/>
      <c r="J1329" s="701"/>
      <c r="K1329" s="700"/>
      <c r="L1329" s="690"/>
    </row>
    <row r="1330" spans="1:12" s="27" customFormat="1" ht="17.25" customHeight="1">
      <c r="A1330" s="702" t="s">
        <v>80</v>
      </c>
      <c r="B1330" s="846" t="s">
        <v>533</v>
      </c>
      <c r="C1330" s="700"/>
      <c r="D1330" s="700"/>
      <c r="E1330" s="700"/>
      <c r="F1330" s="750"/>
      <c r="G1330" s="702" t="s">
        <v>80</v>
      </c>
      <c r="H1330" s="846" t="s">
        <v>533</v>
      </c>
      <c r="I1330" s="700"/>
      <c r="J1330" s="700"/>
      <c r="K1330" s="700"/>
      <c r="L1330" s="690"/>
    </row>
    <row r="1331" spans="1:12" s="27" customFormat="1" ht="17.25" customHeight="1">
      <c r="A1331" s="702" t="s">
        <v>81</v>
      </c>
      <c r="B1331" s="847" t="s">
        <v>534</v>
      </c>
      <c r="C1331" s="700"/>
      <c r="D1331" s="700"/>
      <c r="E1331" s="695">
        <f>SUM(E1330)</f>
        <v>0</v>
      </c>
      <c r="F1331" s="750"/>
      <c r="G1331" s="702" t="s">
        <v>81</v>
      </c>
      <c r="H1331" s="847" t="s">
        <v>534</v>
      </c>
      <c r="I1331" s="700"/>
      <c r="J1331" s="700"/>
      <c r="K1331" s="695">
        <f>SUM(K1330)</f>
        <v>0</v>
      </c>
      <c r="L1331" s="690"/>
    </row>
    <row r="1332" spans="1:12" s="27" customFormat="1" ht="17.25" customHeight="1">
      <c r="A1332" s="704" t="s">
        <v>82</v>
      </c>
      <c r="B1332" s="848" t="s">
        <v>438</v>
      </c>
      <c r="C1332" s="705"/>
      <c r="D1332" s="705"/>
      <c r="E1332" s="705" t="e">
        <f>(E1320+E1321+E1322+E1323+E1324+E1325+E1326+E1327+E1328)-E1331</f>
        <v>#REF!</v>
      </c>
      <c r="F1332" s="750"/>
      <c r="G1332" s="704" t="s">
        <v>82</v>
      </c>
      <c r="H1332" s="848" t="s">
        <v>438</v>
      </c>
      <c r="I1332" s="705"/>
      <c r="J1332" s="705"/>
      <c r="K1332" s="705" t="e">
        <f>(K1320+K1321+K1322+K1323+K1324+K1325+K1326+K1327+K1328)-K1331</f>
        <v>#REF!</v>
      </c>
      <c r="L1332" s="707" t="e">
        <f>E1332+K1332</f>
        <v>#REF!</v>
      </c>
    </row>
    <row r="1333" spans="1:12" s="27" customFormat="1" ht="222.75" customHeight="1">
      <c r="A1333" s="763"/>
      <c r="B1333" s="763"/>
      <c r="C1333" s="763"/>
      <c r="D1333" s="763"/>
      <c r="E1333" s="763"/>
      <c r="F1333" s="742"/>
      <c r="G1333" s="763"/>
      <c r="H1333" s="763"/>
      <c r="I1333" s="763"/>
      <c r="J1333" s="763"/>
      <c r="K1333" s="743"/>
      <c r="L1333" s="690"/>
    </row>
    <row r="1334" spans="1:12" s="27" customFormat="1" ht="17.25" customHeight="1">
      <c r="A1334" s="763" t="str">
        <f>A1317</f>
        <v>LƯƠNG THÁNG 01/2025</v>
      </c>
      <c r="B1334" s="763"/>
      <c r="C1334" s="763"/>
      <c r="D1334" s="763"/>
      <c r="E1334" s="763" t="e">
        <f>VLOOKUP(B1335,'CNKT '!$D$99:$AD$112,26,0)</f>
        <v>#REF!</v>
      </c>
      <c r="F1334" s="742"/>
      <c r="G1334" s="763" t="str">
        <f>A1334</f>
        <v>LƯƠNG THÁNG 01/2025</v>
      </c>
      <c r="H1334" s="763"/>
      <c r="I1334" s="763"/>
      <c r="J1334" s="763"/>
      <c r="K1334" s="763" t="e">
        <f>VLOOKUP(H1335,'CNKT '!$D$99:$AD$112,26,0)</f>
        <v>#REF!</v>
      </c>
      <c r="L1334" s="690"/>
    </row>
    <row r="1335" spans="1:12" s="27" customFormat="1" ht="17.25" customHeight="1">
      <c r="A1335" s="709" t="s">
        <v>15</v>
      </c>
      <c r="B1335" s="840" t="e">
        <f>'CNKT '!#REF!</f>
        <v>#REF!</v>
      </c>
      <c r="C1335" s="694"/>
      <c r="D1335" s="840" t="s">
        <v>396</v>
      </c>
      <c r="E1335" s="840" t="s">
        <v>18</v>
      </c>
      <c r="F1335" s="750"/>
      <c r="G1335" s="709" t="s">
        <v>15</v>
      </c>
      <c r="H1335" s="840" t="e">
        <f>'CNKT '!#REF!</f>
        <v>#REF!</v>
      </c>
      <c r="I1335" s="694"/>
      <c r="J1335" s="840" t="s">
        <v>396</v>
      </c>
      <c r="K1335" s="840" t="s">
        <v>18</v>
      </c>
      <c r="L1335" s="690"/>
    </row>
    <row r="1336" spans="1:12" s="27" customFormat="1" ht="17.25" customHeight="1">
      <c r="A1336" s="693" t="s">
        <v>397</v>
      </c>
      <c r="B1336" s="842" t="s">
        <v>527</v>
      </c>
      <c r="C1336" s="694" t="e">
        <f>VLOOKUP(B1335,'BTH mủ tạp'!#REF!,36,0)</f>
        <v>#REF!</v>
      </c>
      <c r="D1336" s="695"/>
      <c r="E1336" s="695"/>
      <c r="F1336" s="750"/>
      <c r="G1336" s="693" t="s">
        <v>397</v>
      </c>
      <c r="H1336" s="842" t="s">
        <v>527</v>
      </c>
      <c r="I1336" s="694" t="e">
        <f>VLOOKUP(H1335,'BTH mủ tạp'!#REF!,36,0)</f>
        <v>#REF!</v>
      </c>
      <c r="J1336" s="695"/>
      <c r="K1336" s="695"/>
      <c r="L1336" s="690"/>
    </row>
    <row r="1337" spans="1:12" s="27" customFormat="1" ht="17.25" customHeight="1">
      <c r="A1337" s="693" t="s">
        <v>77</v>
      </c>
      <c r="B1337" s="843" t="s">
        <v>432</v>
      </c>
      <c r="C1337" s="696" t="e">
        <f>VLOOKUP(B1335,'CNKT '!$D$99:$AA$106,3,0)</f>
        <v>#REF!</v>
      </c>
      <c r="D1337" s="697">
        <v>25000</v>
      </c>
      <c r="E1337" s="695" t="e">
        <f t="shared" ref="E1337:E1342" si="155">C1337*D1337</f>
        <v>#REF!</v>
      </c>
      <c r="F1337" s="750"/>
      <c r="G1337" s="693" t="s">
        <v>77</v>
      </c>
      <c r="H1337" s="843" t="s">
        <v>432</v>
      </c>
      <c r="I1337" s="696" t="e">
        <f>VLOOKUP(H1335,'CNKT '!$D$99:$AA$106,3,0)</f>
        <v>#REF!</v>
      </c>
      <c r="J1337" s="697">
        <v>25000</v>
      </c>
      <c r="K1337" s="695" t="e">
        <f t="shared" ref="K1337:K1342" si="156">I1337*J1337</f>
        <v>#REF!</v>
      </c>
      <c r="L1337" s="690"/>
    </row>
    <row r="1338" spans="1:12" s="27" customFormat="1" ht="17.25" customHeight="1">
      <c r="A1338" s="693" t="s">
        <v>307</v>
      </c>
      <c r="B1338" s="844" t="s">
        <v>528</v>
      </c>
      <c r="C1338" s="747" t="e">
        <f>VLOOKUP(B1335,'CNKT '!$D$99:$AA$106,11,0)</f>
        <v>#REF!</v>
      </c>
      <c r="D1338" s="698">
        <f>46.1*$B$2</f>
        <v>30833.524000000001</v>
      </c>
      <c r="E1338" s="695" t="e">
        <f t="shared" si="155"/>
        <v>#REF!</v>
      </c>
      <c r="F1338" s="750"/>
      <c r="G1338" s="693" t="s">
        <v>307</v>
      </c>
      <c r="H1338" s="844" t="s">
        <v>528</v>
      </c>
      <c r="I1338" s="747" t="e">
        <f>VLOOKUP(H1335,'CNKT '!$D$99:$AA$106,11,0)</f>
        <v>#REF!</v>
      </c>
      <c r="J1338" s="698">
        <f>46.1*$B$2</f>
        <v>30833.524000000001</v>
      </c>
      <c r="K1338" s="695" t="e">
        <f t="shared" si="156"/>
        <v>#REF!</v>
      </c>
      <c r="L1338" s="690"/>
    </row>
    <row r="1339" spans="1:12" s="27" customFormat="1" ht="17.25" customHeight="1">
      <c r="A1339" s="693" t="s">
        <v>399</v>
      </c>
      <c r="B1339" s="844" t="s">
        <v>529</v>
      </c>
      <c r="C1339" s="747" t="e">
        <f>VLOOKUP(B1335,'CNKT '!$D$99:$AA$106,12,0)</f>
        <v>#REF!</v>
      </c>
      <c r="D1339" s="697">
        <f>76.9*$B$2</f>
        <v>51433.796000000009</v>
      </c>
      <c r="E1339" s="695" t="e">
        <f t="shared" si="155"/>
        <v>#REF!</v>
      </c>
      <c r="F1339" s="750"/>
      <c r="G1339" s="693" t="s">
        <v>399</v>
      </c>
      <c r="H1339" s="844" t="s">
        <v>529</v>
      </c>
      <c r="I1339" s="747" t="e">
        <f>VLOOKUP(H1335,'CNKT '!$D$99:$AA$106,12,0)</f>
        <v>#REF!</v>
      </c>
      <c r="J1339" s="697">
        <f>76.9*$B$2</f>
        <v>51433.796000000009</v>
      </c>
      <c r="K1339" s="695" t="e">
        <f t="shared" si="156"/>
        <v>#REF!</v>
      </c>
      <c r="L1339" s="690"/>
    </row>
    <row r="1340" spans="1:12" s="27" customFormat="1" ht="17.25" customHeight="1">
      <c r="A1340" s="693" t="s">
        <v>78</v>
      </c>
      <c r="B1340" s="844" t="s">
        <v>530</v>
      </c>
      <c r="C1340" s="747" t="e">
        <f>VLOOKUP(B1335,'CNKT '!$D$99:$AA$106,8,0)</f>
        <v>#REF!</v>
      </c>
      <c r="D1340" s="697" t="e">
        <f>IF(C1336="A",6.1,IF(C1336="B",5.8,IF(C1336="C",5.5,IF(C1336="C.",5.5,IF(C1336="D",5.2)))))*$B$2</f>
        <v>#REF!</v>
      </c>
      <c r="E1340" s="695" t="e">
        <f t="shared" si="155"/>
        <v>#REF!</v>
      </c>
      <c r="F1340" s="750"/>
      <c r="G1340" s="693" t="s">
        <v>78</v>
      </c>
      <c r="H1340" s="844" t="s">
        <v>530</v>
      </c>
      <c r="I1340" s="747" t="e">
        <f>VLOOKUP(H1335,'CNKT '!$D$99:$AA$106,8,0)</f>
        <v>#REF!</v>
      </c>
      <c r="J1340" s="697" t="e">
        <f>IF(I1336="A",6.1,IF(I1336="B",5.8,IF(I1336="C",5.5,IF(I1336="C.",5.5,IF(I1336="D",5.2)))))*$B$2</f>
        <v>#REF!</v>
      </c>
      <c r="K1340" s="695" t="e">
        <f t="shared" si="156"/>
        <v>#REF!</v>
      </c>
      <c r="L1340" s="690"/>
    </row>
    <row r="1341" spans="1:12" s="27" customFormat="1" ht="17.25" customHeight="1">
      <c r="A1341" s="693" t="s">
        <v>491</v>
      </c>
      <c r="B1341" s="844" t="s">
        <v>531</v>
      </c>
      <c r="C1341" s="747" t="e">
        <f>VLOOKUP(B1335,'CNKT '!$D$99:$AA$106,15,0)</f>
        <v>#REF!</v>
      </c>
      <c r="D1341" s="698">
        <f>92.2*$B$2</f>
        <v>61667.048000000003</v>
      </c>
      <c r="E1341" s="695" t="e">
        <f t="shared" si="155"/>
        <v>#REF!</v>
      </c>
      <c r="F1341" s="750"/>
      <c r="G1341" s="693" t="s">
        <v>491</v>
      </c>
      <c r="H1341" s="844" t="s">
        <v>531</v>
      </c>
      <c r="I1341" s="747" t="e">
        <f>VLOOKUP(H1335,'CNKT '!$D$99:$AA$106,15,0)</f>
        <v>#REF!</v>
      </c>
      <c r="J1341" s="698">
        <f>92.2*$B$2</f>
        <v>61667.048000000003</v>
      </c>
      <c r="K1341" s="695" t="e">
        <f t="shared" si="156"/>
        <v>#REF!</v>
      </c>
      <c r="L1341" s="690"/>
    </row>
    <row r="1342" spans="1:12" s="27" customFormat="1" ht="17.25" customHeight="1">
      <c r="A1342" s="693" t="s">
        <v>492</v>
      </c>
      <c r="B1342" s="844" t="s">
        <v>496</v>
      </c>
      <c r="C1342" s="747" t="e">
        <f>VLOOKUP(B1335,'CNKT '!$D$99:$AA$106,16,0)</f>
        <v>#REF!</v>
      </c>
      <c r="D1342" s="697">
        <f>153.8*$B$2</f>
        <v>102867.59200000002</v>
      </c>
      <c r="E1342" s="695" t="e">
        <f t="shared" si="155"/>
        <v>#REF!</v>
      </c>
      <c r="F1342" s="750"/>
      <c r="G1342" s="693" t="s">
        <v>492</v>
      </c>
      <c r="H1342" s="844" t="s">
        <v>496</v>
      </c>
      <c r="I1342" s="747" t="e">
        <f>VLOOKUP(H1335,'CNKT '!$D$99:$AA$106,16,0)</f>
        <v>#REF!</v>
      </c>
      <c r="J1342" s="697">
        <f>153.8*$B$2</f>
        <v>102867.59200000002</v>
      </c>
      <c r="K1342" s="695" t="e">
        <f t="shared" si="156"/>
        <v>#REF!</v>
      </c>
      <c r="L1342" s="690"/>
    </row>
    <row r="1343" spans="1:12" s="27" customFormat="1" ht="17.25" customHeight="1">
      <c r="A1343" s="693" t="s">
        <v>453</v>
      </c>
      <c r="B1343" s="844" t="s">
        <v>497</v>
      </c>
      <c r="C1343" s="747" t="e">
        <f>VLOOKUP(B1335,'CNKT '!$D$99:$AA$112,18,0)</f>
        <v>#REF!</v>
      </c>
      <c r="D1343" s="697">
        <v>10000</v>
      </c>
      <c r="E1343" s="695" t="e">
        <f>C1343*D1343</f>
        <v>#REF!</v>
      </c>
      <c r="F1343" s="750"/>
      <c r="G1343" s="693" t="s">
        <v>453</v>
      </c>
      <c r="H1343" s="844" t="s">
        <v>497</v>
      </c>
      <c r="I1343" s="747" t="e">
        <f>VLOOKUP(H1335,'CNKT '!$D$99:$AA$112,18,0)</f>
        <v>#REF!</v>
      </c>
      <c r="J1343" s="697">
        <v>10000</v>
      </c>
      <c r="K1343" s="695" t="e">
        <f>I1343*J1343</f>
        <v>#REF!</v>
      </c>
      <c r="L1343" s="690"/>
    </row>
    <row r="1344" spans="1:12" s="27" customFormat="1" ht="17.25" customHeight="1">
      <c r="A1344" s="693" t="s">
        <v>453</v>
      </c>
      <c r="B1344" s="844" t="s">
        <v>497</v>
      </c>
      <c r="C1344" s="747" t="e">
        <f>VLOOKUP(B1335,'CNKT '!$D$99:$AA$112,19,0)</f>
        <v>#REF!</v>
      </c>
      <c r="D1344" s="697">
        <v>20000</v>
      </c>
      <c r="E1344" s="695" t="e">
        <f>C1344*D1344</f>
        <v>#REF!</v>
      </c>
      <c r="F1344" s="750"/>
      <c r="G1344" s="693" t="s">
        <v>453</v>
      </c>
      <c r="H1344" s="844" t="s">
        <v>497</v>
      </c>
      <c r="I1344" s="747" t="e">
        <f>VLOOKUP(H1335,'CNKT '!$D$99:$AA$112,19,0)</f>
        <v>#REF!</v>
      </c>
      <c r="J1344" s="697">
        <v>20000</v>
      </c>
      <c r="K1344" s="695" t="e">
        <f>I1344*J1344</f>
        <v>#REF!</v>
      </c>
      <c r="L1344" s="690"/>
    </row>
    <row r="1345" spans="1:12" s="27" customFormat="1" ht="17.25" customHeight="1">
      <c r="A1345" s="693" t="s">
        <v>512</v>
      </c>
      <c r="B1345" s="844" t="s">
        <v>513</v>
      </c>
      <c r="C1345" s="747"/>
      <c r="D1345" s="697"/>
      <c r="E1345" s="695"/>
      <c r="F1345" s="750"/>
      <c r="G1345" s="693" t="s">
        <v>512</v>
      </c>
      <c r="H1345" s="844" t="s">
        <v>513</v>
      </c>
      <c r="I1345" s="747"/>
      <c r="J1345" s="697"/>
      <c r="K1345" s="695"/>
      <c r="L1345" s="690"/>
    </row>
    <row r="1346" spans="1:12" s="27" customFormat="1" ht="17.25" customHeight="1">
      <c r="A1346" s="699" t="s">
        <v>79</v>
      </c>
      <c r="B1346" s="845" t="s">
        <v>532</v>
      </c>
      <c r="C1346" s="700"/>
      <c r="D1346" s="701"/>
      <c r="E1346" s="700"/>
      <c r="F1346" s="750"/>
      <c r="G1346" s="699" t="s">
        <v>79</v>
      </c>
      <c r="H1346" s="845" t="s">
        <v>532</v>
      </c>
      <c r="I1346" s="700"/>
      <c r="J1346" s="701"/>
      <c r="K1346" s="700"/>
      <c r="L1346" s="690"/>
    </row>
    <row r="1347" spans="1:12" s="27" customFormat="1" ht="17.25" customHeight="1">
      <c r="A1347" s="702" t="s">
        <v>80</v>
      </c>
      <c r="B1347" s="846" t="s">
        <v>533</v>
      </c>
      <c r="C1347" s="700"/>
      <c r="D1347" s="700"/>
      <c r="E1347" s="700"/>
      <c r="F1347" s="750"/>
      <c r="G1347" s="702" t="s">
        <v>80</v>
      </c>
      <c r="H1347" s="846" t="s">
        <v>533</v>
      </c>
      <c r="I1347" s="700"/>
      <c r="J1347" s="700"/>
      <c r="K1347" s="700"/>
      <c r="L1347" s="690"/>
    </row>
    <row r="1348" spans="1:12" s="27" customFormat="1" ht="17.25" customHeight="1">
      <c r="A1348" s="702" t="s">
        <v>81</v>
      </c>
      <c r="B1348" s="847" t="s">
        <v>534</v>
      </c>
      <c r="C1348" s="700"/>
      <c r="D1348" s="700"/>
      <c r="E1348" s="695">
        <f>SUM(E1347)</f>
        <v>0</v>
      </c>
      <c r="F1348" s="750"/>
      <c r="G1348" s="702" t="s">
        <v>81</v>
      </c>
      <c r="H1348" s="847" t="s">
        <v>534</v>
      </c>
      <c r="I1348" s="700"/>
      <c r="J1348" s="700"/>
      <c r="K1348" s="695">
        <f>SUM(K1347)</f>
        <v>0</v>
      </c>
      <c r="L1348" s="690"/>
    </row>
    <row r="1349" spans="1:12" s="27" customFormat="1" ht="17.25" customHeight="1">
      <c r="A1349" s="704" t="s">
        <v>82</v>
      </c>
      <c r="B1349" s="848" t="s">
        <v>438</v>
      </c>
      <c r="C1349" s="705"/>
      <c r="D1349" s="705"/>
      <c r="E1349" s="705" t="e">
        <f>(E1337+E1338+E1339+E1340+E1341+E1342+E1343+E1344+E1345)-E1348</f>
        <v>#REF!</v>
      </c>
      <c r="F1349" s="750"/>
      <c r="G1349" s="704" t="s">
        <v>82</v>
      </c>
      <c r="H1349" s="848" t="s">
        <v>438</v>
      </c>
      <c r="I1349" s="705"/>
      <c r="J1349" s="705"/>
      <c r="K1349" s="705" t="e">
        <f>(K1337+K1338+K1339+K1340+K1341+K1342+K1343+K1344+K1345)-K1348</f>
        <v>#REF!</v>
      </c>
      <c r="L1349" s="707" t="e">
        <f>E1349+K1349</f>
        <v>#REF!</v>
      </c>
    </row>
    <row r="1350" spans="1:12" s="27" customFormat="1" ht="17.25" customHeight="1">
      <c r="A1350" s="763"/>
      <c r="B1350" s="763"/>
      <c r="C1350" s="763"/>
      <c r="D1350" s="763"/>
      <c r="E1350" s="763"/>
      <c r="F1350" s="742"/>
      <c r="G1350" s="763"/>
      <c r="H1350" s="763"/>
      <c r="I1350" s="763"/>
      <c r="J1350" s="763"/>
      <c r="K1350" s="743"/>
      <c r="L1350" s="690"/>
    </row>
    <row r="1351" spans="1:12" s="27" customFormat="1" ht="17.25" customHeight="1">
      <c r="A1351" s="763" t="str">
        <f>A1334</f>
        <v>LƯƠNG THÁNG 01/2025</v>
      </c>
      <c r="B1351" s="763"/>
      <c r="C1351" s="763"/>
      <c r="D1351" s="763"/>
      <c r="E1351" s="763" t="e">
        <f>VLOOKUP(B1352,'CNKT '!$D$99:$AD$112,26,0)</f>
        <v>#REF!</v>
      </c>
      <c r="F1351" s="742"/>
      <c r="G1351" s="763" t="str">
        <f>A1351</f>
        <v>LƯƠNG THÁNG 01/2025</v>
      </c>
      <c r="H1351" s="763"/>
      <c r="I1351" s="763"/>
      <c r="J1351" s="763"/>
      <c r="K1351" s="763" t="e">
        <f>VLOOKUP(H1352,'CNKT '!$D$99:$AD$112,26,0)</f>
        <v>#REF!</v>
      </c>
      <c r="L1351" s="690"/>
    </row>
    <row r="1352" spans="1:12" s="27" customFormat="1" ht="17.25" customHeight="1">
      <c r="A1352" s="709" t="s">
        <v>15</v>
      </c>
      <c r="B1352" s="840" t="e">
        <f>'CNKT '!#REF!</f>
        <v>#REF!</v>
      </c>
      <c r="C1352" s="694"/>
      <c r="D1352" s="840" t="s">
        <v>396</v>
      </c>
      <c r="E1352" s="840" t="s">
        <v>18</v>
      </c>
      <c r="F1352" s="750"/>
      <c r="G1352" s="709" t="s">
        <v>15</v>
      </c>
      <c r="H1352" s="840" t="e">
        <f>'CNKT '!#REF!</f>
        <v>#REF!</v>
      </c>
      <c r="I1352" s="694"/>
      <c r="J1352" s="840" t="s">
        <v>396</v>
      </c>
      <c r="K1352" s="840" t="s">
        <v>18</v>
      </c>
      <c r="L1352" s="690"/>
    </row>
    <row r="1353" spans="1:12" s="27" customFormat="1" ht="17.25" customHeight="1">
      <c r="A1353" s="693" t="s">
        <v>397</v>
      </c>
      <c r="B1353" s="842" t="s">
        <v>527</v>
      </c>
      <c r="C1353" s="694" t="e">
        <f>VLOOKUP(B1352,'BTH mủ tạp'!#REF!,36,0)</f>
        <v>#REF!</v>
      </c>
      <c r="D1353" s="695"/>
      <c r="E1353" s="695"/>
      <c r="F1353" s="750"/>
      <c r="G1353" s="693" t="s">
        <v>397</v>
      </c>
      <c r="H1353" s="842" t="s">
        <v>527</v>
      </c>
      <c r="I1353" s="694" t="e">
        <f>VLOOKUP(H1352,'BTH mủ tạp'!#REF!,36,0)</f>
        <v>#REF!</v>
      </c>
      <c r="J1353" s="695"/>
      <c r="K1353" s="695"/>
      <c r="L1353" s="690"/>
    </row>
    <row r="1354" spans="1:12" s="27" customFormat="1" ht="17.25" customHeight="1">
      <c r="A1354" s="693" t="s">
        <v>77</v>
      </c>
      <c r="B1354" s="843" t="s">
        <v>432</v>
      </c>
      <c r="C1354" s="696" t="e">
        <f>VLOOKUP(B1352,'CNKT '!$D$99:$AA$106,3,0)</f>
        <v>#REF!</v>
      </c>
      <c r="D1354" s="697">
        <v>25000</v>
      </c>
      <c r="E1354" s="695" t="e">
        <f t="shared" ref="E1354:E1359" si="157">C1354*D1354</f>
        <v>#REF!</v>
      </c>
      <c r="F1354" s="750"/>
      <c r="G1354" s="693" t="s">
        <v>77</v>
      </c>
      <c r="H1354" s="843" t="s">
        <v>432</v>
      </c>
      <c r="I1354" s="696" t="e">
        <f>VLOOKUP(H1352,'CNKT '!$D$99:$AA$106,3,0)</f>
        <v>#REF!</v>
      </c>
      <c r="J1354" s="697">
        <v>25000</v>
      </c>
      <c r="K1354" s="695" t="e">
        <f t="shared" ref="K1354:K1359" si="158">I1354*J1354</f>
        <v>#REF!</v>
      </c>
      <c r="L1354" s="690"/>
    </row>
    <row r="1355" spans="1:12" s="27" customFormat="1" ht="17.25" customHeight="1">
      <c r="A1355" s="693" t="s">
        <v>307</v>
      </c>
      <c r="B1355" s="844" t="s">
        <v>528</v>
      </c>
      <c r="C1355" s="747" t="e">
        <f>VLOOKUP(B1352,'CNKT '!$D$99:$AA$106,11,0)</f>
        <v>#REF!</v>
      </c>
      <c r="D1355" s="698">
        <f>46.1*$B$2</f>
        <v>30833.524000000001</v>
      </c>
      <c r="E1355" s="695" t="e">
        <f t="shared" si="157"/>
        <v>#REF!</v>
      </c>
      <c r="F1355" s="750"/>
      <c r="G1355" s="693" t="s">
        <v>307</v>
      </c>
      <c r="H1355" s="844" t="s">
        <v>528</v>
      </c>
      <c r="I1355" s="747" t="e">
        <f>VLOOKUP(H1352,'CNKT '!$D$99:$AA$106,11,0)</f>
        <v>#REF!</v>
      </c>
      <c r="J1355" s="698">
        <f>46.1*$B$2</f>
        <v>30833.524000000001</v>
      </c>
      <c r="K1355" s="695" t="e">
        <f t="shared" si="158"/>
        <v>#REF!</v>
      </c>
      <c r="L1355" s="690"/>
    </row>
    <row r="1356" spans="1:12" s="27" customFormat="1" ht="17.25" customHeight="1">
      <c r="A1356" s="693" t="s">
        <v>399</v>
      </c>
      <c r="B1356" s="844" t="s">
        <v>529</v>
      </c>
      <c r="C1356" s="747" t="e">
        <f>VLOOKUP(B1352,'CNKT '!$D$99:$AA$106,12,0)</f>
        <v>#REF!</v>
      </c>
      <c r="D1356" s="697">
        <f>76.9*$B$2</f>
        <v>51433.796000000009</v>
      </c>
      <c r="E1356" s="695" t="e">
        <f t="shared" si="157"/>
        <v>#REF!</v>
      </c>
      <c r="F1356" s="750"/>
      <c r="G1356" s="693" t="s">
        <v>399</v>
      </c>
      <c r="H1356" s="844" t="s">
        <v>529</v>
      </c>
      <c r="I1356" s="747" t="e">
        <f>VLOOKUP(H1352,'CNKT '!$D$99:$AA$106,12,0)</f>
        <v>#REF!</v>
      </c>
      <c r="J1356" s="697">
        <f>76.9*$B$2</f>
        <v>51433.796000000009</v>
      </c>
      <c r="K1356" s="695" t="e">
        <f t="shared" si="158"/>
        <v>#REF!</v>
      </c>
      <c r="L1356" s="690"/>
    </row>
    <row r="1357" spans="1:12" s="27" customFormat="1" ht="17.25" customHeight="1">
      <c r="A1357" s="693" t="s">
        <v>78</v>
      </c>
      <c r="B1357" s="844" t="s">
        <v>530</v>
      </c>
      <c r="C1357" s="747" t="e">
        <f>VLOOKUP(B1352,'CNKT '!$D$99:$AA$106,8,0)</f>
        <v>#REF!</v>
      </c>
      <c r="D1357" s="697" t="e">
        <f>IF(C1353="A",6.1,IF(C1353="B",5.8,IF(C1353="C",5.5,IF(C1353="C.",5.5,IF(C1353="D",5.2)))))*$B$2</f>
        <v>#REF!</v>
      </c>
      <c r="E1357" s="695" t="e">
        <f t="shared" si="157"/>
        <v>#REF!</v>
      </c>
      <c r="F1357" s="750"/>
      <c r="G1357" s="693" t="s">
        <v>78</v>
      </c>
      <c r="H1357" s="844" t="s">
        <v>530</v>
      </c>
      <c r="I1357" s="747" t="e">
        <f>VLOOKUP(H1352,'CNKT '!$D$99:$AA$106,8,0)</f>
        <v>#REF!</v>
      </c>
      <c r="J1357" s="697" t="e">
        <f>IF(I1353="A",6.1,IF(I1353="B",5.8,IF(I1353="C",5.5,IF(I1353="C.",5.5,IF(I1353="D",5.2)))))*$B$2</f>
        <v>#REF!</v>
      </c>
      <c r="K1357" s="695" t="e">
        <f t="shared" si="158"/>
        <v>#REF!</v>
      </c>
      <c r="L1357" s="690"/>
    </row>
    <row r="1358" spans="1:12" s="27" customFormat="1" ht="17.25" customHeight="1">
      <c r="A1358" s="693" t="s">
        <v>491</v>
      </c>
      <c r="B1358" s="844" t="s">
        <v>531</v>
      </c>
      <c r="C1358" s="747" t="e">
        <f>VLOOKUP(B1352,'CNKT '!$D$99:$AA$106,15,0)</f>
        <v>#REF!</v>
      </c>
      <c r="D1358" s="698">
        <f>92.2*$B$2</f>
        <v>61667.048000000003</v>
      </c>
      <c r="E1358" s="695" t="e">
        <f t="shared" si="157"/>
        <v>#REF!</v>
      </c>
      <c r="F1358" s="750"/>
      <c r="G1358" s="693" t="s">
        <v>491</v>
      </c>
      <c r="H1358" s="844" t="s">
        <v>531</v>
      </c>
      <c r="I1358" s="747" t="e">
        <f>VLOOKUP(H1352,'CNKT '!$D$99:$AA$106,15,0)</f>
        <v>#REF!</v>
      </c>
      <c r="J1358" s="698">
        <f>92.2*$B$2</f>
        <v>61667.048000000003</v>
      </c>
      <c r="K1358" s="695" t="e">
        <f t="shared" si="158"/>
        <v>#REF!</v>
      </c>
      <c r="L1358" s="690"/>
    </row>
    <row r="1359" spans="1:12" s="27" customFormat="1" ht="17.25" customHeight="1">
      <c r="A1359" s="693" t="s">
        <v>492</v>
      </c>
      <c r="B1359" s="844" t="s">
        <v>496</v>
      </c>
      <c r="C1359" s="747" t="e">
        <f>VLOOKUP(B1352,'CNKT '!$D$99:$AA$106,16,0)</f>
        <v>#REF!</v>
      </c>
      <c r="D1359" s="697">
        <f>153.8*$B$2</f>
        <v>102867.59200000002</v>
      </c>
      <c r="E1359" s="695" t="e">
        <f t="shared" si="157"/>
        <v>#REF!</v>
      </c>
      <c r="F1359" s="750"/>
      <c r="G1359" s="693" t="s">
        <v>492</v>
      </c>
      <c r="H1359" s="844" t="s">
        <v>496</v>
      </c>
      <c r="I1359" s="747" t="e">
        <f>VLOOKUP(H1352,'CNKT '!$D$99:$AA$106,16,0)</f>
        <v>#REF!</v>
      </c>
      <c r="J1359" s="697">
        <f>153.8*$B$2</f>
        <v>102867.59200000002</v>
      </c>
      <c r="K1359" s="695" t="e">
        <f t="shared" si="158"/>
        <v>#REF!</v>
      </c>
      <c r="L1359" s="690"/>
    </row>
    <row r="1360" spans="1:12" s="27" customFormat="1" ht="17.25" customHeight="1">
      <c r="A1360" s="693" t="s">
        <v>453</v>
      </c>
      <c r="B1360" s="844" t="s">
        <v>497</v>
      </c>
      <c r="C1360" s="747" t="e">
        <f>VLOOKUP(B1352,'CNKT '!$D$99:$AA$112,18,0)</f>
        <v>#REF!</v>
      </c>
      <c r="D1360" s="697">
        <v>10000</v>
      </c>
      <c r="E1360" s="695" t="e">
        <f>C1360*D1360</f>
        <v>#REF!</v>
      </c>
      <c r="F1360" s="750"/>
      <c r="G1360" s="693" t="s">
        <v>453</v>
      </c>
      <c r="H1360" s="844" t="s">
        <v>497</v>
      </c>
      <c r="I1360" s="747" t="e">
        <f>VLOOKUP(H1352,'CNKT '!$D$99:$AA$112,18,0)</f>
        <v>#REF!</v>
      </c>
      <c r="J1360" s="697">
        <v>10000</v>
      </c>
      <c r="K1360" s="695" t="e">
        <f>I1360*J1360</f>
        <v>#REF!</v>
      </c>
      <c r="L1360" s="690"/>
    </row>
    <row r="1361" spans="1:12" s="27" customFormat="1" ht="17.25" customHeight="1">
      <c r="A1361" s="693" t="s">
        <v>453</v>
      </c>
      <c r="B1361" s="844" t="s">
        <v>497</v>
      </c>
      <c r="C1361" s="747" t="e">
        <f>VLOOKUP(B1352,'CNKT '!$D$99:$AA$112,19,0)</f>
        <v>#REF!</v>
      </c>
      <c r="D1361" s="697">
        <v>20000</v>
      </c>
      <c r="E1361" s="695" t="e">
        <f>C1361*D1361</f>
        <v>#REF!</v>
      </c>
      <c r="F1361" s="750"/>
      <c r="G1361" s="693" t="s">
        <v>453</v>
      </c>
      <c r="H1361" s="844" t="s">
        <v>497</v>
      </c>
      <c r="I1361" s="747" t="e">
        <f>VLOOKUP(H1352,'CNKT '!$D$99:$AA$112,19,0)</f>
        <v>#REF!</v>
      </c>
      <c r="J1361" s="697">
        <v>20000</v>
      </c>
      <c r="K1361" s="695" t="e">
        <f>I1361*J1361</f>
        <v>#REF!</v>
      </c>
      <c r="L1361" s="690"/>
    </row>
    <row r="1362" spans="1:12" s="27" customFormat="1" ht="17.25" customHeight="1">
      <c r="A1362" s="693" t="s">
        <v>512</v>
      </c>
      <c r="B1362" s="844" t="s">
        <v>513</v>
      </c>
      <c r="C1362" s="747"/>
      <c r="D1362" s="697"/>
      <c r="E1362" s="695"/>
      <c r="F1362" s="750"/>
      <c r="G1362" s="693" t="s">
        <v>512</v>
      </c>
      <c r="H1362" s="844" t="s">
        <v>513</v>
      </c>
      <c r="I1362" s="747"/>
      <c r="J1362" s="697"/>
      <c r="K1362" s="695"/>
      <c r="L1362" s="690"/>
    </row>
    <row r="1363" spans="1:12" s="27" customFormat="1" ht="17.25" customHeight="1">
      <c r="A1363" s="699" t="s">
        <v>79</v>
      </c>
      <c r="B1363" s="845" t="s">
        <v>532</v>
      </c>
      <c r="C1363" s="700"/>
      <c r="D1363" s="701"/>
      <c r="E1363" s="700"/>
      <c r="F1363" s="750"/>
      <c r="G1363" s="699" t="s">
        <v>79</v>
      </c>
      <c r="H1363" s="845" t="s">
        <v>532</v>
      </c>
      <c r="I1363" s="700"/>
      <c r="J1363" s="701"/>
      <c r="K1363" s="700"/>
      <c r="L1363" s="690"/>
    </row>
    <row r="1364" spans="1:12" s="27" customFormat="1" ht="17.25" customHeight="1">
      <c r="A1364" s="702" t="s">
        <v>80</v>
      </c>
      <c r="B1364" s="846" t="s">
        <v>533</v>
      </c>
      <c r="C1364" s="700"/>
      <c r="D1364" s="700"/>
      <c r="E1364" s="700"/>
      <c r="F1364" s="750"/>
      <c r="G1364" s="702" t="s">
        <v>80</v>
      </c>
      <c r="H1364" s="846" t="s">
        <v>533</v>
      </c>
      <c r="I1364" s="700"/>
      <c r="J1364" s="700"/>
      <c r="K1364" s="700"/>
      <c r="L1364" s="690"/>
    </row>
    <row r="1365" spans="1:12" s="27" customFormat="1" ht="17.25" customHeight="1">
      <c r="A1365" s="702" t="s">
        <v>81</v>
      </c>
      <c r="B1365" s="847" t="s">
        <v>534</v>
      </c>
      <c r="C1365" s="700"/>
      <c r="D1365" s="700"/>
      <c r="E1365" s="695">
        <f>SUM(E1364)</f>
        <v>0</v>
      </c>
      <c r="F1365" s="750"/>
      <c r="G1365" s="702" t="s">
        <v>81</v>
      </c>
      <c r="H1365" s="847" t="s">
        <v>534</v>
      </c>
      <c r="I1365" s="700"/>
      <c r="J1365" s="700"/>
      <c r="K1365" s="695">
        <f>SUM(K1364)</f>
        <v>0</v>
      </c>
      <c r="L1365" s="690"/>
    </row>
    <row r="1366" spans="1:12" s="27" customFormat="1" ht="17.25" customHeight="1">
      <c r="A1366" s="704" t="s">
        <v>82</v>
      </c>
      <c r="B1366" s="848" t="s">
        <v>438</v>
      </c>
      <c r="C1366" s="705"/>
      <c r="D1366" s="705"/>
      <c r="E1366" s="705" t="e">
        <f>(E1354+E1355+E1356+E1357+E1358+E1359+E1360+E1361+E1362)-E1365</f>
        <v>#REF!</v>
      </c>
      <c r="F1366" s="750"/>
      <c r="G1366" s="704" t="s">
        <v>82</v>
      </c>
      <c r="H1366" s="848" t="s">
        <v>438</v>
      </c>
      <c r="I1366" s="705"/>
      <c r="J1366" s="705"/>
      <c r="K1366" s="705" t="e">
        <f>(K1354+K1355+K1356+K1357+K1358+K1359+K1360+K1361+K1362)-K1365</f>
        <v>#REF!</v>
      </c>
      <c r="L1366" s="707" t="e">
        <f>E1366+K1366</f>
        <v>#REF!</v>
      </c>
    </row>
    <row r="1367" spans="1:12" s="27" customFormat="1" ht="69" customHeight="1">
      <c r="A1367" s="763"/>
      <c r="B1367" s="763"/>
      <c r="C1367" s="763"/>
      <c r="D1367" s="763"/>
      <c r="E1367" s="763"/>
      <c r="F1367" s="742"/>
      <c r="G1367" s="763"/>
      <c r="H1367" s="763"/>
      <c r="I1367" s="763"/>
      <c r="J1367" s="763"/>
      <c r="K1367" s="743"/>
      <c r="L1367" s="690"/>
    </row>
    <row r="1368" spans="1:12" s="27" customFormat="1" ht="17.25" customHeight="1">
      <c r="A1368" s="763" t="str">
        <f>A1351</f>
        <v>LƯƠNG THÁNG 01/2025</v>
      </c>
      <c r="B1368" s="763"/>
      <c r="C1368" s="763"/>
      <c r="D1368" s="763"/>
      <c r="E1368" s="763" t="e">
        <f>VLOOKUP(B1369,'CNKT '!$D$99:$AD$112,26,0)</f>
        <v>#REF!</v>
      </c>
      <c r="F1368" s="742"/>
      <c r="G1368" s="763" t="str">
        <f>A1368</f>
        <v>LƯƠNG THÁNG 01/2025</v>
      </c>
      <c r="H1368" s="763"/>
      <c r="I1368" s="763"/>
      <c r="J1368" s="763"/>
      <c r="K1368" s="763" t="e">
        <f>VLOOKUP(H1369,'CNKT '!$D$99:$AD$112,26,0)</f>
        <v>#REF!</v>
      </c>
      <c r="L1368" s="690"/>
    </row>
    <row r="1369" spans="1:12" s="27" customFormat="1" ht="17.25" customHeight="1">
      <c r="A1369" s="709" t="s">
        <v>15</v>
      </c>
      <c r="B1369" s="840" t="e">
        <f>'CNKT '!D99</f>
        <v>#REF!</v>
      </c>
      <c r="C1369" s="694"/>
      <c r="D1369" s="840" t="s">
        <v>396</v>
      </c>
      <c r="E1369" s="840" t="s">
        <v>18</v>
      </c>
      <c r="F1369" s="750"/>
      <c r="G1369" s="709" t="s">
        <v>15</v>
      </c>
      <c r="H1369" s="840" t="e">
        <f>'CNKT '!D100</f>
        <v>#REF!</v>
      </c>
      <c r="I1369" s="694"/>
      <c r="J1369" s="840" t="s">
        <v>396</v>
      </c>
      <c r="K1369" s="840" t="s">
        <v>18</v>
      </c>
      <c r="L1369" s="690"/>
    </row>
    <row r="1370" spans="1:12" s="27" customFormat="1" ht="17.25" customHeight="1">
      <c r="A1370" s="693" t="s">
        <v>397</v>
      </c>
      <c r="B1370" s="842" t="s">
        <v>527</v>
      </c>
      <c r="C1370" s="694" t="e">
        <f>VLOOKUP(B1369,'BTH mủ tạp'!#REF!,36,0)</f>
        <v>#REF!</v>
      </c>
      <c r="D1370" s="695"/>
      <c r="E1370" s="695"/>
      <c r="F1370" s="750"/>
      <c r="G1370" s="693" t="s">
        <v>397</v>
      </c>
      <c r="H1370" s="842" t="s">
        <v>527</v>
      </c>
      <c r="I1370" s="694" t="e">
        <f>VLOOKUP(H1369,'BTH mủ tạp'!#REF!,36,0)</f>
        <v>#REF!</v>
      </c>
      <c r="J1370" s="695"/>
      <c r="K1370" s="695"/>
      <c r="L1370" s="690"/>
    </row>
    <row r="1371" spans="1:12" s="27" customFormat="1" ht="17.25" customHeight="1">
      <c r="A1371" s="693" t="s">
        <v>77</v>
      </c>
      <c r="B1371" s="843" t="s">
        <v>432</v>
      </c>
      <c r="C1371" s="696" t="e">
        <f>VLOOKUP(B1369,'CNKT '!$D$99:$AA$106,3,0)</f>
        <v>#REF!</v>
      </c>
      <c r="D1371" s="697">
        <v>25000</v>
      </c>
      <c r="E1371" s="695" t="e">
        <f t="shared" ref="E1371:E1376" si="159">C1371*D1371</f>
        <v>#REF!</v>
      </c>
      <c r="F1371" s="750"/>
      <c r="G1371" s="693" t="s">
        <v>77</v>
      </c>
      <c r="H1371" s="843" t="s">
        <v>432</v>
      </c>
      <c r="I1371" s="696" t="e">
        <f>VLOOKUP(H1369,'CNKT '!$D$99:$AA$106,3,0)</f>
        <v>#REF!</v>
      </c>
      <c r="J1371" s="697">
        <v>25000</v>
      </c>
      <c r="K1371" s="695" t="e">
        <f t="shared" ref="K1371:K1376" si="160">I1371*J1371</f>
        <v>#REF!</v>
      </c>
      <c r="L1371" s="690"/>
    </row>
    <row r="1372" spans="1:12" s="27" customFormat="1" ht="17.25" customHeight="1">
      <c r="A1372" s="693" t="s">
        <v>307</v>
      </c>
      <c r="B1372" s="844" t="s">
        <v>528</v>
      </c>
      <c r="C1372" s="747" t="e">
        <f>VLOOKUP(B1369,'CNKT '!$D$99:$AA$106,11,0)</f>
        <v>#REF!</v>
      </c>
      <c r="D1372" s="698">
        <f>46.1*$B$2</f>
        <v>30833.524000000001</v>
      </c>
      <c r="E1372" s="695" t="e">
        <f t="shared" si="159"/>
        <v>#REF!</v>
      </c>
      <c r="F1372" s="750"/>
      <c r="G1372" s="693" t="s">
        <v>307</v>
      </c>
      <c r="H1372" s="844" t="s">
        <v>528</v>
      </c>
      <c r="I1372" s="747" t="e">
        <f>VLOOKUP(H1369,'CNKT '!$D$99:$AA$106,11,0)</f>
        <v>#REF!</v>
      </c>
      <c r="J1372" s="698">
        <f>46.1*$B$2</f>
        <v>30833.524000000001</v>
      </c>
      <c r="K1372" s="695" t="e">
        <f t="shared" si="160"/>
        <v>#REF!</v>
      </c>
      <c r="L1372" s="690"/>
    </row>
    <row r="1373" spans="1:12" s="27" customFormat="1" ht="17.25" customHeight="1">
      <c r="A1373" s="693" t="s">
        <v>399</v>
      </c>
      <c r="B1373" s="844" t="s">
        <v>529</v>
      </c>
      <c r="C1373" s="747" t="e">
        <f>VLOOKUP(B1369,'CNKT '!$D$99:$AA$106,12,0)</f>
        <v>#REF!</v>
      </c>
      <c r="D1373" s="697">
        <f>76.9*$B$2</f>
        <v>51433.796000000009</v>
      </c>
      <c r="E1373" s="695" t="e">
        <f t="shared" si="159"/>
        <v>#REF!</v>
      </c>
      <c r="F1373" s="750"/>
      <c r="G1373" s="693" t="s">
        <v>399</v>
      </c>
      <c r="H1373" s="844" t="s">
        <v>529</v>
      </c>
      <c r="I1373" s="747" t="e">
        <f>VLOOKUP(H1369,'CNKT '!$D$99:$AA$106,12,0)</f>
        <v>#REF!</v>
      </c>
      <c r="J1373" s="697">
        <f>76.9*$B$2</f>
        <v>51433.796000000009</v>
      </c>
      <c r="K1373" s="695" t="e">
        <f t="shared" si="160"/>
        <v>#REF!</v>
      </c>
      <c r="L1373" s="690"/>
    </row>
    <row r="1374" spans="1:12" s="27" customFormat="1" ht="17.25" customHeight="1">
      <c r="A1374" s="693" t="s">
        <v>78</v>
      </c>
      <c r="B1374" s="844" t="s">
        <v>530</v>
      </c>
      <c r="C1374" s="747" t="e">
        <f>VLOOKUP(B1369,'CNKT '!$D$99:$AA$106,8,0)</f>
        <v>#REF!</v>
      </c>
      <c r="D1374" s="697" t="e">
        <f>IF(C1370="A",6.1,IF(C1370="B",5.8,IF(C1370="C",5.5,IF(C1370="C.",5.5,IF(C1370="D",5.2)))))*$B$2</f>
        <v>#REF!</v>
      </c>
      <c r="E1374" s="695" t="e">
        <f t="shared" si="159"/>
        <v>#REF!</v>
      </c>
      <c r="F1374" s="750"/>
      <c r="G1374" s="693" t="s">
        <v>78</v>
      </c>
      <c r="H1374" s="844" t="s">
        <v>530</v>
      </c>
      <c r="I1374" s="747" t="e">
        <f>VLOOKUP(H1369,'CNKT '!$D$99:$AA$106,8,0)</f>
        <v>#REF!</v>
      </c>
      <c r="J1374" s="697" t="e">
        <f>IF(I1370="A",6.1,IF(I1370="B",5.8,IF(I1370="C",5.5,IF(I1370="C.",5.5,IF(I1370="D",5.2)))))*$B$2</f>
        <v>#REF!</v>
      </c>
      <c r="K1374" s="695" t="e">
        <f t="shared" si="160"/>
        <v>#REF!</v>
      </c>
      <c r="L1374" s="690"/>
    </row>
    <row r="1375" spans="1:12" s="27" customFormat="1" ht="17.25" customHeight="1">
      <c r="A1375" s="693" t="s">
        <v>491</v>
      </c>
      <c r="B1375" s="844" t="s">
        <v>531</v>
      </c>
      <c r="C1375" s="747" t="e">
        <f>VLOOKUP(B1369,'CNKT '!$D$99:$AA$106,15,0)</f>
        <v>#REF!</v>
      </c>
      <c r="D1375" s="698">
        <f>92.2*$B$2</f>
        <v>61667.048000000003</v>
      </c>
      <c r="E1375" s="695" t="e">
        <f t="shared" si="159"/>
        <v>#REF!</v>
      </c>
      <c r="F1375" s="750"/>
      <c r="G1375" s="693" t="s">
        <v>491</v>
      </c>
      <c r="H1375" s="844" t="s">
        <v>531</v>
      </c>
      <c r="I1375" s="747" t="e">
        <f>VLOOKUP(H1369,'CNKT '!$D$99:$AA$106,15,0)</f>
        <v>#REF!</v>
      </c>
      <c r="J1375" s="698">
        <f>92.2*$B$2</f>
        <v>61667.048000000003</v>
      </c>
      <c r="K1375" s="695" t="e">
        <f t="shared" si="160"/>
        <v>#REF!</v>
      </c>
      <c r="L1375" s="690"/>
    </row>
    <row r="1376" spans="1:12" s="27" customFormat="1" ht="17.25" customHeight="1">
      <c r="A1376" s="693" t="s">
        <v>492</v>
      </c>
      <c r="B1376" s="844" t="s">
        <v>496</v>
      </c>
      <c r="C1376" s="747" t="e">
        <f>VLOOKUP(B1369,'CNKT '!$D$99:$AA$106,16,0)</f>
        <v>#REF!</v>
      </c>
      <c r="D1376" s="697">
        <f>153.8*$B$2</f>
        <v>102867.59200000002</v>
      </c>
      <c r="E1376" s="695" t="e">
        <f t="shared" si="159"/>
        <v>#REF!</v>
      </c>
      <c r="F1376" s="750"/>
      <c r="G1376" s="693" t="s">
        <v>492</v>
      </c>
      <c r="H1376" s="844" t="s">
        <v>496</v>
      </c>
      <c r="I1376" s="747" t="e">
        <f>VLOOKUP(H1369,'CNKT '!$D$99:$AA$106,16,0)</f>
        <v>#REF!</v>
      </c>
      <c r="J1376" s="697">
        <f>153.8*$B$2</f>
        <v>102867.59200000002</v>
      </c>
      <c r="K1376" s="695" t="e">
        <f t="shared" si="160"/>
        <v>#REF!</v>
      </c>
      <c r="L1376" s="690"/>
    </row>
    <row r="1377" spans="1:12" s="27" customFormat="1" ht="17.25" customHeight="1">
      <c r="A1377" s="693" t="s">
        <v>453</v>
      </c>
      <c r="B1377" s="844" t="s">
        <v>497</v>
      </c>
      <c r="C1377" s="747" t="e">
        <f>VLOOKUP(B1369,'CNKT '!$D$99:$AA$112,18,0)</f>
        <v>#REF!</v>
      </c>
      <c r="D1377" s="697">
        <v>10000</v>
      </c>
      <c r="E1377" s="695" t="e">
        <f>C1377*D1377</f>
        <v>#REF!</v>
      </c>
      <c r="F1377" s="750"/>
      <c r="G1377" s="693" t="s">
        <v>453</v>
      </c>
      <c r="H1377" s="844" t="s">
        <v>497</v>
      </c>
      <c r="I1377" s="747" t="e">
        <f>VLOOKUP(H1369,'CNKT '!$D$99:$AA$112,18,0)</f>
        <v>#REF!</v>
      </c>
      <c r="J1377" s="697">
        <v>10000</v>
      </c>
      <c r="K1377" s="695" t="e">
        <f>I1377*J1377</f>
        <v>#REF!</v>
      </c>
      <c r="L1377" s="690"/>
    </row>
    <row r="1378" spans="1:12" s="27" customFormat="1" ht="17.25" customHeight="1">
      <c r="A1378" s="693" t="s">
        <v>453</v>
      </c>
      <c r="B1378" s="844" t="s">
        <v>497</v>
      </c>
      <c r="C1378" s="747" t="e">
        <f>VLOOKUP(B1369,'CNKT '!$D$99:$AA$112,19,0)</f>
        <v>#REF!</v>
      </c>
      <c r="D1378" s="697">
        <v>20000</v>
      </c>
      <c r="E1378" s="695" t="e">
        <f>C1378*D1378</f>
        <v>#REF!</v>
      </c>
      <c r="F1378" s="750"/>
      <c r="G1378" s="693" t="s">
        <v>453</v>
      </c>
      <c r="H1378" s="844" t="s">
        <v>497</v>
      </c>
      <c r="I1378" s="747" t="e">
        <f>VLOOKUP(H1369,'CNKT '!$D$99:$AA$112,19,0)</f>
        <v>#REF!</v>
      </c>
      <c r="J1378" s="697">
        <v>20000</v>
      </c>
      <c r="K1378" s="695" t="e">
        <f>I1378*J1378</f>
        <v>#REF!</v>
      </c>
      <c r="L1378" s="690"/>
    </row>
    <row r="1379" spans="1:12" s="27" customFormat="1" ht="17.25" customHeight="1">
      <c r="A1379" s="693" t="s">
        <v>512</v>
      </c>
      <c r="B1379" s="844" t="s">
        <v>513</v>
      </c>
      <c r="C1379" s="747"/>
      <c r="D1379" s="697"/>
      <c r="E1379" s="695"/>
      <c r="F1379" s="750"/>
      <c r="G1379" s="693" t="s">
        <v>512</v>
      </c>
      <c r="H1379" s="844" t="s">
        <v>513</v>
      </c>
      <c r="I1379" s="747"/>
      <c r="J1379" s="697"/>
      <c r="K1379" s="695"/>
      <c r="L1379" s="690"/>
    </row>
    <row r="1380" spans="1:12" s="27" customFormat="1" ht="17.25" customHeight="1">
      <c r="A1380" s="699" t="s">
        <v>79</v>
      </c>
      <c r="B1380" s="845" t="s">
        <v>532</v>
      </c>
      <c r="C1380" s="700"/>
      <c r="D1380" s="701"/>
      <c r="E1380" s="700"/>
      <c r="F1380" s="750"/>
      <c r="G1380" s="699" t="s">
        <v>79</v>
      </c>
      <c r="H1380" s="845" t="s">
        <v>532</v>
      </c>
      <c r="I1380" s="700"/>
      <c r="J1380" s="701"/>
      <c r="K1380" s="700"/>
      <c r="L1380" s="690"/>
    </row>
    <row r="1381" spans="1:12" s="27" customFormat="1" ht="17.25" customHeight="1">
      <c r="A1381" s="702" t="s">
        <v>80</v>
      </c>
      <c r="B1381" s="846" t="s">
        <v>533</v>
      </c>
      <c r="C1381" s="700"/>
      <c r="D1381" s="700"/>
      <c r="E1381" s="700"/>
      <c r="F1381" s="750"/>
      <c r="G1381" s="702" t="s">
        <v>80</v>
      </c>
      <c r="H1381" s="846" t="s">
        <v>533</v>
      </c>
      <c r="I1381" s="700"/>
      <c r="J1381" s="700"/>
      <c r="K1381" s="700"/>
      <c r="L1381" s="690"/>
    </row>
    <row r="1382" spans="1:12" s="27" customFormat="1" ht="17.25" customHeight="1">
      <c r="A1382" s="702" t="s">
        <v>81</v>
      </c>
      <c r="B1382" s="847" t="s">
        <v>534</v>
      </c>
      <c r="C1382" s="700"/>
      <c r="D1382" s="700"/>
      <c r="E1382" s="695">
        <f>SUM(E1381)</f>
        <v>0</v>
      </c>
      <c r="F1382" s="750"/>
      <c r="G1382" s="702" t="s">
        <v>81</v>
      </c>
      <c r="H1382" s="847" t="s">
        <v>534</v>
      </c>
      <c r="I1382" s="700"/>
      <c r="J1382" s="700"/>
      <c r="K1382" s="695">
        <f>SUM(K1381)</f>
        <v>0</v>
      </c>
      <c r="L1382" s="690"/>
    </row>
    <row r="1383" spans="1:12" s="27" customFormat="1" ht="17.25" customHeight="1">
      <c r="A1383" s="704" t="s">
        <v>82</v>
      </c>
      <c r="B1383" s="848" t="s">
        <v>438</v>
      </c>
      <c r="C1383" s="705"/>
      <c r="D1383" s="705"/>
      <c r="E1383" s="705" t="e">
        <f>(E1371+E1372+E1373+E1374+E1375+E1376+E1377+E1378+E1379)-E1382</f>
        <v>#REF!</v>
      </c>
      <c r="F1383" s="750"/>
      <c r="G1383" s="704" t="s">
        <v>82</v>
      </c>
      <c r="H1383" s="848" t="s">
        <v>438</v>
      </c>
      <c r="I1383" s="705"/>
      <c r="J1383" s="705"/>
      <c r="K1383" s="705" t="e">
        <f>(K1371+K1372+K1373+K1374+K1375+K1376+K1377+K1378+K1379)-K1382</f>
        <v>#REF!</v>
      </c>
      <c r="L1383" s="707" t="e">
        <f>E1383+K1383</f>
        <v>#REF!</v>
      </c>
    </row>
    <row r="1384" spans="1:12" s="27" customFormat="1" ht="17.25" customHeight="1">
      <c r="A1384" s="763"/>
      <c r="B1384" s="763"/>
      <c r="C1384" s="763"/>
      <c r="D1384" s="763"/>
      <c r="E1384" s="763"/>
      <c r="F1384" s="742"/>
      <c r="G1384" s="763"/>
      <c r="H1384" s="763"/>
      <c r="I1384" s="763"/>
      <c r="J1384" s="763"/>
      <c r="K1384" s="743"/>
      <c r="L1384" s="690"/>
    </row>
    <row r="1385" spans="1:12" s="27" customFormat="1" ht="17.25" customHeight="1">
      <c r="A1385" s="763" t="str">
        <f>A1368</f>
        <v>LƯƠNG THÁNG 01/2025</v>
      </c>
      <c r="B1385" s="763"/>
      <c r="C1385" s="763"/>
      <c r="D1385" s="763"/>
      <c r="E1385" s="763" t="e">
        <f>VLOOKUP(B1386,'CNKT '!$D$99:$AD$112,26,0)</f>
        <v>#REF!</v>
      </c>
      <c r="F1385" s="742"/>
      <c r="G1385" s="763" t="str">
        <f>A1385</f>
        <v>LƯƠNG THÁNG 01/2025</v>
      </c>
      <c r="H1385" s="763"/>
      <c r="I1385" s="763"/>
      <c r="J1385" s="763"/>
      <c r="K1385" s="763" t="e">
        <f>VLOOKUP(H1386,'CNKT '!$D$99:$AD$112,26,0)</f>
        <v>#REF!</v>
      </c>
      <c r="L1385" s="690"/>
    </row>
    <row r="1386" spans="1:12" s="27" customFormat="1" ht="17.25" customHeight="1">
      <c r="A1386" s="709" t="s">
        <v>15</v>
      </c>
      <c r="B1386" s="840" t="e">
        <f>'CNKT '!D101</f>
        <v>#REF!</v>
      </c>
      <c r="C1386" s="694"/>
      <c r="D1386" s="840" t="s">
        <v>396</v>
      </c>
      <c r="E1386" s="840" t="s">
        <v>18</v>
      </c>
      <c r="F1386" s="750"/>
      <c r="G1386" s="709" t="s">
        <v>15</v>
      </c>
      <c r="H1386" s="840" t="e">
        <f>'CNKT '!D102</f>
        <v>#REF!</v>
      </c>
      <c r="I1386" s="694"/>
      <c r="J1386" s="840" t="s">
        <v>396</v>
      </c>
      <c r="K1386" s="840" t="s">
        <v>18</v>
      </c>
      <c r="L1386" s="690"/>
    </row>
    <row r="1387" spans="1:12" s="27" customFormat="1" ht="17.25" customHeight="1">
      <c r="A1387" s="693" t="s">
        <v>397</v>
      </c>
      <c r="B1387" s="842" t="s">
        <v>527</v>
      </c>
      <c r="C1387" s="694" t="e">
        <f>VLOOKUP(B1386,'BTH mủ tạp'!#REF!,36,0)</f>
        <v>#REF!</v>
      </c>
      <c r="D1387" s="695"/>
      <c r="E1387" s="695"/>
      <c r="F1387" s="750"/>
      <c r="G1387" s="693" t="s">
        <v>397</v>
      </c>
      <c r="H1387" s="842" t="s">
        <v>527</v>
      </c>
      <c r="I1387" s="694" t="e">
        <f>VLOOKUP(H1386,'BTH mủ tạp'!#REF!,36,0)</f>
        <v>#REF!</v>
      </c>
      <c r="J1387" s="695"/>
      <c r="K1387" s="695"/>
      <c r="L1387" s="690"/>
    </row>
    <row r="1388" spans="1:12" s="27" customFormat="1" ht="17.25" customHeight="1">
      <c r="A1388" s="693" t="s">
        <v>77</v>
      </c>
      <c r="B1388" s="843" t="s">
        <v>432</v>
      </c>
      <c r="C1388" s="696" t="e">
        <f>VLOOKUP(B1386,'CNKT '!$D$99:$AA$106,3,0)</f>
        <v>#REF!</v>
      </c>
      <c r="D1388" s="697">
        <v>25000</v>
      </c>
      <c r="E1388" s="695" t="e">
        <f t="shared" ref="E1388:E1393" si="161">C1388*D1388</f>
        <v>#REF!</v>
      </c>
      <c r="F1388" s="750"/>
      <c r="G1388" s="693" t="s">
        <v>77</v>
      </c>
      <c r="H1388" s="843" t="s">
        <v>432</v>
      </c>
      <c r="I1388" s="696" t="e">
        <f>VLOOKUP(H1386,'CNKT '!$D$99:$AA$106,3,0)</f>
        <v>#REF!</v>
      </c>
      <c r="J1388" s="697">
        <v>25000</v>
      </c>
      <c r="K1388" s="695" t="e">
        <f t="shared" ref="K1388:K1393" si="162">I1388*J1388</f>
        <v>#REF!</v>
      </c>
      <c r="L1388" s="690"/>
    </row>
    <row r="1389" spans="1:12" s="27" customFormat="1" ht="17.25" customHeight="1">
      <c r="A1389" s="693" t="s">
        <v>307</v>
      </c>
      <c r="B1389" s="844" t="s">
        <v>528</v>
      </c>
      <c r="C1389" s="747" t="e">
        <f>VLOOKUP(B1386,'CNKT '!$D$99:$AA$106,11,0)</f>
        <v>#REF!</v>
      </c>
      <c r="D1389" s="698">
        <f>46.1*$B$2</f>
        <v>30833.524000000001</v>
      </c>
      <c r="E1389" s="695" t="e">
        <f t="shared" si="161"/>
        <v>#REF!</v>
      </c>
      <c r="F1389" s="750"/>
      <c r="G1389" s="693" t="s">
        <v>307</v>
      </c>
      <c r="H1389" s="844" t="s">
        <v>528</v>
      </c>
      <c r="I1389" s="747" t="e">
        <f>VLOOKUP(H1386,'CNKT '!$D$99:$AA$106,11,0)</f>
        <v>#REF!</v>
      </c>
      <c r="J1389" s="698">
        <f>46.1*$B$2</f>
        <v>30833.524000000001</v>
      </c>
      <c r="K1389" s="695" t="e">
        <f t="shared" si="162"/>
        <v>#REF!</v>
      </c>
      <c r="L1389" s="690"/>
    </row>
    <row r="1390" spans="1:12" s="27" customFormat="1" ht="17.25" customHeight="1">
      <c r="A1390" s="693" t="s">
        <v>399</v>
      </c>
      <c r="B1390" s="844" t="s">
        <v>529</v>
      </c>
      <c r="C1390" s="747" t="e">
        <f>VLOOKUP(B1386,'CNKT '!$D$99:$AA$106,12,0)</f>
        <v>#REF!</v>
      </c>
      <c r="D1390" s="697">
        <f>76.9*$B$2</f>
        <v>51433.796000000009</v>
      </c>
      <c r="E1390" s="695" t="e">
        <f t="shared" si="161"/>
        <v>#REF!</v>
      </c>
      <c r="F1390" s="750"/>
      <c r="G1390" s="693" t="s">
        <v>399</v>
      </c>
      <c r="H1390" s="844" t="s">
        <v>529</v>
      </c>
      <c r="I1390" s="747" t="e">
        <f>VLOOKUP(H1386,'CNKT '!$D$99:$AA$106,12,0)</f>
        <v>#REF!</v>
      </c>
      <c r="J1390" s="697">
        <f>76.9*$B$2</f>
        <v>51433.796000000009</v>
      </c>
      <c r="K1390" s="695" t="e">
        <f t="shared" si="162"/>
        <v>#REF!</v>
      </c>
      <c r="L1390" s="690"/>
    </row>
    <row r="1391" spans="1:12" s="27" customFormat="1" ht="17.25" customHeight="1">
      <c r="A1391" s="693" t="s">
        <v>78</v>
      </c>
      <c r="B1391" s="844" t="s">
        <v>530</v>
      </c>
      <c r="C1391" s="747" t="e">
        <f>VLOOKUP(B1386,'CNKT '!$D$99:$AA$106,8,0)</f>
        <v>#REF!</v>
      </c>
      <c r="D1391" s="697" t="e">
        <f>IF(C1387="A",6.1,IF(C1387="B",5.8,IF(C1387="C",5.5,IF(C1387="C.",5.5,IF(C1387="D",5.2)))))*$B$2</f>
        <v>#REF!</v>
      </c>
      <c r="E1391" s="695" t="e">
        <f t="shared" si="161"/>
        <v>#REF!</v>
      </c>
      <c r="F1391" s="750"/>
      <c r="G1391" s="693" t="s">
        <v>78</v>
      </c>
      <c r="H1391" s="844" t="s">
        <v>530</v>
      </c>
      <c r="I1391" s="747" t="e">
        <f>VLOOKUP(H1386,'CNKT '!$D$99:$AA$106,8,0)</f>
        <v>#REF!</v>
      </c>
      <c r="J1391" s="697" t="e">
        <f>IF(I1387="A",6.1,IF(I1387="B",5.8,IF(I1387="C",5.5,IF(I1387="C.",5.5,IF(I1387="D",5.2)))))*$B$2</f>
        <v>#REF!</v>
      </c>
      <c r="K1391" s="695" t="e">
        <f t="shared" si="162"/>
        <v>#REF!</v>
      </c>
      <c r="L1391" s="690"/>
    </row>
    <row r="1392" spans="1:12" s="27" customFormat="1" ht="17.25" customHeight="1">
      <c r="A1392" s="693" t="s">
        <v>491</v>
      </c>
      <c r="B1392" s="844" t="s">
        <v>531</v>
      </c>
      <c r="C1392" s="747" t="e">
        <f>VLOOKUP(B1386,'CNKT '!$D$99:$AA$106,15,0)</f>
        <v>#REF!</v>
      </c>
      <c r="D1392" s="698">
        <f>92.2*$B$2</f>
        <v>61667.048000000003</v>
      </c>
      <c r="E1392" s="695" t="e">
        <f t="shared" si="161"/>
        <v>#REF!</v>
      </c>
      <c r="F1392" s="750"/>
      <c r="G1392" s="693" t="s">
        <v>491</v>
      </c>
      <c r="H1392" s="844" t="s">
        <v>531</v>
      </c>
      <c r="I1392" s="747" t="e">
        <f>VLOOKUP(H1386,'CNKT '!$D$99:$AA$106,15,0)</f>
        <v>#REF!</v>
      </c>
      <c r="J1392" s="698">
        <f>92.2*$B$2</f>
        <v>61667.048000000003</v>
      </c>
      <c r="K1392" s="695" t="e">
        <f t="shared" si="162"/>
        <v>#REF!</v>
      </c>
      <c r="L1392" s="690"/>
    </row>
    <row r="1393" spans="1:12" s="27" customFormat="1" ht="17.25" customHeight="1">
      <c r="A1393" s="693" t="s">
        <v>492</v>
      </c>
      <c r="B1393" s="844" t="s">
        <v>496</v>
      </c>
      <c r="C1393" s="747" t="e">
        <f>VLOOKUP(B1386,'CNKT '!$D$99:$AA$106,16,0)</f>
        <v>#REF!</v>
      </c>
      <c r="D1393" s="697">
        <f>153.8*$B$2</f>
        <v>102867.59200000002</v>
      </c>
      <c r="E1393" s="695" t="e">
        <f t="shared" si="161"/>
        <v>#REF!</v>
      </c>
      <c r="F1393" s="750"/>
      <c r="G1393" s="693" t="s">
        <v>492</v>
      </c>
      <c r="H1393" s="844" t="s">
        <v>496</v>
      </c>
      <c r="I1393" s="747" t="e">
        <f>VLOOKUP(H1386,'CNKT '!$D$99:$AA$106,16,0)</f>
        <v>#REF!</v>
      </c>
      <c r="J1393" s="697">
        <f>153.8*$B$2</f>
        <v>102867.59200000002</v>
      </c>
      <c r="K1393" s="695" t="e">
        <f t="shared" si="162"/>
        <v>#REF!</v>
      </c>
      <c r="L1393" s="690"/>
    </row>
    <row r="1394" spans="1:12" s="27" customFormat="1" ht="17.25" customHeight="1">
      <c r="A1394" s="693" t="s">
        <v>453</v>
      </c>
      <c r="B1394" s="844" t="s">
        <v>497</v>
      </c>
      <c r="C1394" s="747" t="e">
        <f>VLOOKUP(B1386,'CNKT '!$D$99:$AA$112,18,0)</f>
        <v>#REF!</v>
      </c>
      <c r="D1394" s="697">
        <v>10000</v>
      </c>
      <c r="E1394" s="695" t="e">
        <f>C1394*D1394</f>
        <v>#REF!</v>
      </c>
      <c r="F1394" s="750"/>
      <c r="G1394" s="693" t="s">
        <v>453</v>
      </c>
      <c r="H1394" s="844" t="s">
        <v>497</v>
      </c>
      <c r="I1394" s="747" t="e">
        <f>VLOOKUP(H1386,'CNKT '!$D$99:$AA$112,18,0)</f>
        <v>#REF!</v>
      </c>
      <c r="J1394" s="697">
        <v>10000</v>
      </c>
      <c r="K1394" s="695" t="e">
        <f>I1394*J1394</f>
        <v>#REF!</v>
      </c>
      <c r="L1394" s="690"/>
    </row>
    <row r="1395" spans="1:12" s="27" customFormat="1" ht="17.25" customHeight="1">
      <c r="A1395" s="693" t="s">
        <v>453</v>
      </c>
      <c r="B1395" s="844" t="s">
        <v>497</v>
      </c>
      <c r="C1395" s="747" t="e">
        <f>VLOOKUP(B1386,'CNKT '!$D$99:$AA$112,19,0)</f>
        <v>#REF!</v>
      </c>
      <c r="D1395" s="697">
        <v>20000</v>
      </c>
      <c r="E1395" s="695" t="e">
        <f>C1395*D1395</f>
        <v>#REF!</v>
      </c>
      <c r="F1395" s="750"/>
      <c r="G1395" s="693" t="s">
        <v>453</v>
      </c>
      <c r="H1395" s="844" t="s">
        <v>497</v>
      </c>
      <c r="I1395" s="747" t="e">
        <f>VLOOKUP(H1386,'CNKT '!$D$99:$AA$112,19,0)</f>
        <v>#REF!</v>
      </c>
      <c r="J1395" s="697">
        <v>20000</v>
      </c>
      <c r="K1395" s="695" t="e">
        <f>I1395*J1395</f>
        <v>#REF!</v>
      </c>
      <c r="L1395" s="690"/>
    </row>
    <row r="1396" spans="1:12" s="27" customFormat="1" ht="17.25" customHeight="1">
      <c r="A1396" s="693" t="s">
        <v>512</v>
      </c>
      <c r="B1396" s="844" t="s">
        <v>513</v>
      </c>
      <c r="C1396" s="747"/>
      <c r="D1396" s="697"/>
      <c r="E1396" s="695"/>
      <c r="F1396" s="750"/>
      <c r="G1396" s="693" t="s">
        <v>512</v>
      </c>
      <c r="H1396" s="844" t="s">
        <v>513</v>
      </c>
      <c r="I1396" s="747"/>
      <c r="J1396" s="697"/>
      <c r="K1396" s="695"/>
      <c r="L1396" s="690"/>
    </row>
    <row r="1397" spans="1:12" s="27" customFormat="1" ht="17.25" customHeight="1">
      <c r="A1397" s="699" t="s">
        <v>79</v>
      </c>
      <c r="B1397" s="845" t="s">
        <v>532</v>
      </c>
      <c r="C1397" s="700"/>
      <c r="D1397" s="701"/>
      <c r="E1397" s="700"/>
      <c r="F1397" s="750"/>
      <c r="G1397" s="699" t="s">
        <v>79</v>
      </c>
      <c r="H1397" s="845" t="s">
        <v>532</v>
      </c>
      <c r="I1397" s="700"/>
      <c r="J1397" s="701"/>
      <c r="K1397" s="700"/>
      <c r="L1397" s="690"/>
    </row>
    <row r="1398" spans="1:12" s="27" customFormat="1" ht="17.25" customHeight="1">
      <c r="A1398" s="702" t="s">
        <v>80</v>
      </c>
      <c r="B1398" s="846" t="s">
        <v>533</v>
      </c>
      <c r="C1398" s="700"/>
      <c r="D1398" s="700"/>
      <c r="E1398" s="700"/>
      <c r="F1398" s="750"/>
      <c r="G1398" s="702" t="s">
        <v>80</v>
      </c>
      <c r="H1398" s="846" t="s">
        <v>533</v>
      </c>
      <c r="I1398" s="700"/>
      <c r="J1398" s="700"/>
      <c r="K1398" s="700"/>
      <c r="L1398" s="690"/>
    </row>
    <row r="1399" spans="1:12" s="27" customFormat="1" ht="17.25" customHeight="1">
      <c r="A1399" s="702" t="s">
        <v>81</v>
      </c>
      <c r="B1399" s="847" t="s">
        <v>534</v>
      </c>
      <c r="C1399" s="700"/>
      <c r="D1399" s="700"/>
      <c r="E1399" s="695">
        <f>SUM(E1398)</f>
        <v>0</v>
      </c>
      <c r="F1399" s="750"/>
      <c r="G1399" s="702" t="s">
        <v>81</v>
      </c>
      <c r="H1399" s="847" t="s">
        <v>534</v>
      </c>
      <c r="I1399" s="700"/>
      <c r="J1399" s="700"/>
      <c r="K1399" s="695">
        <f>SUM(K1398)</f>
        <v>0</v>
      </c>
      <c r="L1399" s="690"/>
    </row>
    <row r="1400" spans="1:12" s="27" customFormat="1" ht="17.25" customHeight="1">
      <c r="A1400" s="704" t="s">
        <v>82</v>
      </c>
      <c r="B1400" s="848" t="s">
        <v>438</v>
      </c>
      <c r="C1400" s="705"/>
      <c r="D1400" s="705"/>
      <c r="E1400" s="705" t="e">
        <f>(E1388+E1389+E1390+E1391+E1392+E1393+E1394+E1395+E1396)-E1399</f>
        <v>#REF!</v>
      </c>
      <c r="F1400" s="750"/>
      <c r="G1400" s="704" t="s">
        <v>82</v>
      </c>
      <c r="H1400" s="848" t="s">
        <v>438</v>
      </c>
      <c r="I1400" s="705"/>
      <c r="J1400" s="705"/>
      <c r="K1400" s="705" t="e">
        <f>(K1388+K1389+K1390+K1391+K1392+K1393+K1394+K1395+K1396)-K1399</f>
        <v>#REF!</v>
      </c>
      <c r="L1400" s="707" t="e">
        <f>E1400+K1400</f>
        <v>#REF!</v>
      </c>
    </row>
    <row r="1401" spans="1:12" s="27" customFormat="1" ht="226.5" customHeight="1">
      <c r="A1401" s="763"/>
      <c r="B1401" s="763"/>
      <c r="C1401" s="763"/>
      <c r="D1401" s="763"/>
      <c r="E1401" s="763"/>
      <c r="F1401" s="742"/>
      <c r="G1401" s="763"/>
      <c r="H1401" s="763"/>
      <c r="I1401" s="763"/>
      <c r="J1401" s="763"/>
      <c r="K1401" s="743"/>
      <c r="L1401" s="690"/>
    </row>
    <row r="1402" spans="1:12" s="27" customFormat="1" ht="17.25" customHeight="1">
      <c r="A1402" s="763" t="str">
        <f>A1385</f>
        <v>LƯƠNG THÁNG 01/2025</v>
      </c>
      <c r="B1402" s="763"/>
      <c r="C1402" s="763"/>
      <c r="D1402" s="763"/>
      <c r="E1402" s="763" t="e">
        <f>VLOOKUP(B1403,'CNKT '!$D$99:$AD$112,26,0)</f>
        <v>#REF!</v>
      </c>
      <c r="F1402" s="742"/>
      <c r="G1402" s="763" t="str">
        <f>A1402</f>
        <v>LƯƠNG THÁNG 01/2025</v>
      </c>
      <c r="H1402" s="763"/>
      <c r="I1402" s="763"/>
      <c r="J1402" s="763"/>
      <c r="K1402" s="763" t="e">
        <f>VLOOKUP(H1403,'CNKT '!$D$99:$AD$112,26,0)</f>
        <v>#REF!</v>
      </c>
      <c r="L1402" s="690"/>
    </row>
    <row r="1403" spans="1:12" s="27" customFormat="1" ht="17.25" customHeight="1">
      <c r="A1403" s="709" t="s">
        <v>15</v>
      </c>
      <c r="B1403" s="840" t="e">
        <f>'CNKT '!D103</f>
        <v>#REF!</v>
      </c>
      <c r="C1403" s="694"/>
      <c r="D1403" s="840" t="s">
        <v>396</v>
      </c>
      <c r="E1403" s="840" t="s">
        <v>18</v>
      </c>
      <c r="F1403" s="750"/>
      <c r="G1403" s="709" t="s">
        <v>15</v>
      </c>
      <c r="H1403" s="840" t="e">
        <f>'CNKT '!D104</f>
        <v>#REF!</v>
      </c>
      <c r="I1403" s="694"/>
      <c r="J1403" s="840" t="s">
        <v>396</v>
      </c>
      <c r="K1403" s="840" t="s">
        <v>18</v>
      </c>
      <c r="L1403" s="690"/>
    </row>
    <row r="1404" spans="1:12" s="27" customFormat="1" ht="17.25" customHeight="1">
      <c r="A1404" s="693" t="s">
        <v>397</v>
      </c>
      <c r="B1404" s="842" t="s">
        <v>527</v>
      </c>
      <c r="C1404" s="694" t="e">
        <f>VLOOKUP(B1403,'BTH mủ tạp'!#REF!,36,0)</f>
        <v>#REF!</v>
      </c>
      <c r="D1404" s="695"/>
      <c r="E1404" s="695"/>
      <c r="F1404" s="750"/>
      <c r="G1404" s="693" t="s">
        <v>397</v>
      </c>
      <c r="H1404" s="842" t="s">
        <v>527</v>
      </c>
      <c r="I1404" s="694" t="e">
        <f>VLOOKUP(H1403,'BTH mủ tạp'!$D$98:$AN$101,36,0)</f>
        <v>#REF!</v>
      </c>
      <c r="J1404" s="695"/>
      <c r="K1404" s="695"/>
      <c r="L1404" s="690"/>
    </row>
    <row r="1405" spans="1:12" s="27" customFormat="1" ht="17.25" customHeight="1">
      <c r="A1405" s="693" t="s">
        <v>77</v>
      </c>
      <c r="B1405" s="843" t="s">
        <v>432</v>
      </c>
      <c r="C1405" s="696" t="e">
        <f>VLOOKUP(B1403,'CNKT '!$D$99:$AA$106,3,0)</f>
        <v>#REF!</v>
      </c>
      <c r="D1405" s="697">
        <v>25000</v>
      </c>
      <c r="E1405" s="695" t="e">
        <f t="shared" ref="E1405:E1410" si="163">C1405*D1405</f>
        <v>#REF!</v>
      </c>
      <c r="F1405" s="750"/>
      <c r="G1405" s="693" t="s">
        <v>77</v>
      </c>
      <c r="H1405" s="843" t="s">
        <v>432</v>
      </c>
      <c r="I1405" s="696" t="e">
        <f>VLOOKUP(H1403,'CNKT '!$D$99:$AA$106,3,0)</f>
        <v>#REF!</v>
      </c>
      <c r="J1405" s="697">
        <v>25000</v>
      </c>
      <c r="K1405" s="695" t="e">
        <f t="shared" ref="K1405:K1410" si="164">I1405*J1405</f>
        <v>#REF!</v>
      </c>
      <c r="L1405" s="690"/>
    </row>
    <row r="1406" spans="1:12" s="27" customFormat="1" ht="17.25" customHeight="1">
      <c r="A1406" s="693" t="s">
        <v>307</v>
      </c>
      <c r="B1406" s="844" t="s">
        <v>528</v>
      </c>
      <c r="C1406" s="747" t="e">
        <f>VLOOKUP(B1403,'CNKT '!$D$99:$AA$106,11,0)</f>
        <v>#REF!</v>
      </c>
      <c r="D1406" s="698">
        <f>46.1*$B$2</f>
        <v>30833.524000000001</v>
      </c>
      <c r="E1406" s="695" t="e">
        <f t="shared" si="163"/>
        <v>#REF!</v>
      </c>
      <c r="F1406" s="750"/>
      <c r="G1406" s="693" t="s">
        <v>307</v>
      </c>
      <c r="H1406" s="844" t="s">
        <v>528</v>
      </c>
      <c r="I1406" s="747" t="e">
        <f>VLOOKUP(H1403,'CNKT '!$D$99:$AA$106,11,0)</f>
        <v>#REF!</v>
      </c>
      <c r="J1406" s="698">
        <f>46.1*$B$2</f>
        <v>30833.524000000001</v>
      </c>
      <c r="K1406" s="695" t="e">
        <f t="shared" si="164"/>
        <v>#REF!</v>
      </c>
      <c r="L1406" s="690"/>
    </row>
    <row r="1407" spans="1:12" s="27" customFormat="1" ht="17.25" customHeight="1">
      <c r="A1407" s="693" t="s">
        <v>399</v>
      </c>
      <c r="B1407" s="844" t="s">
        <v>529</v>
      </c>
      <c r="C1407" s="747" t="e">
        <f>VLOOKUP(B1403,'CNKT '!$D$99:$AA$106,12,0)</f>
        <v>#REF!</v>
      </c>
      <c r="D1407" s="697">
        <f>76.9*$B$2</f>
        <v>51433.796000000009</v>
      </c>
      <c r="E1407" s="695" t="e">
        <f t="shared" si="163"/>
        <v>#REF!</v>
      </c>
      <c r="F1407" s="750"/>
      <c r="G1407" s="693" t="s">
        <v>399</v>
      </c>
      <c r="H1407" s="844" t="s">
        <v>529</v>
      </c>
      <c r="I1407" s="747" t="e">
        <f>VLOOKUP(H1403,'CNKT '!$D$99:$AA$106,12,0)</f>
        <v>#REF!</v>
      </c>
      <c r="J1407" s="697">
        <f>76.9*$B$2</f>
        <v>51433.796000000009</v>
      </c>
      <c r="K1407" s="695" t="e">
        <f t="shared" si="164"/>
        <v>#REF!</v>
      </c>
      <c r="L1407" s="690"/>
    </row>
    <row r="1408" spans="1:12" s="27" customFormat="1" ht="17.25" customHeight="1">
      <c r="A1408" s="693" t="s">
        <v>78</v>
      </c>
      <c r="B1408" s="844" t="s">
        <v>530</v>
      </c>
      <c r="C1408" s="747" t="e">
        <f>VLOOKUP(B1403,'CNKT '!$D$99:$AA$106,8,0)</f>
        <v>#REF!</v>
      </c>
      <c r="D1408" s="697" t="e">
        <f>IF(C1404="A",6.1,IF(C1404="B",5.8,IF(C1404="C",5.5,IF(C1404="C.",5.5,IF(C1404="D",5.2)))))*$B$2</f>
        <v>#REF!</v>
      </c>
      <c r="E1408" s="695" t="e">
        <f t="shared" si="163"/>
        <v>#REF!</v>
      </c>
      <c r="F1408" s="750"/>
      <c r="G1408" s="693" t="s">
        <v>78</v>
      </c>
      <c r="H1408" s="844" t="s">
        <v>530</v>
      </c>
      <c r="I1408" s="747" t="e">
        <f>VLOOKUP(H1403,'CNKT '!$D$99:$AA$106,8,0)</f>
        <v>#REF!</v>
      </c>
      <c r="J1408" s="697" t="e">
        <f>IF(I1404="A",6.1,IF(I1404="B",5.8,IF(I1404="C",5.5,IF(I1404="C.",5.5,IF(I1404="D",5.2)))))*$B$2</f>
        <v>#REF!</v>
      </c>
      <c r="K1408" s="695" t="e">
        <f t="shared" si="164"/>
        <v>#REF!</v>
      </c>
      <c r="L1408" s="690"/>
    </row>
    <row r="1409" spans="1:12" s="27" customFormat="1" ht="17.25" customHeight="1">
      <c r="A1409" s="693" t="s">
        <v>491</v>
      </c>
      <c r="B1409" s="844" t="s">
        <v>531</v>
      </c>
      <c r="C1409" s="747" t="e">
        <f>VLOOKUP(B1403,'CNKT '!$D$99:$AA$106,15,0)</f>
        <v>#REF!</v>
      </c>
      <c r="D1409" s="698">
        <f>92.2*$B$2</f>
        <v>61667.048000000003</v>
      </c>
      <c r="E1409" s="695" t="e">
        <f t="shared" si="163"/>
        <v>#REF!</v>
      </c>
      <c r="F1409" s="750"/>
      <c r="G1409" s="693" t="s">
        <v>491</v>
      </c>
      <c r="H1409" s="844" t="s">
        <v>531</v>
      </c>
      <c r="I1409" s="747" t="e">
        <f>VLOOKUP(H1403,'CNKT '!$D$99:$AA$106,15,0)</f>
        <v>#REF!</v>
      </c>
      <c r="J1409" s="698">
        <f>92.2*$B$2</f>
        <v>61667.048000000003</v>
      </c>
      <c r="K1409" s="695" t="e">
        <f t="shared" si="164"/>
        <v>#REF!</v>
      </c>
      <c r="L1409" s="690"/>
    </row>
    <row r="1410" spans="1:12" s="27" customFormat="1" ht="17.25" customHeight="1">
      <c r="A1410" s="693" t="s">
        <v>492</v>
      </c>
      <c r="B1410" s="844" t="s">
        <v>496</v>
      </c>
      <c r="C1410" s="747" t="e">
        <f>VLOOKUP(B1403,'CNKT '!$D$99:$AA$106,16,0)</f>
        <v>#REF!</v>
      </c>
      <c r="D1410" s="697">
        <f>153.8*$B$2</f>
        <v>102867.59200000002</v>
      </c>
      <c r="E1410" s="695" t="e">
        <f t="shared" si="163"/>
        <v>#REF!</v>
      </c>
      <c r="F1410" s="750"/>
      <c r="G1410" s="693" t="s">
        <v>492</v>
      </c>
      <c r="H1410" s="844" t="s">
        <v>496</v>
      </c>
      <c r="I1410" s="747" t="e">
        <f>VLOOKUP(H1403,'CNKT '!$D$99:$AA$106,16,0)</f>
        <v>#REF!</v>
      </c>
      <c r="J1410" s="697">
        <f>153.8*$B$2</f>
        <v>102867.59200000002</v>
      </c>
      <c r="K1410" s="695" t="e">
        <f t="shared" si="164"/>
        <v>#REF!</v>
      </c>
      <c r="L1410" s="690"/>
    </row>
    <row r="1411" spans="1:12" s="27" customFormat="1" ht="17.25" customHeight="1">
      <c r="A1411" s="693" t="s">
        <v>453</v>
      </c>
      <c r="B1411" s="844" t="s">
        <v>497</v>
      </c>
      <c r="C1411" s="747" t="e">
        <f>VLOOKUP(B1403,'CNKT '!$D$99:$AA$112,18,0)</f>
        <v>#REF!</v>
      </c>
      <c r="D1411" s="697">
        <v>10000</v>
      </c>
      <c r="E1411" s="695" t="e">
        <f>C1411*D1411</f>
        <v>#REF!</v>
      </c>
      <c r="F1411" s="750"/>
      <c r="G1411" s="693" t="s">
        <v>453</v>
      </c>
      <c r="H1411" s="844" t="s">
        <v>497</v>
      </c>
      <c r="I1411" s="747" t="e">
        <f>VLOOKUP(H1403,'CNKT '!$D$99:$AA$112,18,0)</f>
        <v>#REF!</v>
      </c>
      <c r="J1411" s="697">
        <v>10000</v>
      </c>
      <c r="K1411" s="695" t="e">
        <f>I1411*J1411</f>
        <v>#REF!</v>
      </c>
      <c r="L1411" s="690"/>
    </row>
    <row r="1412" spans="1:12" s="27" customFormat="1" ht="17.25" customHeight="1">
      <c r="A1412" s="693" t="s">
        <v>453</v>
      </c>
      <c r="B1412" s="844" t="s">
        <v>497</v>
      </c>
      <c r="C1412" s="747" t="e">
        <f>VLOOKUP(B1403,'CNKT '!$D$99:$AA$112,19,0)</f>
        <v>#REF!</v>
      </c>
      <c r="D1412" s="697">
        <v>20000</v>
      </c>
      <c r="E1412" s="695" t="e">
        <f>C1412*D1412</f>
        <v>#REF!</v>
      </c>
      <c r="F1412" s="750"/>
      <c r="G1412" s="693" t="s">
        <v>453</v>
      </c>
      <c r="H1412" s="844" t="s">
        <v>497</v>
      </c>
      <c r="I1412" s="747" t="e">
        <f>VLOOKUP(H1403,'CNKT '!$D$99:$AA$112,19,0)</f>
        <v>#REF!</v>
      </c>
      <c r="J1412" s="697">
        <v>20000</v>
      </c>
      <c r="K1412" s="695" t="e">
        <f>I1412*J1412</f>
        <v>#REF!</v>
      </c>
      <c r="L1412" s="690"/>
    </row>
    <row r="1413" spans="1:12" s="27" customFormat="1" ht="17.25" customHeight="1">
      <c r="A1413" s="693" t="s">
        <v>512</v>
      </c>
      <c r="B1413" s="844" t="s">
        <v>513</v>
      </c>
      <c r="C1413" s="747"/>
      <c r="D1413" s="697"/>
      <c r="E1413" s="695"/>
      <c r="F1413" s="750"/>
      <c r="G1413" s="693" t="s">
        <v>512</v>
      </c>
      <c r="H1413" s="844" t="s">
        <v>513</v>
      </c>
      <c r="I1413" s="747"/>
      <c r="J1413" s="697"/>
      <c r="K1413" s="695"/>
      <c r="L1413" s="690"/>
    </row>
    <row r="1414" spans="1:12" s="27" customFormat="1" ht="17.25" customHeight="1">
      <c r="A1414" s="699" t="s">
        <v>79</v>
      </c>
      <c r="B1414" s="845" t="s">
        <v>532</v>
      </c>
      <c r="C1414" s="700"/>
      <c r="D1414" s="701"/>
      <c r="E1414" s="700"/>
      <c r="F1414" s="750"/>
      <c r="G1414" s="699" t="s">
        <v>79</v>
      </c>
      <c r="H1414" s="845" t="s">
        <v>532</v>
      </c>
      <c r="I1414" s="700"/>
      <c r="J1414" s="701"/>
      <c r="K1414" s="700"/>
      <c r="L1414" s="690"/>
    </row>
    <row r="1415" spans="1:12" s="27" customFormat="1" ht="17.25" customHeight="1">
      <c r="A1415" s="702" t="s">
        <v>80</v>
      </c>
      <c r="B1415" s="846" t="s">
        <v>533</v>
      </c>
      <c r="C1415" s="700"/>
      <c r="D1415" s="700"/>
      <c r="E1415" s="700"/>
      <c r="F1415" s="750"/>
      <c r="G1415" s="702" t="s">
        <v>80</v>
      </c>
      <c r="H1415" s="846" t="s">
        <v>533</v>
      </c>
      <c r="I1415" s="700"/>
      <c r="J1415" s="700"/>
      <c r="K1415" s="700"/>
      <c r="L1415" s="690"/>
    </row>
    <row r="1416" spans="1:12" s="27" customFormat="1" ht="17.25" customHeight="1">
      <c r="A1416" s="702" t="s">
        <v>81</v>
      </c>
      <c r="B1416" s="847" t="s">
        <v>534</v>
      </c>
      <c r="C1416" s="700"/>
      <c r="D1416" s="700"/>
      <c r="E1416" s="695">
        <f>SUM(E1415)</f>
        <v>0</v>
      </c>
      <c r="F1416" s="750"/>
      <c r="G1416" s="702" t="s">
        <v>81</v>
      </c>
      <c r="H1416" s="847" t="s">
        <v>534</v>
      </c>
      <c r="I1416" s="700"/>
      <c r="J1416" s="700"/>
      <c r="K1416" s="695">
        <f>SUM(K1415)</f>
        <v>0</v>
      </c>
      <c r="L1416" s="690"/>
    </row>
    <row r="1417" spans="1:12" s="27" customFormat="1" ht="17.25" customHeight="1">
      <c r="A1417" s="704" t="s">
        <v>82</v>
      </c>
      <c r="B1417" s="848" t="s">
        <v>438</v>
      </c>
      <c r="C1417" s="705"/>
      <c r="D1417" s="705"/>
      <c r="E1417" s="705" t="e">
        <f>(E1405+E1406+E1407+E1408+E1409+E1410+E1411+E1412+E1413)-E1416</f>
        <v>#REF!</v>
      </c>
      <c r="F1417" s="750"/>
      <c r="G1417" s="704" t="s">
        <v>82</v>
      </c>
      <c r="H1417" s="848" t="s">
        <v>438</v>
      </c>
      <c r="I1417" s="705"/>
      <c r="J1417" s="705"/>
      <c r="K1417" s="705" t="e">
        <f>(K1405+K1406+K1407+K1408+K1409+K1410+K1411+K1412+K1413)-K1416</f>
        <v>#REF!</v>
      </c>
      <c r="L1417" s="707" t="e">
        <f>E1417+K1417</f>
        <v>#REF!</v>
      </c>
    </row>
    <row r="1418" spans="1:12" s="27" customFormat="1" ht="17.25" customHeight="1">
      <c r="A1418" s="763"/>
      <c r="B1418" s="763"/>
      <c r="C1418" s="763"/>
      <c r="D1418" s="763"/>
      <c r="E1418" s="763"/>
      <c r="F1418" s="742"/>
      <c r="G1418" s="763"/>
      <c r="H1418" s="763"/>
      <c r="I1418" s="763"/>
      <c r="J1418" s="763"/>
      <c r="K1418" s="743"/>
      <c r="L1418" s="690"/>
    </row>
    <row r="1419" spans="1:12" s="27" customFormat="1" ht="17.25" customHeight="1">
      <c r="A1419" s="763" t="str">
        <f>A1402</f>
        <v>LƯƠNG THÁNG 01/2025</v>
      </c>
      <c r="B1419" s="763"/>
      <c r="C1419" s="763"/>
      <c r="D1419" s="763"/>
      <c r="E1419" s="763" t="e">
        <f>VLOOKUP(B1420,'CNKT '!$D$99:$AD$112,26,0)</f>
        <v>#REF!</v>
      </c>
      <c r="F1419" s="742"/>
      <c r="G1419" s="763" t="str">
        <f>A1419</f>
        <v>LƯƠNG THÁNG 01/2025</v>
      </c>
      <c r="H1419" s="763"/>
      <c r="I1419" s="763"/>
      <c r="J1419" s="763"/>
      <c r="K1419" s="763" t="e">
        <f>VLOOKUP(H1420,'CNKT '!$D$99:$AD$112,26,0)</f>
        <v>#REF!</v>
      </c>
      <c r="L1419" s="690"/>
    </row>
    <row r="1420" spans="1:12" s="27" customFormat="1" ht="17.25" customHeight="1">
      <c r="A1420" s="709" t="s">
        <v>15</v>
      </c>
      <c r="B1420" s="840" t="e">
        <f>'CNKT '!D106</f>
        <v>#REF!</v>
      </c>
      <c r="C1420" s="694"/>
      <c r="D1420" s="840" t="s">
        <v>396</v>
      </c>
      <c r="E1420" s="840" t="s">
        <v>18</v>
      </c>
      <c r="F1420" s="750"/>
      <c r="G1420" s="709" t="s">
        <v>15</v>
      </c>
      <c r="H1420" s="840" t="e">
        <f>'CNKT '!D105</f>
        <v>#REF!</v>
      </c>
      <c r="I1420" s="694"/>
      <c r="J1420" s="840" t="s">
        <v>396</v>
      </c>
      <c r="K1420" s="840" t="s">
        <v>18</v>
      </c>
      <c r="L1420" s="690"/>
    </row>
    <row r="1421" spans="1:12" s="27" customFormat="1" ht="17.25" customHeight="1">
      <c r="A1421" s="693" t="s">
        <v>397</v>
      </c>
      <c r="B1421" s="842" t="s">
        <v>527</v>
      </c>
      <c r="C1421" s="694" t="e">
        <f>VLOOKUP(B1420,'BTH mủ tạp'!$D$98:$AN$101,36,0)</f>
        <v>#REF!</v>
      </c>
      <c r="D1421" s="695"/>
      <c r="E1421" s="695"/>
      <c r="F1421" s="750"/>
      <c r="G1421" s="693" t="s">
        <v>397</v>
      </c>
      <c r="H1421" s="842" t="s">
        <v>527</v>
      </c>
      <c r="I1421" s="694" t="e">
        <f>VLOOKUP(H1420,'BTH mủ tạp'!$D$98:$AN$101,36,0)</f>
        <v>#REF!</v>
      </c>
      <c r="J1421" s="695"/>
      <c r="K1421" s="695"/>
      <c r="L1421" s="690"/>
    </row>
    <row r="1422" spans="1:12" s="27" customFormat="1" ht="17.25" customHeight="1">
      <c r="A1422" s="693" t="s">
        <v>77</v>
      </c>
      <c r="B1422" s="843" t="s">
        <v>432</v>
      </c>
      <c r="C1422" s="696" t="e">
        <f>VLOOKUP(B1420,'CNKT '!$D$99:$AA$106,3,0)</f>
        <v>#REF!</v>
      </c>
      <c r="D1422" s="697">
        <v>25000</v>
      </c>
      <c r="E1422" s="695" t="e">
        <f t="shared" ref="E1422:E1427" si="165">C1422*D1422</f>
        <v>#REF!</v>
      </c>
      <c r="F1422" s="750"/>
      <c r="G1422" s="693" t="s">
        <v>77</v>
      </c>
      <c r="H1422" s="843" t="s">
        <v>432</v>
      </c>
      <c r="I1422" s="696" t="e">
        <f>VLOOKUP(H1420,'CNKT '!$D$99:$AA$106,3,0)</f>
        <v>#REF!</v>
      </c>
      <c r="J1422" s="697">
        <v>25000</v>
      </c>
      <c r="K1422" s="695" t="e">
        <f t="shared" ref="K1422:K1427" si="166">I1422*J1422</f>
        <v>#REF!</v>
      </c>
      <c r="L1422" s="690"/>
    </row>
    <row r="1423" spans="1:12" s="27" customFormat="1" ht="17.25" customHeight="1">
      <c r="A1423" s="693" t="s">
        <v>307</v>
      </c>
      <c r="B1423" s="844" t="s">
        <v>528</v>
      </c>
      <c r="C1423" s="747" t="e">
        <f>VLOOKUP(B1420,'CNKT '!$D$99:$AA$106,11,0)</f>
        <v>#REF!</v>
      </c>
      <c r="D1423" s="698">
        <f>46.1*$B$2</f>
        <v>30833.524000000001</v>
      </c>
      <c r="E1423" s="695" t="e">
        <f t="shared" si="165"/>
        <v>#REF!</v>
      </c>
      <c r="F1423" s="750"/>
      <c r="G1423" s="693" t="s">
        <v>307</v>
      </c>
      <c r="H1423" s="844" t="s">
        <v>528</v>
      </c>
      <c r="I1423" s="747" t="e">
        <f>VLOOKUP(H1420,'CNKT '!$D$99:$AA$106,11,0)</f>
        <v>#REF!</v>
      </c>
      <c r="J1423" s="698">
        <f>46.1*$B$2</f>
        <v>30833.524000000001</v>
      </c>
      <c r="K1423" s="695" t="e">
        <f t="shared" si="166"/>
        <v>#REF!</v>
      </c>
      <c r="L1423" s="690"/>
    </row>
    <row r="1424" spans="1:12" s="27" customFormat="1" ht="17.25" customHeight="1">
      <c r="A1424" s="693" t="s">
        <v>399</v>
      </c>
      <c r="B1424" s="844" t="s">
        <v>529</v>
      </c>
      <c r="C1424" s="747" t="e">
        <f>VLOOKUP(B1420,'CNKT '!$D$99:$AA$106,12,0)</f>
        <v>#REF!</v>
      </c>
      <c r="D1424" s="697">
        <f>76.9*$B$2</f>
        <v>51433.796000000009</v>
      </c>
      <c r="E1424" s="695" t="e">
        <f t="shared" si="165"/>
        <v>#REF!</v>
      </c>
      <c r="F1424" s="750"/>
      <c r="G1424" s="693" t="s">
        <v>399</v>
      </c>
      <c r="H1424" s="844" t="s">
        <v>529</v>
      </c>
      <c r="I1424" s="747" t="e">
        <f>VLOOKUP(H1420,'CNKT '!$D$99:$AA$106,12,0)</f>
        <v>#REF!</v>
      </c>
      <c r="J1424" s="697">
        <f>76.9*$B$2</f>
        <v>51433.796000000009</v>
      </c>
      <c r="K1424" s="695" t="e">
        <f t="shared" si="166"/>
        <v>#REF!</v>
      </c>
      <c r="L1424" s="690"/>
    </row>
    <row r="1425" spans="1:12" s="27" customFormat="1" ht="17.25" customHeight="1">
      <c r="A1425" s="693" t="s">
        <v>78</v>
      </c>
      <c r="B1425" s="844" t="s">
        <v>530</v>
      </c>
      <c r="C1425" s="747" t="e">
        <f>VLOOKUP(B1420,'CNKT '!$D$99:$AA$106,8,0)</f>
        <v>#REF!</v>
      </c>
      <c r="D1425" s="697" t="e">
        <f>IF(C1421="A",6.1,IF(C1421="B",5.8,IF(C1421="C",5.5,IF(C1421="C.",5.5,IF(C1421="D",5.2)))))*$B$2</f>
        <v>#REF!</v>
      </c>
      <c r="E1425" s="695" t="e">
        <f t="shared" si="165"/>
        <v>#REF!</v>
      </c>
      <c r="F1425" s="750"/>
      <c r="G1425" s="693" t="s">
        <v>78</v>
      </c>
      <c r="H1425" s="844" t="s">
        <v>530</v>
      </c>
      <c r="I1425" s="747" t="e">
        <f>VLOOKUP(H1420,'CNKT '!$D$99:$AA$106,8,0)</f>
        <v>#REF!</v>
      </c>
      <c r="J1425" s="697" t="e">
        <f>IF(I1421="A",6.1,IF(I1421="B",5.8,IF(I1421="C",5.5,IF(I1421="C.",5.5,IF(I1421="D",5.2)))))*$B$2</f>
        <v>#REF!</v>
      </c>
      <c r="K1425" s="695" t="e">
        <f t="shared" si="166"/>
        <v>#REF!</v>
      </c>
      <c r="L1425" s="690"/>
    </row>
    <row r="1426" spans="1:12" s="27" customFormat="1" ht="17.25" customHeight="1">
      <c r="A1426" s="693" t="s">
        <v>491</v>
      </c>
      <c r="B1426" s="844" t="s">
        <v>531</v>
      </c>
      <c r="C1426" s="747" t="e">
        <f>VLOOKUP(B1420,'CNKT '!$D$99:$AA$106,15,0)</f>
        <v>#REF!</v>
      </c>
      <c r="D1426" s="698">
        <f>92.2*$B$2</f>
        <v>61667.048000000003</v>
      </c>
      <c r="E1426" s="695" t="e">
        <f t="shared" si="165"/>
        <v>#REF!</v>
      </c>
      <c r="F1426" s="750"/>
      <c r="G1426" s="693" t="s">
        <v>491</v>
      </c>
      <c r="H1426" s="844" t="s">
        <v>531</v>
      </c>
      <c r="I1426" s="747" t="e">
        <f>VLOOKUP(H1420,'CNKT '!$D$99:$AA$106,15,0)</f>
        <v>#REF!</v>
      </c>
      <c r="J1426" s="698">
        <f>92.2*$B$2</f>
        <v>61667.048000000003</v>
      </c>
      <c r="K1426" s="695" t="e">
        <f t="shared" si="166"/>
        <v>#REF!</v>
      </c>
      <c r="L1426" s="690"/>
    </row>
    <row r="1427" spans="1:12" s="27" customFormat="1" ht="17.25" customHeight="1">
      <c r="A1427" s="693" t="s">
        <v>492</v>
      </c>
      <c r="B1427" s="844" t="s">
        <v>496</v>
      </c>
      <c r="C1427" s="747" t="e">
        <f>VLOOKUP(B1420,'CNKT '!$D$99:$AA$106,16,0)</f>
        <v>#REF!</v>
      </c>
      <c r="D1427" s="697">
        <f>153.8*$B$2</f>
        <v>102867.59200000002</v>
      </c>
      <c r="E1427" s="695" t="e">
        <f t="shared" si="165"/>
        <v>#REF!</v>
      </c>
      <c r="F1427" s="750"/>
      <c r="G1427" s="693" t="s">
        <v>492</v>
      </c>
      <c r="H1427" s="844" t="s">
        <v>496</v>
      </c>
      <c r="I1427" s="747" t="e">
        <f>VLOOKUP(H1420,'CNKT '!$D$99:$AA$106,16,0)</f>
        <v>#REF!</v>
      </c>
      <c r="J1427" s="697">
        <f>153.8*$B$2</f>
        <v>102867.59200000002</v>
      </c>
      <c r="K1427" s="695" t="e">
        <f t="shared" si="166"/>
        <v>#REF!</v>
      </c>
      <c r="L1427" s="690"/>
    </row>
    <row r="1428" spans="1:12" s="27" customFormat="1" ht="17.25" customHeight="1">
      <c r="A1428" s="693" t="s">
        <v>453</v>
      </c>
      <c r="B1428" s="844" t="s">
        <v>497</v>
      </c>
      <c r="C1428" s="747" t="e">
        <f>VLOOKUP(B1420,'CNKT '!$D$99:$AA$112,18,0)</f>
        <v>#REF!</v>
      </c>
      <c r="D1428" s="697">
        <v>10000</v>
      </c>
      <c r="E1428" s="695" t="e">
        <f>C1428*D1428</f>
        <v>#REF!</v>
      </c>
      <c r="F1428" s="750"/>
      <c r="G1428" s="693" t="s">
        <v>453</v>
      </c>
      <c r="H1428" s="844" t="s">
        <v>497</v>
      </c>
      <c r="I1428" s="747" t="e">
        <f>VLOOKUP(H1420,'CNKT '!$D$99:$AA$112,18,0)</f>
        <v>#REF!</v>
      </c>
      <c r="J1428" s="697">
        <v>10000</v>
      </c>
      <c r="K1428" s="695" t="e">
        <f>I1428*J1428</f>
        <v>#REF!</v>
      </c>
      <c r="L1428" s="690"/>
    </row>
    <row r="1429" spans="1:12" s="27" customFormat="1" ht="17.25" customHeight="1">
      <c r="A1429" s="693" t="s">
        <v>453</v>
      </c>
      <c r="B1429" s="844" t="s">
        <v>497</v>
      </c>
      <c r="C1429" s="747" t="e">
        <f>VLOOKUP(B1420,'CNKT '!$D$99:$AA$112,19,0)</f>
        <v>#REF!</v>
      </c>
      <c r="D1429" s="697">
        <v>20000</v>
      </c>
      <c r="E1429" s="695" t="e">
        <f>C1429*D1429</f>
        <v>#REF!</v>
      </c>
      <c r="F1429" s="750"/>
      <c r="G1429" s="693" t="s">
        <v>453</v>
      </c>
      <c r="H1429" s="844" t="s">
        <v>497</v>
      </c>
      <c r="I1429" s="747" t="e">
        <f>VLOOKUP(H1420,'CNKT '!$D$99:$AA$112,19,0)</f>
        <v>#REF!</v>
      </c>
      <c r="J1429" s="697">
        <v>20000</v>
      </c>
      <c r="K1429" s="695" t="e">
        <f>I1429*J1429</f>
        <v>#REF!</v>
      </c>
      <c r="L1429" s="690"/>
    </row>
    <row r="1430" spans="1:12" s="27" customFormat="1" ht="17.25" customHeight="1">
      <c r="A1430" s="693" t="s">
        <v>512</v>
      </c>
      <c r="B1430" s="844" t="s">
        <v>513</v>
      </c>
      <c r="C1430" s="747"/>
      <c r="D1430" s="697"/>
      <c r="E1430" s="695"/>
      <c r="F1430" s="750"/>
      <c r="G1430" s="693" t="s">
        <v>512</v>
      </c>
      <c r="H1430" s="844" t="s">
        <v>513</v>
      </c>
      <c r="I1430" s="747"/>
      <c r="J1430" s="697"/>
      <c r="K1430" s="695"/>
      <c r="L1430" s="690"/>
    </row>
    <row r="1431" spans="1:12" s="27" customFormat="1" ht="17.25" customHeight="1">
      <c r="A1431" s="699" t="s">
        <v>79</v>
      </c>
      <c r="B1431" s="845" t="s">
        <v>532</v>
      </c>
      <c r="C1431" s="700"/>
      <c r="D1431" s="701"/>
      <c r="E1431" s="700"/>
      <c r="F1431" s="750"/>
      <c r="G1431" s="699" t="s">
        <v>79</v>
      </c>
      <c r="H1431" s="845" t="s">
        <v>532</v>
      </c>
      <c r="I1431" s="700"/>
      <c r="J1431" s="701"/>
      <c r="K1431" s="700"/>
      <c r="L1431" s="690"/>
    </row>
    <row r="1432" spans="1:12" s="27" customFormat="1" ht="17.25" customHeight="1">
      <c r="A1432" s="702" t="s">
        <v>80</v>
      </c>
      <c r="B1432" s="846" t="s">
        <v>533</v>
      </c>
      <c r="C1432" s="700"/>
      <c r="D1432" s="700"/>
      <c r="E1432" s="700"/>
      <c r="F1432" s="750"/>
      <c r="G1432" s="702" t="s">
        <v>80</v>
      </c>
      <c r="H1432" s="846" t="s">
        <v>533</v>
      </c>
      <c r="I1432" s="700"/>
      <c r="J1432" s="700"/>
      <c r="K1432" s="700"/>
      <c r="L1432" s="690"/>
    </row>
    <row r="1433" spans="1:12" s="27" customFormat="1" ht="17.25" customHeight="1">
      <c r="A1433" s="702" t="s">
        <v>81</v>
      </c>
      <c r="B1433" s="847" t="s">
        <v>534</v>
      </c>
      <c r="C1433" s="700"/>
      <c r="D1433" s="700"/>
      <c r="E1433" s="695">
        <f>SUM(E1432)</f>
        <v>0</v>
      </c>
      <c r="F1433" s="750"/>
      <c r="G1433" s="702" t="s">
        <v>81</v>
      </c>
      <c r="H1433" s="847" t="s">
        <v>534</v>
      </c>
      <c r="I1433" s="700"/>
      <c r="J1433" s="700"/>
      <c r="K1433" s="695">
        <f>SUM(K1432)</f>
        <v>0</v>
      </c>
      <c r="L1433" s="690"/>
    </row>
    <row r="1434" spans="1:12" s="27" customFormat="1" ht="17.25" customHeight="1">
      <c r="A1434" s="704" t="s">
        <v>82</v>
      </c>
      <c r="B1434" s="848" t="s">
        <v>438</v>
      </c>
      <c r="C1434" s="705"/>
      <c r="D1434" s="705"/>
      <c r="E1434" s="705" t="e">
        <f>(E1422+E1423+E1424+E1425+E1426+E1427+E1428+E1429+E1430)-E1433</f>
        <v>#REF!</v>
      </c>
      <c r="F1434" s="750"/>
      <c r="G1434" s="704" t="s">
        <v>82</v>
      </c>
      <c r="H1434" s="848" t="s">
        <v>438</v>
      </c>
      <c r="I1434" s="705"/>
      <c r="J1434" s="705"/>
      <c r="K1434" s="705" t="e">
        <f>(K1422+K1423+K1424+K1425+K1426+K1427+K1428+K1429+K1430)-K1433</f>
        <v>#REF!</v>
      </c>
      <c r="L1434" s="707" t="e">
        <f>E1434+K1434</f>
        <v>#REF!</v>
      </c>
    </row>
    <row r="1435" spans="1:12" s="27" customFormat="1" ht="17.25" customHeight="1">
      <c r="A1435" s="763"/>
      <c r="B1435" s="763"/>
      <c r="C1435" s="763"/>
      <c r="D1435" s="763"/>
      <c r="E1435" s="763"/>
      <c r="F1435" s="742"/>
      <c r="G1435" s="763"/>
      <c r="H1435" s="763"/>
      <c r="I1435" s="763"/>
      <c r="J1435" s="763"/>
      <c r="K1435" s="743"/>
      <c r="L1435" s="690"/>
    </row>
    <row r="1436" spans="1:12" s="27" customFormat="1" ht="17.25" customHeight="1">
      <c r="A1436" s="763" t="str">
        <f>A1419</f>
        <v>LƯƠNG THÁNG 01/2025</v>
      </c>
      <c r="B1436" s="763"/>
      <c r="C1436" s="763"/>
      <c r="D1436" s="763"/>
      <c r="E1436" s="763" t="e">
        <f>VLOOKUP(B1437,'CNKT '!$D$99:$AD$112,26,0)</f>
        <v>#REF!</v>
      </c>
      <c r="F1436" s="742"/>
      <c r="G1436" s="763" t="str">
        <f>A1436</f>
        <v>LƯƠNG THÁNG 01/2025</v>
      </c>
      <c r="H1436" s="763"/>
      <c r="I1436" s="763"/>
      <c r="J1436" s="763"/>
      <c r="K1436" s="763" t="e">
        <f>VLOOKUP(H1437,'CNKT '!$D$99:$AD$112,26,0)</f>
        <v>#REF!</v>
      </c>
      <c r="L1436" s="690"/>
    </row>
    <row r="1437" spans="1:12" s="27" customFormat="1" ht="17.25" customHeight="1">
      <c r="A1437" s="709" t="s">
        <v>15</v>
      </c>
      <c r="B1437" s="840" t="e">
        <f>'CNKT '!D107</f>
        <v>#REF!</v>
      </c>
      <c r="C1437" s="694"/>
      <c r="D1437" s="840" t="s">
        <v>396</v>
      </c>
      <c r="E1437" s="840" t="s">
        <v>18</v>
      </c>
      <c r="F1437" s="750"/>
      <c r="G1437" s="709" t="s">
        <v>15</v>
      </c>
      <c r="H1437" s="840" t="e">
        <f>'CNKT '!D111</f>
        <v>#REF!</v>
      </c>
      <c r="I1437" s="694"/>
      <c r="J1437" s="840" t="s">
        <v>396</v>
      </c>
      <c r="K1437" s="840" t="s">
        <v>18</v>
      </c>
      <c r="L1437" s="690"/>
    </row>
    <row r="1438" spans="1:12" s="27" customFormat="1" ht="17.25" customHeight="1">
      <c r="A1438" s="693" t="s">
        <v>397</v>
      </c>
      <c r="B1438" s="842" t="s">
        <v>527</v>
      </c>
      <c r="C1438" s="694" t="e">
        <f>VLOOKUP(B1437,'BTH mủ tạp'!$D$98:$AN$101,36,0)</f>
        <v>#REF!</v>
      </c>
      <c r="D1438" s="695"/>
      <c r="E1438" s="695"/>
      <c r="F1438" s="750"/>
      <c r="G1438" s="693" t="s">
        <v>397</v>
      </c>
      <c r="H1438" s="842" t="s">
        <v>527</v>
      </c>
      <c r="I1438" s="694"/>
      <c r="J1438" s="695"/>
      <c r="K1438" s="695"/>
      <c r="L1438" s="690"/>
    </row>
    <row r="1439" spans="1:12" s="27" customFormat="1" ht="17.25" customHeight="1">
      <c r="A1439" s="693" t="s">
        <v>77</v>
      </c>
      <c r="B1439" s="843" t="s">
        <v>432</v>
      </c>
      <c r="C1439" s="696" t="e">
        <f>VLOOKUP(B1437,'CNKT '!$D$99:$AA$112,3,0)</f>
        <v>#REF!</v>
      </c>
      <c r="D1439" s="697">
        <v>25000</v>
      </c>
      <c r="E1439" s="695" t="e">
        <f t="shared" ref="E1439:E1444" si="167">C1439*D1439</f>
        <v>#REF!</v>
      </c>
      <c r="F1439" s="750"/>
      <c r="G1439" s="693" t="s">
        <v>77</v>
      </c>
      <c r="H1439" s="843" t="s">
        <v>432</v>
      </c>
      <c r="I1439" s="696" t="e">
        <f>VLOOKUP(H1437,'CNKT '!$D$99:$AA$112,3,0)</f>
        <v>#REF!</v>
      </c>
      <c r="J1439" s="697">
        <v>25000</v>
      </c>
      <c r="K1439" s="695" t="e">
        <f t="shared" ref="K1439:K1444" si="168">I1439*J1439</f>
        <v>#REF!</v>
      </c>
      <c r="L1439" s="690"/>
    </row>
    <row r="1440" spans="1:12" s="27" customFormat="1" ht="17.25" customHeight="1">
      <c r="A1440" s="693" t="s">
        <v>307</v>
      </c>
      <c r="B1440" s="844" t="s">
        <v>528</v>
      </c>
      <c r="C1440" s="747" t="e">
        <f>VLOOKUP(B1437,'CNKT '!$D$99:$AA$112,11,0)</f>
        <v>#REF!</v>
      </c>
      <c r="D1440" s="698">
        <f>46.1*$B$2</f>
        <v>30833.524000000001</v>
      </c>
      <c r="E1440" s="695" t="e">
        <f t="shared" si="167"/>
        <v>#REF!</v>
      </c>
      <c r="F1440" s="750"/>
      <c r="G1440" s="693" t="s">
        <v>307</v>
      </c>
      <c r="H1440" s="844" t="s">
        <v>528</v>
      </c>
      <c r="I1440" s="747" t="e">
        <f>VLOOKUP(H1437,'CNKT '!$D$99:$AA$112,11,0)</f>
        <v>#REF!</v>
      </c>
      <c r="J1440" s="698">
        <f>46.1*$B$2</f>
        <v>30833.524000000001</v>
      </c>
      <c r="K1440" s="695" t="e">
        <f t="shared" si="168"/>
        <v>#REF!</v>
      </c>
      <c r="L1440" s="690"/>
    </row>
    <row r="1441" spans="1:13" s="27" customFormat="1" ht="17.25" customHeight="1">
      <c r="A1441" s="693" t="s">
        <v>399</v>
      </c>
      <c r="B1441" s="844" t="s">
        <v>529</v>
      </c>
      <c r="C1441" s="747" t="e">
        <f>VLOOKUP(B1437,'CNKT '!$D$99:$AA$112,12,0)</f>
        <v>#REF!</v>
      </c>
      <c r="D1441" s="697">
        <f>76.9*$B$2</f>
        <v>51433.796000000009</v>
      </c>
      <c r="E1441" s="695" t="e">
        <f t="shared" si="167"/>
        <v>#REF!</v>
      </c>
      <c r="F1441" s="750"/>
      <c r="G1441" s="693" t="s">
        <v>399</v>
      </c>
      <c r="H1441" s="844" t="s">
        <v>529</v>
      </c>
      <c r="I1441" s="747" t="e">
        <f>VLOOKUP(H1437,'CNKT '!$D$99:$AA$112,12,0)</f>
        <v>#REF!</v>
      </c>
      <c r="J1441" s="697">
        <f>76.9*$B$2</f>
        <v>51433.796000000009</v>
      </c>
      <c r="K1441" s="695" t="e">
        <f t="shared" si="168"/>
        <v>#REF!</v>
      </c>
      <c r="L1441" s="690"/>
    </row>
    <row r="1442" spans="1:13" s="27" customFormat="1" ht="17.25" customHeight="1">
      <c r="A1442" s="693" t="s">
        <v>78</v>
      </c>
      <c r="B1442" s="844" t="s">
        <v>530</v>
      </c>
      <c r="C1442" s="747" t="e">
        <f>VLOOKUP(B1437,'CNKT '!$D$99:$AA$112,8,0)</f>
        <v>#REF!</v>
      </c>
      <c r="D1442" s="697" t="e">
        <f>IF(C1438="A",6.1,IF(C1438="B",5.8,IF(C1438="C",5.5,IF(C1438="C.",5.5,IF(C1438="D",5.2)))))*$B$2</f>
        <v>#REF!</v>
      </c>
      <c r="E1442" s="695" t="e">
        <f t="shared" si="167"/>
        <v>#REF!</v>
      </c>
      <c r="F1442" s="750"/>
      <c r="G1442" s="693" t="s">
        <v>78</v>
      </c>
      <c r="H1442" s="844" t="s">
        <v>530</v>
      </c>
      <c r="I1442" s="747" t="e">
        <f>VLOOKUP(H1437,'CNKT '!$D$99:$AA$112,8,0)</f>
        <v>#REF!</v>
      </c>
      <c r="J1442" s="697">
        <f>IF(I1438="A",6.1,IF(I1438="B",5.8,IF(I1438="C",5.5,IF(I1438="C.",5.5,IF(I1438="D",5.2)))))*$B$2</f>
        <v>0</v>
      </c>
      <c r="K1442" s="695" t="e">
        <f t="shared" si="168"/>
        <v>#REF!</v>
      </c>
      <c r="L1442" s="690"/>
    </row>
    <row r="1443" spans="1:13" s="27" customFormat="1" ht="17.25" customHeight="1">
      <c r="A1443" s="693" t="s">
        <v>491</v>
      </c>
      <c r="B1443" s="844" t="s">
        <v>531</v>
      </c>
      <c r="C1443" s="747" t="e">
        <f>VLOOKUP(B1437,'CNKT '!$D$99:$AA$112,15,0)</f>
        <v>#REF!</v>
      </c>
      <c r="D1443" s="698">
        <f>92.2*$B$2</f>
        <v>61667.048000000003</v>
      </c>
      <c r="E1443" s="695" t="e">
        <f t="shared" si="167"/>
        <v>#REF!</v>
      </c>
      <c r="F1443" s="750"/>
      <c r="G1443" s="693" t="s">
        <v>491</v>
      </c>
      <c r="H1443" s="844" t="s">
        <v>531</v>
      </c>
      <c r="I1443" s="747" t="e">
        <f>VLOOKUP(H1437,'CNKT '!$D$99:$AA$112,15,0)</f>
        <v>#REF!</v>
      </c>
      <c r="J1443" s="698">
        <f>92.2*$B$2</f>
        <v>61667.048000000003</v>
      </c>
      <c r="K1443" s="695" t="e">
        <f t="shared" si="168"/>
        <v>#REF!</v>
      </c>
      <c r="L1443" s="690"/>
    </row>
    <row r="1444" spans="1:13" s="27" customFormat="1" ht="17.25" customHeight="1">
      <c r="A1444" s="693" t="s">
        <v>492</v>
      </c>
      <c r="B1444" s="844" t="s">
        <v>496</v>
      </c>
      <c r="C1444" s="747" t="e">
        <f>VLOOKUP(B1437,'CNKT '!$D$99:$AA$112,16,0)</f>
        <v>#REF!</v>
      </c>
      <c r="D1444" s="697">
        <f>153.8*$B$2</f>
        <v>102867.59200000002</v>
      </c>
      <c r="E1444" s="695" t="e">
        <f t="shared" si="167"/>
        <v>#REF!</v>
      </c>
      <c r="F1444" s="750"/>
      <c r="G1444" s="693" t="s">
        <v>492</v>
      </c>
      <c r="H1444" s="844" t="s">
        <v>496</v>
      </c>
      <c r="I1444" s="747" t="e">
        <f>VLOOKUP(H1437,'CNKT '!$D$99:$AA$112,16,0)</f>
        <v>#REF!</v>
      </c>
      <c r="J1444" s="697">
        <f>153.8*$B$2</f>
        <v>102867.59200000002</v>
      </c>
      <c r="K1444" s="695" t="e">
        <f t="shared" si="168"/>
        <v>#REF!</v>
      </c>
      <c r="L1444" s="690"/>
    </row>
    <row r="1445" spans="1:13" s="27" customFormat="1" ht="17.25" customHeight="1">
      <c r="A1445" s="693" t="s">
        <v>453</v>
      </c>
      <c r="B1445" s="844" t="s">
        <v>497</v>
      </c>
      <c r="C1445" s="747" t="e">
        <f>VLOOKUP(B1437,'CNKT '!$D$99:$AA$112,18,0)</f>
        <v>#REF!</v>
      </c>
      <c r="D1445" s="697">
        <v>10000</v>
      </c>
      <c r="E1445" s="695" t="e">
        <f>C1445*D1445</f>
        <v>#REF!</v>
      </c>
      <c r="F1445" s="750"/>
      <c r="G1445" s="693" t="s">
        <v>453</v>
      </c>
      <c r="H1445" s="844" t="s">
        <v>497</v>
      </c>
      <c r="I1445" s="747" t="e">
        <f>VLOOKUP(H1437,'CNKT '!$D$99:$AA$112,18,0)</f>
        <v>#REF!</v>
      </c>
      <c r="J1445" s="697">
        <v>10000</v>
      </c>
      <c r="K1445" s="695" t="e">
        <f>I1445*J1445</f>
        <v>#REF!</v>
      </c>
      <c r="L1445" s="690"/>
    </row>
    <row r="1446" spans="1:13" s="27" customFormat="1" ht="17.25" customHeight="1">
      <c r="A1446" s="693" t="s">
        <v>453</v>
      </c>
      <c r="B1446" s="844" t="s">
        <v>497</v>
      </c>
      <c r="C1446" s="747" t="e">
        <f>VLOOKUP(B1437,'CNKT '!$D$99:$AA$112,19,0)</f>
        <v>#REF!</v>
      </c>
      <c r="D1446" s="697">
        <v>20000</v>
      </c>
      <c r="E1446" s="695" t="e">
        <f>C1446*D1446</f>
        <v>#REF!</v>
      </c>
      <c r="F1446" s="750"/>
      <c r="G1446" s="693"/>
      <c r="H1446" s="844" t="s">
        <v>497</v>
      </c>
      <c r="I1446" s="747" t="e">
        <f>VLOOKUP(H1437,'CNKT '!$D$99:$AA$112,19,0)</f>
        <v>#REF!</v>
      </c>
      <c r="J1446" s="697">
        <v>20000</v>
      </c>
      <c r="K1446" s="695" t="e">
        <f>I1446*J1446</f>
        <v>#REF!</v>
      </c>
      <c r="L1446" s="690"/>
    </row>
    <row r="1447" spans="1:13" s="27" customFormat="1" ht="17.25" customHeight="1">
      <c r="A1447" s="693" t="s">
        <v>512</v>
      </c>
      <c r="B1447" s="844" t="s">
        <v>513</v>
      </c>
      <c r="C1447" s="747"/>
      <c r="D1447" s="697"/>
      <c r="E1447" s="695"/>
      <c r="F1447" s="750"/>
      <c r="G1447" s="693" t="s">
        <v>512</v>
      </c>
      <c r="H1447" s="844" t="s">
        <v>513</v>
      </c>
      <c r="I1447" s="747"/>
      <c r="J1447" s="697"/>
      <c r="K1447" s="695"/>
      <c r="L1447" s="690"/>
    </row>
    <row r="1448" spans="1:13" s="27" customFormat="1" ht="17.25" customHeight="1">
      <c r="A1448" s="699" t="s">
        <v>79</v>
      </c>
      <c r="B1448" s="845" t="s">
        <v>532</v>
      </c>
      <c r="C1448" s="700"/>
      <c r="D1448" s="701"/>
      <c r="E1448" s="700"/>
      <c r="F1448" s="750"/>
      <c r="G1448" s="699" t="s">
        <v>79</v>
      </c>
      <c r="H1448" s="845" t="s">
        <v>532</v>
      </c>
      <c r="I1448" s="700"/>
      <c r="J1448" s="701"/>
      <c r="K1448" s="700"/>
      <c r="L1448" s="690"/>
    </row>
    <row r="1449" spans="1:13" s="27" customFormat="1" ht="17.25" customHeight="1">
      <c r="A1449" s="702" t="s">
        <v>80</v>
      </c>
      <c r="B1449" s="846" t="s">
        <v>533</v>
      </c>
      <c r="C1449" s="700"/>
      <c r="D1449" s="700"/>
      <c r="E1449" s="700"/>
      <c r="F1449" s="750"/>
      <c r="G1449" s="702" t="s">
        <v>80</v>
      </c>
      <c r="H1449" s="846" t="s">
        <v>533</v>
      </c>
      <c r="I1449" s="700"/>
      <c r="J1449" s="700"/>
      <c r="K1449" s="700"/>
      <c r="L1449" s="690"/>
    </row>
    <row r="1450" spans="1:13" s="27" customFormat="1" ht="17.25" customHeight="1">
      <c r="A1450" s="702" t="s">
        <v>81</v>
      </c>
      <c r="B1450" s="847" t="s">
        <v>534</v>
      </c>
      <c r="C1450" s="700"/>
      <c r="D1450" s="700"/>
      <c r="E1450" s="695">
        <f>SUM(E1449)</f>
        <v>0</v>
      </c>
      <c r="F1450" s="750"/>
      <c r="G1450" s="702" t="s">
        <v>81</v>
      </c>
      <c r="H1450" s="847" t="s">
        <v>534</v>
      </c>
      <c r="I1450" s="700"/>
      <c r="J1450" s="700"/>
      <c r="K1450" s="695">
        <f>SUM(K1449)</f>
        <v>0</v>
      </c>
      <c r="L1450" s="690"/>
    </row>
    <row r="1451" spans="1:13" s="27" customFormat="1" ht="17.25" customHeight="1">
      <c r="A1451" s="704" t="s">
        <v>82</v>
      </c>
      <c r="B1451" s="848" t="s">
        <v>438</v>
      </c>
      <c r="C1451" s="705"/>
      <c r="D1451" s="705"/>
      <c r="E1451" s="705" t="e">
        <f>(E1439+E1440+E1441+E1442+E1443+E1444+E1445+E1446+E1447)-E1450</f>
        <v>#REF!</v>
      </c>
      <c r="F1451" s="750"/>
      <c r="G1451" s="704" t="s">
        <v>82</v>
      </c>
      <c r="H1451" s="848" t="s">
        <v>438</v>
      </c>
      <c r="I1451" s="705"/>
      <c r="J1451" s="705"/>
      <c r="K1451" s="705" t="e">
        <f>(K1439+K1440+K1441+K1442+K1443+K1444+K1445+K1446+K1447)-K1450</f>
        <v>#REF!</v>
      </c>
      <c r="L1451" s="707" t="e">
        <f>E1451+K1451</f>
        <v>#REF!</v>
      </c>
    </row>
    <row r="1452" spans="1:13" s="27" customFormat="1" ht="17.25" customHeight="1">
      <c r="A1452" s="763"/>
      <c r="B1452" s="763"/>
      <c r="C1452" s="763"/>
      <c r="D1452" s="763"/>
      <c r="E1452" s="763"/>
      <c r="F1452" s="742"/>
      <c r="G1452" s="763"/>
      <c r="H1452" s="763"/>
      <c r="I1452" s="763"/>
      <c r="J1452" s="763"/>
      <c r="K1452" s="743"/>
      <c r="L1452" s="690"/>
      <c r="M1452" s="27">
        <f>SUM(M743:M1450)</f>
        <v>0</v>
      </c>
    </row>
    <row r="1453" spans="1:13" s="27" customFormat="1" ht="51.75" customHeight="1">
      <c r="A1453" s="710"/>
      <c r="B1453" s="715"/>
      <c r="C1453" s="716"/>
      <c r="D1453" s="716"/>
      <c r="E1453" s="714"/>
      <c r="F1453" s="724"/>
      <c r="G1453" s="710"/>
      <c r="H1453" s="715"/>
      <c r="I1453" s="716"/>
      <c r="J1453" s="714"/>
      <c r="K1453" s="724"/>
      <c r="L1453" s="690"/>
    </row>
    <row r="1454" spans="1:13" s="27" customFormat="1" ht="19.5" customHeight="1">
      <c r="A1454" s="763" t="str">
        <f>A1436</f>
        <v>LƯƠNG THÁNG 01/2025</v>
      </c>
      <c r="B1454" s="763"/>
      <c r="C1454" s="763"/>
      <c r="D1454" s="763"/>
      <c r="E1454" s="763" t="e">
        <f>VLOOKUP(B1455,'CNKT '!$D$99:$AD$112,26,0)</f>
        <v>#REF!</v>
      </c>
      <c r="F1454" s="724"/>
      <c r="G1454" s="763" t="str">
        <f>A1454</f>
        <v>LƯƠNG THÁNG 01/2025</v>
      </c>
      <c r="H1454" s="763"/>
      <c r="I1454" s="763"/>
      <c r="J1454" s="763"/>
      <c r="K1454" s="763" t="e">
        <f>VLOOKUP(H1455,'CNKT '!$D$99:$AD$112,26,0)</f>
        <v>#REF!</v>
      </c>
      <c r="L1454" s="690"/>
    </row>
    <row r="1455" spans="1:13" s="27" customFormat="1" ht="19.5" customHeight="1">
      <c r="A1455" s="709" t="s">
        <v>15</v>
      </c>
      <c r="B1455" s="840" t="e">
        <f>'CNKT '!D108</f>
        <v>#REF!</v>
      </c>
      <c r="C1455" s="694"/>
      <c r="D1455" s="840" t="s">
        <v>396</v>
      </c>
      <c r="E1455" s="840" t="s">
        <v>18</v>
      </c>
      <c r="F1455" s="724"/>
      <c r="G1455" s="709" t="s">
        <v>15</v>
      </c>
      <c r="H1455" s="840" t="e">
        <f>'CNKT '!D109</f>
        <v>#REF!</v>
      </c>
      <c r="I1455" s="694"/>
      <c r="J1455" s="840" t="s">
        <v>396</v>
      </c>
      <c r="K1455" s="840" t="s">
        <v>18</v>
      </c>
      <c r="L1455" s="690"/>
    </row>
    <row r="1456" spans="1:13" s="27" customFormat="1" ht="19.5" customHeight="1">
      <c r="A1456" s="693" t="s">
        <v>397</v>
      </c>
      <c r="B1456" s="842" t="s">
        <v>527</v>
      </c>
      <c r="C1456" s="694" t="e">
        <f>VLOOKUP(B1455,'BTH mủ tạp'!$D$98:$AN$103,36,0)</f>
        <v>#REF!</v>
      </c>
      <c r="D1456" s="695"/>
      <c r="E1456" s="695"/>
      <c r="F1456" s="724"/>
      <c r="G1456" s="693" t="s">
        <v>397</v>
      </c>
      <c r="H1456" s="842" t="s">
        <v>527</v>
      </c>
      <c r="I1456" s="694" t="s">
        <v>38</v>
      </c>
      <c r="J1456" s="695"/>
      <c r="K1456" s="695"/>
      <c r="L1456" s="690"/>
    </row>
    <row r="1457" spans="1:12" s="27" customFormat="1" ht="15.75" customHeight="1">
      <c r="A1457" s="693" t="s">
        <v>77</v>
      </c>
      <c r="B1457" s="843" t="s">
        <v>432</v>
      </c>
      <c r="C1457" s="696" t="e">
        <f>VLOOKUP(B1455,'CNKT '!$D$99:$AA$109,3,0)</f>
        <v>#REF!</v>
      </c>
      <c r="D1457" s="697">
        <v>25000</v>
      </c>
      <c r="E1457" s="695" t="e">
        <f t="shared" ref="E1457:E1462" si="169">C1457*D1457</f>
        <v>#REF!</v>
      </c>
      <c r="F1457" s="724"/>
      <c r="G1457" s="693" t="s">
        <v>77</v>
      </c>
      <c r="H1457" s="843" t="s">
        <v>432</v>
      </c>
      <c r="I1457" s="696" t="e">
        <f>VLOOKUP(H1455,'CNKT '!$D$99:$AA$109,3,0)</f>
        <v>#REF!</v>
      </c>
      <c r="J1457" s="697">
        <v>25000</v>
      </c>
      <c r="K1457" s="695" t="e">
        <f t="shared" ref="K1457:K1462" si="170">I1457*J1457</f>
        <v>#REF!</v>
      </c>
      <c r="L1457" s="690"/>
    </row>
    <row r="1458" spans="1:12" s="27" customFormat="1" ht="15.75" customHeight="1">
      <c r="A1458" s="693" t="s">
        <v>307</v>
      </c>
      <c r="B1458" s="844" t="s">
        <v>528</v>
      </c>
      <c r="C1458" s="747" t="e">
        <f>VLOOKUP(B1455,'CNKT '!$D$99:$AA$109,11,0)</f>
        <v>#REF!</v>
      </c>
      <c r="D1458" s="698">
        <f>46.1*$B$2</f>
        <v>30833.524000000001</v>
      </c>
      <c r="E1458" s="695" t="e">
        <f t="shared" si="169"/>
        <v>#REF!</v>
      </c>
      <c r="F1458" s="724"/>
      <c r="G1458" s="693" t="s">
        <v>307</v>
      </c>
      <c r="H1458" s="844" t="s">
        <v>528</v>
      </c>
      <c r="I1458" s="747" t="e">
        <f>VLOOKUP(H1455,'CNKT '!$D$99:$AA$109,11,0)</f>
        <v>#REF!</v>
      </c>
      <c r="J1458" s="698">
        <f>46.1*$B$2</f>
        <v>30833.524000000001</v>
      </c>
      <c r="K1458" s="695" t="e">
        <f t="shared" si="170"/>
        <v>#REF!</v>
      </c>
      <c r="L1458" s="690"/>
    </row>
    <row r="1459" spans="1:12" s="27" customFormat="1" ht="15.75" customHeight="1">
      <c r="A1459" s="693" t="s">
        <v>399</v>
      </c>
      <c r="B1459" s="844" t="s">
        <v>529</v>
      </c>
      <c r="C1459" s="747" t="e">
        <f>VLOOKUP(B1455,'CNKT '!$D$99:$AA$109,12,0)</f>
        <v>#REF!</v>
      </c>
      <c r="D1459" s="697">
        <f>76.9*$B$2</f>
        <v>51433.796000000009</v>
      </c>
      <c r="E1459" s="695" t="e">
        <f t="shared" si="169"/>
        <v>#REF!</v>
      </c>
      <c r="F1459" s="724"/>
      <c r="G1459" s="693" t="s">
        <v>399</v>
      </c>
      <c r="H1459" s="844" t="s">
        <v>529</v>
      </c>
      <c r="I1459" s="747" t="e">
        <f>VLOOKUP(H1455,'CNKT '!$D$99:$AA$109,12,0)</f>
        <v>#REF!</v>
      </c>
      <c r="J1459" s="697">
        <f>76.9*$B$2</f>
        <v>51433.796000000009</v>
      </c>
      <c r="K1459" s="695" t="e">
        <f t="shared" si="170"/>
        <v>#REF!</v>
      </c>
      <c r="L1459" s="690"/>
    </row>
    <row r="1460" spans="1:12" s="27" customFormat="1" ht="15.75" customHeight="1">
      <c r="A1460" s="693" t="s">
        <v>78</v>
      </c>
      <c r="B1460" s="844" t="s">
        <v>530</v>
      </c>
      <c r="C1460" s="747" t="e">
        <f>VLOOKUP(B1455,'CNKT '!$D$99:$AA$109,8,0)</f>
        <v>#REF!</v>
      </c>
      <c r="D1460" s="697" t="e">
        <f>IF(C1456="A",6.1,IF(C1456="B",5.8,IF(C1456="C",5.5,IF(C1456="C.",5.5,IF(C1456="D",5.2)))))*$B$2</f>
        <v>#REF!</v>
      </c>
      <c r="E1460" s="695" t="e">
        <f t="shared" si="169"/>
        <v>#REF!</v>
      </c>
      <c r="F1460" s="724"/>
      <c r="G1460" s="693" t="s">
        <v>78</v>
      </c>
      <c r="H1460" s="844" t="s">
        <v>530</v>
      </c>
      <c r="I1460" s="747" t="e">
        <f>VLOOKUP(H1455,'CNKT '!$D$99:$AA$109,8,0)</f>
        <v>#REF!</v>
      </c>
      <c r="J1460" s="697">
        <f>IF(I1456="A",6.1,IF(I1456="B",5.8,IF(I1456="C",5.5,IF(I1456="C.",5.5,IF(I1456="D",5.2)))))*$B$2</f>
        <v>4079.924</v>
      </c>
      <c r="K1460" s="695" t="e">
        <f t="shared" si="170"/>
        <v>#REF!</v>
      </c>
      <c r="L1460" s="690"/>
    </row>
    <row r="1461" spans="1:12" s="27" customFormat="1" ht="15.75" customHeight="1">
      <c r="A1461" s="693" t="s">
        <v>491</v>
      </c>
      <c r="B1461" s="844" t="s">
        <v>531</v>
      </c>
      <c r="C1461" s="747" t="e">
        <f>VLOOKUP(B1455,'CNKT '!$D$99:$AA$109,15,0)</f>
        <v>#REF!</v>
      </c>
      <c r="D1461" s="698">
        <f>92.2*$B$2</f>
        <v>61667.048000000003</v>
      </c>
      <c r="E1461" s="695" t="e">
        <f t="shared" si="169"/>
        <v>#REF!</v>
      </c>
      <c r="F1461" s="724"/>
      <c r="G1461" s="693" t="s">
        <v>491</v>
      </c>
      <c r="H1461" s="844" t="s">
        <v>531</v>
      </c>
      <c r="I1461" s="747" t="e">
        <f>VLOOKUP(H1455,'CNKT '!$D$99:$AA$109,15,0)</f>
        <v>#REF!</v>
      </c>
      <c r="J1461" s="698">
        <f>92.2*$B$2</f>
        <v>61667.048000000003</v>
      </c>
      <c r="K1461" s="695" t="e">
        <f t="shared" si="170"/>
        <v>#REF!</v>
      </c>
      <c r="L1461" s="690"/>
    </row>
    <row r="1462" spans="1:12" s="27" customFormat="1" ht="15.75" customHeight="1">
      <c r="A1462" s="693" t="s">
        <v>492</v>
      </c>
      <c r="B1462" s="844" t="s">
        <v>496</v>
      </c>
      <c r="C1462" s="747" t="e">
        <f>VLOOKUP(B1455,'CNKT '!$D$99:$AA$109,16,0)</f>
        <v>#REF!</v>
      </c>
      <c r="D1462" s="697">
        <f>153.8*$B$2</f>
        <v>102867.59200000002</v>
      </c>
      <c r="E1462" s="695" t="e">
        <f t="shared" si="169"/>
        <v>#REF!</v>
      </c>
      <c r="F1462" s="724"/>
      <c r="G1462" s="693" t="s">
        <v>492</v>
      </c>
      <c r="H1462" s="844" t="s">
        <v>496</v>
      </c>
      <c r="I1462" s="747" t="e">
        <f>VLOOKUP(H1455,'CNKT '!$D$99:$AA$109,16,0)</f>
        <v>#REF!</v>
      </c>
      <c r="J1462" s="697">
        <f>153.8*$B$2</f>
        <v>102867.59200000002</v>
      </c>
      <c r="K1462" s="695" t="e">
        <f t="shared" si="170"/>
        <v>#REF!</v>
      </c>
      <c r="L1462" s="690"/>
    </row>
    <row r="1463" spans="1:12" s="27" customFormat="1" ht="15.75" customHeight="1">
      <c r="A1463" s="693" t="s">
        <v>453</v>
      </c>
      <c r="B1463" s="844" t="s">
        <v>497</v>
      </c>
      <c r="C1463" s="747" t="e">
        <f>VLOOKUP(B1455,'CNKT '!$D$99:$AA$112,18,0)</f>
        <v>#REF!</v>
      </c>
      <c r="D1463" s="697">
        <v>10000</v>
      </c>
      <c r="E1463" s="695" t="e">
        <f>C1463*D1463</f>
        <v>#REF!</v>
      </c>
      <c r="F1463" s="724"/>
      <c r="G1463" s="693" t="s">
        <v>453</v>
      </c>
      <c r="H1463" s="844" t="s">
        <v>497</v>
      </c>
      <c r="I1463" s="747" t="e">
        <f>VLOOKUP(H1455,'CNKT '!$D$99:$AA$112,18,0)</f>
        <v>#REF!</v>
      </c>
      <c r="J1463" s="697">
        <v>10000</v>
      </c>
      <c r="K1463" s="695" t="e">
        <f>I1463*J1463</f>
        <v>#REF!</v>
      </c>
      <c r="L1463" s="690"/>
    </row>
    <row r="1464" spans="1:12" s="27" customFormat="1" ht="15.75" customHeight="1">
      <c r="A1464" s="693" t="s">
        <v>453</v>
      </c>
      <c r="B1464" s="844" t="s">
        <v>497</v>
      </c>
      <c r="C1464" s="747" t="e">
        <f>VLOOKUP(B1455,'CNKT '!$D$99:$AA$112,19,0)</f>
        <v>#REF!</v>
      </c>
      <c r="D1464" s="697">
        <v>20000</v>
      </c>
      <c r="E1464" s="695" t="e">
        <f>C1464*D1464</f>
        <v>#REF!</v>
      </c>
      <c r="F1464" s="724"/>
      <c r="G1464" s="693" t="s">
        <v>453</v>
      </c>
      <c r="H1464" s="844" t="s">
        <v>497</v>
      </c>
      <c r="I1464" s="747" t="e">
        <f>VLOOKUP(H1455,'CNKT '!$D$99:$AA$112,19,0)</f>
        <v>#REF!</v>
      </c>
      <c r="J1464" s="697">
        <v>20000</v>
      </c>
      <c r="K1464" s="695" t="e">
        <f>I1464*J1464</f>
        <v>#REF!</v>
      </c>
      <c r="L1464" s="690"/>
    </row>
    <row r="1465" spans="1:12" s="27" customFormat="1" ht="15.75" customHeight="1">
      <c r="A1465" s="693" t="s">
        <v>512</v>
      </c>
      <c r="B1465" s="844" t="s">
        <v>513</v>
      </c>
      <c r="C1465" s="747"/>
      <c r="D1465" s="697">
        <v>100000</v>
      </c>
      <c r="E1465" s="695">
        <f>C1465*D1465</f>
        <v>0</v>
      </c>
      <c r="F1465" s="724"/>
      <c r="G1465" s="693" t="s">
        <v>512</v>
      </c>
      <c r="H1465" s="844" t="s">
        <v>513</v>
      </c>
      <c r="I1465" s="747"/>
      <c r="J1465" s="697">
        <v>100000</v>
      </c>
      <c r="K1465" s="695">
        <f>I1465*J1465</f>
        <v>0</v>
      </c>
      <c r="L1465" s="690"/>
    </row>
    <row r="1466" spans="1:12" s="27" customFormat="1" ht="15.75" customHeight="1">
      <c r="A1466" s="699" t="s">
        <v>79</v>
      </c>
      <c r="B1466" s="845" t="s">
        <v>532</v>
      </c>
      <c r="C1466" s="700"/>
      <c r="D1466" s="701"/>
      <c r="E1466" s="700"/>
      <c r="F1466" s="724"/>
      <c r="G1466" s="699" t="s">
        <v>79</v>
      </c>
      <c r="H1466" s="845" t="s">
        <v>532</v>
      </c>
      <c r="I1466" s="700"/>
      <c r="J1466" s="701"/>
      <c r="K1466" s="700"/>
      <c r="L1466" s="690"/>
    </row>
    <row r="1467" spans="1:12" s="27" customFormat="1" ht="15.75" customHeight="1">
      <c r="A1467" s="702" t="s">
        <v>80</v>
      </c>
      <c r="B1467" s="846" t="s">
        <v>533</v>
      </c>
      <c r="C1467" s="700"/>
      <c r="D1467" s="700"/>
      <c r="E1467" s="700"/>
      <c r="F1467" s="724"/>
      <c r="G1467" s="702" t="s">
        <v>80</v>
      </c>
      <c r="H1467" s="846" t="s">
        <v>533</v>
      </c>
      <c r="I1467" s="700"/>
      <c r="J1467" s="700"/>
      <c r="K1467" s="700"/>
      <c r="L1467" s="690"/>
    </row>
    <row r="1468" spans="1:12" s="27" customFormat="1" ht="15.75" customHeight="1">
      <c r="A1468" s="702" t="s">
        <v>81</v>
      </c>
      <c r="B1468" s="847" t="s">
        <v>534</v>
      </c>
      <c r="C1468" s="700"/>
      <c r="D1468" s="700"/>
      <c r="E1468" s="695">
        <f>SUM(E1467)</f>
        <v>0</v>
      </c>
      <c r="F1468" s="724"/>
      <c r="G1468" s="702" t="s">
        <v>81</v>
      </c>
      <c r="H1468" s="847" t="s">
        <v>534</v>
      </c>
      <c r="I1468" s="700"/>
      <c r="J1468" s="700"/>
      <c r="K1468" s="695">
        <f>SUM(K1467)</f>
        <v>0</v>
      </c>
      <c r="L1468" s="690"/>
    </row>
    <row r="1469" spans="1:12" s="27" customFormat="1" ht="15.75" customHeight="1">
      <c r="A1469" s="704" t="s">
        <v>82</v>
      </c>
      <c r="B1469" s="848" t="s">
        <v>438</v>
      </c>
      <c r="C1469" s="705"/>
      <c r="D1469" s="705"/>
      <c r="E1469" s="705" t="e">
        <f>(E1457+E1458+E1459+E1460+E1461+E1462+E1463+E1464+E1465)-E1468</f>
        <v>#REF!</v>
      </c>
      <c r="F1469" s="724"/>
      <c r="G1469" s="704" t="s">
        <v>82</v>
      </c>
      <c r="H1469" s="848" t="s">
        <v>438</v>
      </c>
      <c r="I1469" s="705"/>
      <c r="J1469" s="705"/>
      <c r="K1469" s="705" t="e">
        <f>(K1457+K1458+K1459+K1460+K1461+K1462+K1463+K1464+K1465)-K1468</f>
        <v>#REF!</v>
      </c>
      <c r="L1469" s="707" t="e">
        <f>E1469+K1469</f>
        <v>#REF!</v>
      </c>
    </row>
    <row r="1470" spans="1:12" s="27" customFormat="1" ht="15.75" customHeight="1">
      <c r="A1470" s="710"/>
      <c r="B1470" s="715"/>
      <c r="C1470" s="716"/>
      <c r="D1470" s="716"/>
      <c r="E1470" s="714"/>
      <c r="F1470" s="724"/>
      <c r="G1470" s="710"/>
      <c r="H1470" s="715"/>
      <c r="I1470" s="716"/>
      <c r="J1470" s="714"/>
      <c r="K1470" s="724"/>
      <c r="L1470" s="690"/>
    </row>
    <row r="1471" spans="1:12" s="27" customFormat="1" ht="220.5" customHeight="1">
      <c r="A1471" s="710"/>
      <c r="B1471" s="715"/>
      <c r="C1471" s="716"/>
      <c r="D1471" s="716"/>
      <c r="E1471" s="714"/>
      <c r="F1471" s="724"/>
      <c r="G1471" s="710"/>
      <c r="H1471" s="715"/>
      <c r="I1471" s="716"/>
      <c r="J1471" s="714"/>
      <c r="K1471" s="724"/>
      <c r="L1471" s="690"/>
    </row>
    <row r="1472" spans="1:12" s="27" customFormat="1" ht="17.25" customHeight="1">
      <c r="A1472" s="763" t="str">
        <f>G1436</f>
        <v>LƯƠNG THÁNG 01/2025</v>
      </c>
      <c r="B1472" s="763"/>
      <c r="C1472" s="763"/>
      <c r="D1472" s="763"/>
      <c r="E1472" s="763" t="e">
        <f>VLOOKUP(B1473,'CNKT '!$D$99:$AD$112,26,0)</f>
        <v>#REF!</v>
      </c>
      <c r="F1472" s="724"/>
      <c r="G1472" s="763" t="str">
        <f>A1472</f>
        <v>LƯƠNG THÁNG 01/2025</v>
      </c>
      <c r="H1472" s="763"/>
      <c r="I1472" s="763"/>
      <c r="J1472" s="763"/>
      <c r="K1472" s="763" t="e">
        <f>VLOOKUP(H1473,'CNKT '!$D$99:$AD$112,26,0)</f>
        <v>#REF!</v>
      </c>
      <c r="L1472" s="690"/>
    </row>
    <row r="1473" spans="1:13" s="27" customFormat="1" ht="17.25" customHeight="1">
      <c r="A1473" s="709" t="s">
        <v>15</v>
      </c>
      <c r="B1473" s="840" t="e">
        <f>'CNKT '!D112</f>
        <v>#REF!</v>
      </c>
      <c r="C1473" s="694"/>
      <c r="D1473" s="840" t="s">
        <v>396</v>
      </c>
      <c r="E1473" s="840" t="s">
        <v>18</v>
      </c>
      <c r="F1473" s="714"/>
      <c r="G1473" s="709" t="s">
        <v>15</v>
      </c>
      <c r="H1473" s="840" t="e">
        <f>'CNKT '!D110</f>
        <v>#REF!</v>
      </c>
      <c r="I1473" s="694"/>
      <c r="J1473" s="840" t="s">
        <v>396</v>
      </c>
      <c r="K1473" s="840" t="s">
        <v>18</v>
      </c>
      <c r="L1473" s="690"/>
    </row>
    <row r="1474" spans="1:13" s="27" customFormat="1" ht="17.25" customHeight="1">
      <c r="A1474" s="693" t="s">
        <v>397</v>
      </c>
      <c r="B1474" s="842" t="s">
        <v>527</v>
      </c>
      <c r="C1474" s="694"/>
      <c r="D1474" s="695"/>
      <c r="E1474" s="695"/>
      <c r="F1474" s="714"/>
      <c r="G1474" s="693" t="s">
        <v>397</v>
      </c>
      <c r="H1474" s="599" t="s">
        <v>431</v>
      </c>
      <c r="I1474" s="694"/>
      <c r="J1474" s="695"/>
      <c r="K1474" s="695"/>
      <c r="L1474" s="690"/>
    </row>
    <row r="1475" spans="1:13" s="27" customFormat="1" ht="17.25" customHeight="1">
      <c r="A1475" s="693" t="s">
        <v>77</v>
      </c>
      <c r="B1475" s="843" t="s">
        <v>432</v>
      </c>
      <c r="C1475" s="696" t="e">
        <f>VLOOKUP(B1473,'CNKT '!$D$99:$AA$114,3,0)</f>
        <v>#REF!</v>
      </c>
      <c r="D1475" s="697">
        <v>25000</v>
      </c>
      <c r="E1475" s="695" t="e">
        <f t="shared" ref="E1475:E1480" si="171">C1475*D1475</f>
        <v>#REF!</v>
      </c>
      <c r="F1475" s="714"/>
      <c r="G1475" s="693" t="s">
        <v>77</v>
      </c>
      <c r="H1475" s="600" t="s">
        <v>432</v>
      </c>
      <c r="I1475" s="696" t="e">
        <f>VLOOKUP(H1473,'CNKT '!$D$99:$AA$114,3,0)</f>
        <v>#REF!</v>
      </c>
      <c r="J1475" s="697">
        <v>25000</v>
      </c>
      <c r="K1475" s="695" t="e">
        <f t="shared" ref="K1475:K1480" si="172">I1475*J1475</f>
        <v>#REF!</v>
      </c>
      <c r="L1475" s="690"/>
    </row>
    <row r="1476" spans="1:13" s="27" customFormat="1" ht="17.25" customHeight="1">
      <c r="A1476" s="693" t="s">
        <v>307</v>
      </c>
      <c r="B1476" s="844" t="s">
        <v>528</v>
      </c>
      <c r="C1476" s="747" t="e">
        <f>VLOOKUP(B1473,'CNKT '!$D$99:$AA$114,11,0)</f>
        <v>#REF!</v>
      </c>
      <c r="D1476" s="698">
        <f>46.1*$B$2</f>
        <v>30833.524000000001</v>
      </c>
      <c r="E1476" s="695" t="e">
        <f t="shared" si="171"/>
        <v>#REF!</v>
      </c>
      <c r="F1476" s="714"/>
      <c r="G1476" s="693" t="s">
        <v>307</v>
      </c>
      <c r="H1476" s="601" t="s">
        <v>433</v>
      </c>
      <c r="I1476" s="747" t="e">
        <f>VLOOKUP(H1473,'CNKT '!$D$99:$AA$114,11,0)</f>
        <v>#REF!</v>
      </c>
      <c r="J1476" s="698">
        <f>46.1*$B$2</f>
        <v>30833.524000000001</v>
      </c>
      <c r="K1476" s="695" t="e">
        <f t="shared" si="172"/>
        <v>#REF!</v>
      </c>
      <c r="L1476" s="690"/>
    </row>
    <row r="1477" spans="1:13" s="27" customFormat="1" ht="17.25" customHeight="1">
      <c r="A1477" s="693" t="s">
        <v>399</v>
      </c>
      <c r="B1477" s="844" t="s">
        <v>529</v>
      </c>
      <c r="C1477" s="747" t="e">
        <f>VLOOKUP(B1473,'CNKT '!$D$99:$AA$114,12,0)</f>
        <v>#REF!</v>
      </c>
      <c r="D1477" s="697">
        <f>76.9*$B$2</f>
        <v>51433.796000000009</v>
      </c>
      <c r="E1477" s="695" t="e">
        <f t="shared" si="171"/>
        <v>#REF!</v>
      </c>
      <c r="F1477" s="714"/>
      <c r="G1477" s="693" t="s">
        <v>399</v>
      </c>
      <c r="H1477" s="601" t="s">
        <v>494</v>
      </c>
      <c r="I1477" s="747" t="e">
        <f>VLOOKUP(H1473,'CNKT '!$D$99:$AA$114,12,0)</f>
        <v>#REF!</v>
      </c>
      <c r="J1477" s="697">
        <f>76.9*$B$2</f>
        <v>51433.796000000009</v>
      </c>
      <c r="K1477" s="695" t="e">
        <f t="shared" si="172"/>
        <v>#REF!</v>
      </c>
      <c r="L1477" s="690"/>
    </row>
    <row r="1478" spans="1:13" s="27" customFormat="1" ht="17.25" customHeight="1">
      <c r="A1478" s="693" t="s">
        <v>78</v>
      </c>
      <c r="B1478" s="844" t="s">
        <v>530</v>
      </c>
      <c r="C1478" s="747" t="e">
        <f>VLOOKUP(B1473,'CNKT '!$D$99:$AA$114,8,0)</f>
        <v>#REF!</v>
      </c>
      <c r="D1478" s="697">
        <f>IF(C1474="A",6.1,IF(C1474="B",5.8,IF(C1474="C",5.5,IF(C1474="C.",5.5,IF(C1474="D",5.2)))))*$B$2</f>
        <v>0</v>
      </c>
      <c r="E1478" s="695" t="e">
        <f t="shared" si="171"/>
        <v>#REF!</v>
      </c>
      <c r="F1478" s="714"/>
      <c r="G1478" s="693" t="s">
        <v>78</v>
      </c>
      <c r="H1478" s="601" t="s">
        <v>434</v>
      </c>
      <c r="I1478" s="747" t="e">
        <f>VLOOKUP(H1473,'CNKT '!$D$99:$AA$114,8,0)</f>
        <v>#REF!</v>
      </c>
      <c r="J1478" s="697">
        <f>IF(I1474="A",6.1,IF(I1474="B",5.8,IF(I1474="C",5.5,IF(I1474="C.",5.5,IF(I1474="D",5.2)))))*$B$2</f>
        <v>0</v>
      </c>
      <c r="K1478" s="695" t="e">
        <f t="shared" si="172"/>
        <v>#REF!</v>
      </c>
      <c r="L1478" s="690"/>
    </row>
    <row r="1479" spans="1:13" s="27" customFormat="1" ht="17.25" customHeight="1">
      <c r="A1479" s="693" t="s">
        <v>491</v>
      </c>
      <c r="B1479" s="844" t="s">
        <v>531</v>
      </c>
      <c r="C1479" s="747" t="e">
        <f>VLOOKUP(B1473,'CNKT '!$D$99:$AA$114,15,0)</f>
        <v>#REF!</v>
      </c>
      <c r="D1479" s="698">
        <f>92.2*$B$2</f>
        <v>61667.048000000003</v>
      </c>
      <c r="E1479" s="695" t="e">
        <f t="shared" si="171"/>
        <v>#REF!</v>
      </c>
      <c r="F1479" s="714"/>
      <c r="G1479" s="693" t="s">
        <v>491</v>
      </c>
      <c r="H1479" s="601" t="s">
        <v>495</v>
      </c>
      <c r="I1479" s="747" t="e">
        <f>VLOOKUP(H1473,'CNKT '!$D$99:$AA$114,15,0)</f>
        <v>#REF!</v>
      </c>
      <c r="J1479" s="698">
        <f>92.2*$B$2</f>
        <v>61667.048000000003</v>
      </c>
      <c r="K1479" s="695" t="e">
        <f t="shared" si="172"/>
        <v>#REF!</v>
      </c>
      <c r="L1479" s="690"/>
    </row>
    <row r="1480" spans="1:13" s="27" customFormat="1" ht="17.25" customHeight="1">
      <c r="A1480" s="693" t="s">
        <v>492</v>
      </c>
      <c r="B1480" s="844" t="s">
        <v>496</v>
      </c>
      <c r="C1480" s="747" t="e">
        <f>VLOOKUP(B1473,'CNKT '!$D$99:$AA$114,16,0)</f>
        <v>#REF!</v>
      </c>
      <c r="D1480" s="697">
        <f>153.6*$B$2</f>
        <v>102733.82400000001</v>
      </c>
      <c r="E1480" s="695" t="e">
        <f t="shared" si="171"/>
        <v>#REF!</v>
      </c>
      <c r="F1480" s="714"/>
      <c r="G1480" s="693" t="s">
        <v>492</v>
      </c>
      <c r="H1480" s="601" t="s">
        <v>496</v>
      </c>
      <c r="I1480" s="747" t="e">
        <f>VLOOKUP(H1473,'CNKT '!$D$99:$AA$114,16,0)</f>
        <v>#REF!</v>
      </c>
      <c r="J1480" s="697">
        <f>153.6*$B$2</f>
        <v>102733.82400000001</v>
      </c>
      <c r="K1480" s="695" t="e">
        <f t="shared" si="172"/>
        <v>#REF!</v>
      </c>
      <c r="L1480" s="690"/>
    </row>
    <row r="1481" spans="1:13" s="27" customFormat="1" ht="17.25" customHeight="1">
      <c r="A1481" s="693" t="s">
        <v>453</v>
      </c>
      <c r="B1481" s="844" t="s">
        <v>497</v>
      </c>
      <c r="C1481" s="747" t="e">
        <f>VLOOKUP(B1473,'CNKT '!$D$99:$AA$112,18,0)</f>
        <v>#REF!</v>
      </c>
      <c r="D1481" s="697">
        <v>10000</v>
      </c>
      <c r="E1481" s="695" t="e">
        <f>C1481*D1481</f>
        <v>#REF!</v>
      </c>
      <c r="F1481" s="714"/>
      <c r="G1481" s="693" t="s">
        <v>453</v>
      </c>
      <c r="H1481" s="601" t="s">
        <v>497</v>
      </c>
      <c r="I1481" s="747" t="e">
        <f>VLOOKUP(H1473,'CNKT '!$D$99:$AA$112,18,0)</f>
        <v>#REF!</v>
      </c>
      <c r="J1481" s="697">
        <v>10000</v>
      </c>
      <c r="K1481" s="695" t="e">
        <f>I1481*J1481</f>
        <v>#REF!</v>
      </c>
      <c r="L1481" s="690"/>
    </row>
    <row r="1482" spans="1:13" s="27" customFormat="1" ht="17.25" customHeight="1">
      <c r="A1482" s="693" t="s">
        <v>512</v>
      </c>
      <c r="B1482" s="844" t="s">
        <v>497</v>
      </c>
      <c r="C1482" s="747"/>
      <c r="D1482" s="697"/>
      <c r="E1482" s="695"/>
      <c r="F1482" s="714"/>
      <c r="G1482" s="693" t="s">
        <v>512</v>
      </c>
      <c r="H1482" s="601"/>
      <c r="I1482" s="747"/>
      <c r="J1482" s="697"/>
      <c r="K1482" s="695"/>
      <c r="L1482" s="690"/>
    </row>
    <row r="1483" spans="1:13" s="27" customFormat="1" ht="17.25" customHeight="1">
      <c r="A1483" s="699" t="s">
        <v>79</v>
      </c>
      <c r="B1483" s="844" t="s">
        <v>513</v>
      </c>
      <c r="C1483" s="700"/>
      <c r="D1483" s="701"/>
      <c r="E1483" s="700"/>
      <c r="F1483" s="714"/>
      <c r="G1483" s="699" t="s">
        <v>79</v>
      </c>
      <c r="H1483" s="602" t="s">
        <v>435</v>
      </c>
      <c r="I1483" s="700"/>
      <c r="J1483" s="701"/>
      <c r="K1483" s="700"/>
      <c r="L1483" s="690"/>
    </row>
    <row r="1484" spans="1:13" s="27" customFormat="1" ht="17.25" customHeight="1">
      <c r="A1484" s="702" t="s">
        <v>80</v>
      </c>
      <c r="B1484" s="845" t="s">
        <v>532</v>
      </c>
      <c r="C1484" s="700"/>
      <c r="D1484" s="700"/>
      <c r="E1484" s="700"/>
      <c r="F1484" s="714"/>
      <c r="G1484" s="702" t="s">
        <v>80</v>
      </c>
      <c r="H1484" s="603" t="s">
        <v>436</v>
      </c>
      <c r="I1484" s="700"/>
      <c r="J1484" s="700"/>
      <c r="K1484" s="700"/>
      <c r="L1484" s="690"/>
    </row>
    <row r="1485" spans="1:13" s="27" customFormat="1" ht="17.25" customHeight="1">
      <c r="A1485" s="702" t="s">
        <v>81</v>
      </c>
      <c r="B1485" s="846" t="s">
        <v>533</v>
      </c>
      <c r="C1485" s="700"/>
      <c r="D1485" s="700"/>
      <c r="E1485" s="695">
        <f>SUM(E1484)</f>
        <v>0</v>
      </c>
      <c r="F1485" s="714"/>
      <c r="G1485" s="702" t="s">
        <v>81</v>
      </c>
      <c r="H1485" s="604" t="s">
        <v>437</v>
      </c>
      <c r="I1485" s="700"/>
      <c r="J1485" s="700"/>
      <c r="K1485" s="695">
        <f>SUM(K1484)</f>
        <v>0</v>
      </c>
      <c r="L1485" s="690"/>
    </row>
    <row r="1486" spans="1:13" s="27" customFormat="1" ht="17.25" customHeight="1">
      <c r="A1486" s="704" t="s">
        <v>82</v>
      </c>
      <c r="B1486" s="847" t="s">
        <v>534</v>
      </c>
      <c r="C1486" s="705"/>
      <c r="D1486" s="705"/>
      <c r="E1486" s="705" t="e">
        <f>(E1475+E1476+E1477+E1478+E1479+E1480+E1481+E1482)-E1485</f>
        <v>#REF!</v>
      </c>
      <c r="F1486" s="714"/>
      <c r="G1486" s="704" t="s">
        <v>82</v>
      </c>
      <c r="H1486" s="636" t="s">
        <v>438</v>
      </c>
      <c r="I1486" s="705"/>
      <c r="J1486" s="705"/>
      <c r="K1486" s="705" t="e">
        <f>(K1475+K1476+K1477+K1478+K1479+K1480+K1481+K1482)-K1485</f>
        <v>#REF!</v>
      </c>
      <c r="L1486" s="707" t="e">
        <f>E1486+K1486</f>
        <v>#REF!</v>
      </c>
      <c r="M1486" s="726"/>
    </row>
    <row r="1487" spans="1:13" s="27" customFormat="1" ht="17.25" customHeight="1">
      <c r="A1487" s="763"/>
      <c r="B1487" s="848" t="s">
        <v>438</v>
      </c>
      <c r="C1487" s="763"/>
      <c r="D1487" s="763"/>
      <c r="E1487" s="743"/>
      <c r="F1487" s="714"/>
      <c r="G1487" s="710"/>
      <c r="H1487" s="715"/>
      <c r="I1487" s="716"/>
      <c r="J1487" s="714"/>
      <c r="K1487" s="724"/>
      <c r="L1487" s="690"/>
      <c r="M1487" s="726"/>
    </row>
    <row r="1488" spans="1:13" s="27" customFormat="1" ht="17.25" customHeight="1">
      <c r="A1488" s="710"/>
      <c r="B1488" s="715"/>
      <c r="C1488" s="716"/>
      <c r="D1488" s="716"/>
      <c r="E1488" s="714"/>
      <c r="F1488" s="714"/>
      <c r="G1488" s="710"/>
      <c r="H1488" s="715"/>
      <c r="I1488" s="716"/>
      <c r="J1488" s="714"/>
      <c r="K1488" s="724"/>
      <c r="L1488" s="690"/>
    </row>
    <row r="1489" spans="1:15" s="27" customFormat="1" ht="17.25" customHeight="1">
      <c r="A1489" s="708" t="s">
        <v>144</v>
      </c>
      <c r="B1489" s="708"/>
      <c r="C1489" s="708"/>
      <c r="D1489" s="708"/>
      <c r="E1489" s="708"/>
      <c r="F1489" s="708"/>
      <c r="G1489" s="708"/>
      <c r="H1489" s="708"/>
      <c r="I1489" s="708"/>
      <c r="J1489" s="708"/>
      <c r="L1489" s="707"/>
      <c r="M1489" s="726" t="e">
        <f>SUM(L740:L1486)</f>
        <v>#REF!</v>
      </c>
      <c r="N1489" s="726">
        <v>526735269</v>
      </c>
      <c r="O1489" s="736" t="e">
        <f>M1489-N1489</f>
        <v>#REF!</v>
      </c>
    </row>
    <row r="1490" spans="1:15" s="27" customFormat="1" ht="17.25" customHeight="1">
      <c r="A1490" s="724"/>
      <c r="B1490" s="724"/>
      <c r="C1490" s="724"/>
      <c r="D1490" s="724"/>
      <c r="E1490" s="724"/>
      <c r="F1490" s="724"/>
      <c r="G1490" s="724"/>
      <c r="H1490" s="724"/>
      <c r="I1490" s="724"/>
      <c r="J1490" s="724"/>
      <c r="L1490" s="707"/>
      <c r="M1490" s="726"/>
      <c r="N1490" s="726"/>
      <c r="O1490" s="736"/>
    </row>
    <row r="1491" spans="1:15" s="27" customFormat="1" ht="17.25" customHeight="1">
      <c r="A1491" s="764" t="str">
        <f>A1436</f>
        <v>LƯƠNG THÁNG 01/2025</v>
      </c>
      <c r="B1491" s="765"/>
      <c r="C1491" s="765"/>
      <c r="D1491" s="765"/>
      <c r="E1491" s="769">
        <f>VLOOKUP(B1492,'CNKT '!$D$114:$AD$178,26,0)</f>
        <v>0</v>
      </c>
      <c r="F1491" s="779"/>
      <c r="G1491" s="764" t="str">
        <f>A1491</f>
        <v>LƯƠNG THÁNG 01/2025</v>
      </c>
      <c r="H1491" s="765"/>
      <c r="I1491" s="765"/>
      <c r="J1491" s="765"/>
      <c r="K1491" s="769">
        <f>VLOOKUP(H1492,'CNKT '!$D$114:$AD$178,26,0)</f>
        <v>0</v>
      </c>
      <c r="L1491" s="707"/>
      <c r="M1491" s="726"/>
      <c r="N1491" s="726"/>
      <c r="O1491" s="736"/>
    </row>
    <row r="1492" spans="1:15" s="27" customFormat="1" ht="17.25" customHeight="1">
      <c r="A1492" s="709" t="s">
        <v>15</v>
      </c>
      <c r="B1492" s="840" t="str">
        <f>'CNKT '!D114</f>
        <v xml:space="preserve">T. Lun </v>
      </c>
      <c r="C1492" s="694"/>
      <c r="D1492" s="840" t="s">
        <v>396</v>
      </c>
      <c r="E1492" s="840" t="s">
        <v>18</v>
      </c>
      <c r="F1492" s="750"/>
      <c r="G1492" s="709" t="s">
        <v>15</v>
      </c>
      <c r="H1492" s="840" t="str">
        <f>'CNKT '!D115</f>
        <v>N. Keo</v>
      </c>
      <c r="I1492" s="694"/>
      <c r="J1492" s="840" t="s">
        <v>396</v>
      </c>
      <c r="K1492" s="840" t="s">
        <v>18</v>
      </c>
      <c r="L1492" s="748"/>
    </row>
    <row r="1493" spans="1:15" s="27" customFormat="1" ht="17.25" customHeight="1">
      <c r="A1493" s="693" t="s">
        <v>397</v>
      </c>
      <c r="B1493" s="842" t="s">
        <v>527</v>
      </c>
      <c r="C1493" s="694">
        <f>VLOOKUP(B1492,'BTH mủ tạp'!$D$98:$AN$160,36,0)</f>
        <v>1201.0293727757896</v>
      </c>
      <c r="D1493" s="695"/>
      <c r="E1493" s="695"/>
      <c r="F1493" s="750"/>
      <c r="G1493" s="693" t="s">
        <v>397</v>
      </c>
      <c r="H1493" s="842" t="s">
        <v>527</v>
      </c>
      <c r="I1493" s="694">
        <f>VLOOKUP(H1492,'BTH mủ tạp'!$D$98:$AN$160,36,0)</f>
        <v>1322.0096479265994</v>
      </c>
      <c r="J1493" s="695"/>
      <c r="K1493" s="695"/>
      <c r="L1493" s="690"/>
      <c r="M1493" s="736"/>
    </row>
    <row r="1494" spans="1:15" s="27" customFormat="1" ht="17.25" customHeight="1">
      <c r="A1494" s="693" t="s">
        <v>77</v>
      </c>
      <c r="B1494" s="843" t="s">
        <v>432</v>
      </c>
      <c r="C1494" s="696">
        <f>VLOOKUP(B1492,'CNKT '!$D$113:$AA$178,3,0)</f>
        <v>0</v>
      </c>
      <c r="D1494" s="697">
        <v>25000</v>
      </c>
      <c r="E1494" s="695">
        <f t="shared" ref="E1494:E1499" si="173">C1494*D1494</f>
        <v>0</v>
      </c>
      <c r="F1494" s="750"/>
      <c r="G1494" s="693" t="s">
        <v>77</v>
      </c>
      <c r="H1494" s="843" t="s">
        <v>432</v>
      </c>
      <c r="I1494" s="696">
        <f>VLOOKUP(H1492,'CNKT '!$D$113:$AA$178,3,0)</f>
        <v>0</v>
      </c>
      <c r="J1494" s="697">
        <v>25000</v>
      </c>
      <c r="K1494" s="695">
        <f t="shared" ref="K1494:K1499" si="174">I1494*J1494</f>
        <v>0</v>
      </c>
      <c r="L1494" s="690"/>
    </row>
    <row r="1495" spans="1:15" s="27" customFormat="1" ht="17.25" customHeight="1">
      <c r="A1495" s="693" t="s">
        <v>307</v>
      </c>
      <c r="B1495" s="844" t="s">
        <v>528</v>
      </c>
      <c r="C1495" s="747">
        <f>VLOOKUP(B1492,'CNKT '!$D$113:$AA$178,11,0)</f>
        <v>24</v>
      </c>
      <c r="D1495" s="698">
        <f>46.1*$B$2</f>
        <v>30833.524000000001</v>
      </c>
      <c r="E1495" s="695">
        <f t="shared" si="173"/>
        <v>740004.576</v>
      </c>
      <c r="F1495" s="750"/>
      <c r="G1495" s="693" t="s">
        <v>307</v>
      </c>
      <c r="H1495" s="844" t="s">
        <v>528</v>
      </c>
      <c r="I1495" s="747">
        <f>VLOOKUP(H1492,'CNKT '!$D$113:$AA$178,11,0)</f>
        <v>23</v>
      </c>
      <c r="J1495" s="698">
        <f>46.1*$B$2</f>
        <v>30833.524000000001</v>
      </c>
      <c r="K1495" s="695">
        <f t="shared" si="174"/>
        <v>709171.05200000003</v>
      </c>
      <c r="L1495" s="690"/>
    </row>
    <row r="1496" spans="1:15" s="27" customFormat="1" ht="17.25" customHeight="1">
      <c r="A1496" s="693" t="s">
        <v>399</v>
      </c>
      <c r="B1496" s="844" t="s">
        <v>529</v>
      </c>
      <c r="C1496" s="747">
        <f>VLOOKUP(B1492,'CNKT '!$D$113:$AA$178,12,0)</f>
        <v>5</v>
      </c>
      <c r="D1496" s="697">
        <f>76.9*$B$2</f>
        <v>51433.796000000009</v>
      </c>
      <c r="E1496" s="695">
        <f t="shared" si="173"/>
        <v>257168.98000000004</v>
      </c>
      <c r="F1496" s="750"/>
      <c r="G1496" s="693" t="s">
        <v>399</v>
      </c>
      <c r="H1496" s="844" t="s">
        <v>529</v>
      </c>
      <c r="I1496" s="747">
        <f>VLOOKUP(H1492,'CNKT '!$D$113:$AA$178,12,0)</f>
        <v>5</v>
      </c>
      <c r="J1496" s="697">
        <f>76.9*$B$2</f>
        <v>51433.796000000009</v>
      </c>
      <c r="K1496" s="695">
        <f t="shared" si="174"/>
        <v>257168.98000000004</v>
      </c>
      <c r="L1496" s="690"/>
    </row>
    <row r="1497" spans="1:15" s="27" customFormat="1" ht="17.25" customHeight="1">
      <c r="A1497" s="693" t="s">
        <v>78</v>
      </c>
      <c r="B1497" s="844" t="s">
        <v>530</v>
      </c>
      <c r="C1497" s="747">
        <f>VLOOKUP(B1492,'CNKT '!$D$113:$AA$178,8,0)</f>
        <v>1201.0293727757896</v>
      </c>
      <c r="D1497" s="697">
        <f>IF(C1493="A",6.1,IF(C1493="B",5.8,IF(C1493="C",5.5,IF(C1493="C.",5.5,IF(C1493="D",5.2)))))*$B$2</f>
        <v>0</v>
      </c>
      <c r="E1497" s="695">
        <f t="shared" si="173"/>
        <v>0</v>
      </c>
      <c r="F1497" s="750"/>
      <c r="G1497" s="693" t="s">
        <v>78</v>
      </c>
      <c r="H1497" s="844" t="s">
        <v>530</v>
      </c>
      <c r="I1497" s="747">
        <f>VLOOKUP(H1492,'CNKT '!$D$113:$AA$178,8,0)</f>
        <v>1322.0096479265997</v>
      </c>
      <c r="J1497" s="697">
        <f>IF(I1493="A",6.1,IF(I1493="B",5.8,IF(I1493="C",5.5,IF(I1493="C.",5.5,IF(I1493="D",5.2)))))*$B$2</f>
        <v>0</v>
      </c>
      <c r="K1497" s="695">
        <f t="shared" si="174"/>
        <v>0</v>
      </c>
      <c r="L1497" s="690"/>
    </row>
    <row r="1498" spans="1:15" s="27" customFormat="1" ht="17.25" customHeight="1">
      <c r="A1498" s="693" t="s">
        <v>493</v>
      </c>
      <c r="B1498" s="844" t="s">
        <v>531</v>
      </c>
      <c r="C1498" s="747">
        <f>VLOOKUP(B1492,'CNKT '!$D$99:$AA$178,13,0)</f>
        <v>0</v>
      </c>
      <c r="D1498" s="698">
        <f>92.2*$B$2</f>
        <v>61667.048000000003</v>
      </c>
      <c r="E1498" s="695">
        <f t="shared" si="173"/>
        <v>0</v>
      </c>
      <c r="F1498" s="750"/>
      <c r="G1498" s="693" t="s">
        <v>493</v>
      </c>
      <c r="H1498" s="844" t="s">
        <v>531</v>
      </c>
      <c r="I1498" s="747">
        <f>VLOOKUP(H1492,'CNKT '!$D$99:$AA$178,13,0)</f>
        <v>0</v>
      </c>
      <c r="J1498" s="698">
        <f>92.2*$B$2</f>
        <v>61667.048000000003</v>
      </c>
      <c r="K1498" s="695">
        <f t="shared" si="174"/>
        <v>0</v>
      </c>
      <c r="L1498" s="690"/>
    </row>
    <row r="1499" spans="1:15" s="27" customFormat="1" ht="19.5" customHeight="1">
      <c r="A1499" s="693" t="s">
        <v>448</v>
      </c>
      <c r="B1499" s="844" t="s">
        <v>496</v>
      </c>
      <c r="C1499" s="747">
        <f>VLOOKUP(B1492,'CNKT '!$D$113:$AA$178,14,0)</f>
        <v>0</v>
      </c>
      <c r="D1499" s="697">
        <f>153.6*$B$2</f>
        <v>102733.82400000001</v>
      </c>
      <c r="E1499" s="695">
        <f t="shared" si="173"/>
        <v>0</v>
      </c>
      <c r="F1499" s="750"/>
      <c r="G1499" s="693" t="s">
        <v>448</v>
      </c>
      <c r="H1499" s="844" t="s">
        <v>496</v>
      </c>
      <c r="I1499" s="747">
        <f>VLOOKUP(H1492,'CNKT '!$D$113:$AA$178,14,0)</f>
        <v>0</v>
      </c>
      <c r="J1499" s="697">
        <f>153.6*$B$2</f>
        <v>102733.82400000001</v>
      </c>
      <c r="K1499" s="695">
        <f t="shared" si="174"/>
        <v>0</v>
      </c>
      <c r="L1499" s="690"/>
    </row>
    <row r="1500" spans="1:15" s="27" customFormat="1" ht="17.25" customHeight="1">
      <c r="A1500" s="693" t="s">
        <v>453</v>
      </c>
      <c r="B1500" s="844" t="s">
        <v>497</v>
      </c>
      <c r="C1500" s="747">
        <f>VLOOKUP(B1492,'CNKT '!$D$114:$AA$178,18,0)</f>
        <v>0</v>
      </c>
      <c r="D1500" s="697">
        <v>10000</v>
      </c>
      <c r="E1500" s="695">
        <f>C1500*D1500</f>
        <v>0</v>
      </c>
      <c r="F1500" s="750"/>
      <c r="G1500" s="693" t="s">
        <v>453</v>
      </c>
      <c r="H1500" s="844" t="s">
        <v>497</v>
      </c>
      <c r="I1500" s="747">
        <f>VLOOKUP(H1492,'CNKT '!$D$114:$AA$178,18,0)</f>
        <v>0</v>
      </c>
      <c r="J1500" s="697">
        <v>10000</v>
      </c>
      <c r="K1500" s="695">
        <f>I1500*J1500</f>
        <v>0</v>
      </c>
      <c r="L1500" s="690"/>
    </row>
    <row r="1501" spans="1:15" s="27" customFormat="1" ht="17.25" customHeight="1">
      <c r="A1501" s="693" t="s">
        <v>453</v>
      </c>
      <c r="B1501" s="844" t="s">
        <v>497</v>
      </c>
      <c r="C1501" s="747">
        <f>VLOOKUP(B1492,'CNKT '!$D$114:$AA$178,19,0)</f>
        <v>0</v>
      </c>
      <c r="D1501" s="697">
        <v>20000</v>
      </c>
      <c r="E1501" s="695">
        <f>C1501*D1501</f>
        <v>0</v>
      </c>
      <c r="F1501" s="750"/>
      <c r="G1501" s="693" t="s">
        <v>453</v>
      </c>
      <c r="H1501" s="844" t="s">
        <v>497</v>
      </c>
      <c r="I1501" s="747">
        <f>VLOOKUP(H1492,'CNKT '!$D$114:$AA$178,19,0)</f>
        <v>0</v>
      </c>
      <c r="J1501" s="697">
        <v>20000</v>
      </c>
      <c r="K1501" s="695">
        <f>I1501*J1501</f>
        <v>0</v>
      </c>
      <c r="L1501" s="690"/>
    </row>
    <row r="1502" spans="1:15" s="27" customFormat="1" ht="17.25" customHeight="1">
      <c r="A1502" s="693" t="s">
        <v>512</v>
      </c>
      <c r="B1502" s="844" t="s">
        <v>513</v>
      </c>
      <c r="C1502" s="747"/>
      <c r="D1502" s="697"/>
      <c r="E1502" s="695"/>
      <c r="F1502" s="750"/>
      <c r="G1502" s="693" t="s">
        <v>512</v>
      </c>
      <c r="H1502" s="844" t="s">
        <v>513</v>
      </c>
      <c r="I1502" s="747"/>
      <c r="J1502" s="697"/>
      <c r="K1502" s="695"/>
      <c r="L1502" s="690"/>
    </row>
    <row r="1503" spans="1:15" s="27" customFormat="1" ht="17.25" customHeight="1">
      <c r="A1503" s="699" t="s">
        <v>79</v>
      </c>
      <c r="B1503" s="845" t="s">
        <v>532</v>
      </c>
      <c r="C1503" s="700"/>
      <c r="D1503" s="701"/>
      <c r="E1503" s="700"/>
      <c r="F1503" s="750"/>
      <c r="G1503" s="699" t="s">
        <v>79</v>
      </c>
      <c r="H1503" s="845" t="s">
        <v>532</v>
      </c>
      <c r="I1503" s="700"/>
      <c r="J1503" s="701"/>
      <c r="K1503" s="700"/>
      <c r="L1503" s="690"/>
    </row>
    <row r="1504" spans="1:15" s="27" customFormat="1" ht="17.25" customHeight="1">
      <c r="A1504" s="702" t="s">
        <v>80</v>
      </c>
      <c r="B1504" s="846" t="s">
        <v>533</v>
      </c>
      <c r="C1504" s="700"/>
      <c r="D1504" s="700"/>
      <c r="E1504" s="700"/>
      <c r="F1504" s="750"/>
      <c r="G1504" s="702" t="s">
        <v>80</v>
      </c>
      <c r="H1504" s="846" t="s">
        <v>533</v>
      </c>
      <c r="I1504" s="700"/>
      <c r="J1504" s="700"/>
      <c r="K1504" s="700"/>
      <c r="L1504" s="690"/>
    </row>
    <row r="1505" spans="1:13" s="27" customFormat="1" ht="17.25" customHeight="1">
      <c r="A1505" s="702" t="s">
        <v>81</v>
      </c>
      <c r="B1505" s="847" t="s">
        <v>534</v>
      </c>
      <c r="C1505" s="700"/>
      <c r="D1505" s="700"/>
      <c r="E1505" s="695">
        <f>SUM(E1504)</f>
        <v>0</v>
      </c>
      <c r="F1505" s="738"/>
      <c r="G1505" s="702" t="s">
        <v>81</v>
      </c>
      <c r="H1505" s="847" t="s">
        <v>534</v>
      </c>
      <c r="I1505" s="700"/>
      <c r="J1505" s="700"/>
      <c r="K1505" s="695">
        <f>SUM(K1504)</f>
        <v>0</v>
      </c>
      <c r="L1505" s="690"/>
      <c r="M1505" s="703">
        <f>E1505+K1505</f>
        <v>0</v>
      </c>
    </row>
    <row r="1506" spans="1:13" s="27" customFormat="1" ht="17.25" customHeight="1">
      <c r="A1506" s="704" t="s">
        <v>82</v>
      </c>
      <c r="B1506" s="848" t="s">
        <v>438</v>
      </c>
      <c r="C1506" s="705"/>
      <c r="D1506" s="705"/>
      <c r="E1506" s="705">
        <f>(E1494+E1495+E1496+E1497+E1498+E1499+E1500+E1501+E1502)-E1505</f>
        <v>997173.5560000001</v>
      </c>
      <c r="F1506" s="750"/>
      <c r="G1506" s="704" t="s">
        <v>82</v>
      </c>
      <c r="H1506" s="848" t="s">
        <v>438</v>
      </c>
      <c r="I1506" s="705"/>
      <c r="J1506" s="705"/>
      <c r="K1506" s="705">
        <f>(K1494+K1495+K1496+K1497+K1498+K1499+K1500+K1501+K1502)-K1505</f>
        <v>966340.03200000012</v>
      </c>
      <c r="L1506" s="707">
        <f>E1506+K1506</f>
        <v>1963513.5880000002</v>
      </c>
    </row>
    <row r="1507" spans="1:13" s="27" customFormat="1" ht="17.25" customHeight="1">
      <c r="A1507" s="763"/>
      <c r="B1507" s="763"/>
      <c r="C1507" s="763"/>
      <c r="D1507" s="763"/>
      <c r="E1507" s="763"/>
      <c r="F1507" s="763"/>
      <c r="G1507" s="763"/>
      <c r="H1507" s="763"/>
      <c r="I1507" s="763"/>
      <c r="J1507" s="763"/>
      <c r="K1507" s="763"/>
      <c r="L1507" s="690"/>
    </row>
    <row r="1508" spans="1:13" s="27" customFormat="1" ht="17.25" customHeight="1">
      <c r="A1508" s="759" t="str">
        <f>A1491</f>
        <v>LƯƠNG THÁNG 01/2025</v>
      </c>
      <c r="B1508" s="763"/>
      <c r="C1508" s="763"/>
      <c r="D1508" s="763"/>
      <c r="E1508" s="769">
        <f>VLOOKUP(B1509,'CNKT '!$D$114:$AD$178,26,0)</f>
        <v>0</v>
      </c>
      <c r="F1508" s="750"/>
      <c r="G1508" s="759" t="str">
        <f>G1491</f>
        <v>LƯƠNG THÁNG 01/2025</v>
      </c>
      <c r="H1508" s="763"/>
      <c r="I1508" s="763"/>
      <c r="J1508" s="763"/>
      <c r="K1508" s="769">
        <f>VLOOKUP(H1509,'CNKT '!$D$114:$AD$178,26,0)</f>
        <v>0</v>
      </c>
      <c r="L1508" s="690"/>
    </row>
    <row r="1509" spans="1:13" s="27" customFormat="1" ht="17.25" customHeight="1">
      <c r="A1509" s="709" t="s">
        <v>15</v>
      </c>
      <c r="B1509" s="840" t="str">
        <f>'CNKT '!D116</f>
        <v>T .Nhum</v>
      </c>
      <c r="C1509" s="694"/>
      <c r="D1509" s="840" t="s">
        <v>396</v>
      </c>
      <c r="E1509" s="840" t="s">
        <v>18</v>
      </c>
      <c r="F1509" s="750"/>
      <c r="G1509" s="709" t="s">
        <v>15</v>
      </c>
      <c r="H1509" s="840" t="str">
        <f>'CNKT '!D117</f>
        <v>N.Vông Ma Ni</v>
      </c>
      <c r="I1509" s="694"/>
      <c r="J1509" s="840" t="s">
        <v>396</v>
      </c>
      <c r="K1509" s="840" t="s">
        <v>18</v>
      </c>
      <c r="L1509" s="690"/>
    </row>
    <row r="1510" spans="1:13" s="27" customFormat="1" ht="17.25" customHeight="1">
      <c r="A1510" s="693" t="s">
        <v>397</v>
      </c>
      <c r="B1510" s="842" t="s">
        <v>527</v>
      </c>
      <c r="C1510" s="694">
        <f>VLOOKUP(B1509,'BTH mủ tạp'!$D$98:$AN$160,36,0)</f>
        <v>1176.0945069050117</v>
      </c>
      <c r="D1510" s="695"/>
      <c r="E1510" s="695"/>
      <c r="F1510" s="750"/>
      <c r="G1510" s="693" t="s">
        <v>397</v>
      </c>
      <c r="H1510" s="842" t="s">
        <v>527</v>
      </c>
      <c r="I1510" s="694">
        <f>VLOOKUP(H1509,'BTH mủ tạp'!$D$98:$AN$160,36,0)</f>
        <v>1338.1711350650664</v>
      </c>
      <c r="J1510" s="695"/>
      <c r="K1510" s="695"/>
      <c r="L1510" s="690"/>
    </row>
    <row r="1511" spans="1:13" s="27" customFormat="1" ht="17.25" customHeight="1">
      <c r="A1511" s="693" t="s">
        <v>77</v>
      </c>
      <c r="B1511" s="843" t="s">
        <v>432</v>
      </c>
      <c r="C1511" s="696">
        <f>VLOOKUP(B1509,'CNKT '!$D$113:$AA$178,3,0)</f>
        <v>0</v>
      </c>
      <c r="D1511" s="697">
        <v>25000</v>
      </c>
      <c r="E1511" s="695">
        <f t="shared" ref="E1511:E1516" si="175">C1511*D1511</f>
        <v>0</v>
      </c>
      <c r="F1511" s="750"/>
      <c r="G1511" s="693" t="s">
        <v>77</v>
      </c>
      <c r="H1511" s="843" t="s">
        <v>432</v>
      </c>
      <c r="I1511" s="696">
        <f>VLOOKUP(H1509,'CNKT '!$D$113:$AA$178,3,0)</f>
        <v>0</v>
      </c>
      <c r="J1511" s="697">
        <v>25000</v>
      </c>
      <c r="K1511" s="695">
        <f t="shared" ref="K1511:K1516" si="176">I1511*J1511</f>
        <v>0</v>
      </c>
      <c r="L1511" s="690"/>
    </row>
    <row r="1512" spans="1:13" s="27" customFormat="1" ht="17.25" customHeight="1">
      <c r="A1512" s="693" t="s">
        <v>307</v>
      </c>
      <c r="B1512" s="844" t="s">
        <v>528</v>
      </c>
      <c r="C1512" s="747">
        <f>VLOOKUP(B1509,'CNKT '!$D$113:$AA$178,11,0)</f>
        <v>24</v>
      </c>
      <c r="D1512" s="698">
        <f>46.1*$B$2</f>
        <v>30833.524000000001</v>
      </c>
      <c r="E1512" s="695">
        <f t="shared" si="175"/>
        <v>740004.576</v>
      </c>
      <c r="F1512" s="750"/>
      <c r="G1512" s="693" t="s">
        <v>307</v>
      </c>
      <c r="H1512" s="844" t="s">
        <v>528</v>
      </c>
      <c r="I1512" s="747">
        <f>VLOOKUP(H1509,'CNKT '!$D$113:$AA$178,11,0)</f>
        <v>24</v>
      </c>
      <c r="J1512" s="698">
        <f>46.1*$B$2</f>
        <v>30833.524000000001</v>
      </c>
      <c r="K1512" s="695">
        <f t="shared" si="176"/>
        <v>740004.576</v>
      </c>
      <c r="L1512" s="690"/>
    </row>
    <row r="1513" spans="1:13" s="27" customFormat="1" ht="17.25" customHeight="1">
      <c r="A1513" s="693" t="s">
        <v>399</v>
      </c>
      <c r="B1513" s="844" t="s">
        <v>529</v>
      </c>
      <c r="C1513" s="747">
        <f>VLOOKUP(B1509,'CNKT '!$D$113:$AA$178,12,0)</f>
        <v>5</v>
      </c>
      <c r="D1513" s="697">
        <f>76.9*$B$2</f>
        <v>51433.796000000009</v>
      </c>
      <c r="E1513" s="695">
        <f t="shared" si="175"/>
        <v>257168.98000000004</v>
      </c>
      <c r="F1513" s="750"/>
      <c r="G1513" s="693" t="s">
        <v>399</v>
      </c>
      <c r="H1513" s="844" t="s">
        <v>529</v>
      </c>
      <c r="I1513" s="747">
        <f>VLOOKUP(H1509,'CNKT '!$D$113:$AA$178,12,0)</f>
        <v>5</v>
      </c>
      <c r="J1513" s="697">
        <f>76.9*$B$2</f>
        <v>51433.796000000009</v>
      </c>
      <c r="K1513" s="695">
        <f t="shared" si="176"/>
        <v>257168.98000000004</v>
      </c>
      <c r="L1513" s="690"/>
    </row>
    <row r="1514" spans="1:13" s="27" customFormat="1" ht="17.25" customHeight="1">
      <c r="A1514" s="693" t="s">
        <v>78</v>
      </c>
      <c r="B1514" s="844" t="s">
        <v>530</v>
      </c>
      <c r="C1514" s="747">
        <f>VLOOKUP(B1509,'CNKT '!$D$113:$AA$178,8,0)</f>
        <v>1176.0945069050119</v>
      </c>
      <c r="D1514" s="697">
        <f>IF(C1510="A",6.1,IF(C1510="B",5.8,IF(C1510="C",5.5,IF(C1510="C.",5.5,IF(C1510="D",5.2)))))*$B$2</f>
        <v>0</v>
      </c>
      <c r="E1514" s="695">
        <f t="shared" si="175"/>
        <v>0</v>
      </c>
      <c r="F1514" s="750"/>
      <c r="G1514" s="693" t="s">
        <v>78</v>
      </c>
      <c r="H1514" s="844" t="s">
        <v>530</v>
      </c>
      <c r="I1514" s="747">
        <f>VLOOKUP(H1509,'CNKT '!$D$113:$AA$178,8,0)</f>
        <v>1338.1711350650667</v>
      </c>
      <c r="J1514" s="697">
        <f>IF(I1510="A",6.1,IF(I1510="B",5.8,IF(I1510="C",5.5,IF(I1510="C.",5.5,IF(I1510="D",5.2)))))*$B$2</f>
        <v>0</v>
      </c>
      <c r="K1514" s="695">
        <f t="shared" si="176"/>
        <v>0</v>
      </c>
      <c r="L1514" s="690"/>
    </row>
    <row r="1515" spans="1:13" s="27" customFormat="1" ht="17.25" customHeight="1">
      <c r="A1515" s="693" t="s">
        <v>493</v>
      </c>
      <c r="B1515" s="844" t="s">
        <v>531</v>
      </c>
      <c r="C1515" s="747">
        <f>VLOOKUP(B1509,'CNKT '!$D$99:$AA$178,13,0)</f>
        <v>0</v>
      </c>
      <c r="D1515" s="698">
        <f>92.2*$B$2</f>
        <v>61667.048000000003</v>
      </c>
      <c r="E1515" s="695">
        <f t="shared" si="175"/>
        <v>0</v>
      </c>
      <c r="F1515" s="750"/>
      <c r="G1515" s="693" t="s">
        <v>493</v>
      </c>
      <c r="H1515" s="844" t="s">
        <v>531</v>
      </c>
      <c r="I1515" s="747">
        <f>VLOOKUP(H1509,'CNKT '!$D$99:$AA$178,13,0)</f>
        <v>0</v>
      </c>
      <c r="J1515" s="698">
        <f>92.2*$B$2</f>
        <v>61667.048000000003</v>
      </c>
      <c r="K1515" s="695">
        <f t="shared" si="176"/>
        <v>0</v>
      </c>
      <c r="L1515" s="690"/>
    </row>
    <row r="1516" spans="1:13" s="27" customFormat="1" ht="17.25" customHeight="1">
      <c r="A1516" s="693" t="s">
        <v>448</v>
      </c>
      <c r="B1516" s="844" t="s">
        <v>496</v>
      </c>
      <c r="C1516" s="747">
        <f>VLOOKUP(B1509,'CNKT '!$D$113:$AA$178,14,0)</f>
        <v>0</v>
      </c>
      <c r="D1516" s="697">
        <f>153.6*$B$2</f>
        <v>102733.82400000001</v>
      </c>
      <c r="E1516" s="695">
        <f t="shared" si="175"/>
        <v>0</v>
      </c>
      <c r="F1516" s="750"/>
      <c r="G1516" s="693" t="s">
        <v>448</v>
      </c>
      <c r="H1516" s="844" t="s">
        <v>496</v>
      </c>
      <c r="I1516" s="747">
        <f>VLOOKUP(H1509,'CNKT '!$D$113:$AA$178,14,0)</f>
        <v>0</v>
      </c>
      <c r="J1516" s="697">
        <f>153.6*$B$2</f>
        <v>102733.82400000001</v>
      </c>
      <c r="K1516" s="695">
        <f t="shared" si="176"/>
        <v>0</v>
      </c>
      <c r="L1516" s="690"/>
    </row>
    <row r="1517" spans="1:13" s="27" customFormat="1" ht="17.25" customHeight="1">
      <c r="A1517" s="693" t="s">
        <v>453</v>
      </c>
      <c r="B1517" s="844" t="s">
        <v>497</v>
      </c>
      <c r="C1517" s="747">
        <f>VLOOKUP(B1509,'CNKT '!$D$114:$AA$178,18,0)</f>
        <v>0</v>
      </c>
      <c r="D1517" s="697">
        <v>10000</v>
      </c>
      <c r="E1517" s="695">
        <f>C1517*D1517</f>
        <v>0</v>
      </c>
      <c r="F1517" s="750"/>
      <c r="G1517" s="693" t="s">
        <v>453</v>
      </c>
      <c r="H1517" s="844" t="s">
        <v>497</v>
      </c>
      <c r="I1517" s="747">
        <f>VLOOKUP(H1509,'CNKT '!$D$114:$AA$178,18,0)</f>
        <v>0</v>
      </c>
      <c r="J1517" s="697">
        <v>10000</v>
      </c>
      <c r="K1517" s="695">
        <f>I1517*J1517</f>
        <v>0</v>
      </c>
      <c r="L1517" s="690"/>
    </row>
    <row r="1518" spans="1:13" s="27" customFormat="1" ht="17.25" customHeight="1">
      <c r="A1518" s="693" t="s">
        <v>453</v>
      </c>
      <c r="B1518" s="844" t="s">
        <v>497</v>
      </c>
      <c r="C1518" s="747">
        <f>VLOOKUP(B1509,'CNKT '!$D$114:$AA$178,19,0)</f>
        <v>0</v>
      </c>
      <c r="D1518" s="697">
        <v>20000</v>
      </c>
      <c r="E1518" s="695">
        <f>C1518*D1518</f>
        <v>0</v>
      </c>
      <c r="F1518" s="750"/>
      <c r="G1518" s="693" t="s">
        <v>453</v>
      </c>
      <c r="H1518" s="844" t="s">
        <v>497</v>
      </c>
      <c r="I1518" s="747">
        <f>VLOOKUP(H1509,'CNKT '!$D$114:$AA$178,19,0)</f>
        <v>0</v>
      </c>
      <c r="J1518" s="697">
        <v>20000</v>
      </c>
      <c r="K1518" s="695">
        <f>I1518*J1518</f>
        <v>0</v>
      </c>
      <c r="L1518" s="690"/>
    </row>
    <row r="1519" spans="1:13" s="27" customFormat="1" ht="17.25" customHeight="1">
      <c r="A1519" s="693" t="s">
        <v>512</v>
      </c>
      <c r="B1519" s="844" t="s">
        <v>513</v>
      </c>
      <c r="C1519" s="747"/>
      <c r="D1519" s="697"/>
      <c r="E1519" s="695"/>
      <c r="F1519" s="750"/>
      <c r="G1519" s="693" t="s">
        <v>512</v>
      </c>
      <c r="H1519" s="844" t="s">
        <v>513</v>
      </c>
      <c r="I1519" s="747"/>
      <c r="J1519" s="697"/>
      <c r="K1519" s="695"/>
      <c r="L1519" s="690"/>
    </row>
    <row r="1520" spans="1:13" s="27" customFormat="1" ht="17.25" customHeight="1">
      <c r="A1520" s="699" t="s">
        <v>79</v>
      </c>
      <c r="B1520" s="845" t="s">
        <v>532</v>
      </c>
      <c r="C1520" s="700"/>
      <c r="D1520" s="701"/>
      <c r="E1520" s="700"/>
      <c r="F1520" s="750"/>
      <c r="G1520" s="699" t="s">
        <v>79</v>
      </c>
      <c r="H1520" s="845" t="s">
        <v>532</v>
      </c>
      <c r="I1520" s="700"/>
      <c r="J1520" s="701"/>
      <c r="K1520" s="700"/>
      <c r="L1520" s="690"/>
    </row>
    <row r="1521" spans="1:12" s="27" customFormat="1" ht="17.25" customHeight="1">
      <c r="A1521" s="702" t="s">
        <v>80</v>
      </c>
      <c r="B1521" s="846" t="s">
        <v>533</v>
      </c>
      <c r="C1521" s="700"/>
      <c r="D1521" s="700"/>
      <c r="E1521" s="700"/>
      <c r="F1521" s="750"/>
      <c r="G1521" s="702" t="s">
        <v>80</v>
      </c>
      <c r="H1521" s="846" t="s">
        <v>533</v>
      </c>
      <c r="I1521" s="700"/>
      <c r="J1521" s="700"/>
      <c r="K1521" s="700"/>
      <c r="L1521" s="690"/>
    </row>
    <row r="1522" spans="1:12" s="27" customFormat="1" ht="17.25" customHeight="1">
      <c r="A1522" s="702" t="s">
        <v>81</v>
      </c>
      <c r="B1522" s="847" t="s">
        <v>534</v>
      </c>
      <c r="C1522" s="700"/>
      <c r="D1522" s="700"/>
      <c r="E1522" s="695">
        <f>SUM(E1521)</f>
        <v>0</v>
      </c>
      <c r="F1522" s="747"/>
      <c r="G1522" s="702" t="s">
        <v>81</v>
      </c>
      <c r="H1522" s="847" t="s">
        <v>534</v>
      </c>
      <c r="I1522" s="700"/>
      <c r="J1522" s="700"/>
      <c r="K1522" s="695">
        <f>SUM(K1521)</f>
        <v>0</v>
      </c>
      <c r="L1522" s="690"/>
    </row>
    <row r="1523" spans="1:12" s="27" customFormat="1" ht="17.25" customHeight="1">
      <c r="A1523" s="704" t="s">
        <v>82</v>
      </c>
      <c r="B1523" s="848" t="s">
        <v>438</v>
      </c>
      <c r="C1523" s="705"/>
      <c r="D1523" s="705"/>
      <c r="E1523" s="705">
        <f>(E1511+E1512+E1513+E1514+E1515+E1516+E1517+E1518+E1519)-E1522</f>
        <v>997173.5560000001</v>
      </c>
      <c r="F1523" s="750"/>
      <c r="G1523" s="704" t="s">
        <v>82</v>
      </c>
      <c r="H1523" s="848" t="s">
        <v>438</v>
      </c>
      <c r="I1523" s="705"/>
      <c r="J1523" s="705"/>
      <c r="K1523" s="705">
        <f>(K1511+K1512+K1513+K1514+K1515+K1516+K1517+K1518+K1519)-K1522</f>
        <v>997173.5560000001</v>
      </c>
      <c r="L1523" s="707">
        <f>E1523+K1523</f>
        <v>1994347.1120000002</v>
      </c>
    </row>
    <row r="1524" spans="1:12" s="27" customFormat="1" ht="17.25" customHeight="1">
      <c r="A1524" s="763"/>
      <c r="B1524" s="763"/>
      <c r="C1524" s="763"/>
      <c r="D1524" s="763"/>
      <c r="E1524" s="763"/>
      <c r="F1524" s="763"/>
      <c r="G1524" s="763"/>
      <c r="H1524" s="763"/>
      <c r="I1524" s="763"/>
      <c r="J1524" s="763"/>
      <c r="K1524" s="763"/>
      <c r="L1524" s="690"/>
    </row>
    <row r="1525" spans="1:12" s="27" customFormat="1" ht="17.25" customHeight="1">
      <c r="A1525" s="759" t="str">
        <f>A1508</f>
        <v>LƯƠNG THÁNG 01/2025</v>
      </c>
      <c r="B1525" s="763"/>
      <c r="C1525" s="763"/>
      <c r="D1525" s="763"/>
      <c r="E1525" s="769">
        <f>VLOOKUP(B1526,'CNKT '!$D$114:$AD$178,26,0)</f>
        <v>0</v>
      </c>
      <c r="F1525" s="750"/>
      <c r="G1525" s="759" t="str">
        <f>G1508</f>
        <v>LƯƠNG THÁNG 01/2025</v>
      </c>
      <c r="H1525" s="763"/>
      <c r="I1525" s="763"/>
      <c r="J1525" s="763"/>
      <c r="K1525" s="769">
        <f>VLOOKUP(H1526,'CNKT '!$D$114:$AD$178,26,0)</f>
        <v>0</v>
      </c>
      <c r="L1525" s="690"/>
    </row>
    <row r="1526" spans="1:12" s="27" customFormat="1" ht="17.25" customHeight="1">
      <c r="A1526" s="709" t="s">
        <v>15</v>
      </c>
      <c r="B1526" s="840" t="str">
        <f>'CNKT '!D118</f>
        <v>Đao Hương</v>
      </c>
      <c r="C1526" s="694"/>
      <c r="D1526" s="840" t="s">
        <v>396</v>
      </c>
      <c r="E1526" s="840" t="s">
        <v>18</v>
      </c>
      <c r="F1526" s="750"/>
      <c r="G1526" s="709" t="s">
        <v>15</v>
      </c>
      <c r="H1526" s="840" t="str">
        <f>'CNKT '!D119</f>
        <v>T. Xi Nun</v>
      </c>
      <c r="I1526" s="694"/>
      <c r="J1526" s="840" t="s">
        <v>396</v>
      </c>
      <c r="K1526" s="840" t="s">
        <v>18</v>
      </c>
      <c r="L1526" s="690"/>
    </row>
    <row r="1527" spans="1:12" s="27" customFormat="1" ht="17.25" customHeight="1">
      <c r="A1527" s="693" t="s">
        <v>397</v>
      </c>
      <c r="B1527" s="842" t="s">
        <v>527</v>
      </c>
      <c r="C1527" s="694">
        <f>VLOOKUP(B1526,'BTH mủ tạp'!$D$98:$AN$160,36,0)</f>
        <v>1391.7349210096997</v>
      </c>
      <c r="D1527" s="695"/>
      <c r="E1527" s="695"/>
      <c r="F1527" s="750"/>
      <c r="G1527" s="693" t="s">
        <v>397</v>
      </c>
      <c r="H1527" s="842" t="s">
        <v>527</v>
      </c>
      <c r="I1527" s="694">
        <f>VLOOKUP(H1526,'BTH mủ tạp'!$D$98:$AN$160,36,0)</f>
        <v>1054.1907182034324</v>
      </c>
      <c r="J1527" s="695"/>
      <c r="K1527" s="695"/>
      <c r="L1527" s="690"/>
    </row>
    <row r="1528" spans="1:12" s="27" customFormat="1" ht="17.25" customHeight="1">
      <c r="A1528" s="693" t="s">
        <v>77</v>
      </c>
      <c r="B1528" s="843" t="s">
        <v>432</v>
      </c>
      <c r="C1528" s="696">
        <f>VLOOKUP(B1526,'CNKT '!$D$113:$AA$178,3,0)</f>
        <v>0</v>
      </c>
      <c r="D1528" s="697">
        <v>25000</v>
      </c>
      <c r="E1528" s="695">
        <f t="shared" ref="E1528:E1533" si="177">C1528*D1528</f>
        <v>0</v>
      </c>
      <c r="F1528" s="750"/>
      <c r="G1528" s="693" t="s">
        <v>77</v>
      </c>
      <c r="H1528" s="843" t="s">
        <v>432</v>
      </c>
      <c r="I1528" s="696">
        <f>VLOOKUP(H1526,'CNKT '!$D$113:$AA$178,3,0)</f>
        <v>0</v>
      </c>
      <c r="J1528" s="697">
        <v>25000</v>
      </c>
      <c r="K1528" s="695">
        <f t="shared" ref="K1528:K1533" si="178">I1528*J1528</f>
        <v>0</v>
      </c>
      <c r="L1528" s="690"/>
    </row>
    <row r="1529" spans="1:12" s="27" customFormat="1" ht="17.25" customHeight="1">
      <c r="A1529" s="693" t="s">
        <v>307</v>
      </c>
      <c r="B1529" s="844" t="s">
        <v>528</v>
      </c>
      <c r="C1529" s="747">
        <f>VLOOKUP(B1526,'CNKT '!$D$113:$AA$178,11,0)</f>
        <v>24</v>
      </c>
      <c r="D1529" s="698">
        <f>46.1*$B$2</f>
        <v>30833.524000000001</v>
      </c>
      <c r="E1529" s="695">
        <f t="shared" si="177"/>
        <v>740004.576</v>
      </c>
      <c r="F1529" s="750"/>
      <c r="G1529" s="693" t="s">
        <v>307</v>
      </c>
      <c r="H1529" s="844" t="s">
        <v>528</v>
      </c>
      <c r="I1529" s="747">
        <f>VLOOKUP(H1526,'CNKT '!$D$113:$AA$178,11,0)</f>
        <v>17</v>
      </c>
      <c r="J1529" s="698">
        <f>46.1*$B$2</f>
        <v>30833.524000000001</v>
      </c>
      <c r="K1529" s="695">
        <f t="shared" si="178"/>
        <v>524169.908</v>
      </c>
      <c r="L1529" s="690"/>
    </row>
    <row r="1530" spans="1:12" s="27" customFormat="1" ht="17.25" customHeight="1">
      <c r="A1530" s="693" t="s">
        <v>399</v>
      </c>
      <c r="B1530" s="844" t="s">
        <v>529</v>
      </c>
      <c r="C1530" s="747">
        <f>VLOOKUP(B1526,'CNKT '!$D$113:$AA$178,12,0)</f>
        <v>5</v>
      </c>
      <c r="D1530" s="697">
        <f>76.9*$B$2</f>
        <v>51433.796000000009</v>
      </c>
      <c r="E1530" s="695">
        <f t="shared" si="177"/>
        <v>257168.98000000004</v>
      </c>
      <c r="F1530" s="750"/>
      <c r="G1530" s="693" t="s">
        <v>399</v>
      </c>
      <c r="H1530" s="844" t="s">
        <v>529</v>
      </c>
      <c r="I1530" s="747">
        <f>VLOOKUP(H1526,'CNKT '!$D$113:$AA$178,12,0)</f>
        <v>2</v>
      </c>
      <c r="J1530" s="697">
        <f>76.9*$B$2</f>
        <v>51433.796000000009</v>
      </c>
      <c r="K1530" s="695">
        <f t="shared" si="178"/>
        <v>102867.59200000002</v>
      </c>
      <c r="L1530" s="690"/>
    </row>
    <row r="1531" spans="1:12" s="27" customFormat="1" ht="17.25" customHeight="1">
      <c r="A1531" s="693" t="s">
        <v>78</v>
      </c>
      <c r="B1531" s="844" t="s">
        <v>530</v>
      </c>
      <c r="C1531" s="747">
        <f>VLOOKUP(B1526,'CNKT '!$D$113:$AA$178,8,0)</f>
        <v>1391.7349210097002</v>
      </c>
      <c r="D1531" s="697">
        <f>IF(C1527="A",6.1,IF(C1527="B",5.8,IF(C1527="C",5.5,IF(C1527="C.",5.5,IF(C1527="D",5.2)))))*$B$2</f>
        <v>0</v>
      </c>
      <c r="E1531" s="695">
        <f t="shared" si="177"/>
        <v>0</v>
      </c>
      <c r="F1531" s="750"/>
      <c r="G1531" s="693" t="s">
        <v>78</v>
      </c>
      <c r="H1531" s="844" t="s">
        <v>530</v>
      </c>
      <c r="I1531" s="747">
        <f>VLOOKUP(H1526,'CNKT '!$D$113:$AA$178,8,0)</f>
        <v>1054.1907182034324</v>
      </c>
      <c r="J1531" s="697">
        <f>IF(I1527="A",6.1,IF(I1527="B",5.8,IF(I1527="C",5.5,IF(I1527="C.",5.5,IF(I1527="D",5.2)))))*$B$2</f>
        <v>0</v>
      </c>
      <c r="K1531" s="695">
        <f t="shared" si="178"/>
        <v>0</v>
      </c>
      <c r="L1531" s="690"/>
    </row>
    <row r="1532" spans="1:12" s="27" customFormat="1" ht="17.25" customHeight="1">
      <c r="A1532" s="693" t="s">
        <v>493</v>
      </c>
      <c r="B1532" s="844" t="s">
        <v>531</v>
      </c>
      <c r="C1532" s="747">
        <f>VLOOKUP(B1526,'CNKT '!$D$99:$AA$178,13,0)</f>
        <v>0</v>
      </c>
      <c r="D1532" s="698">
        <f>92.2*$B$2</f>
        <v>61667.048000000003</v>
      </c>
      <c r="E1532" s="695">
        <f t="shared" si="177"/>
        <v>0</v>
      </c>
      <c r="F1532" s="750"/>
      <c r="G1532" s="693" t="s">
        <v>493</v>
      </c>
      <c r="H1532" s="844" t="s">
        <v>531</v>
      </c>
      <c r="I1532" s="747">
        <f>VLOOKUP(H1526,'CNKT '!$D$99:$AA$178,13,0)</f>
        <v>0</v>
      </c>
      <c r="J1532" s="698">
        <f>92.2*$B$2</f>
        <v>61667.048000000003</v>
      </c>
      <c r="K1532" s="695">
        <f t="shared" si="178"/>
        <v>0</v>
      </c>
      <c r="L1532" s="690"/>
    </row>
    <row r="1533" spans="1:12" s="27" customFormat="1" ht="17.25" customHeight="1">
      <c r="A1533" s="693" t="s">
        <v>448</v>
      </c>
      <c r="B1533" s="844" t="s">
        <v>496</v>
      </c>
      <c r="C1533" s="747">
        <f>VLOOKUP(B1526,'CNKT '!$D$113:$AA$178,14,0)</f>
        <v>0</v>
      </c>
      <c r="D1533" s="697">
        <f>153.6*$B$2</f>
        <v>102733.82400000001</v>
      </c>
      <c r="E1533" s="695">
        <f t="shared" si="177"/>
        <v>0</v>
      </c>
      <c r="F1533" s="750"/>
      <c r="G1533" s="693" t="s">
        <v>448</v>
      </c>
      <c r="H1533" s="844" t="s">
        <v>496</v>
      </c>
      <c r="I1533" s="747">
        <f>VLOOKUP(H1526,'CNKT '!$D$113:$AA$178,14,0)</f>
        <v>0</v>
      </c>
      <c r="J1533" s="697">
        <f>153.6*$B$2</f>
        <v>102733.82400000001</v>
      </c>
      <c r="K1533" s="695">
        <f t="shared" si="178"/>
        <v>0</v>
      </c>
      <c r="L1533" s="690"/>
    </row>
    <row r="1534" spans="1:12" s="27" customFormat="1" ht="17.25" customHeight="1">
      <c r="A1534" s="693" t="s">
        <v>453</v>
      </c>
      <c r="B1534" s="844" t="s">
        <v>497</v>
      </c>
      <c r="C1534" s="747">
        <f>VLOOKUP(B1526,'CNKT '!$D$114:$AA$178,18,0)</f>
        <v>0</v>
      </c>
      <c r="D1534" s="697">
        <v>10000</v>
      </c>
      <c r="E1534" s="695">
        <f>C1534*D1534</f>
        <v>0</v>
      </c>
      <c r="F1534" s="750"/>
      <c r="G1534" s="693" t="s">
        <v>453</v>
      </c>
      <c r="H1534" s="844" t="s">
        <v>497</v>
      </c>
      <c r="I1534" s="747">
        <f>VLOOKUP(H1526,'CNKT '!$D$114:$AA$178,18,0)</f>
        <v>0</v>
      </c>
      <c r="J1534" s="697">
        <v>10000</v>
      </c>
      <c r="K1534" s="695">
        <f>I1534*J1534</f>
        <v>0</v>
      </c>
      <c r="L1534" s="690"/>
    </row>
    <row r="1535" spans="1:12" s="27" customFormat="1" ht="17.25" customHeight="1">
      <c r="A1535" s="693" t="s">
        <v>453</v>
      </c>
      <c r="B1535" s="844" t="s">
        <v>497</v>
      </c>
      <c r="C1535" s="747">
        <f>VLOOKUP(B1526,'CNKT '!$D$114:$AA$178,19,0)</f>
        <v>0</v>
      </c>
      <c r="D1535" s="697">
        <v>20000</v>
      </c>
      <c r="E1535" s="695">
        <f>C1535*D1535</f>
        <v>0</v>
      </c>
      <c r="F1535" s="750"/>
      <c r="G1535" s="693" t="s">
        <v>453</v>
      </c>
      <c r="H1535" s="844" t="s">
        <v>497</v>
      </c>
      <c r="I1535" s="747">
        <f>VLOOKUP(H1526,'CNKT '!$D$114:$AA$178,19,0)</f>
        <v>0</v>
      </c>
      <c r="J1535" s="697">
        <v>20000</v>
      </c>
      <c r="K1535" s="695">
        <f>I1535*J1535</f>
        <v>0</v>
      </c>
      <c r="L1535" s="690"/>
    </row>
    <row r="1536" spans="1:12" s="27" customFormat="1" ht="17.25" customHeight="1">
      <c r="A1536" s="693" t="s">
        <v>512</v>
      </c>
      <c r="B1536" s="844" t="s">
        <v>513</v>
      </c>
      <c r="C1536" s="747"/>
      <c r="D1536" s="697"/>
      <c r="E1536" s="695"/>
      <c r="F1536" s="750"/>
      <c r="G1536" s="693" t="s">
        <v>512</v>
      </c>
      <c r="H1536" s="844" t="s">
        <v>513</v>
      </c>
      <c r="I1536" s="747"/>
      <c r="J1536" s="697"/>
      <c r="K1536" s="695"/>
      <c r="L1536" s="690"/>
    </row>
    <row r="1537" spans="1:12" s="27" customFormat="1" ht="17.25" customHeight="1">
      <c r="A1537" s="699" t="s">
        <v>79</v>
      </c>
      <c r="B1537" s="845" t="s">
        <v>532</v>
      </c>
      <c r="C1537" s="700"/>
      <c r="D1537" s="701"/>
      <c r="E1537" s="700"/>
      <c r="F1537" s="750"/>
      <c r="G1537" s="699" t="s">
        <v>79</v>
      </c>
      <c r="H1537" s="845" t="s">
        <v>532</v>
      </c>
      <c r="I1537" s="700"/>
      <c r="J1537" s="701"/>
      <c r="K1537" s="700"/>
      <c r="L1537" s="690"/>
    </row>
    <row r="1538" spans="1:12" s="27" customFormat="1" ht="17.25" customHeight="1">
      <c r="A1538" s="702" t="s">
        <v>80</v>
      </c>
      <c r="B1538" s="846" t="s">
        <v>533</v>
      </c>
      <c r="C1538" s="700"/>
      <c r="D1538" s="700"/>
      <c r="E1538" s="700"/>
      <c r="F1538" s="750"/>
      <c r="G1538" s="702" t="s">
        <v>80</v>
      </c>
      <c r="H1538" s="846" t="s">
        <v>533</v>
      </c>
      <c r="I1538" s="700"/>
      <c r="J1538" s="700"/>
      <c r="K1538" s="700"/>
      <c r="L1538" s="690"/>
    </row>
    <row r="1539" spans="1:12" s="27" customFormat="1" ht="17.25" customHeight="1">
      <c r="A1539" s="702" t="s">
        <v>81</v>
      </c>
      <c r="B1539" s="847" t="s">
        <v>534</v>
      </c>
      <c r="C1539" s="700"/>
      <c r="D1539" s="700"/>
      <c r="E1539" s="695">
        <f>SUM(E1538)</f>
        <v>0</v>
      </c>
      <c r="F1539" s="750"/>
      <c r="G1539" s="702" t="s">
        <v>81</v>
      </c>
      <c r="H1539" s="847" t="s">
        <v>534</v>
      </c>
      <c r="I1539" s="700"/>
      <c r="J1539" s="700"/>
      <c r="K1539" s="695">
        <f>SUM(K1538)</f>
        <v>0</v>
      </c>
      <c r="L1539" s="690"/>
    </row>
    <row r="1540" spans="1:12" s="27" customFormat="1" ht="17.25" customHeight="1">
      <c r="A1540" s="704" t="s">
        <v>82</v>
      </c>
      <c r="B1540" s="848" t="s">
        <v>438</v>
      </c>
      <c r="C1540" s="705"/>
      <c r="D1540" s="705"/>
      <c r="E1540" s="705">
        <f>(E1528+E1529+E1530+E1531+E1532+E1533+E1534+E1535+E1536)-E1539</f>
        <v>997173.5560000001</v>
      </c>
      <c r="F1540" s="749"/>
      <c r="G1540" s="704" t="s">
        <v>82</v>
      </c>
      <c r="H1540" s="848" t="s">
        <v>438</v>
      </c>
      <c r="I1540" s="705"/>
      <c r="J1540" s="705"/>
      <c r="K1540" s="705">
        <f>(K1528+K1529+K1530+K1531+K1532+K1533+K1534+K1535+K1536)-K1539</f>
        <v>627037.5</v>
      </c>
      <c r="L1540" s="707">
        <f>E1540+K1540</f>
        <v>1624211.0560000001</v>
      </c>
    </row>
    <row r="1541" spans="1:12" s="27" customFormat="1" ht="237" customHeight="1">
      <c r="A1541" s="763"/>
      <c r="B1541" s="763"/>
      <c r="C1541" s="763"/>
      <c r="D1541" s="763"/>
      <c r="E1541" s="763"/>
      <c r="F1541" s="763"/>
      <c r="G1541" s="763"/>
      <c r="H1541" s="763"/>
      <c r="I1541" s="763"/>
      <c r="J1541" s="763"/>
      <c r="K1541" s="763"/>
      <c r="L1541" s="690"/>
    </row>
    <row r="1542" spans="1:12" s="27" customFormat="1" ht="17.25" customHeight="1">
      <c r="A1542" s="759" t="str">
        <f>A1525</f>
        <v>LƯƠNG THÁNG 01/2025</v>
      </c>
      <c r="B1542" s="763"/>
      <c r="C1542" s="763"/>
      <c r="D1542" s="763"/>
      <c r="E1542" s="769">
        <f>VLOOKUP(B1543,'CNKT '!$D$114:$AD$178,26,0)</f>
        <v>0</v>
      </c>
      <c r="F1542" s="750"/>
      <c r="G1542" s="759" t="str">
        <f>G1525</f>
        <v>LƯƠNG THÁNG 01/2025</v>
      </c>
      <c r="H1542" s="763"/>
      <c r="I1542" s="763"/>
      <c r="J1542" s="763"/>
      <c r="K1542" s="769">
        <f>VLOOKUP(H1543,'CNKT '!$D$114:$AD$178,26,0)</f>
        <v>0</v>
      </c>
      <c r="L1542" s="690"/>
    </row>
    <row r="1543" spans="1:12" s="27" customFormat="1" ht="17.25" customHeight="1">
      <c r="A1543" s="709" t="s">
        <v>15</v>
      </c>
      <c r="B1543" s="840" t="str">
        <f>'CNKT '!D120</f>
        <v>T. Bun Hinh</v>
      </c>
      <c r="C1543" s="694"/>
      <c r="D1543" s="840" t="s">
        <v>396</v>
      </c>
      <c r="E1543" s="840" t="s">
        <v>18</v>
      </c>
      <c r="F1543" s="750"/>
      <c r="G1543" s="709" t="s">
        <v>15</v>
      </c>
      <c r="H1543" s="840" t="str">
        <f>'CNKT '!D121</f>
        <v>T. Miềng</v>
      </c>
      <c r="I1543" s="694"/>
      <c r="J1543" s="840" t="s">
        <v>396</v>
      </c>
      <c r="K1543" s="840" t="s">
        <v>18</v>
      </c>
      <c r="L1543" s="690"/>
    </row>
    <row r="1544" spans="1:12" s="27" customFormat="1" ht="17.25" customHeight="1">
      <c r="A1544" s="693" t="s">
        <v>397</v>
      </c>
      <c r="B1544" s="842" t="s">
        <v>527</v>
      </c>
      <c r="C1544" s="694">
        <f>VLOOKUP(B1543,'BTH mủ tạp'!$D$98:$AN$160,36,0)</f>
        <v>1082.819638277288</v>
      </c>
      <c r="D1544" s="695"/>
      <c r="E1544" s="695"/>
      <c r="F1544" s="750"/>
      <c r="G1544" s="693" t="s">
        <v>397</v>
      </c>
      <c r="H1544" s="842" t="s">
        <v>527</v>
      </c>
      <c r="I1544" s="694">
        <f>VLOOKUP(H1543,'BTH mủ tạp'!$D$98:$AN$160,36,0)</f>
        <v>1036.1822039634262</v>
      </c>
      <c r="J1544" s="695"/>
      <c r="K1544" s="695"/>
      <c r="L1544" s="690"/>
    </row>
    <row r="1545" spans="1:12" s="27" customFormat="1" ht="17.25" customHeight="1">
      <c r="A1545" s="693" t="s">
        <v>77</v>
      </c>
      <c r="B1545" s="843" t="s">
        <v>432</v>
      </c>
      <c r="C1545" s="696">
        <f>VLOOKUP(B1543,'CNKT '!$D$113:$AA$178,3,0)</f>
        <v>0</v>
      </c>
      <c r="D1545" s="697">
        <v>25000</v>
      </c>
      <c r="E1545" s="695">
        <f t="shared" ref="E1545:E1550" si="179">C1545*D1545</f>
        <v>0</v>
      </c>
      <c r="F1545" s="750"/>
      <c r="G1545" s="693" t="s">
        <v>77</v>
      </c>
      <c r="H1545" s="843" t="s">
        <v>432</v>
      </c>
      <c r="I1545" s="696">
        <f>VLOOKUP(H1543,'CNKT '!$D$113:$AA$178,3,0)</f>
        <v>0</v>
      </c>
      <c r="J1545" s="697">
        <v>25000</v>
      </c>
      <c r="K1545" s="695">
        <f t="shared" ref="K1545:K1550" si="180">I1545*J1545</f>
        <v>0</v>
      </c>
      <c r="L1545" s="690"/>
    </row>
    <row r="1546" spans="1:12" s="27" customFormat="1" ht="17.25" customHeight="1">
      <c r="A1546" s="693" t="s">
        <v>307</v>
      </c>
      <c r="B1546" s="844" t="s">
        <v>528</v>
      </c>
      <c r="C1546" s="747">
        <f>VLOOKUP(B1543,'CNKT '!$D$113:$AA$178,11,0)</f>
        <v>25</v>
      </c>
      <c r="D1546" s="698">
        <f>46.1*$B$2</f>
        <v>30833.524000000001</v>
      </c>
      <c r="E1546" s="695">
        <f t="shared" si="179"/>
        <v>770838.1</v>
      </c>
      <c r="F1546" s="750"/>
      <c r="G1546" s="693" t="s">
        <v>307</v>
      </c>
      <c r="H1546" s="844" t="s">
        <v>528</v>
      </c>
      <c r="I1546" s="747">
        <f>VLOOKUP(H1543,'CNKT '!$D$113:$AA$178,11,0)</f>
        <v>20</v>
      </c>
      <c r="J1546" s="698">
        <f>46.1*$B$2</f>
        <v>30833.524000000001</v>
      </c>
      <c r="K1546" s="695">
        <f t="shared" si="180"/>
        <v>616670.48</v>
      </c>
      <c r="L1546" s="690"/>
    </row>
    <row r="1547" spans="1:12" s="27" customFormat="1" ht="17.25" customHeight="1">
      <c r="A1547" s="693" t="s">
        <v>399</v>
      </c>
      <c r="B1547" s="844" t="s">
        <v>529</v>
      </c>
      <c r="C1547" s="747">
        <f>VLOOKUP(B1543,'CNKT '!$D$113:$AA$178,12,0)</f>
        <v>5</v>
      </c>
      <c r="D1547" s="697">
        <f>76.9*$B$2</f>
        <v>51433.796000000009</v>
      </c>
      <c r="E1547" s="695">
        <f t="shared" si="179"/>
        <v>257168.98000000004</v>
      </c>
      <c r="F1547" s="750"/>
      <c r="G1547" s="693" t="s">
        <v>399</v>
      </c>
      <c r="H1547" s="844" t="s">
        <v>529</v>
      </c>
      <c r="I1547" s="747">
        <f>VLOOKUP(H1543,'CNKT '!$D$113:$AA$178,12,0)</f>
        <v>4</v>
      </c>
      <c r="J1547" s="697">
        <f>76.9*$B$2</f>
        <v>51433.796000000009</v>
      </c>
      <c r="K1547" s="695">
        <f t="shared" si="180"/>
        <v>205735.18400000004</v>
      </c>
      <c r="L1547" s="690"/>
    </row>
    <row r="1548" spans="1:12" s="27" customFormat="1" ht="17.25" customHeight="1">
      <c r="A1548" s="693" t="s">
        <v>78</v>
      </c>
      <c r="B1548" s="844" t="s">
        <v>530</v>
      </c>
      <c r="C1548" s="747">
        <f>VLOOKUP(B1543,'CNKT '!$D$113:$AA$178,8,0)</f>
        <v>1082.8196382772883</v>
      </c>
      <c r="D1548" s="697">
        <f>IF(C1544="A",6.1,IF(C1544="B",5.8,IF(C1544="C",5.5,IF(C1544="C.",5.5,IF(C1544="D",5.2)))))*$B$2</f>
        <v>0</v>
      </c>
      <c r="E1548" s="695">
        <f t="shared" si="179"/>
        <v>0</v>
      </c>
      <c r="F1548" s="750"/>
      <c r="G1548" s="693" t="s">
        <v>78</v>
      </c>
      <c r="H1548" s="844" t="s">
        <v>530</v>
      </c>
      <c r="I1548" s="747">
        <f>VLOOKUP(H1543,'CNKT '!$D$113:$AA$178,8,0)</f>
        <v>1036.1822039634264</v>
      </c>
      <c r="J1548" s="697">
        <f>IF(I1544="A",6.1,IF(I1544="B",5.8,IF(I1544="C",5.5,IF(I1544="C.",5.5,IF(I1544="D",5.2)))))*$B$2</f>
        <v>0</v>
      </c>
      <c r="K1548" s="695">
        <f t="shared" si="180"/>
        <v>0</v>
      </c>
      <c r="L1548" s="690"/>
    </row>
    <row r="1549" spans="1:12" s="27" customFormat="1" ht="17.25" customHeight="1">
      <c r="A1549" s="693" t="s">
        <v>493</v>
      </c>
      <c r="B1549" s="844" t="s">
        <v>531</v>
      </c>
      <c r="C1549" s="747">
        <f>VLOOKUP(B1543,'CNKT '!$D$99:$AA$178,13,0)</f>
        <v>0</v>
      </c>
      <c r="D1549" s="698">
        <f>92.2*$B$2</f>
        <v>61667.048000000003</v>
      </c>
      <c r="E1549" s="695">
        <f t="shared" si="179"/>
        <v>0</v>
      </c>
      <c r="F1549" s="750"/>
      <c r="G1549" s="693" t="s">
        <v>493</v>
      </c>
      <c r="H1549" s="844" t="s">
        <v>531</v>
      </c>
      <c r="I1549" s="747">
        <f>VLOOKUP(H1543,'CNKT '!$D$99:$AA$178,13,0)</f>
        <v>0</v>
      </c>
      <c r="J1549" s="698">
        <f>92.2*$B$2</f>
        <v>61667.048000000003</v>
      </c>
      <c r="K1549" s="695">
        <f t="shared" si="180"/>
        <v>0</v>
      </c>
      <c r="L1549" s="690"/>
    </row>
    <row r="1550" spans="1:12" s="27" customFormat="1" ht="17.25" customHeight="1">
      <c r="A1550" s="693" t="s">
        <v>448</v>
      </c>
      <c r="B1550" s="844" t="s">
        <v>496</v>
      </c>
      <c r="C1550" s="747">
        <f>VLOOKUP(B1543,'CNKT '!$D$113:$AA$178,14,0)</f>
        <v>0</v>
      </c>
      <c r="D1550" s="697">
        <f>153.6*$B$2</f>
        <v>102733.82400000001</v>
      </c>
      <c r="E1550" s="695">
        <f t="shared" si="179"/>
        <v>0</v>
      </c>
      <c r="F1550" s="750"/>
      <c r="G1550" s="693" t="s">
        <v>448</v>
      </c>
      <c r="H1550" s="844" t="s">
        <v>496</v>
      </c>
      <c r="I1550" s="747">
        <f>VLOOKUP(H1543,'CNKT '!$D$113:$AA$178,14,0)</f>
        <v>0</v>
      </c>
      <c r="J1550" s="697">
        <f>153.6*$B$2</f>
        <v>102733.82400000001</v>
      </c>
      <c r="K1550" s="695">
        <f t="shared" si="180"/>
        <v>0</v>
      </c>
      <c r="L1550" s="690"/>
    </row>
    <row r="1551" spans="1:12" s="27" customFormat="1" ht="17.25" customHeight="1">
      <c r="A1551" s="693" t="s">
        <v>453</v>
      </c>
      <c r="B1551" s="844" t="s">
        <v>497</v>
      </c>
      <c r="C1551" s="747">
        <f>VLOOKUP(B1543,'CNKT '!$D$114:$AA$178,18,0)</f>
        <v>0</v>
      </c>
      <c r="D1551" s="697">
        <v>10000</v>
      </c>
      <c r="E1551" s="695">
        <f>C1551*D1551</f>
        <v>0</v>
      </c>
      <c r="F1551" s="750"/>
      <c r="G1551" s="693" t="s">
        <v>453</v>
      </c>
      <c r="H1551" s="844" t="s">
        <v>497</v>
      </c>
      <c r="I1551" s="747">
        <f>VLOOKUP(H1543,'CNKT '!$D$114:$AA$178,18,0)</f>
        <v>0</v>
      </c>
      <c r="J1551" s="697">
        <v>10000</v>
      </c>
      <c r="K1551" s="695">
        <f>I1551*J1551</f>
        <v>0</v>
      </c>
      <c r="L1551" s="690"/>
    </row>
    <row r="1552" spans="1:12" s="27" customFormat="1" ht="17.25" customHeight="1">
      <c r="A1552" s="693" t="s">
        <v>453</v>
      </c>
      <c r="B1552" s="844" t="s">
        <v>497</v>
      </c>
      <c r="C1552" s="747">
        <f>VLOOKUP(B1543,'CNKT '!$D$114:$AA$178,19,0)</f>
        <v>0</v>
      </c>
      <c r="D1552" s="697">
        <v>20000</v>
      </c>
      <c r="E1552" s="695">
        <f>C1552*D1552</f>
        <v>0</v>
      </c>
      <c r="F1552" s="750"/>
      <c r="G1552" s="693" t="s">
        <v>453</v>
      </c>
      <c r="H1552" s="844" t="s">
        <v>497</v>
      </c>
      <c r="I1552" s="747">
        <f>VLOOKUP(H1543,'CNKT '!$D$114:$AA$178,19,0)</f>
        <v>0</v>
      </c>
      <c r="J1552" s="697">
        <v>20000</v>
      </c>
      <c r="K1552" s="695">
        <f>I1552*J1552</f>
        <v>0</v>
      </c>
      <c r="L1552" s="690"/>
    </row>
    <row r="1553" spans="1:12" s="27" customFormat="1" ht="17.25" customHeight="1">
      <c r="A1553" s="693" t="s">
        <v>512</v>
      </c>
      <c r="B1553" s="844" t="s">
        <v>513</v>
      </c>
      <c r="C1553" s="747"/>
      <c r="D1553" s="697"/>
      <c r="E1553" s="695"/>
      <c r="F1553" s="750"/>
      <c r="G1553" s="693" t="s">
        <v>512</v>
      </c>
      <c r="H1553" s="844" t="s">
        <v>513</v>
      </c>
      <c r="I1553" s="747"/>
      <c r="J1553" s="697"/>
      <c r="K1553" s="695"/>
      <c r="L1553" s="690"/>
    </row>
    <row r="1554" spans="1:12" s="27" customFormat="1" ht="17.25" customHeight="1">
      <c r="A1554" s="699" t="s">
        <v>79</v>
      </c>
      <c r="B1554" s="845" t="s">
        <v>532</v>
      </c>
      <c r="C1554" s="700"/>
      <c r="D1554" s="701"/>
      <c r="E1554" s="700"/>
      <c r="F1554" s="750"/>
      <c r="G1554" s="699" t="s">
        <v>79</v>
      </c>
      <c r="H1554" s="845" t="s">
        <v>532</v>
      </c>
      <c r="I1554" s="700"/>
      <c r="J1554" s="701"/>
      <c r="K1554" s="700"/>
      <c r="L1554" s="690"/>
    </row>
    <row r="1555" spans="1:12" s="27" customFormat="1" ht="17.25" customHeight="1">
      <c r="A1555" s="702" t="s">
        <v>80</v>
      </c>
      <c r="B1555" s="846" t="s">
        <v>533</v>
      </c>
      <c r="C1555" s="700"/>
      <c r="D1555" s="700"/>
      <c r="E1555" s="700"/>
      <c r="F1555" s="750"/>
      <c r="G1555" s="702" t="s">
        <v>80</v>
      </c>
      <c r="H1555" s="846" t="s">
        <v>533</v>
      </c>
      <c r="I1555" s="700"/>
      <c r="J1555" s="700"/>
      <c r="K1555" s="700"/>
      <c r="L1555" s="690"/>
    </row>
    <row r="1556" spans="1:12" s="27" customFormat="1" ht="17.25" customHeight="1">
      <c r="A1556" s="702" t="s">
        <v>81</v>
      </c>
      <c r="B1556" s="847" t="s">
        <v>534</v>
      </c>
      <c r="C1556" s="700"/>
      <c r="D1556" s="700"/>
      <c r="E1556" s="695">
        <f>SUM(E1555)</f>
        <v>0</v>
      </c>
      <c r="F1556" s="750"/>
      <c r="G1556" s="702" t="s">
        <v>81</v>
      </c>
      <c r="H1556" s="847" t="s">
        <v>534</v>
      </c>
      <c r="I1556" s="700"/>
      <c r="J1556" s="700"/>
      <c r="K1556" s="695">
        <f>SUM(K1555)</f>
        <v>0</v>
      </c>
      <c r="L1556" s="690"/>
    </row>
    <row r="1557" spans="1:12" s="27" customFormat="1" ht="17.25" customHeight="1">
      <c r="A1557" s="704" t="s">
        <v>82</v>
      </c>
      <c r="B1557" s="848" t="s">
        <v>438</v>
      </c>
      <c r="C1557" s="705"/>
      <c r="D1557" s="705"/>
      <c r="E1557" s="705">
        <f>(E1545+E1546+E1547+E1548+E1549+E1550+E1551+E1552+E1553)-E1556</f>
        <v>1028007.0800000001</v>
      </c>
      <c r="F1557" s="738"/>
      <c r="G1557" s="704" t="s">
        <v>82</v>
      </c>
      <c r="H1557" s="848" t="s">
        <v>438</v>
      </c>
      <c r="I1557" s="705"/>
      <c r="J1557" s="705"/>
      <c r="K1557" s="705">
        <f>(K1545+K1546+K1547+K1548+K1549+K1550+K1551+K1552+K1553)-K1556</f>
        <v>822405.66399999999</v>
      </c>
      <c r="L1557" s="707">
        <f>E1557+K1557</f>
        <v>1850412.7439999999</v>
      </c>
    </row>
    <row r="1558" spans="1:12" s="27" customFormat="1" ht="17.25" customHeight="1">
      <c r="A1558" s="763"/>
      <c r="B1558" s="763"/>
      <c r="C1558" s="763"/>
      <c r="D1558" s="763"/>
      <c r="E1558" s="763"/>
      <c r="F1558" s="763"/>
      <c r="G1558" s="763"/>
      <c r="H1558" s="763"/>
      <c r="I1558" s="763"/>
      <c r="J1558" s="763"/>
      <c r="K1558" s="763"/>
      <c r="L1558" s="690"/>
    </row>
    <row r="1559" spans="1:12" s="27" customFormat="1" ht="17.25" customHeight="1">
      <c r="A1559" s="759" t="str">
        <f>A1542</f>
        <v>LƯƠNG THÁNG 01/2025</v>
      </c>
      <c r="B1559" s="763"/>
      <c r="C1559" s="763"/>
      <c r="D1559" s="763"/>
      <c r="E1559" s="769">
        <f>VLOOKUP(B1560,'CNKT '!$D$114:$AD$178,26,0)</f>
        <v>0</v>
      </c>
      <c r="F1559" s="750"/>
      <c r="G1559" s="759" t="str">
        <f>A1559</f>
        <v>LƯƠNG THÁNG 01/2025</v>
      </c>
      <c r="H1559" s="763"/>
      <c r="I1559" s="763"/>
      <c r="J1559" s="766"/>
      <c r="K1559" s="769">
        <f>VLOOKUP(H1560,'CNKT '!$D$114:$AD$178,26,0)</f>
        <v>0</v>
      </c>
      <c r="L1559" s="690"/>
    </row>
    <row r="1560" spans="1:12" s="27" customFormat="1" ht="17.25" customHeight="1">
      <c r="A1560" s="709" t="s">
        <v>15</v>
      </c>
      <c r="B1560" s="840" t="str">
        <f>'CNKT '!D122</f>
        <v>N. Xúc</v>
      </c>
      <c r="C1560" s="694"/>
      <c r="D1560" s="840" t="s">
        <v>396</v>
      </c>
      <c r="E1560" s="840" t="s">
        <v>18</v>
      </c>
      <c r="F1560" s="750"/>
      <c r="G1560" s="709" t="s">
        <v>15</v>
      </c>
      <c r="H1560" s="840" t="str">
        <f>'CNKT '!D123</f>
        <v>N. Lẹ</v>
      </c>
      <c r="I1560" s="694"/>
      <c r="J1560" s="840" t="s">
        <v>396</v>
      </c>
      <c r="K1560" s="840" t="s">
        <v>18</v>
      </c>
      <c r="L1560" s="690"/>
    </row>
    <row r="1561" spans="1:12" s="27" customFormat="1" ht="17.25" customHeight="1">
      <c r="A1561" s="693" t="s">
        <v>397</v>
      </c>
      <c r="B1561" s="842" t="s">
        <v>527</v>
      </c>
      <c r="C1561" s="694">
        <f>VLOOKUP(B1560,'BTH mủ tạp'!$D$98:$AN$160,36,0)</f>
        <v>1423.5961385112491</v>
      </c>
      <c r="D1561" s="695"/>
      <c r="E1561" s="695"/>
      <c r="F1561" s="750"/>
      <c r="G1561" s="693" t="s">
        <v>397</v>
      </c>
      <c r="H1561" s="842" t="s">
        <v>527</v>
      </c>
      <c r="I1561" s="694">
        <f>VLOOKUP(H1560,'BTH mủ tạp'!$D$98:$AN$160,36,0)</f>
        <v>1169.6299120496251</v>
      </c>
      <c r="J1561" s="695"/>
      <c r="K1561" s="695"/>
      <c r="L1561" s="690"/>
    </row>
    <row r="1562" spans="1:12" s="27" customFormat="1" ht="17.25" customHeight="1">
      <c r="A1562" s="693" t="s">
        <v>77</v>
      </c>
      <c r="B1562" s="843" t="s">
        <v>432</v>
      </c>
      <c r="C1562" s="696">
        <f>VLOOKUP(B1560,'CNKT '!$D$113:$AA$178,3,0)</f>
        <v>0</v>
      </c>
      <c r="D1562" s="697">
        <v>25000</v>
      </c>
      <c r="E1562" s="695">
        <f t="shared" ref="E1562:E1567" si="181">C1562*D1562</f>
        <v>0</v>
      </c>
      <c r="F1562" s="750"/>
      <c r="G1562" s="693" t="s">
        <v>77</v>
      </c>
      <c r="H1562" s="843" t="s">
        <v>432</v>
      </c>
      <c r="I1562" s="696">
        <f>VLOOKUP(H1560,'CNKT '!$D$113:$AA$178,3,0)</f>
        <v>0</v>
      </c>
      <c r="J1562" s="697">
        <v>25000</v>
      </c>
      <c r="K1562" s="695">
        <f t="shared" ref="K1562:K1567" si="182">I1562*J1562</f>
        <v>0</v>
      </c>
      <c r="L1562" s="690"/>
    </row>
    <row r="1563" spans="1:12" s="27" customFormat="1" ht="17.25" customHeight="1">
      <c r="A1563" s="693" t="s">
        <v>307</v>
      </c>
      <c r="B1563" s="844" t="s">
        <v>528</v>
      </c>
      <c r="C1563" s="747">
        <f>VLOOKUP(B1560,'CNKT '!$D$113:$AA$178,11,0)</f>
        <v>23</v>
      </c>
      <c r="D1563" s="698">
        <f>46.1*$B$2</f>
        <v>30833.524000000001</v>
      </c>
      <c r="E1563" s="695">
        <f t="shared" si="181"/>
        <v>709171.05200000003</v>
      </c>
      <c r="F1563" s="750"/>
      <c r="G1563" s="693" t="s">
        <v>307</v>
      </c>
      <c r="H1563" s="844" t="s">
        <v>528</v>
      </c>
      <c r="I1563" s="747">
        <f>VLOOKUP(H1560,'CNKT '!$D$113:$AA$178,11,0)</f>
        <v>24</v>
      </c>
      <c r="J1563" s="698">
        <f>46.1*$B$2</f>
        <v>30833.524000000001</v>
      </c>
      <c r="K1563" s="695">
        <f t="shared" si="182"/>
        <v>740004.576</v>
      </c>
      <c r="L1563" s="690"/>
    </row>
    <row r="1564" spans="1:12" s="27" customFormat="1" ht="17.25" customHeight="1">
      <c r="A1564" s="693" t="s">
        <v>399</v>
      </c>
      <c r="B1564" s="844" t="s">
        <v>529</v>
      </c>
      <c r="C1564" s="747">
        <f>VLOOKUP(B1560,'CNKT '!$D$113:$AA$178,12,0)</f>
        <v>5</v>
      </c>
      <c r="D1564" s="697">
        <f>76.9*$B$2</f>
        <v>51433.796000000009</v>
      </c>
      <c r="E1564" s="695">
        <f t="shared" si="181"/>
        <v>257168.98000000004</v>
      </c>
      <c r="F1564" s="750"/>
      <c r="G1564" s="693" t="s">
        <v>399</v>
      </c>
      <c r="H1564" s="844" t="s">
        <v>529</v>
      </c>
      <c r="I1564" s="747">
        <f>VLOOKUP(H1560,'CNKT '!$D$113:$AA$178,12,0)</f>
        <v>5</v>
      </c>
      <c r="J1564" s="697">
        <f>76.9*$B$2</f>
        <v>51433.796000000009</v>
      </c>
      <c r="K1564" s="695">
        <f t="shared" si="182"/>
        <v>257168.98000000004</v>
      </c>
      <c r="L1564" s="690"/>
    </row>
    <row r="1565" spans="1:12" s="27" customFormat="1" ht="17.25" customHeight="1">
      <c r="A1565" s="693" t="s">
        <v>78</v>
      </c>
      <c r="B1565" s="844" t="s">
        <v>530</v>
      </c>
      <c r="C1565" s="747">
        <f>VLOOKUP(B1560,'CNKT '!$D$113:$AA$178,8,0)</f>
        <v>1423.5961385112494</v>
      </c>
      <c r="D1565" s="697">
        <f>IF(C1561="A",6.1,IF(C1561="B",5.8,IF(C1561="C",5.5,IF(C1561="C.",5.5,IF(C1561="D",5.2)))))*$B$2</f>
        <v>0</v>
      </c>
      <c r="E1565" s="695">
        <f t="shared" si="181"/>
        <v>0</v>
      </c>
      <c r="F1565" s="750"/>
      <c r="G1565" s="693" t="s">
        <v>78</v>
      </c>
      <c r="H1565" s="844" t="s">
        <v>530</v>
      </c>
      <c r="I1565" s="747">
        <f>VLOOKUP(H1560,'CNKT '!$D$113:$AA$178,8,0)</f>
        <v>1169.6299120496253</v>
      </c>
      <c r="J1565" s="697">
        <f>IF(I1561="A",6.1,IF(I1561="B",5.8,IF(I1561="C",5.5,IF(I1561="C.",5.5,IF(I1561="D",5.2)))))*$B$2</f>
        <v>0</v>
      </c>
      <c r="K1565" s="695">
        <f t="shared" si="182"/>
        <v>0</v>
      </c>
      <c r="L1565" s="690"/>
    </row>
    <row r="1566" spans="1:12" s="27" customFormat="1" ht="17.25" customHeight="1">
      <c r="A1566" s="693" t="s">
        <v>493</v>
      </c>
      <c r="B1566" s="844" t="s">
        <v>531</v>
      </c>
      <c r="C1566" s="747">
        <f>VLOOKUP(B1560,'CNKT '!$D$99:$AA$178,13,0)</f>
        <v>0</v>
      </c>
      <c r="D1566" s="698">
        <f>92.2*$B$2</f>
        <v>61667.048000000003</v>
      </c>
      <c r="E1566" s="695">
        <f t="shared" si="181"/>
        <v>0</v>
      </c>
      <c r="F1566" s="750"/>
      <c r="G1566" s="693" t="s">
        <v>493</v>
      </c>
      <c r="H1566" s="844" t="s">
        <v>531</v>
      </c>
      <c r="I1566" s="747">
        <f>VLOOKUP(H1560,'CNKT '!$D$99:$AA$178,13,0)</f>
        <v>0</v>
      </c>
      <c r="J1566" s="698">
        <f>92.2*$B$2</f>
        <v>61667.048000000003</v>
      </c>
      <c r="K1566" s="695">
        <f t="shared" si="182"/>
        <v>0</v>
      </c>
      <c r="L1566" s="690"/>
    </row>
    <row r="1567" spans="1:12" s="27" customFormat="1" ht="17.25" customHeight="1">
      <c r="A1567" s="693" t="s">
        <v>448</v>
      </c>
      <c r="B1567" s="844" t="s">
        <v>496</v>
      </c>
      <c r="C1567" s="747">
        <f>VLOOKUP(B1560,'CNKT '!$D$113:$AA$178,14,0)</f>
        <v>0</v>
      </c>
      <c r="D1567" s="697">
        <f>153.6*$B$2</f>
        <v>102733.82400000001</v>
      </c>
      <c r="E1567" s="695">
        <f t="shared" si="181"/>
        <v>0</v>
      </c>
      <c r="F1567" s="750"/>
      <c r="G1567" s="693" t="s">
        <v>448</v>
      </c>
      <c r="H1567" s="844" t="s">
        <v>496</v>
      </c>
      <c r="I1567" s="747">
        <f>VLOOKUP(H1560,'CNKT '!$D$113:$AA$178,14,0)</f>
        <v>0</v>
      </c>
      <c r="J1567" s="697">
        <f>153.6*$B$2</f>
        <v>102733.82400000001</v>
      </c>
      <c r="K1567" s="695">
        <f t="shared" si="182"/>
        <v>0</v>
      </c>
      <c r="L1567" s="690"/>
    </row>
    <row r="1568" spans="1:12" s="27" customFormat="1" ht="17.25" customHeight="1">
      <c r="A1568" s="693" t="s">
        <v>453</v>
      </c>
      <c r="B1568" s="844" t="s">
        <v>497</v>
      </c>
      <c r="C1568" s="747">
        <f>VLOOKUP(B1560,'CNKT '!$D$114:$AA$178,18,0)</f>
        <v>0</v>
      </c>
      <c r="D1568" s="697">
        <v>10000</v>
      </c>
      <c r="E1568" s="695">
        <f>C1568*D1568</f>
        <v>0</v>
      </c>
      <c r="F1568" s="750"/>
      <c r="G1568" s="693" t="s">
        <v>453</v>
      </c>
      <c r="H1568" s="844" t="s">
        <v>497</v>
      </c>
      <c r="I1568" s="747">
        <f>VLOOKUP(H1560,'CNKT '!$D$114:$AA$178,18,0)</f>
        <v>0</v>
      </c>
      <c r="J1568" s="697">
        <v>10000</v>
      </c>
      <c r="K1568" s="695">
        <f>I1568*J1568</f>
        <v>0</v>
      </c>
      <c r="L1568" s="690"/>
    </row>
    <row r="1569" spans="1:12" s="27" customFormat="1" ht="17.25" customHeight="1">
      <c r="A1569" s="693" t="s">
        <v>453</v>
      </c>
      <c r="B1569" s="844" t="s">
        <v>497</v>
      </c>
      <c r="C1569" s="747">
        <f>VLOOKUP(B1560,'CNKT '!$D$114:$AA$178,19,0)</f>
        <v>0</v>
      </c>
      <c r="D1569" s="697">
        <v>20000</v>
      </c>
      <c r="E1569" s="695">
        <f>C1569*D1569</f>
        <v>0</v>
      </c>
      <c r="F1569" s="750"/>
      <c r="G1569" s="693" t="s">
        <v>453</v>
      </c>
      <c r="H1569" s="844" t="s">
        <v>497</v>
      </c>
      <c r="I1569" s="747">
        <f>VLOOKUP(H1560,'CNKT '!$D$114:$AA$178,19,0)</f>
        <v>0</v>
      </c>
      <c r="J1569" s="697">
        <v>20000</v>
      </c>
      <c r="K1569" s="695">
        <f>I1569*J1569</f>
        <v>0</v>
      </c>
      <c r="L1569" s="690"/>
    </row>
    <row r="1570" spans="1:12" s="27" customFormat="1" ht="17.25" customHeight="1">
      <c r="A1570" s="693" t="s">
        <v>512</v>
      </c>
      <c r="B1570" s="844" t="s">
        <v>513</v>
      </c>
      <c r="C1570" s="747"/>
      <c r="D1570" s="697"/>
      <c r="E1570" s="695"/>
      <c r="F1570" s="750"/>
      <c r="G1570" s="693" t="s">
        <v>512</v>
      </c>
      <c r="H1570" s="844" t="s">
        <v>513</v>
      </c>
      <c r="I1570" s="747"/>
      <c r="J1570" s="697"/>
      <c r="K1570" s="695"/>
      <c r="L1570" s="690"/>
    </row>
    <row r="1571" spans="1:12" s="27" customFormat="1" ht="17.25" customHeight="1">
      <c r="A1571" s="699" t="s">
        <v>79</v>
      </c>
      <c r="B1571" s="845" t="s">
        <v>532</v>
      </c>
      <c r="C1571" s="700"/>
      <c r="D1571" s="701"/>
      <c r="E1571" s="700"/>
      <c r="F1571" s="750"/>
      <c r="G1571" s="699" t="s">
        <v>79</v>
      </c>
      <c r="H1571" s="845" t="s">
        <v>532</v>
      </c>
      <c r="I1571" s="700"/>
      <c r="J1571" s="701"/>
      <c r="K1571" s="700"/>
      <c r="L1571" s="690"/>
    </row>
    <row r="1572" spans="1:12" s="27" customFormat="1" ht="17.25" customHeight="1">
      <c r="A1572" s="702" t="s">
        <v>80</v>
      </c>
      <c r="B1572" s="846" t="s">
        <v>533</v>
      </c>
      <c r="C1572" s="700"/>
      <c r="D1572" s="700"/>
      <c r="E1572" s="700"/>
      <c r="F1572" s="750"/>
      <c r="G1572" s="702" t="s">
        <v>80</v>
      </c>
      <c r="H1572" s="846" t="s">
        <v>533</v>
      </c>
      <c r="I1572" s="700"/>
      <c r="J1572" s="700"/>
      <c r="K1572" s="700"/>
      <c r="L1572" s="690"/>
    </row>
    <row r="1573" spans="1:12" s="27" customFormat="1" ht="17.25" customHeight="1">
      <c r="A1573" s="702" t="s">
        <v>81</v>
      </c>
      <c r="B1573" s="847" t="s">
        <v>534</v>
      </c>
      <c r="C1573" s="700"/>
      <c r="D1573" s="700"/>
      <c r="E1573" s="695">
        <f>SUM(E1572)</f>
        <v>0</v>
      </c>
      <c r="F1573" s="750"/>
      <c r="G1573" s="702" t="s">
        <v>81</v>
      </c>
      <c r="H1573" s="847" t="s">
        <v>534</v>
      </c>
      <c r="I1573" s="700"/>
      <c r="J1573" s="700"/>
      <c r="K1573" s="695">
        <f>SUM(K1572)</f>
        <v>0</v>
      </c>
      <c r="L1573" s="690"/>
    </row>
    <row r="1574" spans="1:12" s="27" customFormat="1" ht="17.25" customHeight="1">
      <c r="A1574" s="704" t="s">
        <v>82</v>
      </c>
      <c r="B1574" s="848" t="s">
        <v>438</v>
      </c>
      <c r="C1574" s="705"/>
      <c r="D1574" s="705"/>
      <c r="E1574" s="705">
        <f>(E1562+E1563+E1564+E1565+E1566+E1567+E1568+E1569+E1570)-E1573</f>
        <v>966340.03200000012</v>
      </c>
      <c r="F1574" s="750"/>
      <c r="G1574" s="704" t="s">
        <v>82</v>
      </c>
      <c r="H1574" s="848" t="s">
        <v>438</v>
      </c>
      <c r="I1574" s="705"/>
      <c r="J1574" s="705"/>
      <c r="K1574" s="705">
        <f>(K1562+K1563+K1564+K1565+K1566+K1567+K1568+K1569+K1570)-K1573</f>
        <v>997173.5560000001</v>
      </c>
      <c r="L1574" s="707">
        <f>E1574+K1574</f>
        <v>1963513.5880000002</v>
      </c>
    </row>
    <row r="1575" spans="1:12" s="27" customFormat="1" ht="17.25" customHeight="1">
      <c r="A1575" s="763"/>
      <c r="B1575" s="763"/>
      <c r="C1575" s="763"/>
      <c r="D1575" s="763"/>
      <c r="E1575" s="763"/>
      <c r="F1575" s="763"/>
      <c r="G1575" s="763"/>
      <c r="H1575" s="763"/>
      <c r="I1575" s="763"/>
      <c r="J1575" s="763"/>
      <c r="K1575" s="763"/>
      <c r="L1575" s="690"/>
    </row>
    <row r="1576" spans="1:12" s="27" customFormat="1" ht="17.25" customHeight="1">
      <c r="A1576" s="759" t="str">
        <f>A1559</f>
        <v>LƯƠNG THÁNG 01/2025</v>
      </c>
      <c r="B1576" s="763"/>
      <c r="C1576" s="763"/>
      <c r="D1576" s="763"/>
      <c r="E1576" s="769">
        <f>VLOOKUP(B1577,'CNKT '!$D$114:$AD$178,26,0)</f>
        <v>0</v>
      </c>
      <c r="F1576" s="750"/>
      <c r="G1576" s="759" t="str">
        <f>A1576</f>
        <v>LƯƠNG THÁNG 01/2025</v>
      </c>
      <c r="H1576" s="763"/>
      <c r="I1576" s="763"/>
      <c r="J1576" s="766"/>
      <c r="K1576" s="769">
        <f>VLOOKUP(H1577,'CNKT '!$D$114:$AD$178,26,0)</f>
        <v>0</v>
      </c>
      <c r="L1576" s="690"/>
    </row>
    <row r="1577" spans="1:12" s="27" customFormat="1" ht="17.25" customHeight="1">
      <c r="A1577" s="709" t="s">
        <v>15</v>
      </c>
      <c r="B1577" s="840" t="str">
        <f>'CNKT '!D124</f>
        <v>N . Thích</v>
      </c>
      <c r="C1577" s="694"/>
      <c r="D1577" s="840" t="s">
        <v>396</v>
      </c>
      <c r="E1577" s="840" t="s">
        <v>18</v>
      </c>
      <c r="F1577" s="750"/>
      <c r="G1577" s="709" t="s">
        <v>15</v>
      </c>
      <c r="H1577" s="840" t="str">
        <f>'CNKT '!D125</f>
        <v>N. Cong Mi</v>
      </c>
      <c r="I1577" s="694"/>
      <c r="J1577" s="840" t="s">
        <v>396</v>
      </c>
      <c r="K1577" s="840" t="s">
        <v>18</v>
      </c>
      <c r="L1577" s="690"/>
    </row>
    <row r="1578" spans="1:12" s="27" customFormat="1" ht="17.25" customHeight="1">
      <c r="A1578" s="693" t="s">
        <v>397</v>
      </c>
      <c r="B1578" s="842" t="s">
        <v>527</v>
      </c>
      <c r="C1578" s="694">
        <f>VLOOKUP(B1577,'BTH mủ tạp'!$D$98:$AN$160,36,0)</f>
        <v>1308.6187014404411</v>
      </c>
      <c r="D1578" s="695"/>
      <c r="E1578" s="695"/>
      <c r="F1578" s="750"/>
      <c r="G1578" s="693" t="s">
        <v>397</v>
      </c>
      <c r="H1578" s="842" t="s">
        <v>527</v>
      </c>
      <c r="I1578" s="694">
        <f>VLOOKUP(H1577,'BTH mủ tạp'!$D$98:$AN$160,36,0)</f>
        <v>1066.1963943634362</v>
      </c>
      <c r="J1578" s="695"/>
      <c r="K1578" s="695"/>
      <c r="L1578" s="690"/>
    </row>
    <row r="1579" spans="1:12" s="27" customFormat="1" ht="17.25" customHeight="1">
      <c r="A1579" s="693" t="s">
        <v>77</v>
      </c>
      <c r="B1579" s="843" t="s">
        <v>432</v>
      </c>
      <c r="C1579" s="696">
        <f>VLOOKUP(B1577,'CNKT '!$D$113:$AA$178,3,0)</f>
        <v>0</v>
      </c>
      <c r="D1579" s="697">
        <v>25000</v>
      </c>
      <c r="E1579" s="695">
        <f t="shared" ref="E1579:E1584" si="183">C1579*D1579</f>
        <v>0</v>
      </c>
      <c r="F1579" s="750"/>
      <c r="G1579" s="693" t="s">
        <v>77</v>
      </c>
      <c r="H1579" s="843" t="s">
        <v>432</v>
      </c>
      <c r="I1579" s="696">
        <f>VLOOKUP(H1577,'CNKT '!$D$113:$AA$178,3,0)</f>
        <v>0</v>
      </c>
      <c r="J1579" s="697">
        <v>25000</v>
      </c>
      <c r="K1579" s="695">
        <f t="shared" ref="K1579:K1584" si="184">I1579*J1579</f>
        <v>0</v>
      </c>
      <c r="L1579" s="690"/>
    </row>
    <row r="1580" spans="1:12" s="27" customFormat="1" ht="17.25" customHeight="1">
      <c r="A1580" s="693" t="s">
        <v>307</v>
      </c>
      <c r="B1580" s="844" t="s">
        <v>528</v>
      </c>
      <c r="C1580" s="747">
        <f>VLOOKUP(B1577,'CNKT '!$D$113:$AA$178,11,0)</f>
        <v>24</v>
      </c>
      <c r="D1580" s="698">
        <f>46.1*$B$2</f>
        <v>30833.524000000001</v>
      </c>
      <c r="E1580" s="695">
        <f t="shared" si="183"/>
        <v>740004.576</v>
      </c>
      <c r="F1580" s="750"/>
      <c r="G1580" s="693" t="s">
        <v>307</v>
      </c>
      <c r="H1580" s="844" t="s">
        <v>528</v>
      </c>
      <c r="I1580" s="747">
        <f>VLOOKUP(H1577,'CNKT '!$D$113:$AA$178,11,0)</f>
        <v>24</v>
      </c>
      <c r="J1580" s="698">
        <f>46.1*$B$2</f>
        <v>30833.524000000001</v>
      </c>
      <c r="K1580" s="695">
        <f t="shared" si="184"/>
        <v>740004.576</v>
      </c>
      <c r="L1580" s="690"/>
    </row>
    <row r="1581" spans="1:12" s="27" customFormat="1" ht="17.25" customHeight="1">
      <c r="A1581" s="693" t="s">
        <v>399</v>
      </c>
      <c r="B1581" s="844" t="s">
        <v>529</v>
      </c>
      <c r="C1581" s="747">
        <f>VLOOKUP(B1577,'CNKT '!$D$113:$AA$178,12,0)</f>
        <v>5</v>
      </c>
      <c r="D1581" s="697">
        <f>76.9*$B$2</f>
        <v>51433.796000000009</v>
      </c>
      <c r="E1581" s="695">
        <f t="shared" si="183"/>
        <v>257168.98000000004</v>
      </c>
      <c r="F1581" s="750"/>
      <c r="G1581" s="693" t="s">
        <v>399</v>
      </c>
      <c r="H1581" s="844" t="s">
        <v>529</v>
      </c>
      <c r="I1581" s="747">
        <f>VLOOKUP(H1577,'CNKT '!$D$113:$AA$178,12,0)</f>
        <v>5</v>
      </c>
      <c r="J1581" s="697">
        <f>76.9*$B$2</f>
        <v>51433.796000000009</v>
      </c>
      <c r="K1581" s="695">
        <f t="shared" si="184"/>
        <v>257168.98000000004</v>
      </c>
      <c r="L1581" s="690"/>
    </row>
    <row r="1582" spans="1:12" s="27" customFormat="1" ht="17.25" customHeight="1">
      <c r="A1582" s="693" t="s">
        <v>78</v>
      </c>
      <c r="B1582" s="844" t="s">
        <v>530</v>
      </c>
      <c r="C1582" s="747">
        <f>VLOOKUP(B1577,'CNKT '!$D$113:$AA$178,8,0)</f>
        <v>1308.6187014404413</v>
      </c>
      <c r="D1582" s="697">
        <f>IF(C1578="A",6.1,IF(C1578="B",5.8,IF(C1578="C",5.5,IF(C1578="C.",5.5,IF(C1578="D",5.2)))))*$B$2</f>
        <v>0</v>
      </c>
      <c r="E1582" s="695">
        <f t="shared" si="183"/>
        <v>0</v>
      </c>
      <c r="F1582" s="750"/>
      <c r="G1582" s="693" t="s">
        <v>78</v>
      </c>
      <c r="H1582" s="844" t="s">
        <v>530</v>
      </c>
      <c r="I1582" s="747">
        <f>VLOOKUP(H1577,'CNKT '!$D$113:$AA$178,8,0)</f>
        <v>1066.1963943634364</v>
      </c>
      <c r="J1582" s="697">
        <f>IF(I1578="A",6.1,IF(I1578="B",5.8,IF(I1578="C",5.5,IF(I1578="C.",5.5,IF(I1578="D",5.2)))))*$B$2</f>
        <v>0</v>
      </c>
      <c r="K1582" s="695">
        <f t="shared" si="184"/>
        <v>0</v>
      </c>
      <c r="L1582" s="690"/>
    </row>
    <row r="1583" spans="1:12" s="27" customFormat="1" ht="17.25" customHeight="1">
      <c r="A1583" s="693" t="s">
        <v>493</v>
      </c>
      <c r="B1583" s="844" t="s">
        <v>531</v>
      </c>
      <c r="C1583" s="747">
        <f>VLOOKUP(B1577,'CNKT '!$D$99:$AA$178,13,0)</f>
        <v>0</v>
      </c>
      <c r="D1583" s="698">
        <f>92.2*$B$2</f>
        <v>61667.048000000003</v>
      </c>
      <c r="E1583" s="695">
        <f t="shared" si="183"/>
        <v>0</v>
      </c>
      <c r="F1583" s="750"/>
      <c r="G1583" s="693" t="s">
        <v>493</v>
      </c>
      <c r="H1583" s="844" t="s">
        <v>531</v>
      </c>
      <c r="I1583" s="747">
        <f>VLOOKUP(H1577,'CNKT '!$D$99:$AA$178,13,0)</f>
        <v>0</v>
      </c>
      <c r="J1583" s="698">
        <f>92.2*$B$2</f>
        <v>61667.048000000003</v>
      </c>
      <c r="K1583" s="695">
        <f t="shared" si="184"/>
        <v>0</v>
      </c>
      <c r="L1583" s="690"/>
    </row>
    <row r="1584" spans="1:12" s="27" customFormat="1" ht="17.25" customHeight="1">
      <c r="A1584" s="693" t="s">
        <v>448</v>
      </c>
      <c r="B1584" s="844" t="s">
        <v>496</v>
      </c>
      <c r="C1584" s="747">
        <f>VLOOKUP(B1577,'CNKT '!$D$113:$AA$178,14,0)</f>
        <v>0</v>
      </c>
      <c r="D1584" s="697">
        <f>153.6*$B$2</f>
        <v>102733.82400000001</v>
      </c>
      <c r="E1584" s="695">
        <f t="shared" si="183"/>
        <v>0</v>
      </c>
      <c r="F1584" s="750"/>
      <c r="G1584" s="693" t="s">
        <v>448</v>
      </c>
      <c r="H1584" s="844" t="s">
        <v>496</v>
      </c>
      <c r="I1584" s="747">
        <f>VLOOKUP(H1577,'CNKT '!$D$113:$AA$178,14,0)</f>
        <v>0</v>
      </c>
      <c r="J1584" s="697">
        <f>153.6*$B$2</f>
        <v>102733.82400000001</v>
      </c>
      <c r="K1584" s="695">
        <f t="shared" si="184"/>
        <v>0</v>
      </c>
      <c r="L1584" s="690"/>
    </row>
    <row r="1585" spans="1:12" s="27" customFormat="1" ht="17.25" customHeight="1">
      <c r="A1585" s="693" t="s">
        <v>453</v>
      </c>
      <c r="B1585" s="844" t="s">
        <v>497</v>
      </c>
      <c r="C1585" s="747">
        <f>VLOOKUP(B1577,'CNKT '!$D$114:$AA$178,18,0)</f>
        <v>0</v>
      </c>
      <c r="D1585" s="697">
        <v>10000</v>
      </c>
      <c r="E1585" s="695">
        <f>C1585*D1585</f>
        <v>0</v>
      </c>
      <c r="F1585" s="750"/>
      <c r="G1585" s="693" t="s">
        <v>453</v>
      </c>
      <c r="H1585" s="844" t="s">
        <v>497</v>
      </c>
      <c r="I1585" s="747">
        <f>VLOOKUP(H1577,'CNKT '!$D$114:$AA$178,18,0)</f>
        <v>0</v>
      </c>
      <c r="J1585" s="697">
        <v>10000</v>
      </c>
      <c r="K1585" s="695">
        <f>I1585*J1585</f>
        <v>0</v>
      </c>
      <c r="L1585" s="690"/>
    </row>
    <row r="1586" spans="1:12" s="27" customFormat="1" ht="17.25" customHeight="1">
      <c r="A1586" s="693" t="s">
        <v>453</v>
      </c>
      <c r="B1586" s="844" t="s">
        <v>497</v>
      </c>
      <c r="C1586" s="747">
        <f>VLOOKUP(B1577,'CNKT '!$D$114:$AA$178,19,0)</f>
        <v>0</v>
      </c>
      <c r="D1586" s="697">
        <v>20000</v>
      </c>
      <c r="E1586" s="695">
        <f>C1586*D1586</f>
        <v>0</v>
      </c>
      <c r="F1586" s="750"/>
      <c r="G1586" s="693" t="s">
        <v>453</v>
      </c>
      <c r="H1586" s="844" t="s">
        <v>497</v>
      </c>
      <c r="I1586" s="747">
        <f>VLOOKUP(H1577,'CNKT '!$D$114:$AA$178,19,0)</f>
        <v>0</v>
      </c>
      <c r="J1586" s="697">
        <v>20000</v>
      </c>
      <c r="K1586" s="695">
        <f>I1586*J1586</f>
        <v>0</v>
      </c>
      <c r="L1586" s="690"/>
    </row>
    <row r="1587" spans="1:12" s="27" customFormat="1" ht="17.25" customHeight="1">
      <c r="A1587" s="693" t="s">
        <v>512</v>
      </c>
      <c r="B1587" s="844" t="s">
        <v>513</v>
      </c>
      <c r="C1587" s="747"/>
      <c r="D1587" s="697"/>
      <c r="E1587" s="695"/>
      <c r="F1587" s="750"/>
      <c r="G1587" s="693" t="s">
        <v>512</v>
      </c>
      <c r="H1587" s="844" t="s">
        <v>513</v>
      </c>
      <c r="I1587" s="747"/>
      <c r="J1587" s="697"/>
      <c r="K1587" s="695"/>
      <c r="L1587" s="690"/>
    </row>
    <row r="1588" spans="1:12" s="27" customFormat="1" ht="17.25" customHeight="1">
      <c r="A1588" s="699" t="s">
        <v>79</v>
      </c>
      <c r="B1588" s="845" t="s">
        <v>532</v>
      </c>
      <c r="C1588" s="700"/>
      <c r="D1588" s="701"/>
      <c r="E1588" s="700"/>
      <c r="F1588" s="750"/>
      <c r="G1588" s="699" t="s">
        <v>79</v>
      </c>
      <c r="H1588" s="845" t="s">
        <v>532</v>
      </c>
      <c r="I1588" s="700"/>
      <c r="J1588" s="701"/>
      <c r="K1588" s="700"/>
      <c r="L1588" s="690"/>
    </row>
    <row r="1589" spans="1:12" s="27" customFormat="1" ht="17.25" customHeight="1">
      <c r="A1589" s="702" t="s">
        <v>80</v>
      </c>
      <c r="B1589" s="846" t="s">
        <v>533</v>
      </c>
      <c r="C1589" s="700"/>
      <c r="D1589" s="700"/>
      <c r="E1589" s="700"/>
      <c r="F1589" s="750"/>
      <c r="G1589" s="702" t="s">
        <v>80</v>
      </c>
      <c r="H1589" s="846" t="s">
        <v>533</v>
      </c>
      <c r="I1589" s="700"/>
      <c r="J1589" s="700"/>
      <c r="K1589" s="700"/>
      <c r="L1589" s="690"/>
    </row>
    <row r="1590" spans="1:12" s="27" customFormat="1" ht="17.25" customHeight="1">
      <c r="A1590" s="702" t="s">
        <v>81</v>
      </c>
      <c r="B1590" s="847" t="s">
        <v>534</v>
      </c>
      <c r="C1590" s="700"/>
      <c r="D1590" s="700"/>
      <c r="E1590" s="695">
        <f>SUM(E1589)</f>
        <v>0</v>
      </c>
      <c r="F1590" s="750"/>
      <c r="G1590" s="702" t="s">
        <v>81</v>
      </c>
      <c r="H1590" s="847" t="s">
        <v>534</v>
      </c>
      <c r="I1590" s="700"/>
      <c r="J1590" s="700"/>
      <c r="K1590" s="695">
        <f>SUM(K1589)</f>
        <v>0</v>
      </c>
      <c r="L1590" s="690"/>
    </row>
    <row r="1591" spans="1:12" s="27" customFormat="1" ht="17.25" customHeight="1">
      <c r="A1591" s="704" t="s">
        <v>82</v>
      </c>
      <c r="B1591" s="848" t="s">
        <v>438</v>
      </c>
      <c r="C1591" s="705"/>
      <c r="D1591" s="705"/>
      <c r="E1591" s="705">
        <f>(E1579+E1580+E1581+E1582+E1583+E1584+E1585+E1586+E1587)-E1590</f>
        <v>997173.5560000001</v>
      </c>
      <c r="F1591" s="750"/>
      <c r="G1591" s="704" t="s">
        <v>82</v>
      </c>
      <c r="H1591" s="848" t="s">
        <v>438</v>
      </c>
      <c r="I1591" s="705"/>
      <c r="J1591" s="705"/>
      <c r="K1591" s="705">
        <f>(K1579+K1580+K1581+K1582+K1583+K1584+K1585+K1586+K1587)-K1590</f>
        <v>997173.5560000001</v>
      </c>
      <c r="L1591" s="707">
        <f>E1591+K1591</f>
        <v>1994347.1120000002</v>
      </c>
    </row>
    <row r="1592" spans="1:12" s="27" customFormat="1" ht="17.25" customHeight="1">
      <c r="A1592" s="763"/>
      <c r="B1592" s="763"/>
      <c r="C1592" s="763"/>
      <c r="D1592" s="763"/>
      <c r="E1592" s="763"/>
      <c r="F1592" s="763"/>
      <c r="G1592" s="763"/>
      <c r="H1592" s="763"/>
      <c r="I1592" s="763"/>
      <c r="J1592" s="763"/>
      <c r="K1592" s="763"/>
      <c r="L1592" s="690"/>
    </row>
    <row r="1593" spans="1:12" s="27" customFormat="1" ht="17.25" customHeight="1">
      <c r="A1593" s="759" t="str">
        <f>A1576</f>
        <v>LƯƠNG THÁNG 01/2025</v>
      </c>
      <c r="B1593" s="763"/>
      <c r="C1593" s="763"/>
      <c r="D1593" s="763"/>
      <c r="E1593" s="769">
        <f>VLOOKUP(B1594,'CNKT '!$D$114:$AD$178,26,0)</f>
        <v>0</v>
      </c>
      <c r="F1593" s="750"/>
      <c r="G1593" s="759" t="str">
        <f>A1593</f>
        <v>LƯƠNG THÁNG 01/2025</v>
      </c>
      <c r="H1593" s="763"/>
      <c r="I1593" s="763"/>
      <c r="J1593" s="766"/>
      <c r="K1593" s="769">
        <f>VLOOKUP(H1594,'CNKT '!$D$114:$AD$178,26,0)</f>
        <v>0</v>
      </c>
      <c r="L1593" s="690"/>
    </row>
    <row r="1594" spans="1:12" s="27" customFormat="1" ht="17.25" customHeight="1">
      <c r="A1594" s="709" t="s">
        <v>15</v>
      </c>
      <c r="B1594" s="840" t="str">
        <f>'CNKT '!D126</f>
        <v>T. Na</v>
      </c>
      <c r="C1594" s="694"/>
      <c r="D1594" s="840" t="s">
        <v>396</v>
      </c>
      <c r="E1594" s="840" t="s">
        <v>18</v>
      </c>
      <c r="F1594" s="750"/>
      <c r="G1594" s="709" t="s">
        <v>15</v>
      </c>
      <c r="H1594" s="840" t="str">
        <f>'CNKT '!D127</f>
        <v>T. Khăm Mặn</v>
      </c>
      <c r="I1594" s="694"/>
      <c r="J1594" s="840" t="s">
        <v>396</v>
      </c>
      <c r="K1594" s="840" t="s">
        <v>18</v>
      </c>
      <c r="L1594" s="690"/>
    </row>
    <row r="1595" spans="1:12" s="27" customFormat="1" ht="17.25" customHeight="1">
      <c r="A1595" s="693" t="s">
        <v>397</v>
      </c>
      <c r="B1595" s="842" t="s">
        <v>527</v>
      </c>
      <c r="C1595" s="694">
        <f>VLOOKUP(B1594,'BTH mủ tạp'!$D$98:$AN$160,36,0)</f>
        <v>965.07166055417144</v>
      </c>
      <c r="D1595" s="695"/>
      <c r="E1595" s="695"/>
      <c r="F1595" s="750"/>
      <c r="G1595" s="693" t="s">
        <v>397</v>
      </c>
      <c r="H1595" s="842" t="s">
        <v>527</v>
      </c>
      <c r="I1595" s="694">
        <f>VLOOKUP(H1594,'BTH mủ tạp'!$D$98:$AN$160,36,0)</f>
        <v>1726.5085831636588</v>
      </c>
      <c r="J1595" s="695"/>
      <c r="K1595" s="695"/>
      <c r="L1595" s="690"/>
    </row>
    <row r="1596" spans="1:12" s="27" customFormat="1" ht="17.25" customHeight="1">
      <c r="A1596" s="693" t="s">
        <v>77</v>
      </c>
      <c r="B1596" s="843" t="s">
        <v>432</v>
      </c>
      <c r="C1596" s="696">
        <f>VLOOKUP(B1594,'CNKT '!$D$113:$AA$178,3,0)</f>
        <v>0</v>
      </c>
      <c r="D1596" s="697">
        <v>25000</v>
      </c>
      <c r="E1596" s="695">
        <f t="shared" ref="E1596:E1601" si="185">C1596*D1596</f>
        <v>0</v>
      </c>
      <c r="F1596" s="750"/>
      <c r="G1596" s="693" t="s">
        <v>77</v>
      </c>
      <c r="H1596" s="843" t="s">
        <v>432</v>
      </c>
      <c r="I1596" s="696">
        <f>VLOOKUP(H1594,'CNKT '!$D$113:$AA$178,3,0)</f>
        <v>0</v>
      </c>
      <c r="J1596" s="697">
        <v>25000</v>
      </c>
      <c r="K1596" s="695">
        <f t="shared" ref="K1596:K1601" si="186">I1596*J1596</f>
        <v>0</v>
      </c>
      <c r="L1596" s="690"/>
    </row>
    <row r="1597" spans="1:12" s="27" customFormat="1" ht="17.25" customHeight="1">
      <c r="A1597" s="693" t="s">
        <v>307</v>
      </c>
      <c r="B1597" s="844" t="s">
        <v>528</v>
      </c>
      <c r="C1597" s="747">
        <f>VLOOKUP(B1594,'CNKT '!$D$113:$AA$178,11,0)</f>
        <v>21</v>
      </c>
      <c r="D1597" s="698">
        <f>46.1*$B$2</f>
        <v>30833.524000000001</v>
      </c>
      <c r="E1597" s="695">
        <f t="shared" si="185"/>
        <v>647504.00400000007</v>
      </c>
      <c r="F1597" s="750"/>
      <c r="G1597" s="693" t="s">
        <v>307</v>
      </c>
      <c r="H1597" s="844" t="s">
        <v>528</v>
      </c>
      <c r="I1597" s="747">
        <f>VLOOKUP(H1594,'CNKT '!$D$113:$AA$178,11,0)</f>
        <v>24</v>
      </c>
      <c r="J1597" s="698">
        <f>46.1*$B$2</f>
        <v>30833.524000000001</v>
      </c>
      <c r="K1597" s="695">
        <f t="shared" si="186"/>
        <v>740004.576</v>
      </c>
      <c r="L1597" s="690"/>
    </row>
    <row r="1598" spans="1:12" s="27" customFormat="1" ht="17.25" customHeight="1">
      <c r="A1598" s="693" t="s">
        <v>399</v>
      </c>
      <c r="B1598" s="844" t="s">
        <v>529</v>
      </c>
      <c r="C1598" s="747">
        <f>VLOOKUP(B1594,'CNKT '!$D$113:$AA$178,12,0)</f>
        <v>4</v>
      </c>
      <c r="D1598" s="697">
        <f>76.9*$B$2</f>
        <v>51433.796000000009</v>
      </c>
      <c r="E1598" s="695">
        <f t="shared" si="185"/>
        <v>205735.18400000004</v>
      </c>
      <c r="F1598" s="750"/>
      <c r="G1598" s="693" t="s">
        <v>399</v>
      </c>
      <c r="H1598" s="844" t="s">
        <v>529</v>
      </c>
      <c r="I1598" s="747">
        <f>VLOOKUP(H1594,'CNKT '!$D$113:$AA$178,12,0)</f>
        <v>5</v>
      </c>
      <c r="J1598" s="697">
        <f>76.9*$B$2</f>
        <v>51433.796000000009</v>
      </c>
      <c r="K1598" s="695">
        <f t="shared" si="186"/>
        <v>257168.98000000004</v>
      </c>
      <c r="L1598" s="690"/>
    </row>
    <row r="1599" spans="1:12" s="27" customFormat="1" ht="17.25" customHeight="1">
      <c r="A1599" s="693" t="s">
        <v>78</v>
      </c>
      <c r="B1599" s="844" t="s">
        <v>530</v>
      </c>
      <c r="C1599" s="747">
        <f>VLOOKUP(B1594,'CNKT '!$D$113:$AA$178,8,0)</f>
        <v>965.07166055417167</v>
      </c>
      <c r="D1599" s="697">
        <f>IF(C1595="A",6.1,IF(C1595="B",5.8,IF(C1595="C",5.5,IF(C1595="C.",5.5,IF(C1595="D",5.2)))))*$B$2</f>
        <v>0</v>
      </c>
      <c r="E1599" s="695">
        <f t="shared" si="185"/>
        <v>0</v>
      </c>
      <c r="F1599" s="750"/>
      <c r="G1599" s="693" t="s">
        <v>78</v>
      </c>
      <c r="H1599" s="844" t="s">
        <v>530</v>
      </c>
      <c r="I1599" s="747">
        <f>VLOOKUP(H1594,'CNKT '!$D$113:$AA$178,8,0)</f>
        <v>1726.5085831636593</v>
      </c>
      <c r="J1599" s="697">
        <f>IF(I1595="A",6.1,IF(I1595="B",5.8,IF(I1595="C",5.5,IF(I1595="C.",5.5,IF(I1595="D",5.2)))))*$B$2</f>
        <v>0</v>
      </c>
      <c r="K1599" s="695">
        <f t="shared" si="186"/>
        <v>0</v>
      </c>
      <c r="L1599" s="690"/>
    </row>
    <row r="1600" spans="1:12" s="27" customFormat="1" ht="17.25" customHeight="1">
      <c r="A1600" s="693" t="s">
        <v>493</v>
      </c>
      <c r="B1600" s="844" t="s">
        <v>531</v>
      </c>
      <c r="C1600" s="747">
        <f>VLOOKUP(B1594,'CNKT '!$D$99:$AA$178,13,0)</f>
        <v>0</v>
      </c>
      <c r="D1600" s="698">
        <f>92.2*$B$2</f>
        <v>61667.048000000003</v>
      </c>
      <c r="E1600" s="695">
        <f t="shared" si="185"/>
        <v>0</v>
      </c>
      <c r="F1600" s="750"/>
      <c r="G1600" s="693" t="s">
        <v>493</v>
      </c>
      <c r="H1600" s="844" t="s">
        <v>531</v>
      </c>
      <c r="I1600" s="747">
        <f>VLOOKUP(H1594,'CNKT '!$D$99:$AA$178,13,0)</f>
        <v>0</v>
      </c>
      <c r="J1600" s="698">
        <f>92.2*$B$2</f>
        <v>61667.048000000003</v>
      </c>
      <c r="K1600" s="695">
        <f t="shared" si="186"/>
        <v>0</v>
      </c>
      <c r="L1600" s="690"/>
    </row>
    <row r="1601" spans="1:12" s="27" customFormat="1" ht="17.25" customHeight="1">
      <c r="A1601" s="693" t="s">
        <v>448</v>
      </c>
      <c r="B1601" s="844" t="s">
        <v>496</v>
      </c>
      <c r="C1601" s="747">
        <f>VLOOKUP(B1594,'CNKT '!$D$113:$AA$178,14,0)</f>
        <v>0</v>
      </c>
      <c r="D1601" s="697">
        <f>153.6*$B$2</f>
        <v>102733.82400000001</v>
      </c>
      <c r="E1601" s="695">
        <f t="shared" si="185"/>
        <v>0</v>
      </c>
      <c r="F1601" s="750"/>
      <c r="G1601" s="693" t="s">
        <v>448</v>
      </c>
      <c r="H1601" s="844" t="s">
        <v>496</v>
      </c>
      <c r="I1601" s="747">
        <f>VLOOKUP(H1594,'CNKT '!$D$113:$AA$178,14,0)</f>
        <v>0</v>
      </c>
      <c r="J1601" s="697">
        <f>153.6*$B$2</f>
        <v>102733.82400000001</v>
      </c>
      <c r="K1601" s="695">
        <f t="shared" si="186"/>
        <v>0</v>
      </c>
      <c r="L1601" s="690"/>
    </row>
    <row r="1602" spans="1:12" s="27" customFormat="1" ht="17.25" customHeight="1">
      <c r="A1602" s="693" t="s">
        <v>453</v>
      </c>
      <c r="B1602" s="844" t="s">
        <v>497</v>
      </c>
      <c r="C1602" s="747">
        <f>VLOOKUP(B1594,'CNKT '!$D$114:$AA$178,18,0)</f>
        <v>0</v>
      </c>
      <c r="D1602" s="697">
        <v>10000</v>
      </c>
      <c r="E1602" s="695">
        <f>C1602*D1602</f>
        <v>0</v>
      </c>
      <c r="F1602" s="750"/>
      <c r="G1602" s="693" t="s">
        <v>453</v>
      </c>
      <c r="H1602" s="844" t="s">
        <v>497</v>
      </c>
      <c r="I1602" s="747">
        <f>VLOOKUP(H1594,'CNKT '!$D$114:$AA$178,18,0)</f>
        <v>0</v>
      </c>
      <c r="J1602" s="697">
        <v>10000</v>
      </c>
      <c r="K1602" s="695">
        <f>I1602*J1602</f>
        <v>0</v>
      </c>
      <c r="L1602" s="690"/>
    </row>
    <row r="1603" spans="1:12" s="27" customFormat="1" ht="17.25" customHeight="1">
      <c r="A1603" s="693" t="s">
        <v>453</v>
      </c>
      <c r="B1603" s="844" t="s">
        <v>497</v>
      </c>
      <c r="C1603" s="747">
        <f>VLOOKUP(B1594,'CNKT '!$D$114:$AA$178,19,0)</f>
        <v>0</v>
      </c>
      <c r="D1603" s="697">
        <v>20000</v>
      </c>
      <c r="E1603" s="695">
        <f>C1603*D1603</f>
        <v>0</v>
      </c>
      <c r="F1603" s="750"/>
      <c r="G1603" s="693" t="s">
        <v>453</v>
      </c>
      <c r="H1603" s="844" t="s">
        <v>497</v>
      </c>
      <c r="I1603" s="747">
        <f>VLOOKUP(H1594,'CNKT '!$D$114:$AA$178,19,0)</f>
        <v>0</v>
      </c>
      <c r="J1603" s="697">
        <v>20000</v>
      </c>
      <c r="K1603" s="695">
        <f>I1603*J1603</f>
        <v>0</v>
      </c>
      <c r="L1603" s="690"/>
    </row>
    <row r="1604" spans="1:12" s="27" customFormat="1" ht="17.25" customHeight="1">
      <c r="A1604" s="693" t="s">
        <v>512</v>
      </c>
      <c r="B1604" s="844" t="s">
        <v>513</v>
      </c>
      <c r="C1604" s="747"/>
      <c r="D1604" s="697"/>
      <c r="E1604" s="695"/>
      <c r="F1604" s="750"/>
      <c r="G1604" s="693" t="s">
        <v>512</v>
      </c>
      <c r="H1604" s="844" t="s">
        <v>513</v>
      </c>
      <c r="I1604" s="747"/>
      <c r="J1604" s="697"/>
      <c r="K1604" s="695"/>
      <c r="L1604" s="690"/>
    </row>
    <row r="1605" spans="1:12" s="27" customFormat="1" ht="17.25" customHeight="1">
      <c r="A1605" s="699" t="s">
        <v>79</v>
      </c>
      <c r="B1605" s="845" t="s">
        <v>532</v>
      </c>
      <c r="C1605" s="700"/>
      <c r="D1605" s="701"/>
      <c r="E1605" s="700"/>
      <c r="F1605" s="750"/>
      <c r="G1605" s="699" t="s">
        <v>79</v>
      </c>
      <c r="H1605" s="845" t="s">
        <v>532</v>
      </c>
      <c r="I1605" s="700"/>
      <c r="J1605" s="701"/>
      <c r="K1605" s="700"/>
      <c r="L1605" s="690"/>
    </row>
    <row r="1606" spans="1:12" s="27" customFormat="1" ht="17.25" customHeight="1">
      <c r="A1606" s="702" t="s">
        <v>80</v>
      </c>
      <c r="B1606" s="846" t="s">
        <v>533</v>
      </c>
      <c r="C1606" s="700"/>
      <c r="D1606" s="700"/>
      <c r="E1606" s="700"/>
      <c r="F1606" s="750"/>
      <c r="G1606" s="702" t="s">
        <v>80</v>
      </c>
      <c r="H1606" s="846" t="s">
        <v>533</v>
      </c>
      <c r="I1606" s="700"/>
      <c r="J1606" s="700"/>
      <c r="K1606" s="700"/>
      <c r="L1606" s="690"/>
    </row>
    <row r="1607" spans="1:12" s="27" customFormat="1" ht="17.25" customHeight="1">
      <c r="A1607" s="702" t="s">
        <v>81</v>
      </c>
      <c r="B1607" s="847" t="s">
        <v>534</v>
      </c>
      <c r="C1607" s="700"/>
      <c r="D1607" s="700"/>
      <c r="E1607" s="695">
        <f>SUM(E1606)</f>
        <v>0</v>
      </c>
      <c r="F1607" s="738"/>
      <c r="G1607" s="702" t="s">
        <v>81</v>
      </c>
      <c r="H1607" s="847" t="s">
        <v>534</v>
      </c>
      <c r="I1607" s="700"/>
      <c r="J1607" s="700"/>
      <c r="K1607" s="695">
        <f>SUM(K1606)</f>
        <v>0</v>
      </c>
      <c r="L1607" s="690"/>
    </row>
    <row r="1608" spans="1:12" s="27" customFormat="1" ht="17.25" customHeight="1">
      <c r="A1608" s="704" t="s">
        <v>82</v>
      </c>
      <c r="B1608" s="848" t="s">
        <v>438</v>
      </c>
      <c r="C1608" s="705"/>
      <c r="D1608" s="705"/>
      <c r="E1608" s="705">
        <f>(E1596+E1597+E1598+E1599+E1600+E1601+E1602+E1603+E1604)-E1607</f>
        <v>853239.18800000008</v>
      </c>
      <c r="F1608" s="738"/>
      <c r="G1608" s="704" t="s">
        <v>82</v>
      </c>
      <c r="H1608" s="848" t="s">
        <v>438</v>
      </c>
      <c r="I1608" s="705"/>
      <c r="J1608" s="705"/>
      <c r="K1608" s="705">
        <f>(K1596+K1597+K1598+K1599+K1600+K1601+K1602+K1603+K1604)-K1607</f>
        <v>997173.5560000001</v>
      </c>
      <c r="L1608" s="707">
        <f>E1608+K1608</f>
        <v>1850412.7440000002</v>
      </c>
    </row>
    <row r="1609" spans="1:12" s="27" customFormat="1" ht="9.75" customHeight="1">
      <c r="A1609" s="763"/>
      <c r="B1609" s="763"/>
      <c r="C1609" s="763"/>
      <c r="D1609" s="763"/>
      <c r="E1609" s="763"/>
      <c r="F1609" s="763"/>
      <c r="G1609" s="763"/>
      <c r="H1609" s="763"/>
      <c r="I1609" s="763"/>
      <c r="J1609" s="763"/>
      <c r="K1609" s="763"/>
      <c r="L1609" s="690"/>
    </row>
    <row r="1610" spans="1:12" s="27" customFormat="1" ht="17.25" customHeight="1">
      <c r="A1610" s="759" t="str">
        <f>A1593</f>
        <v>LƯƠNG THÁNG 01/2025</v>
      </c>
      <c r="B1610" s="763"/>
      <c r="C1610" s="763"/>
      <c r="D1610" s="763"/>
      <c r="E1610" s="769">
        <f>VLOOKUP(B1611,'CNKT '!$D$114:$AD$178,26,0)</f>
        <v>0</v>
      </c>
      <c r="F1610" s="750"/>
      <c r="G1610" s="759" t="str">
        <f>A1610</f>
        <v>LƯƠNG THÁNG 01/2025</v>
      </c>
      <c r="H1610" s="763"/>
      <c r="I1610" s="763"/>
      <c r="J1610" s="766"/>
      <c r="K1610" s="769">
        <f>VLOOKUP(H1611,'CNKT '!$D$114:$AD$178,26,0)</f>
        <v>0</v>
      </c>
      <c r="L1610" s="690"/>
    </row>
    <row r="1611" spans="1:12" s="27" customFormat="1" ht="17.25" customHeight="1">
      <c r="A1611" s="709" t="s">
        <v>15</v>
      </c>
      <c r="B1611" s="840" t="str">
        <f>'CNKT '!D128</f>
        <v>T . In Tong</v>
      </c>
      <c r="C1611" s="694"/>
      <c r="D1611" s="840" t="s">
        <v>396</v>
      </c>
      <c r="E1611" s="840" t="s">
        <v>18</v>
      </c>
      <c r="F1611" s="750"/>
      <c r="G1611" s="709" t="s">
        <v>15</v>
      </c>
      <c r="H1611" s="840" t="str">
        <f>'CNKT '!D129</f>
        <v>T. Lốp</v>
      </c>
      <c r="I1611" s="694"/>
      <c r="J1611" s="840" t="s">
        <v>396</v>
      </c>
      <c r="K1611" s="840" t="s">
        <v>18</v>
      </c>
      <c r="L1611" s="690"/>
    </row>
    <row r="1612" spans="1:12" s="27" customFormat="1" ht="17.25" customHeight="1">
      <c r="A1612" s="693" t="s">
        <v>397</v>
      </c>
      <c r="B1612" s="842" t="s">
        <v>527</v>
      </c>
      <c r="C1612" s="694">
        <f>VLOOKUP(B1611,'BTH mủ tạp'!$D$98:$AN$160,36,0)</f>
        <v>1261.9812671265793</v>
      </c>
      <c r="D1612" s="695"/>
      <c r="E1612" s="695"/>
      <c r="F1612" s="750"/>
      <c r="G1612" s="693" t="s">
        <v>397</v>
      </c>
      <c r="H1612" s="842" t="s">
        <v>527</v>
      </c>
      <c r="I1612" s="694">
        <f>VLOOKUP(H1611,'BTH mủ tạp'!$D$98:$AN$160,36,0)</f>
        <v>1129.9188293665347</v>
      </c>
      <c r="J1612" s="695"/>
      <c r="K1612" s="695"/>
      <c r="L1612" s="690"/>
    </row>
    <row r="1613" spans="1:12" s="27" customFormat="1" ht="17.25" customHeight="1">
      <c r="A1613" s="693" t="s">
        <v>77</v>
      </c>
      <c r="B1613" s="843" t="s">
        <v>432</v>
      </c>
      <c r="C1613" s="696">
        <f>VLOOKUP(B1611,'CNKT '!$D$113:$AA$178,3,0)</f>
        <v>0</v>
      </c>
      <c r="D1613" s="697">
        <v>25000</v>
      </c>
      <c r="E1613" s="695">
        <f t="shared" ref="E1613:E1618" si="187">C1613*D1613</f>
        <v>0</v>
      </c>
      <c r="F1613" s="750"/>
      <c r="G1613" s="693" t="s">
        <v>77</v>
      </c>
      <c r="H1613" s="843" t="s">
        <v>432</v>
      </c>
      <c r="I1613" s="696">
        <f>VLOOKUP(H1611,'CNKT '!$D$113:$AA$178,3,0)</f>
        <v>0</v>
      </c>
      <c r="J1613" s="697">
        <v>25000</v>
      </c>
      <c r="K1613" s="695">
        <f t="shared" ref="K1613:K1618" si="188">I1613*J1613</f>
        <v>0</v>
      </c>
      <c r="L1613" s="690"/>
    </row>
    <row r="1614" spans="1:12" s="27" customFormat="1" ht="17.25" customHeight="1">
      <c r="A1614" s="693" t="s">
        <v>307</v>
      </c>
      <c r="B1614" s="844" t="s">
        <v>528</v>
      </c>
      <c r="C1614" s="747">
        <f>VLOOKUP(B1611,'CNKT '!$D$113:$AA$178,11,0)</f>
        <v>24</v>
      </c>
      <c r="D1614" s="698">
        <f>46.1*$B$2</f>
        <v>30833.524000000001</v>
      </c>
      <c r="E1614" s="695">
        <f t="shared" si="187"/>
        <v>740004.576</v>
      </c>
      <c r="F1614" s="750"/>
      <c r="G1614" s="693" t="s">
        <v>307</v>
      </c>
      <c r="H1614" s="844" t="s">
        <v>528</v>
      </c>
      <c r="I1614" s="747">
        <f>VLOOKUP(H1611,'CNKT '!$D$113:$AA$178,11,0)</f>
        <v>22</v>
      </c>
      <c r="J1614" s="698">
        <f>46.1*$B$2</f>
        <v>30833.524000000001</v>
      </c>
      <c r="K1614" s="695">
        <f t="shared" si="188"/>
        <v>678337.52800000005</v>
      </c>
      <c r="L1614" s="690"/>
    </row>
    <row r="1615" spans="1:12" s="27" customFormat="1" ht="17.25" customHeight="1">
      <c r="A1615" s="693" t="s">
        <v>399</v>
      </c>
      <c r="B1615" s="844" t="s">
        <v>529</v>
      </c>
      <c r="C1615" s="747">
        <f>VLOOKUP(B1611,'CNKT '!$D$113:$AA$178,12,0)</f>
        <v>5</v>
      </c>
      <c r="D1615" s="697">
        <f>76.9*$B$2</f>
        <v>51433.796000000009</v>
      </c>
      <c r="E1615" s="695">
        <f t="shared" si="187"/>
        <v>257168.98000000004</v>
      </c>
      <c r="F1615" s="750"/>
      <c r="G1615" s="693" t="s">
        <v>399</v>
      </c>
      <c r="H1615" s="844" t="s">
        <v>529</v>
      </c>
      <c r="I1615" s="747">
        <f>VLOOKUP(H1611,'CNKT '!$D$113:$AA$178,12,0)</f>
        <v>3</v>
      </c>
      <c r="J1615" s="697">
        <f>76.9*$B$2</f>
        <v>51433.796000000009</v>
      </c>
      <c r="K1615" s="695">
        <f t="shared" si="188"/>
        <v>154301.38800000004</v>
      </c>
      <c r="L1615" s="690"/>
    </row>
    <row r="1616" spans="1:12" s="27" customFormat="1" ht="17.25" customHeight="1">
      <c r="A1616" s="693" t="s">
        <v>78</v>
      </c>
      <c r="B1616" s="844" t="s">
        <v>530</v>
      </c>
      <c r="C1616" s="747">
        <f>VLOOKUP(B1611,'CNKT '!$D$113:$AA$178,8,0)</f>
        <v>1261.9812671265795</v>
      </c>
      <c r="D1616" s="697">
        <f>IF(C1612="A",6.1,IF(C1612="B",5.8,IF(C1612="C",5.5,IF(C1612="C.",5.5,IF(C1612="D",5.2)))))*$B$2</f>
        <v>0</v>
      </c>
      <c r="E1616" s="695">
        <f t="shared" si="187"/>
        <v>0</v>
      </c>
      <c r="F1616" s="750"/>
      <c r="G1616" s="693" t="s">
        <v>78</v>
      </c>
      <c r="H1616" s="844" t="s">
        <v>530</v>
      </c>
      <c r="I1616" s="747">
        <f>VLOOKUP(H1611,'CNKT '!$D$113:$AA$178,8,0)</f>
        <v>1129.918829366535</v>
      </c>
      <c r="J1616" s="697">
        <f>IF(I1612="A",6.1,IF(I1612="B",5.8,IF(I1612="C",5.5,IF(I1612="C.",5.5,IF(I1612="D",5.2)))))*$B$2</f>
        <v>0</v>
      </c>
      <c r="K1616" s="695">
        <f t="shared" si="188"/>
        <v>0</v>
      </c>
      <c r="L1616" s="690"/>
    </row>
    <row r="1617" spans="1:12" s="27" customFormat="1" ht="17.25" customHeight="1">
      <c r="A1617" s="693" t="s">
        <v>493</v>
      </c>
      <c r="B1617" s="844" t="s">
        <v>531</v>
      </c>
      <c r="C1617" s="747">
        <f>VLOOKUP(B1611,'CNKT '!$D$99:$AA$178,13,0)</f>
        <v>0</v>
      </c>
      <c r="D1617" s="698">
        <f>92.2*$B$2</f>
        <v>61667.048000000003</v>
      </c>
      <c r="E1617" s="695">
        <f t="shared" si="187"/>
        <v>0</v>
      </c>
      <c r="F1617" s="750"/>
      <c r="G1617" s="693" t="s">
        <v>493</v>
      </c>
      <c r="H1617" s="844" t="s">
        <v>531</v>
      </c>
      <c r="I1617" s="747">
        <f>VLOOKUP(H1611,'CNKT '!$D$99:$AA$178,13,0)</f>
        <v>0</v>
      </c>
      <c r="J1617" s="698">
        <f>92.2*$B$2</f>
        <v>61667.048000000003</v>
      </c>
      <c r="K1617" s="695">
        <f t="shared" si="188"/>
        <v>0</v>
      </c>
      <c r="L1617" s="690"/>
    </row>
    <row r="1618" spans="1:12" s="27" customFormat="1" ht="17.25" customHeight="1">
      <c r="A1618" s="693" t="s">
        <v>448</v>
      </c>
      <c r="B1618" s="844" t="s">
        <v>496</v>
      </c>
      <c r="C1618" s="747">
        <f>VLOOKUP(B1611,'CNKT '!$D$113:$AA$178,14,0)</f>
        <v>0</v>
      </c>
      <c r="D1618" s="697">
        <f>153.6*$B$2</f>
        <v>102733.82400000001</v>
      </c>
      <c r="E1618" s="695">
        <f t="shared" si="187"/>
        <v>0</v>
      </c>
      <c r="F1618" s="750"/>
      <c r="G1618" s="693" t="s">
        <v>448</v>
      </c>
      <c r="H1618" s="844" t="s">
        <v>496</v>
      </c>
      <c r="I1618" s="747">
        <f>VLOOKUP(H1611,'CNKT '!$D$113:$AA$178,14,0)</f>
        <v>0</v>
      </c>
      <c r="J1618" s="697">
        <f>153.6*$B$2</f>
        <v>102733.82400000001</v>
      </c>
      <c r="K1618" s="695">
        <f t="shared" si="188"/>
        <v>0</v>
      </c>
      <c r="L1618" s="690"/>
    </row>
    <row r="1619" spans="1:12" s="27" customFormat="1" ht="17.25" customHeight="1">
      <c r="A1619" s="693" t="s">
        <v>453</v>
      </c>
      <c r="B1619" s="844" t="s">
        <v>497</v>
      </c>
      <c r="C1619" s="747">
        <f>VLOOKUP(B1611,'CNKT '!$D$114:$AA$178,18,0)</f>
        <v>0</v>
      </c>
      <c r="D1619" s="697">
        <v>10000</v>
      </c>
      <c r="E1619" s="695">
        <f>C1619*D1619</f>
        <v>0</v>
      </c>
      <c r="F1619" s="750"/>
      <c r="G1619" s="693" t="s">
        <v>453</v>
      </c>
      <c r="H1619" s="844" t="s">
        <v>497</v>
      </c>
      <c r="I1619" s="747">
        <f>VLOOKUP(H1611,'CNKT '!$D$114:$AA$178,18,0)</f>
        <v>0</v>
      </c>
      <c r="J1619" s="697">
        <v>10000</v>
      </c>
      <c r="K1619" s="695">
        <f>I1619*J1619</f>
        <v>0</v>
      </c>
      <c r="L1619" s="690"/>
    </row>
    <row r="1620" spans="1:12" s="27" customFormat="1" ht="17.25" customHeight="1">
      <c r="A1620" s="693" t="s">
        <v>453</v>
      </c>
      <c r="B1620" s="844" t="s">
        <v>497</v>
      </c>
      <c r="C1620" s="747">
        <f>VLOOKUP(B1611,'CNKT '!$D$114:$AA$178,19,0)</f>
        <v>0</v>
      </c>
      <c r="D1620" s="697">
        <v>20000</v>
      </c>
      <c r="E1620" s="695">
        <f>C1620*D1620</f>
        <v>0</v>
      </c>
      <c r="F1620" s="750"/>
      <c r="G1620" s="693" t="s">
        <v>453</v>
      </c>
      <c r="H1620" s="844" t="s">
        <v>497</v>
      </c>
      <c r="I1620" s="747">
        <f>VLOOKUP(H1611,'CNKT '!$D$114:$AA$178,19,0)</f>
        <v>0</v>
      </c>
      <c r="J1620" s="697">
        <v>20000</v>
      </c>
      <c r="K1620" s="695">
        <f>I1620*J1620</f>
        <v>0</v>
      </c>
      <c r="L1620" s="690"/>
    </row>
    <row r="1621" spans="1:12" s="27" customFormat="1" ht="17.25" customHeight="1">
      <c r="A1621" s="693" t="s">
        <v>512</v>
      </c>
      <c r="B1621" s="844" t="s">
        <v>513</v>
      </c>
      <c r="C1621" s="747"/>
      <c r="D1621" s="697"/>
      <c r="E1621" s="695"/>
      <c r="F1621" s="750"/>
      <c r="G1621" s="693" t="s">
        <v>512</v>
      </c>
      <c r="H1621" s="844" t="s">
        <v>513</v>
      </c>
      <c r="I1621" s="747"/>
      <c r="J1621" s="697"/>
      <c r="K1621" s="695"/>
      <c r="L1621" s="690"/>
    </row>
    <row r="1622" spans="1:12" s="27" customFormat="1" ht="17.25" customHeight="1">
      <c r="A1622" s="699" t="s">
        <v>79</v>
      </c>
      <c r="B1622" s="845" t="s">
        <v>532</v>
      </c>
      <c r="C1622" s="700"/>
      <c r="D1622" s="701"/>
      <c r="E1622" s="700"/>
      <c r="F1622" s="750"/>
      <c r="G1622" s="699" t="s">
        <v>79</v>
      </c>
      <c r="H1622" s="845" t="s">
        <v>532</v>
      </c>
      <c r="I1622" s="700"/>
      <c r="J1622" s="701"/>
      <c r="K1622" s="700"/>
      <c r="L1622" s="690"/>
    </row>
    <row r="1623" spans="1:12" s="27" customFormat="1" ht="17.25" customHeight="1">
      <c r="A1623" s="702" t="s">
        <v>80</v>
      </c>
      <c r="B1623" s="846" t="s">
        <v>533</v>
      </c>
      <c r="C1623" s="700"/>
      <c r="D1623" s="700"/>
      <c r="E1623" s="700"/>
      <c r="F1623" s="750"/>
      <c r="G1623" s="702" t="s">
        <v>80</v>
      </c>
      <c r="H1623" s="846" t="s">
        <v>533</v>
      </c>
      <c r="I1623" s="700"/>
      <c r="J1623" s="700"/>
      <c r="K1623" s="700"/>
      <c r="L1623" s="690"/>
    </row>
    <row r="1624" spans="1:12" s="27" customFormat="1" ht="17.25" customHeight="1">
      <c r="A1624" s="702" t="s">
        <v>81</v>
      </c>
      <c r="B1624" s="847" t="s">
        <v>534</v>
      </c>
      <c r="C1624" s="700"/>
      <c r="D1624" s="700"/>
      <c r="E1624" s="695">
        <f>SUM(E1623)</f>
        <v>0</v>
      </c>
      <c r="F1624" s="738"/>
      <c r="G1624" s="702" t="s">
        <v>81</v>
      </c>
      <c r="H1624" s="847" t="s">
        <v>534</v>
      </c>
      <c r="I1624" s="700"/>
      <c r="J1624" s="700"/>
      <c r="K1624" s="695">
        <f>SUM(K1623)</f>
        <v>0</v>
      </c>
      <c r="L1624" s="690"/>
    </row>
    <row r="1625" spans="1:12" s="27" customFormat="1" ht="17.25" customHeight="1">
      <c r="A1625" s="704" t="s">
        <v>82</v>
      </c>
      <c r="B1625" s="848" t="s">
        <v>438</v>
      </c>
      <c r="C1625" s="705"/>
      <c r="D1625" s="705"/>
      <c r="E1625" s="705">
        <f>(E1613+E1614+E1615+E1616+E1617+E1618+E1619+E1620+E1621)-E1624</f>
        <v>997173.5560000001</v>
      </c>
      <c r="F1625" s="738"/>
      <c r="G1625" s="704" t="s">
        <v>82</v>
      </c>
      <c r="H1625" s="848" t="s">
        <v>438</v>
      </c>
      <c r="I1625" s="705"/>
      <c r="J1625" s="705"/>
      <c r="K1625" s="705">
        <f>(K1613+K1614+K1615+K1616+K1617+K1618+K1619+K1620+K1621)-K1624</f>
        <v>832638.91600000008</v>
      </c>
      <c r="L1625" s="707">
        <f>E1625+K1625</f>
        <v>1829812.4720000001</v>
      </c>
    </row>
    <row r="1626" spans="1:12" s="27" customFormat="1" ht="17.25" customHeight="1">
      <c r="A1626" s="763"/>
      <c r="B1626" s="763"/>
      <c r="C1626" s="763"/>
      <c r="D1626" s="763"/>
      <c r="E1626" s="763"/>
      <c r="F1626" s="763"/>
      <c r="G1626" s="763"/>
      <c r="H1626" s="763"/>
      <c r="I1626" s="763"/>
      <c r="J1626" s="763"/>
      <c r="K1626" s="763"/>
      <c r="L1626" s="690"/>
    </row>
    <row r="1627" spans="1:12" s="27" customFormat="1" ht="17.25" customHeight="1">
      <c r="A1627" s="759" t="str">
        <f>A1610</f>
        <v>LƯƠNG THÁNG 01/2025</v>
      </c>
      <c r="B1627" s="763"/>
      <c r="C1627" s="763"/>
      <c r="D1627" s="763"/>
      <c r="E1627" s="769">
        <f>VLOOKUP(B1628,'CNKT '!$D$114:$AD$178,26,0)</f>
        <v>0</v>
      </c>
      <c r="F1627" s="750"/>
      <c r="G1627" s="759" t="str">
        <f>A1627</f>
        <v>LƯƠNG THÁNG 01/2025</v>
      </c>
      <c r="H1627" s="763"/>
      <c r="I1627" s="763"/>
      <c r="J1627" s="766"/>
      <c r="K1627" s="769">
        <f>VLOOKUP(H1628,'CNKT '!$D$114:$AD$178,26,0)</f>
        <v>0</v>
      </c>
      <c r="L1627" s="690"/>
    </row>
    <row r="1628" spans="1:12" s="27" customFormat="1" ht="17.25" customHeight="1">
      <c r="A1628" s="709" t="s">
        <v>15</v>
      </c>
      <c r="B1628" s="840" t="str">
        <f>'CNKT '!D130</f>
        <v>T. Lăm Phêng</v>
      </c>
      <c r="C1628" s="694"/>
      <c r="D1628" s="840" t="s">
        <v>396</v>
      </c>
      <c r="E1628" s="840" t="s">
        <v>18</v>
      </c>
      <c r="F1628" s="750"/>
      <c r="G1628" s="709" t="s">
        <v>15</v>
      </c>
      <c r="H1628" s="840" t="str">
        <f>'CNKT '!D131</f>
        <v>T Xèng</v>
      </c>
      <c r="I1628" s="694"/>
      <c r="J1628" s="840" t="s">
        <v>396</v>
      </c>
      <c r="K1628" s="840" t="s">
        <v>18</v>
      </c>
      <c r="L1628" s="690"/>
    </row>
    <row r="1629" spans="1:12" s="27" customFormat="1" ht="17.25" customHeight="1">
      <c r="A1629" s="693" t="s">
        <v>397</v>
      </c>
      <c r="B1629" s="842" t="s">
        <v>527</v>
      </c>
      <c r="C1629" s="694">
        <f>VLOOKUP(B1628,'BTH mủ tạp'!$D$98:$AN$160,36,0)</f>
        <v>1903.8231849114111</v>
      </c>
      <c r="D1629" s="695"/>
      <c r="E1629" s="695"/>
      <c r="F1629" s="750"/>
      <c r="G1629" s="693" t="s">
        <v>397</v>
      </c>
      <c r="H1629" s="842" t="s">
        <v>527</v>
      </c>
      <c r="I1629" s="694">
        <f>VLOOKUP(H1628,'BTH mủ tạp'!$D$98:$AN$160,36,0)</f>
        <v>1436.9870849974075</v>
      </c>
      <c r="J1629" s="695"/>
      <c r="K1629" s="695"/>
      <c r="L1629" s="690"/>
    </row>
    <row r="1630" spans="1:12" s="27" customFormat="1" ht="17.25" customHeight="1">
      <c r="A1630" s="693" t="s">
        <v>77</v>
      </c>
      <c r="B1630" s="843" t="s">
        <v>432</v>
      </c>
      <c r="C1630" s="696">
        <f>VLOOKUP(B1628,'CNKT '!$D$113:$AA$178,3,0)</f>
        <v>0</v>
      </c>
      <c r="D1630" s="697">
        <v>25000</v>
      </c>
      <c r="E1630" s="695">
        <f t="shared" ref="E1630:E1635" si="189">C1630*D1630</f>
        <v>0</v>
      </c>
      <c r="F1630" s="750"/>
      <c r="G1630" s="693" t="s">
        <v>77</v>
      </c>
      <c r="H1630" s="843" t="s">
        <v>432</v>
      </c>
      <c r="I1630" s="696">
        <f>VLOOKUP(H1628,'CNKT '!$D$113:$AA$178,3,0)</f>
        <v>0</v>
      </c>
      <c r="J1630" s="697">
        <v>25000</v>
      </c>
      <c r="K1630" s="695">
        <f t="shared" ref="K1630:K1635" si="190">I1630*J1630</f>
        <v>0</v>
      </c>
      <c r="L1630" s="690"/>
    </row>
    <row r="1631" spans="1:12" s="27" customFormat="1" ht="17.25" customHeight="1">
      <c r="A1631" s="693" t="s">
        <v>307</v>
      </c>
      <c r="B1631" s="844" t="s">
        <v>528</v>
      </c>
      <c r="C1631" s="747">
        <f>VLOOKUP(B1628,'CNKT '!$D$113:$AA$178,11,0)</f>
        <v>23</v>
      </c>
      <c r="D1631" s="698">
        <f>46.1*$B$2</f>
        <v>30833.524000000001</v>
      </c>
      <c r="E1631" s="695">
        <f t="shared" si="189"/>
        <v>709171.05200000003</v>
      </c>
      <c r="F1631" s="750"/>
      <c r="G1631" s="693" t="s">
        <v>307</v>
      </c>
      <c r="H1631" s="844" t="s">
        <v>528</v>
      </c>
      <c r="I1631" s="747">
        <f>VLOOKUP(H1628,'CNKT '!$D$113:$AA$178,11,0)</f>
        <v>24</v>
      </c>
      <c r="J1631" s="698">
        <f>46.1*$B$2</f>
        <v>30833.524000000001</v>
      </c>
      <c r="K1631" s="695">
        <f t="shared" si="190"/>
        <v>740004.576</v>
      </c>
      <c r="L1631" s="690"/>
    </row>
    <row r="1632" spans="1:12" s="27" customFormat="1" ht="17.25" customHeight="1">
      <c r="A1632" s="693" t="s">
        <v>399</v>
      </c>
      <c r="B1632" s="844" t="s">
        <v>529</v>
      </c>
      <c r="C1632" s="747">
        <f>VLOOKUP(B1628,'CNKT '!$D$113:$AA$178,12,0)</f>
        <v>5</v>
      </c>
      <c r="D1632" s="697">
        <f>76.9*$B$2</f>
        <v>51433.796000000009</v>
      </c>
      <c r="E1632" s="695">
        <f t="shared" si="189"/>
        <v>257168.98000000004</v>
      </c>
      <c r="F1632" s="750"/>
      <c r="G1632" s="693" t="s">
        <v>399</v>
      </c>
      <c r="H1632" s="844" t="s">
        <v>529</v>
      </c>
      <c r="I1632" s="747">
        <f>VLOOKUP(H1628,'CNKT '!$D$113:$AA$178,12,0)</f>
        <v>5</v>
      </c>
      <c r="J1632" s="697">
        <f>76.9*$B$2</f>
        <v>51433.796000000009</v>
      </c>
      <c r="K1632" s="695">
        <f t="shared" si="190"/>
        <v>257168.98000000004</v>
      </c>
      <c r="L1632" s="690"/>
    </row>
    <row r="1633" spans="1:12" s="27" customFormat="1" ht="17.25" customHeight="1">
      <c r="A1633" s="693" t="s">
        <v>78</v>
      </c>
      <c r="B1633" s="844" t="s">
        <v>530</v>
      </c>
      <c r="C1633" s="747">
        <f>VLOOKUP(B1628,'CNKT '!$D$113:$AA$178,8,0)</f>
        <v>1903.8231849114113</v>
      </c>
      <c r="D1633" s="697">
        <f>IF(C1629="A",6.1,IF(C1629="B",5.8,IF(C1629="C",5.5,IF(C1629="C.",5.5,IF(C1629="D",5.2)))))*$B$2</f>
        <v>0</v>
      </c>
      <c r="E1633" s="695">
        <f t="shared" si="189"/>
        <v>0</v>
      </c>
      <c r="F1633" s="750"/>
      <c r="G1633" s="693" t="s">
        <v>78</v>
      </c>
      <c r="H1633" s="844" t="s">
        <v>530</v>
      </c>
      <c r="I1633" s="747">
        <f>VLOOKUP(H1628,'CNKT '!$D$113:$AA$178,8,0)</f>
        <v>1436.9870849974077</v>
      </c>
      <c r="J1633" s="697">
        <f>IF(I1629="A",6.1,IF(I1629="B",5.8,IF(I1629="C",5.5,IF(I1629="C.",5.5,IF(I1629="D",5.2)))))*$B$2</f>
        <v>0</v>
      </c>
      <c r="K1633" s="695">
        <f t="shared" si="190"/>
        <v>0</v>
      </c>
      <c r="L1633" s="690"/>
    </row>
    <row r="1634" spans="1:12" s="27" customFormat="1" ht="17.25" customHeight="1">
      <c r="A1634" s="693" t="s">
        <v>493</v>
      </c>
      <c r="B1634" s="844" t="s">
        <v>531</v>
      </c>
      <c r="C1634" s="747">
        <f>VLOOKUP(B1628,'CNKT '!$D$99:$AA$178,13,0)</f>
        <v>0</v>
      </c>
      <c r="D1634" s="698">
        <f>92.2*$B$2</f>
        <v>61667.048000000003</v>
      </c>
      <c r="E1634" s="695">
        <f t="shared" si="189"/>
        <v>0</v>
      </c>
      <c r="F1634" s="750"/>
      <c r="G1634" s="693" t="s">
        <v>493</v>
      </c>
      <c r="H1634" s="844" t="s">
        <v>531</v>
      </c>
      <c r="I1634" s="747">
        <f>VLOOKUP(H1628,'CNKT '!$D$99:$AA$178,13,0)</f>
        <v>0</v>
      </c>
      <c r="J1634" s="698">
        <f>92.2*$B$2</f>
        <v>61667.048000000003</v>
      </c>
      <c r="K1634" s="695">
        <f t="shared" si="190"/>
        <v>0</v>
      </c>
      <c r="L1634" s="690"/>
    </row>
    <row r="1635" spans="1:12" s="27" customFormat="1" ht="17.25" customHeight="1">
      <c r="A1635" s="693" t="s">
        <v>448</v>
      </c>
      <c r="B1635" s="844" t="s">
        <v>496</v>
      </c>
      <c r="C1635" s="747">
        <f>VLOOKUP(B1628,'CNKT '!$D$113:$AA$178,14,0)</f>
        <v>0</v>
      </c>
      <c r="D1635" s="697">
        <f>153.6*$B$2</f>
        <v>102733.82400000001</v>
      </c>
      <c r="E1635" s="695">
        <f t="shared" si="189"/>
        <v>0</v>
      </c>
      <c r="F1635" s="750"/>
      <c r="G1635" s="693" t="s">
        <v>448</v>
      </c>
      <c r="H1635" s="844" t="s">
        <v>496</v>
      </c>
      <c r="I1635" s="747">
        <f>VLOOKUP(H1628,'CNKT '!$D$113:$AA$178,14,0)</f>
        <v>0</v>
      </c>
      <c r="J1635" s="697">
        <f>153.6*$B$2</f>
        <v>102733.82400000001</v>
      </c>
      <c r="K1635" s="695">
        <f t="shared" si="190"/>
        <v>0</v>
      </c>
      <c r="L1635" s="690"/>
    </row>
    <row r="1636" spans="1:12" s="27" customFormat="1" ht="17.25" customHeight="1">
      <c r="A1636" s="693" t="s">
        <v>453</v>
      </c>
      <c r="B1636" s="844" t="s">
        <v>497</v>
      </c>
      <c r="C1636" s="747">
        <f>VLOOKUP(B1628,'CNKT '!$D$114:$AA$178,18,0)</f>
        <v>0</v>
      </c>
      <c r="D1636" s="697">
        <v>10000</v>
      </c>
      <c r="E1636" s="695">
        <f>C1636*D1636</f>
        <v>0</v>
      </c>
      <c r="F1636" s="750"/>
      <c r="G1636" s="693" t="s">
        <v>453</v>
      </c>
      <c r="H1636" s="844" t="s">
        <v>497</v>
      </c>
      <c r="I1636" s="747">
        <f>VLOOKUP(H1628,'CNKT '!$D$114:$AA$178,18,0)</f>
        <v>0</v>
      </c>
      <c r="J1636" s="697">
        <v>10000</v>
      </c>
      <c r="K1636" s="695">
        <f>I1636*J1636</f>
        <v>0</v>
      </c>
      <c r="L1636" s="690"/>
    </row>
    <row r="1637" spans="1:12" s="27" customFormat="1" ht="17.25" customHeight="1">
      <c r="A1637" s="693" t="s">
        <v>453</v>
      </c>
      <c r="B1637" s="844" t="s">
        <v>497</v>
      </c>
      <c r="C1637" s="747">
        <f>VLOOKUP(B1628,'CNKT '!$D$114:$AA$178,19,0)</f>
        <v>0</v>
      </c>
      <c r="D1637" s="697">
        <v>20000</v>
      </c>
      <c r="E1637" s="695">
        <f>C1637*D1637</f>
        <v>0</v>
      </c>
      <c r="F1637" s="750"/>
      <c r="G1637" s="693" t="s">
        <v>453</v>
      </c>
      <c r="H1637" s="844" t="s">
        <v>497</v>
      </c>
      <c r="I1637" s="747">
        <f>VLOOKUP(H1628,'CNKT '!$D$114:$AA$178,19,0)</f>
        <v>0</v>
      </c>
      <c r="J1637" s="697">
        <v>20000</v>
      </c>
      <c r="K1637" s="695">
        <f>I1637*J1637</f>
        <v>0</v>
      </c>
      <c r="L1637" s="690"/>
    </row>
    <row r="1638" spans="1:12" s="27" customFormat="1" ht="17.25" customHeight="1">
      <c r="A1638" s="693" t="s">
        <v>512</v>
      </c>
      <c r="B1638" s="844" t="s">
        <v>513</v>
      </c>
      <c r="C1638" s="747"/>
      <c r="D1638" s="697"/>
      <c r="E1638" s="695"/>
      <c r="F1638" s="750"/>
      <c r="G1638" s="693" t="s">
        <v>512</v>
      </c>
      <c r="H1638" s="844" t="s">
        <v>513</v>
      </c>
      <c r="I1638" s="747"/>
      <c r="J1638" s="697"/>
      <c r="K1638" s="695"/>
      <c r="L1638" s="690"/>
    </row>
    <row r="1639" spans="1:12" s="27" customFormat="1" ht="17.25" customHeight="1">
      <c r="A1639" s="699" t="s">
        <v>79</v>
      </c>
      <c r="B1639" s="845" t="s">
        <v>532</v>
      </c>
      <c r="C1639" s="700"/>
      <c r="D1639" s="701"/>
      <c r="E1639" s="700"/>
      <c r="F1639" s="750"/>
      <c r="G1639" s="699" t="s">
        <v>79</v>
      </c>
      <c r="H1639" s="845" t="s">
        <v>532</v>
      </c>
      <c r="I1639" s="700"/>
      <c r="J1639" s="701"/>
      <c r="K1639" s="700"/>
      <c r="L1639" s="690"/>
    </row>
    <row r="1640" spans="1:12" s="27" customFormat="1" ht="17.25" customHeight="1">
      <c r="A1640" s="702" t="s">
        <v>80</v>
      </c>
      <c r="B1640" s="846" t="s">
        <v>533</v>
      </c>
      <c r="C1640" s="700"/>
      <c r="D1640" s="700"/>
      <c r="E1640" s="700"/>
      <c r="F1640" s="750"/>
      <c r="G1640" s="702" t="s">
        <v>80</v>
      </c>
      <c r="H1640" s="846" t="s">
        <v>533</v>
      </c>
      <c r="I1640" s="700"/>
      <c r="J1640" s="700"/>
      <c r="K1640" s="700"/>
      <c r="L1640" s="690"/>
    </row>
    <row r="1641" spans="1:12" s="27" customFormat="1" ht="17.25" customHeight="1">
      <c r="A1641" s="702" t="s">
        <v>81</v>
      </c>
      <c r="B1641" s="847" t="s">
        <v>534</v>
      </c>
      <c r="C1641" s="700"/>
      <c r="D1641" s="700"/>
      <c r="E1641" s="695">
        <f>SUM(E1640)</f>
        <v>0</v>
      </c>
      <c r="F1641" s="746"/>
      <c r="G1641" s="702" t="s">
        <v>81</v>
      </c>
      <c r="H1641" s="847" t="s">
        <v>534</v>
      </c>
      <c r="I1641" s="700"/>
      <c r="J1641" s="700"/>
      <c r="K1641" s="695">
        <f>SUM(K1640)</f>
        <v>0</v>
      </c>
      <c r="L1641" s="690"/>
    </row>
    <row r="1642" spans="1:12" s="27" customFormat="1" ht="17.25" customHeight="1">
      <c r="A1642" s="704" t="s">
        <v>82</v>
      </c>
      <c r="B1642" s="848" t="s">
        <v>438</v>
      </c>
      <c r="C1642" s="705"/>
      <c r="D1642" s="705"/>
      <c r="E1642" s="705">
        <f>(E1630+E1631+E1632+E1633+E1634+E1635+E1636+E1637+E1638)-E1641</f>
        <v>966340.03200000012</v>
      </c>
      <c r="F1642" s="746"/>
      <c r="G1642" s="704" t="s">
        <v>82</v>
      </c>
      <c r="H1642" s="848" t="s">
        <v>438</v>
      </c>
      <c r="I1642" s="705"/>
      <c r="J1642" s="705"/>
      <c r="K1642" s="705">
        <f>(K1630+K1631+K1632+K1633+K1634+K1635+K1636+K1637+K1638)-K1641</f>
        <v>997173.5560000001</v>
      </c>
      <c r="L1642" s="707">
        <f>E1642+K1642</f>
        <v>1963513.5880000002</v>
      </c>
    </row>
    <row r="1643" spans="1:12" s="27" customFormat="1" ht="69.75" customHeight="1">
      <c r="A1643" s="763"/>
      <c r="B1643" s="763"/>
      <c r="C1643" s="763"/>
      <c r="D1643" s="763"/>
      <c r="E1643" s="763"/>
      <c r="F1643" s="763"/>
      <c r="G1643" s="763"/>
      <c r="H1643" s="763"/>
      <c r="I1643" s="763"/>
      <c r="J1643" s="763"/>
      <c r="K1643" s="763"/>
      <c r="L1643" s="690"/>
    </row>
    <row r="1644" spans="1:12" s="27" customFormat="1" ht="17.25" customHeight="1">
      <c r="A1644" s="759" t="str">
        <f>A1627</f>
        <v>LƯƠNG THÁNG 01/2025</v>
      </c>
      <c r="B1644" s="763"/>
      <c r="C1644" s="763"/>
      <c r="D1644" s="763"/>
      <c r="E1644" s="769">
        <f>VLOOKUP(B1645,'CNKT '!$D$114:$AD$178,26,0)</f>
        <v>0</v>
      </c>
      <c r="F1644" s="750"/>
      <c r="G1644" s="759" t="str">
        <f>A1644</f>
        <v>LƯƠNG THÁNG 01/2025</v>
      </c>
      <c r="H1644" s="763"/>
      <c r="I1644" s="763"/>
      <c r="J1644" s="766"/>
      <c r="K1644" s="769">
        <f>VLOOKUP(H1645,'CNKT '!$D$114:$AD$178,26,0)</f>
        <v>0</v>
      </c>
      <c r="L1644" s="690"/>
    </row>
    <row r="1645" spans="1:12" s="27" customFormat="1" ht="17.25" customHeight="1">
      <c r="A1645" s="709" t="s">
        <v>15</v>
      </c>
      <c r="B1645" s="840" t="str">
        <f>'CNKT '!D132</f>
        <v>T. May</v>
      </c>
      <c r="C1645" s="694"/>
      <c r="D1645" s="840" t="s">
        <v>396</v>
      </c>
      <c r="E1645" s="840" t="s">
        <v>18</v>
      </c>
      <c r="F1645" s="750"/>
      <c r="G1645" s="709" t="s">
        <v>15</v>
      </c>
      <c r="H1645" s="840" t="str">
        <f>'CNKT '!D133</f>
        <v>T. Huôn</v>
      </c>
      <c r="I1645" s="694"/>
      <c r="J1645" s="840" t="s">
        <v>396</v>
      </c>
      <c r="K1645" s="840" t="s">
        <v>18</v>
      </c>
      <c r="L1645" s="690"/>
    </row>
    <row r="1646" spans="1:12" s="27" customFormat="1" ht="17.25" customHeight="1">
      <c r="A1646" s="693" t="s">
        <v>397</v>
      </c>
      <c r="B1646" s="842" t="s">
        <v>527</v>
      </c>
      <c r="C1646" s="694">
        <f>VLOOKUP(B1645,'BTH mủ tạp'!$D$98:$AN$160,36,0)</f>
        <v>1369.1088390158461</v>
      </c>
      <c r="D1646" s="695"/>
      <c r="E1646" s="695"/>
      <c r="F1646" s="750"/>
      <c r="G1646" s="693" t="s">
        <v>397</v>
      </c>
      <c r="H1646" s="842" t="s">
        <v>527</v>
      </c>
      <c r="I1646" s="694">
        <f>VLOOKUP(H1645,'BTH mủ tạp'!$D$98:$AN$160,36,0)</f>
        <v>1120.2219370834546</v>
      </c>
      <c r="J1646" s="695"/>
      <c r="K1646" s="695"/>
      <c r="L1646" s="690"/>
    </row>
    <row r="1647" spans="1:12" s="27" customFormat="1" ht="17.25" customHeight="1">
      <c r="A1647" s="693" t="s">
        <v>77</v>
      </c>
      <c r="B1647" s="843" t="s">
        <v>432</v>
      </c>
      <c r="C1647" s="696">
        <f>VLOOKUP(B1645,'CNKT '!$D$113:$AA$178,3,0)</f>
        <v>0</v>
      </c>
      <c r="D1647" s="697">
        <v>25000</v>
      </c>
      <c r="E1647" s="695">
        <f t="shared" ref="E1647:E1652" si="191">C1647*D1647</f>
        <v>0</v>
      </c>
      <c r="F1647" s="750"/>
      <c r="G1647" s="693" t="s">
        <v>77</v>
      </c>
      <c r="H1647" s="843" t="s">
        <v>432</v>
      </c>
      <c r="I1647" s="696">
        <f>VLOOKUP(H1645,'CNKT '!$D$113:$AA$178,3,0)</f>
        <v>0</v>
      </c>
      <c r="J1647" s="697">
        <v>25000</v>
      </c>
      <c r="K1647" s="695">
        <f t="shared" ref="K1647:K1652" si="192">I1647*J1647</f>
        <v>0</v>
      </c>
      <c r="L1647" s="690"/>
    </row>
    <row r="1648" spans="1:12" s="27" customFormat="1" ht="17.25" customHeight="1">
      <c r="A1648" s="693" t="s">
        <v>307</v>
      </c>
      <c r="B1648" s="844" t="s">
        <v>528</v>
      </c>
      <c r="C1648" s="747">
        <f>VLOOKUP(B1645,'CNKT '!$D$113:$AA$178,11,0)</f>
        <v>25</v>
      </c>
      <c r="D1648" s="698">
        <f>46.1*$B$2</f>
        <v>30833.524000000001</v>
      </c>
      <c r="E1648" s="695">
        <f t="shared" si="191"/>
        <v>770838.1</v>
      </c>
      <c r="F1648" s="750"/>
      <c r="G1648" s="693" t="s">
        <v>307</v>
      </c>
      <c r="H1648" s="844" t="s">
        <v>528</v>
      </c>
      <c r="I1648" s="747">
        <f>VLOOKUP(H1645,'CNKT '!$D$113:$AA$178,11,0)</f>
        <v>25</v>
      </c>
      <c r="J1648" s="698">
        <f>46.1*$B$2</f>
        <v>30833.524000000001</v>
      </c>
      <c r="K1648" s="695">
        <f t="shared" si="192"/>
        <v>770838.1</v>
      </c>
      <c r="L1648" s="690"/>
    </row>
    <row r="1649" spans="1:12" s="27" customFormat="1" ht="17.25" customHeight="1">
      <c r="A1649" s="693" t="s">
        <v>399</v>
      </c>
      <c r="B1649" s="844" t="s">
        <v>529</v>
      </c>
      <c r="C1649" s="747">
        <f>VLOOKUP(B1645,'CNKT '!$D$113:$AA$178,12,0)</f>
        <v>5</v>
      </c>
      <c r="D1649" s="697">
        <f>76.9*$B$2</f>
        <v>51433.796000000009</v>
      </c>
      <c r="E1649" s="695">
        <f t="shared" si="191"/>
        <v>257168.98000000004</v>
      </c>
      <c r="F1649" s="750"/>
      <c r="G1649" s="693" t="s">
        <v>399</v>
      </c>
      <c r="H1649" s="844" t="s">
        <v>529</v>
      </c>
      <c r="I1649" s="747">
        <f>VLOOKUP(H1645,'CNKT '!$D$113:$AA$178,12,0)</f>
        <v>5</v>
      </c>
      <c r="J1649" s="697">
        <f>76.9*$B$2</f>
        <v>51433.796000000009</v>
      </c>
      <c r="K1649" s="695">
        <f t="shared" si="192"/>
        <v>257168.98000000004</v>
      </c>
      <c r="L1649" s="690"/>
    </row>
    <row r="1650" spans="1:12" s="27" customFormat="1" ht="17.25" customHeight="1">
      <c r="A1650" s="693" t="s">
        <v>78</v>
      </c>
      <c r="B1650" s="844" t="s">
        <v>530</v>
      </c>
      <c r="C1650" s="747">
        <f>VLOOKUP(B1645,'CNKT '!$D$113:$AA$178,8,0)</f>
        <v>1369.1088390158463</v>
      </c>
      <c r="D1650" s="697">
        <f>IF(C1646="A",6.1,IF(C1646="B",5.8,IF(C1646="C",5.5,IF(C1646="C.",5.5,IF(C1646="D",5.2)))))*$B$2</f>
        <v>0</v>
      </c>
      <c r="E1650" s="695">
        <f t="shared" si="191"/>
        <v>0</v>
      </c>
      <c r="F1650" s="750"/>
      <c r="G1650" s="693" t="s">
        <v>78</v>
      </c>
      <c r="H1650" s="844" t="s">
        <v>530</v>
      </c>
      <c r="I1650" s="747">
        <f>VLOOKUP(H1645,'CNKT '!$D$113:$AA$178,8,0)</f>
        <v>1120.2219370834548</v>
      </c>
      <c r="J1650" s="697">
        <f>IF(I1646="A",6.1,IF(I1646="B",5.8,IF(I1646="C",5.5,IF(I1646="C.",5.5,IF(I1646="D",5.2)))))*$B$2</f>
        <v>0</v>
      </c>
      <c r="K1650" s="695">
        <f t="shared" si="192"/>
        <v>0</v>
      </c>
      <c r="L1650" s="690"/>
    </row>
    <row r="1651" spans="1:12" s="27" customFormat="1" ht="17.25" customHeight="1">
      <c r="A1651" s="693" t="s">
        <v>493</v>
      </c>
      <c r="B1651" s="844" t="s">
        <v>531</v>
      </c>
      <c r="C1651" s="747">
        <f>VLOOKUP(B1645,'CNKT '!$D$99:$AA$178,13,0)</f>
        <v>0</v>
      </c>
      <c r="D1651" s="698">
        <f>92.2*$B$2</f>
        <v>61667.048000000003</v>
      </c>
      <c r="E1651" s="695">
        <f t="shared" si="191"/>
        <v>0</v>
      </c>
      <c r="F1651" s="750"/>
      <c r="G1651" s="693" t="s">
        <v>493</v>
      </c>
      <c r="H1651" s="844" t="s">
        <v>531</v>
      </c>
      <c r="I1651" s="747">
        <f>VLOOKUP(H1645,'CNKT '!$D$99:$AA$178,13,0)</f>
        <v>0</v>
      </c>
      <c r="J1651" s="698">
        <f>92.2*$B$2</f>
        <v>61667.048000000003</v>
      </c>
      <c r="K1651" s="695">
        <f t="shared" si="192"/>
        <v>0</v>
      </c>
      <c r="L1651" s="690"/>
    </row>
    <row r="1652" spans="1:12" s="27" customFormat="1" ht="17.25" customHeight="1">
      <c r="A1652" s="693" t="s">
        <v>448</v>
      </c>
      <c r="B1652" s="844" t="s">
        <v>496</v>
      </c>
      <c r="C1652" s="747">
        <f>VLOOKUP(B1645,'CNKT '!$D$113:$AA$178,14,0)</f>
        <v>0</v>
      </c>
      <c r="D1652" s="697">
        <f>153.6*$B$2</f>
        <v>102733.82400000001</v>
      </c>
      <c r="E1652" s="695">
        <f t="shared" si="191"/>
        <v>0</v>
      </c>
      <c r="F1652" s="750"/>
      <c r="G1652" s="693" t="s">
        <v>448</v>
      </c>
      <c r="H1652" s="844" t="s">
        <v>496</v>
      </c>
      <c r="I1652" s="747">
        <f>VLOOKUP(H1645,'CNKT '!$D$113:$AA$178,14,0)</f>
        <v>0</v>
      </c>
      <c r="J1652" s="697">
        <f>153.6*$B$2</f>
        <v>102733.82400000001</v>
      </c>
      <c r="K1652" s="695">
        <f t="shared" si="192"/>
        <v>0</v>
      </c>
      <c r="L1652" s="690"/>
    </row>
    <row r="1653" spans="1:12" s="27" customFormat="1" ht="17.25" customHeight="1">
      <c r="A1653" s="693" t="s">
        <v>453</v>
      </c>
      <c r="B1653" s="844" t="s">
        <v>497</v>
      </c>
      <c r="C1653" s="747">
        <f>VLOOKUP(B1645,'CNKT '!$D$114:$AA$178,18,0)</f>
        <v>0</v>
      </c>
      <c r="D1653" s="697">
        <v>10000</v>
      </c>
      <c r="E1653" s="695">
        <f>C1653*D1653</f>
        <v>0</v>
      </c>
      <c r="F1653" s="750"/>
      <c r="G1653" s="693" t="s">
        <v>453</v>
      </c>
      <c r="H1653" s="844" t="s">
        <v>497</v>
      </c>
      <c r="I1653" s="747">
        <f>VLOOKUP(H1645,'CNKT '!$D$114:$AA$178,18,0)</f>
        <v>0</v>
      </c>
      <c r="J1653" s="697">
        <v>10000</v>
      </c>
      <c r="K1653" s="695">
        <f>I1653*J1653</f>
        <v>0</v>
      </c>
      <c r="L1653" s="690"/>
    </row>
    <row r="1654" spans="1:12" s="27" customFormat="1" ht="17.25" customHeight="1">
      <c r="A1654" s="693" t="s">
        <v>453</v>
      </c>
      <c r="B1654" s="844" t="s">
        <v>497</v>
      </c>
      <c r="C1654" s="747">
        <f>VLOOKUP(B1645,'CNKT '!$D$114:$AA$178,19,0)</f>
        <v>0</v>
      </c>
      <c r="D1654" s="697">
        <v>20000</v>
      </c>
      <c r="E1654" s="695">
        <f>C1654*D1654</f>
        <v>0</v>
      </c>
      <c r="F1654" s="750"/>
      <c r="G1654" s="693" t="s">
        <v>453</v>
      </c>
      <c r="H1654" s="844" t="s">
        <v>497</v>
      </c>
      <c r="I1654" s="747">
        <f>VLOOKUP(H1645,'CNKT '!$D$114:$AA$178,19,0)</f>
        <v>0</v>
      </c>
      <c r="J1654" s="697">
        <v>20000</v>
      </c>
      <c r="K1654" s="695">
        <f>I1654*J1654</f>
        <v>0</v>
      </c>
      <c r="L1654" s="690"/>
    </row>
    <row r="1655" spans="1:12" s="27" customFormat="1" ht="17.25" customHeight="1">
      <c r="A1655" s="693" t="s">
        <v>512</v>
      </c>
      <c r="B1655" s="844" t="s">
        <v>513</v>
      </c>
      <c r="C1655" s="747"/>
      <c r="D1655" s="697"/>
      <c r="E1655" s="695"/>
      <c r="F1655" s="750"/>
      <c r="G1655" s="693" t="s">
        <v>512</v>
      </c>
      <c r="H1655" s="844" t="s">
        <v>513</v>
      </c>
      <c r="I1655" s="747"/>
      <c r="J1655" s="697"/>
      <c r="K1655" s="695"/>
      <c r="L1655" s="690"/>
    </row>
    <row r="1656" spans="1:12" s="27" customFormat="1" ht="17.25" customHeight="1">
      <c r="A1656" s="699" t="s">
        <v>79</v>
      </c>
      <c r="B1656" s="845" t="s">
        <v>532</v>
      </c>
      <c r="C1656" s="700"/>
      <c r="D1656" s="701"/>
      <c r="E1656" s="700"/>
      <c r="F1656" s="750"/>
      <c r="G1656" s="699" t="s">
        <v>79</v>
      </c>
      <c r="H1656" s="845" t="s">
        <v>532</v>
      </c>
      <c r="I1656" s="700"/>
      <c r="J1656" s="701"/>
      <c r="K1656" s="700"/>
      <c r="L1656" s="690"/>
    </row>
    <row r="1657" spans="1:12" s="27" customFormat="1" ht="17.25" customHeight="1">
      <c r="A1657" s="702" t="s">
        <v>80</v>
      </c>
      <c r="B1657" s="846" t="s">
        <v>533</v>
      </c>
      <c r="C1657" s="700"/>
      <c r="D1657" s="700"/>
      <c r="E1657" s="700"/>
      <c r="F1657" s="750"/>
      <c r="G1657" s="702" t="s">
        <v>80</v>
      </c>
      <c r="H1657" s="846" t="s">
        <v>533</v>
      </c>
      <c r="I1657" s="700"/>
      <c r="J1657" s="700"/>
      <c r="K1657" s="700"/>
      <c r="L1657" s="690"/>
    </row>
    <row r="1658" spans="1:12" s="27" customFormat="1" ht="17.25" customHeight="1">
      <c r="A1658" s="702" t="s">
        <v>81</v>
      </c>
      <c r="B1658" s="847" t="s">
        <v>534</v>
      </c>
      <c r="C1658" s="700"/>
      <c r="D1658" s="700"/>
      <c r="E1658" s="695">
        <f>SUM(E1657)</f>
        <v>0</v>
      </c>
      <c r="F1658" s="738"/>
      <c r="G1658" s="702" t="s">
        <v>81</v>
      </c>
      <c r="H1658" s="847" t="s">
        <v>534</v>
      </c>
      <c r="I1658" s="700"/>
      <c r="J1658" s="700"/>
      <c r="K1658" s="695">
        <f>SUM(K1657)</f>
        <v>0</v>
      </c>
      <c r="L1658" s="690"/>
    </row>
    <row r="1659" spans="1:12" s="27" customFormat="1" ht="17.25" customHeight="1">
      <c r="A1659" s="704" t="s">
        <v>82</v>
      </c>
      <c r="B1659" s="848" t="s">
        <v>438</v>
      </c>
      <c r="C1659" s="705"/>
      <c r="D1659" s="705"/>
      <c r="E1659" s="705">
        <f>(E1647+E1648+E1649+E1650+E1651+E1652+E1653+E1654+E1655)-E1658</f>
        <v>1028007.0800000001</v>
      </c>
      <c r="F1659" s="738"/>
      <c r="G1659" s="704" t="s">
        <v>82</v>
      </c>
      <c r="H1659" s="848" t="s">
        <v>438</v>
      </c>
      <c r="I1659" s="705"/>
      <c r="J1659" s="705"/>
      <c r="K1659" s="705">
        <f>(K1647+K1648+K1649+K1650+K1651+K1652+K1653+K1654+K1655)-K1658</f>
        <v>1028007.0800000001</v>
      </c>
      <c r="L1659" s="707">
        <f>E1659+K1659</f>
        <v>2056014.1600000001</v>
      </c>
    </row>
    <row r="1660" spans="1:12" s="27" customFormat="1" ht="17.25" customHeight="1">
      <c r="A1660" s="763"/>
      <c r="B1660" s="763"/>
      <c r="C1660" s="763"/>
      <c r="D1660" s="763"/>
      <c r="E1660" s="763"/>
      <c r="F1660" s="763"/>
      <c r="G1660" s="763"/>
      <c r="H1660" s="763"/>
      <c r="I1660" s="763"/>
      <c r="J1660" s="763"/>
      <c r="K1660" s="763"/>
      <c r="L1660" s="690"/>
    </row>
    <row r="1661" spans="1:12" s="27" customFormat="1" ht="17.25" customHeight="1">
      <c r="A1661" s="759" t="str">
        <f>A1644</f>
        <v>LƯƠNG THÁNG 01/2025</v>
      </c>
      <c r="B1661" s="763"/>
      <c r="C1661" s="763"/>
      <c r="D1661" s="763"/>
      <c r="E1661" s="769">
        <f>VLOOKUP(B1662,'CNKT '!$D$114:$AD$178,26,0)</f>
        <v>0</v>
      </c>
      <c r="F1661" s="750"/>
      <c r="G1661" s="759" t="str">
        <f>A1661</f>
        <v>LƯƠNG THÁNG 01/2025</v>
      </c>
      <c r="H1661" s="763"/>
      <c r="I1661" s="763"/>
      <c r="J1661" s="766"/>
      <c r="K1661" s="769">
        <f>VLOOKUP(H1662,'CNKT '!$D$114:$AD$178,26,0)</f>
        <v>0</v>
      </c>
      <c r="L1661" s="690"/>
    </row>
    <row r="1662" spans="1:12" s="27" customFormat="1" ht="17.25" customHeight="1">
      <c r="A1662" s="709" t="s">
        <v>15</v>
      </c>
      <c r="B1662" s="840" t="str">
        <f>'CNKT '!D134</f>
        <v>N. Lay</v>
      </c>
      <c r="C1662" s="694"/>
      <c r="D1662" s="840" t="s">
        <v>396</v>
      </c>
      <c r="E1662" s="840" t="s">
        <v>18</v>
      </c>
      <c r="F1662" s="750"/>
      <c r="G1662" s="709" t="s">
        <v>15</v>
      </c>
      <c r="H1662" s="840" t="str">
        <f>'CNKT '!D135</f>
        <v>N. Pon</v>
      </c>
      <c r="I1662" s="694"/>
      <c r="J1662" s="840" t="s">
        <v>396</v>
      </c>
      <c r="K1662" s="840" t="s">
        <v>18</v>
      </c>
      <c r="L1662" s="690"/>
    </row>
    <row r="1663" spans="1:12" s="27" customFormat="1" ht="17.25" customHeight="1">
      <c r="A1663" s="693" t="s">
        <v>397</v>
      </c>
      <c r="B1663" s="842" t="s">
        <v>527</v>
      </c>
      <c r="C1663" s="694">
        <f>VLOOKUP(B1662,'BTH mủ tạp'!$D$98:$AN$160,36,0)</f>
        <v>1143.7715326280779</v>
      </c>
      <c r="D1663" s="695"/>
      <c r="E1663" s="695"/>
      <c r="F1663" s="750"/>
      <c r="G1663" s="693" t="s">
        <v>397</v>
      </c>
      <c r="H1663" s="842" t="s">
        <v>527</v>
      </c>
      <c r="I1663" s="694">
        <f>VLOOKUP(H1662,'BTH mủ tạp'!$D$98:$AN$160,36,0)</f>
        <v>1190.4089669419398</v>
      </c>
      <c r="J1663" s="695"/>
      <c r="K1663" s="695"/>
      <c r="L1663" s="690"/>
    </row>
    <row r="1664" spans="1:12" s="27" customFormat="1" ht="17.25" customHeight="1">
      <c r="A1664" s="693" t="s">
        <v>77</v>
      </c>
      <c r="B1664" s="843" t="s">
        <v>432</v>
      </c>
      <c r="C1664" s="696">
        <f>VLOOKUP(B1662,'CNKT '!$D$113:$AA$178,3,0)</f>
        <v>0</v>
      </c>
      <c r="D1664" s="697">
        <v>25000</v>
      </c>
      <c r="E1664" s="695">
        <f t="shared" ref="E1664:E1669" si="193">C1664*D1664</f>
        <v>0</v>
      </c>
      <c r="F1664" s="750"/>
      <c r="G1664" s="693" t="s">
        <v>77</v>
      </c>
      <c r="H1664" s="843" t="s">
        <v>432</v>
      </c>
      <c r="I1664" s="696">
        <f>VLOOKUP(H1662,'CNKT '!$D$113:$AA$178,3,0)</f>
        <v>0</v>
      </c>
      <c r="J1664" s="697">
        <v>25000</v>
      </c>
      <c r="K1664" s="695">
        <f t="shared" ref="K1664:K1669" si="194">I1664*J1664</f>
        <v>0</v>
      </c>
      <c r="L1664" s="690"/>
    </row>
    <row r="1665" spans="1:12" s="27" customFormat="1" ht="17.25" customHeight="1">
      <c r="A1665" s="693" t="s">
        <v>307</v>
      </c>
      <c r="B1665" s="844" t="s">
        <v>528</v>
      </c>
      <c r="C1665" s="747">
        <f>VLOOKUP(B1662,'CNKT '!$D$113:$AA$178,11,0)</f>
        <v>25</v>
      </c>
      <c r="D1665" s="698">
        <f>46.1*$B$2</f>
        <v>30833.524000000001</v>
      </c>
      <c r="E1665" s="695">
        <f t="shared" si="193"/>
        <v>770838.1</v>
      </c>
      <c r="F1665" s="750"/>
      <c r="G1665" s="693" t="s">
        <v>307</v>
      </c>
      <c r="H1665" s="844" t="s">
        <v>528</v>
      </c>
      <c r="I1665" s="747">
        <f>VLOOKUP(H1662,'CNKT '!$D$113:$AA$178,11,0)</f>
        <v>23</v>
      </c>
      <c r="J1665" s="698">
        <f>46.1*$B$2</f>
        <v>30833.524000000001</v>
      </c>
      <c r="K1665" s="695">
        <f t="shared" si="194"/>
        <v>709171.05200000003</v>
      </c>
      <c r="L1665" s="690"/>
    </row>
    <row r="1666" spans="1:12" s="27" customFormat="1" ht="17.25" customHeight="1">
      <c r="A1666" s="693" t="s">
        <v>399</v>
      </c>
      <c r="B1666" s="844" t="s">
        <v>529</v>
      </c>
      <c r="C1666" s="747">
        <f>VLOOKUP(B1662,'CNKT '!$D$113:$AA$178,12,0)</f>
        <v>5</v>
      </c>
      <c r="D1666" s="697">
        <f>76.9*$B$2</f>
        <v>51433.796000000009</v>
      </c>
      <c r="E1666" s="695">
        <f t="shared" si="193"/>
        <v>257168.98000000004</v>
      </c>
      <c r="F1666" s="750"/>
      <c r="G1666" s="693" t="s">
        <v>399</v>
      </c>
      <c r="H1666" s="844" t="s">
        <v>529</v>
      </c>
      <c r="I1666" s="747">
        <f>VLOOKUP(H1662,'CNKT '!$D$113:$AA$178,12,0)</f>
        <v>5</v>
      </c>
      <c r="J1666" s="697">
        <f>76.9*$B$2</f>
        <v>51433.796000000009</v>
      </c>
      <c r="K1666" s="695">
        <f t="shared" si="194"/>
        <v>257168.98000000004</v>
      </c>
      <c r="L1666" s="690"/>
    </row>
    <row r="1667" spans="1:12" s="27" customFormat="1" ht="17.25" customHeight="1">
      <c r="A1667" s="693" t="s">
        <v>78</v>
      </c>
      <c r="B1667" s="844" t="s">
        <v>530</v>
      </c>
      <c r="C1667" s="747">
        <f>VLOOKUP(B1662,'CNKT '!$D$113:$AA$178,8,0)</f>
        <v>1143.7715326280781</v>
      </c>
      <c r="D1667" s="697">
        <f>IF(C1663="A",6.1,IF(C1663="B",5.8,IF(C1663="C",5.5,IF(C1663="C.",5.5,IF(C1663="D",5.2)))))*$B$2</f>
        <v>0</v>
      </c>
      <c r="E1667" s="695">
        <f t="shared" si="193"/>
        <v>0</v>
      </c>
      <c r="F1667" s="750"/>
      <c r="G1667" s="693" t="s">
        <v>78</v>
      </c>
      <c r="H1667" s="844" t="s">
        <v>530</v>
      </c>
      <c r="I1667" s="747">
        <f>VLOOKUP(H1662,'CNKT '!$D$113:$AA$178,8,0)</f>
        <v>1190.40896694194</v>
      </c>
      <c r="J1667" s="697">
        <f>IF(I1663="A",6.1,IF(I1663="B",5.8,IF(I1663="C",5.5,IF(I1663="C.",5.5,IF(I1663="D",5.2)))))*$B$2</f>
        <v>0</v>
      </c>
      <c r="K1667" s="695">
        <f t="shared" si="194"/>
        <v>0</v>
      </c>
      <c r="L1667" s="690"/>
    </row>
    <row r="1668" spans="1:12" s="27" customFormat="1" ht="17.25" customHeight="1">
      <c r="A1668" s="693" t="s">
        <v>493</v>
      </c>
      <c r="B1668" s="844" t="s">
        <v>531</v>
      </c>
      <c r="C1668" s="747">
        <f>VLOOKUP(B1662,'CNKT '!$D$99:$AA$178,13,0)</f>
        <v>0</v>
      </c>
      <c r="D1668" s="698">
        <f>92.2*$B$2</f>
        <v>61667.048000000003</v>
      </c>
      <c r="E1668" s="695">
        <f t="shared" si="193"/>
        <v>0</v>
      </c>
      <c r="F1668" s="750"/>
      <c r="G1668" s="693" t="s">
        <v>493</v>
      </c>
      <c r="H1668" s="844" t="s">
        <v>531</v>
      </c>
      <c r="I1668" s="747">
        <f>VLOOKUP(H1662,'CNKT '!$D$99:$AA$178,13,0)</f>
        <v>0</v>
      </c>
      <c r="J1668" s="698">
        <f>92.2*$B$2</f>
        <v>61667.048000000003</v>
      </c>
      <c r="K1668" s="695">
        <f t="shared" si="194"/>
        <v>0</v>
      </c>
      <c r="L1668" s="690"/>
    </row>
    <row r="1669" spans="1:12" s="27" customFormat="1" ht="17.25" customHeight="1">
      <c r="A1669" s="693" t="s">
        <v>448</v>
      </c>
      <c r="B1669" s="844" t="s">
        <v>496</v>
      </c>
      <c r="C1669" s="747">
        <f>VLOOKUP(B1662,'CNKT '!$D$113:$AA$178,14,0)</f>
        <v>0</v>
      </c>
      <c r="D1669" s="697">
        <f>153.6*$B$2</f>
        <v>102733.82400000001</v>
      </c>
      <c r="E1669" s="695">
        <f t="shared" si="193"/>
        <v>0</v>
      </c>
      <c r="F1669" s="750"/>
      <c r="G1669" s="693" t="s">
        <v>448</v>
      </c>
      <c r="H1669" s="844" t="s">
        <v>496</v>
      </c>
      <c r="I1669" s="747">
        <f>VLOOKUP(H1662,'CNKT '!$D$113:$AA$178,14,0)</f>
        <v>0</v>
      </c>
      <c r="J1669" s="697">
        <f>153.6*$B$2</f>
        <v>102733.82400000001</v>
      </c>
      <c r="K1669" s="695">
        <f t="shared" si="194"/>
        <v>0</v>
      </c>
      <c r="L1669" s="690"/>
    </row>
    <row r="1670" spans="1:12" s="27" customFormat="1" ht="17.25" customHeight="1">
      <c r="A1670" s="693" t="s">
        <v>453</v>
      </c>
      <c r="B1670" s="844" t="s">
        <v>497</v>
      </c>
      <c r="C1670" s="747">
        <f>VLOOKUP(B1662,'CNKT '!$D$114:$AA$178,18,0)</f>
        <v>0</v>
      </c>
      <c r="D1670" s="697">
        <v>10000</v>
      </c>
      <c r="E1670" s="695">
        <f>C1670*D1670</f>
        <v>0</v>
      </c>
      <c r="F1670" s="750"/>
      <c r="G1670" s="693" t="s">
        <v>453</v>
      </c>
      <c r="H1670" s="844" t="s">
        <v>497</v>
      </c>
      <c r="I1670" s="747">
        <f>VLOOKUP(H1662,'CNKT '!$D$114:$AA$178,18,0)</f>
        <v>0</v>
      </c>
      <c r="J1670" s="697">
        <v>10000</v>
      </c>
      <c r="K1670" s="695">
        <f>I1670*J1670</f>
        <v>0</v>
      </c>
      <c r="L1670" s="690"/>
    </row>
    <row r="1671" spans="1:12" s="27" customFormat="1" ht="17.25" customHeight="1">
      <c r="A1671" s="693" t="s">
        <v>453</v>
      </c>
      <c r="B1671" s="844" t="s">
        <v>497</v>
      </c>
      <c r="C1671" s="747">
        <f>VLOOKUP(B1662,'CNKT '!$D$114:$AA$178,19,0)</f>
        <v>0</v>
      </c>
      <c r="D1671" s="697">
        <v>20000</v>
      </c>
      <c r="E1671" s="695">
        <f>C1671*D1671</f>
        <v>0</v>
      </c>
      <c r="F1671" s="750"/>
      <c r="G1671" s="693" t="s">
        <v>453</v>
      </c>
      <c r="H1671" s="844" t="s">
        <v>497</v>
      </c>
      <c r="I1671" s="747">
        <f>VLOOKUP(H1662,'CNKT '!$D$114:$AA$178,19,0)</f>
        <v>0</v>
      </c>
      <c r="J1671" s="697">
        <v>20000</v>
      </c>
      <c r="K1671" s="695">
        <f>I1671*J1671</f>
        <v>0</v>
      </c>
      <c r="L1671" s="690"/>
    </row>
    <row r="1672" spans="1:12" s="27" customFormat="1" ht="17.25" customHeight="1">
      <c r="A1672" s="693" t="s">
        <v>512</v>
      </c>
      <c r="B1672" s="844" t="s">
        <v>513</v>
      </c>
      <c r="C1672" s="747"/>
      <c r="D1672" s="697"/>
      <c r="E1672" s="695"/>
      <c r="F1672" s="750"/>
      <c r="G1672" s="693" t="s">
        <v>512</v>
      </c>
      <c r="H1672" s="844" t="s">
        <v>513</v>
      </c>
      <c r="I1672" s="747"/>
      <c r="J1672" s="697"/>
      <c r="K1672" s="695"/>
      <c r="L1672" s="690"/>
    </row>
    <row r="1673" spans="1:12" s="27" customFormat="1" ht="17.25" customHeight="1">
      <c r="A1673" s="699" t="s">
        <v>79</v>
      </c>
      <c r="B1673" s="845" t="s">
        <v>532</v>
      </c>
      <c r="C1673" s="700"/>
      <c r="D1673" s="701"/>
      <c r="E1673" s="700"/>
      <c r="F1673" s="750"/>
      <c r="G1673" s="699" t="s">
        <v>79</v>
      </c>
      <c r="H1673" s="845" t="s">
        <v>532</v>
      </c>
      <c r="I1673" s="700"/>
      <c r="J1673" s="701"/>
      <c r="K1673" s="700"/>
      <c r="L1673" s="690"/>
    </row>
    <row r="1674" spans="1:12" s="27" customFormat="1" ht="17.25" customHeight="1">
      <c r="A1674" s="702" t="s">
        <v>80</v>
      </c>
      <c r="B1674" s="846" t="s">
        <v>533</v>
      </c>
      <c r="C1674" s="700"/>
      <c r="D1674" s="700"/>
      <c r="E1674" s="700"/>
      <c r="F1674" s="750"/>
      <c r="G1674" s="702" t="s">
        <v>80</v>
      </c>
      <c r="H1674" s="846" t="s">
        <v>533</v>
      </c>
      <c r="I1674" s="700"/>
      <c r="J1674" s="700"/>
      <c r="K1674" s="700"/>
      <c r="L1674" s="690"/>
    </row>
    <row r="1675" spans="1:12" s="27" customFormat="1" ht="17.25" customHeight="1">
      <c r="A1675" s="702" t="s">
        <v>81</v>
      </c>
      <c r="B1675" s="847" t="s">
        <v>534</v>
      </c>
      <c r="C1675" s="700"/>
      <c r="D1675" s="700"/>
      <c r="E1675" s="695">
        <f>SUM(E1674)</f>
        <v>0</v>
      </c>
      <c r="F1675" s="738"/>
      <c r="G1675" s="702" t="s">
        <v>81</v>
      </c>
      <c r="H1675" s="847" t="s">
        <v>534</v>
      </c>
      <c r="I1675" s="700"/>
      <c r="J1675" s="700"/>
      <c r="K1675" s="695">
        <f>SUM(K1674)</f>
        <v>0</v>
      </c>
      <c r="L1675" s="690"/>
    </row>
    <row r="1676" spans="1:12" s="27" customFormat="1" ht="17.25" customHeight="1">
      <c r="A1676" s="704" t="s">
        <v>82</v>
      </c>
      <c r="B1676" s="848" t="s">
        <v>438</v>
      </c>
      <c r="C1676" s="705"/>
      <c r="D1676" s="705"/>
      <c r="E1676" s="705">
        <f>(E1664+E1665+E1666+E1667+E1668+E1669+E1670+E1671+E1672)-E1675</f>
        <v>1028007.0800000001</v>
      </c>
      <c r="F1676" s="738"/>
      <c r="G1676" s="704" t="s">
        <v>82</v>
      </c>
      <c r="H1676" s="848" t="s">
        <v>438</v>
      </c>
      <c r="I1676" s="705"/>
      <c r="J1676" s="705"/>
      <c r="K1676" s="705">
        <f>(K1664+K1665+K1666+K1667+K1668+K1669+K1670+K1671+K1672)-K1675</f>
        <v>966340.03200000012</v>
      </c>
      <c r="L1676" s="707">
        <f>E1676+K1676</f>
        <v>1994347.1120000002</v>
      </c>
    </row>
    <row r="1677" spans="1:12" s="27" customFormat="1" ht="17.25" customHeight="1">
      <c r="A1677" s="763"/>
      <c r="B1677" s="763"/>
      <c r="C1677" s="763"/>
      <c r="D1677" s="763"/>
      <c r="E1677" s="763"/>
      <c r="F1677" s="763"/>
      <c r="G1677" s="763"/>
      <c r="H1677" s="763"/>
      <c r="I1677" s="763"/>
      <c r="J1677" s="763"/>
      <c r="K1677" s="763"/>
      <c r="L1677" s="690"/>
    </row>
    <row r="1678" spans="1:12" s="27" customFormat="1" ht="17.25" customHeight="1">
      <c r="A1678" s="759" t="str">
        <f>A1661</f>
        <v>LƯƠNG THÁNG 01/2025</v>
      </c>
      <c r="B1678" s="763"/>
      <c r="C1678" s="763"/>
      <c r="D1678" s="763"/>
      <c r="E1678" s="769">
        <f>VLOOKUP(B1679,'CNKT '!$D$114:$AD$178,26,0)</f>
        <v>0</v>
      </c>
      <c r="F1678" s="750"/>
      <c r="G1678" s="759" t="str">
        <f>A1678</f>
        <v>LƯƠNG THÁNG 01/2025</v>
      </c>
      <c r="H1678" s="763"/>
      <c r="I1678" s="763"/>
      <c r="J1678" s="766"/>
      <c r="K1678" s="769">
        <f>VLOOKUP(H1679,'CNKT '!$D$114:$AD$178,26,0)</f>
        <v>0</v>
      </c>
      <c r="L1678" s="690"/>
    </row>
    <row r="1679" spans="1:12" s="27" customFormat="1" ht="17.25" customHeight="1">
      <c r="A1679" s="709" t="s">
        <v>15</v>
      </c>
      <c r="B1679" s="840" t="str">
        <f>'CNKT '!D136</f>
        <v>N. Bun Đi</v>
      </c>
      <c r="C1679" s="694"/>
      <c r="D1679" s="840" t="s">
        <v>396</v>
      </c>
      <c r="E1679" s="840" t="s">
        <v>18</v>
      </c>
      <c r="F1679" s="750"/>
      <c r="G1679" s="709" t="s">
        <v>15</v>
      </c>
      <c r="H1679" s="840" t="str">
        <f>'CNKT '!D137</f>
        <v>N. Phon</v>
      </c>
      <c r="I1679" s="694"/>
      <c r="J1679" s="840" t="s">
        <v>396</v>
      </c>
      <c r="K1679" s="840" t="s">
        <v>18</v>
      </c>
      <c r="L1679" s="690"/>
    </row>
    <row r="1680" spans="1:12" s="27" customFormat="1" ht="17.25" customHeight="1">
      <c r="A1680" s="693" t="s">
        <v>397</v>
      </c>
      <c r="B1680" s="842" t="s">
        <v>527</v>
      </c>
      <c r="C1680" s="694">
        <f>VLOOKUP(B1679,'BTH mủ tạp'!$D$98:$AN$160,36,0)</f>
        <v>1038.0292310649652</v>
      </c>
      <c r="D1680" s="695"/>
      <c r="E1680" s="695"/>
      <c r="F1680" s="750"/>
      <c r="G1680" s="693" t="s">
        <v>397</v>
      </c>
      <c r="H1680" s="842" t="s">
        <v>527</v>
      </c>
      <c r="I1680" s="694">
        <f>VLOOKUP(H1679,'BTH mủ tạp'!$D$98:$AN$160,36,0)</f>
        <v>1074.9697730957469</v>
      </c>
      <c r="J1680" s="695"/>
      <c r="K1680" s="695"/>
      <c r="L1680" s="690"/>
    </row>
    <row r="1681" spans="1:12" s="27" customFormat="1" ht="17.25" customHeight="1">
      <c r="A1681" s="693" t="s">
        <v>77</v>
      </c>
      <c r="B1681" s="843" t="s">
        <v>432</v>
      </c>
      <c r="C1681" s="696">
        <f>VLOOKUP(B1679,'CNKT '!$D$113:$AA$178,3,0)</f>
        <v>0</v>
      </c>
      <c r="D1681" s="697">
        <v>25000</v>
      </c>
      <c r="E1681" s="695">
        <f t="shared" ref="E1681:E1686" si="195">C1681*D1681</f>
        <v>0</v>
      </c>
      <c r="F1681" s="750"/>
      <c r="G1681" s="693" t="s">
        <v>77</v>
      </c>
      <c r="H1681" s="843" t="s">
        <v>432</v>
      </c>
      <c r="I1681" s="696">
        <f>VLOOKUP(H1679,'CNKT '!$D$113:$AA$178,3,0)</f>
        <v>0</v>
      </c>
      <c r="J1681" s="697">
        <v>25000</v>
      </c>
      <c r="K1681" s="695">
        <f t="shared" ref="K1681:K1686" si="196">I1681*J1681</f>
        <v>0</v>
      </c>
      <c r="L1681" s="690"/>
    </row>
    <row r="1682" spans="1:12" s="27" customFormat="1" ht="17.25" customHeight="1">
      <c r="A1682" s="693" t="s">
        <v>307</v>
      </c>
      <c r="B1682" s="844" t="s">
        <v>528</v>
      </c>
      <c r="C1682" s="747">
        <f>VLOOKUP(B1679,'CNKT '!$D$113:$AA$178,11,0)</f>
        <v>24</v>
      </c>
      <c r="D1682" s="698">
        <f>46.1*$B$2</f>
        <v>30833.524000000001</v>
      </c>
      <c r="E1682" s="695">
        <f t="shared" si="195"/>
        <v>740004.576</v>
      </c>
      <c r="F1682" s="750"/>
      <c r="G1682" s="693" t="s">
        <v>307</v>
      </c>
      <c r="H1682" s="844" t="s">
        <v>528</v>
      </c>
      <c r="I1682" s="747">
        <f>VLOOKUP(H1679,'CNKT '!$D$113:$AA$178,11,0)</f>
        <v>24</v>
      </c>
      <c r="J1682" s="698">
        <f>46.1*$B$2</f>
        <v>30833.524000000001</v>
      </c>
      <c r="K1682" s="695">
        <f t="shared" si="196"/>
        <v>740004.576</v>
      </c>
      <c r="L1682" s="690"/>
    </row>
    <row r="1683" spans="1:12" s="27" customFormat="1" ht="17.25" customHeight="1">
      <c r="A1683" s="693" t="s">
        <v>399</v>
      </c>
      <c r="B1683" s="844" t="s">
        <v>529</v>
      </c>
      <c r="C1683" s="747">
        <f>VLOOKUP(B1679,'CNKT '!$D$113:$AA$178,12,0)</f>
        <v>5</v>
      </c>
      <c r="D1683" s="697">
        <f>76.9*$B$2</f>
        <v>51433.796000000009</v>
      </c>
      <c r="E1683" s="695">
        <f t="shared" si="195"/>
        <v>257168.98000000004</v>
      </c>
      <c r="F1683" s="750"/>
      <c r="G1683" s="693" t="s">
        <v>399</v>
      </c>
      <c r="H1683" s="844" t="s">
        <v>529</v>
      </c>
      <c r="I1683" s="747">
        <f>VLOOKUP(H1679,'CNKT '!$D$113:$AA$178,12,0)</f>
        <v>5</v>
      </c>
      <c r="J1683" s="697">
        <f>76.9*$B$2</f>
        <v>51433.796000000009</v>
      </c>
      <c r="K1683" s="695">
        <f t="shared" si="196"/>
        <v>257168.98000000004</v>
      </c>
      <c r="L1683" s="690"/>
    </row>
    <row r="1684" spans="1:12" s="27" customFormat="1" ht="17.25" customHeight="1">
      <c r="A1684" s="693" t="s">
        <v>78</v>
      </c>
      <c r="B1684" s="844" t="s">
        <v>530</v>
      </c>
      <c r="C1684" s="747">
        <f>VLOOKUP(B1679,'CNKT '!$D$113:$AA$178,8,0)</f>
        <v>1038.0292310649654</v>
      </c>
      <c r="D1684" s="697">
        <f>IF(C1680="A",6.1,IF(C1680="B",5.8,IF(C1680="C",5.5,IF(C1680="C.",5.5,IF(C1680="D",5.2)))))*$B$2</f>
        <v>0</v>
      </c>
      <c r="E1684" s="695">
        <f t="shared" si="195"/>
        <v>0</v>
      </c>
      <c r="F1684" s="750"/>
      <c r="G1684" s="693" t="s">
        <v>78</v>
      </c>
      <c r="H1684" s="844" t="s">
        <v>530</v>
      </c>
      <c r="I1684" s="747">
        <f>VLOOKUP(H1679,'CNKT '!$D$113:$AA$178,8,0)</f>
        <v>1074.9697730957471</v>
      </c>
      <c r="J1684" s="697">
        <f>IF(I1680="A",6.1,IF(I1680="B",5.8,IF(I1680="C",5.5,IF(I1680="C.",5.5,IF(I1680="D",5.2)))))*$B$2</f>
        <v>0</v>
      </c>
      <c r="K1684" s="695">
        <f t="shared" si="196"/>
        <v>0</v>
      </c>
      <c r="L1684" s="690"/>
    </row>
    <row r="1685" spans="1:12" s="27" customFormat="1" ht="17.25" customHeight="1">
      <c r="A1685" s="693" t="s">
        <v>493</v>
      </c>
      <c r="B1685" s="844" t="s">
        <v>531</v>
      </c>
      <c r="C1685" s="747">
        <f>VLOOKUP(B1679,'CNKT '!$D$99:$AA$178,13,0)</f>
        <v>0</v>
      </c>
      <c r="D1685" s="698">
        <f>92.2*$B$2</f>
        <v>61667.048000000003</v>
      </c>
      <c r="E1685" s="695">
        <f t="shared" si="195"/>
        <v>0</v>
      </c>
      <c r="F1685" s="750"/>
      <c r="G1685" s="693" t="s">
        <v>493</v>
      </c>
      <c r="H1685" s="844" t="s">
        <v>531</v>
      </c>
      <c r="I1685" s="747">
        <f>VLOOKUP(H1679,'CNKT '!$D$99:$AA$178,13,0)</f>
        <v>0</v>
      </c>
      <c r="J1685" s="698">
        <f>92.2*$B$2</f>
        <v>61667.048000000003</v>
      </c>
      <c r="K1685" s="695">
        <f t="shared" si="196"/>
        <v>0</v>
      </c>
      <c r="L1685" s="690"/>
    </row>
    <row r="1686" spans="1:12" s="27" customFormat="1" ht="17.25" customHeight="1">
      <c r="A1686" s="693" t="s">
        <v>448</v>
      </c>
      <c r="B1686" s="844" t="s">
        <v>496</v>
      </c>
      <c r="C1686" s="747">
        <f>VLOOKUP(B1679,'CNKT '!$D$113:$AA$178,14,0)</f>
        <v>0</v>
      </c>
      <c r="D1686" s="697">
        <f>153.6*$B$2</f>
        <v>102733.82400000001</v>
      </c>
      <c r="E1686" s="695">
        <f t="shared" si="195"/>
        <v>0</v>
      </c>
      <c r="F1686" s="750"/>
      <c r="G1686" s="693" t="s">
        <v>448</v>
      </c>
      <c r="H1686" s="844" t="s">
        <v>496</v>
      </c>
      <c r="I1686" s="747">
        <f>VLOOKUP(H1679,'CNKT '!$D$113:$AA$178,14,0)</f>
        <v>0</v>
      </c>
      <c r="J1686" s="697">
        <f>153.6*$B$2</f>
        <v>102733.82400000001</v>
      </c>
      <c r="K1686" s="695">
        <f t="shared" si="196"/>
        <v>0</v>
      </c>
      <c r="L1686" s="690"/>
    </row>
    <row r="1687" spans="1:12" s="27" customFormat="1" ht="17.25" customHeight="1">
      <c r="A1687" s="693" t="s">
        <v>453</v>
      </c>
      <c r="B1687" s="844" t="s">
        <v>497</v>
      </c>
      <c r="C1687" s="747">
        <f>VLOOKUP(B1679,'CNKT '!$D$114:$AA$178,18,0)</f>
        <v>0</v>
      </c>
      <c r="D1687" s="697">
        <v>10000</v>
      </c>
      <c r="E1687" s="695">
        <f>C1687*D1687</f>
        <v>0</v>
      </c>
      <c r="F1687" s="750"/>
      <c r="G1687" s="693" t="s">
        <v>453</v>
      </c>
      <c r="H1687" s="844" t="s">
        <v>497</v>
      </c>
      <c r="I1687" s="747">
        <f>VLOOKUP(H1679,'CNKT '!$D$114:$AA$178,18,0)</f>
        <v>0</v>
      </c>
      <c r="J1687" s="697">
        <v>10000</v>
      </c>
      <c r="K1687" s="695">
        <f>I1687*J1687</f>
        <v>0</v>
      </c>
      <c r="L1687" s="690"/>
    </row>
    <row r="1688" spans="1:12" s="27" customFormat="1" ht="17.25" customHeight="1">
      <c r="A1688" s="693" t="s">
        <v>453</v>
      </c>
      <c r="B1688" s="844" t="s">
        <v>497</v>
      </c>
      <c r="C1688" s="747">
        <f>VLOOKUP(B1679,'CNKT '!$D$114:$AA$178,19,0)</f>
        <v>0</v>
      </c>
      <c r="D1688" s="697">
        <v>20000</v>
      </c>
      <c r="E1688" s="695">
        <f>C1688*D1688</f>
        <v>0</v>
      </c>
      <c r="F1688" s="750"/>
      <c r="G1688" s="693" t="s">
        <v>453</v>
      </c>
      <c r="H1688" s="844" t="s">
        <v>497</v>
      </c>
      <c r="I1688" s="747">
        <f>VLOOKUP(H1679,'CNKT '!$D$114:$AA$178,19,0)</f>
        <v>0</v>
      </c>
      <c r="J1688" s="697">
        <v>20000</v>
      </c>
      <c r="K1688" s="695">
        <f>I1688*J1688</f>
        <v>0</v>
      </c>
      <c r="L1688" s="690"/>
    </row>
    <row r="1689" spans="1:12" s="27" customFormat="1" ht="17.25" customHeight="1">
      <c r="A1689" s="693" t="s">
        <v>512</v>
      </c>
      <c r="B1689" s="844" t="s">
        <v>513</v>
      </c>
      <c r="C1689" s="747"/>
      <c r="D1689" s="697"/>
      <c r="E1689" s="695"/>
      <c r="F1689" s="750"/>
      <c r="G1689" s="693" t="s">
        <v>512</v>
      </c>
      <c r="H1689" s="844" t="s">
        <v>513</v>
      </c>
      <c r="I1689" s="747"/>
      <c r="J1689" s="697"/>
      <c r="K1689" s="695"/>
      <c r="L1689" s="690"/>
    </row>
    <row r="1690" spans="1:12" s="27" customFormat="1" ht="17.25" customHeight="1">
      <c r="A1690" s="699" t="s">
        <v>79</v>
      </c>
      <c r="B1690" s="845" t="s">
        <v>532</v>
      </c>
      <c r="C1690" s="700"/>
      <c r="D1690" s="701"/>
      <c r="E1690" s="700"/>
      <c r="F1690" s="750"/>
      <c r="G1690" s="699" t="s">
        <v>79</v>
      </c>
      <c r="H1690" s="845" t="s">
        <v>532</v>
      </c>
      <c r="I1690" s="700"/>
      <c r="J1690" s="701"/>
      <c r="K1690" s="700"/>
      <c r="L1690" s="690"/>
    </row>
    <row r="1691" spans="1:12" s="27" customFormat="1" ht="17.25" customHeight="1">
      <c r="A1691" s="702" t="s">
        <v>80</v>
      </c>
      <c r="B1691" s="846" t="s">
        <v>533</v>
      </c>
      <c r="C1691" s="700"/>
      <c r="D1691" s="700"/>
      <c r="E1691" s="700"/>
      <c r="F1691" s="750"/>
      <c r="G1691" s="702" t="s">
        <v>80</v>
      </c>
      <c r="H1691" s="846" t="s">
        <v>533</v>
      </c>
      <c r="I1691" s="700"/>
      <c r="J1691" s="700"/>
      <c r="K1691" s="700"/>
      <c r="L1691" s="690"/>
    </row>
    <row r="1692" spans="1:12" s="27" customFormat="1" ht="17.25" customHeight="1">
      <c r="A1692" s="702" t="s">
        <v>81</v>
      </c>
      <c r="B1692" s="847" t="s">
        <v>534</v>
      </c>
      <c r="C1692" s="700"/>
      <c r="D1692" s="700"/>
      <c r="E1692" s="695">
        <f>SUM(E1691)</f>
        <v>0</v>
      </c>
      <c r="F1692" s="746"/>
      <c r="G1692" s="702" t="s">
        <v>81</v>
      </c>
      <c r="H1692" s="847" t="s">
        <v>534</v>
      </c>
      <c r="I1692" s="700"/>
      <c r="J1692" s="700"/>
      <c r="K1692" s="695">
        <f>SUM(K1691)</f>
        <v>0</v>
      </c>
      <c r="L1692" s="690"/>
    </row>
    <row r="1693" spans="1:12" s="27" customFormat="1" ht="17.25" customHeight="1">
      <c r="A1693" s="704" t="s">
        <v>82</v>
      </c>
      <c r="B1693" s="848" t="s">
        <v>438</v>
      </c>
      <c r="C1693" s="705"/>
      <c r="D1693" s="705"/>
      <c r="E1693" s="705">
        <f>(E1681+E1682+E1683+E1684+E1685+E1686+E1687+E1688+E1689)-E1692</f>
        <v>997173.5560000001</v>
      </c>
      <c r="F1693" s="746"/>
      <c r="G1693" s="704" t="s">
        <v>82</v>
      </c>
      <c r="H1693" s="848" t="s">
        <v>438</v>
      </c>
      <c r="I1693" s="705"/>
      <c r="J1693" s="705"/>
      <c r="K1693" s="705">
        <f>(K1681+K1682+K1683+K1684+K1685+K1686+K1687+K1688+K1689)-K1692</f>
        <v>997173.5560000001</v>
      </c>
      <c r="L1693" s="707">
        <f>E1693+K1693</f>
        <v>1994347.1120000002</v>
      </c>
    </row>
    <row r="1694" spans="1:12" s="27" customFormat="1" ht="207" customHeight="1">
      <c r="A1694" s="763"/>
      <c r="B1694" s="763"/>
      <c r="C1694" s="763"/>
      <c r="D1694" s="763"/>
      <c r="E1694" s="763"/>
      <c r="F1694" s="763"/>
      <c r="G1694" s="763"/>
      <c r="H1694" s="763"/>
      <c r="I1694" s="763"/>
      <c r="J1694" s="763"/>
      <c r="K1694" s="763"/>
      <c r="L1694" s="690"/>
    </row>
    <row r="1695" spans="1:12" s="27" customFormat="1" ht="17.25" customHeight="1">
      <c r="A1695" s="759" t="str">
        <f>A1678</f>
        <v>LƯƠNG THÁNG 01/2025</v>
      </c>
      <c r="B1695" s="763"/>
      <c r="C1695" s="763"/>
      <c r="D1695" s="763"/>
      <c r="E1695" s="769">
        <f>VLOOKUP(B1696,'CNKT '!$D$114:$AD$178,26,0)</f>
        <v>0</v>
      </c>
      <c r="F1695" s="750"/>
      <c r="G1695" s="759" t="str">
        <f>A1695</f>
        <v>LƯƠNG THÁNG 01/2025</v>
      </c>
      <c r="H1695" s="763"/>
      <c r="I1695" s="763"/>
      <c r="J1695" s="766"/>
      <c r="K1695" s="769">
        <f>VLOOKUP(H1696,'CNKT '!$D$114:$AD$178,26,0)</f>
        <v>0</v>
      </c>
      <c r="L1695" s="690"/>
    </row>
    <row r="1696" spans="1:12" s="27" customFormat="1" ht="17.25" customHeight="1">
      <c r="A1696" s="709" t="s">
        <v>15</v>
      </c>
      <c r="B1696" s="840" t="str">
        <f>'CNKT '!D138</f>
        <v xml:space="preserve">N. Bun </v>
      </c>
      <c r="C1696" s="694"/>
      <c r="D1696" s="840" t="s">
        <v>396</v>
      </c>
      <c r="E1696" s="840" t="s">
        <v>18</v>
      </c>
      <c r="F1696" s="750"/>
      <c r="G1696" s="709" t="s">
        <v>15</v>
      </c>
      <c r="H1696" s="840" t="str">
        <f>'CNKT '!D139</f>
        <v>N. Phu Văn</v>
      </c>
      <c r="I1696" s="694"/>
      <c r="J1696" s="840" t="s">
        <v>396</v>
      </c>
      <c r="K1696" s="840" t="s">
        <v>18</v>
      </c>
      <c r="L1696" s="690"/>
    </row>
    <row r="1697" spans="1:12" s="27" customFormat="1" ht="17.25" customHeight="1">
      <c r="A1697" s="693" t="s">
        <v>397</v>
      </c>
      <c r="B1697" s="842" t="s">
        <v>527</v>
      </c>
      <c r="C1697" s="694">
        <f>VLOOKUP(B1696,'BTH mủ tạp'!$D$98:$AN$160,36,0)</f>
        <v>1487.7803302897323</v>
      </c>
      <c r="D1697" s="695"/>
      <c r="E1697" s="695"/>
      <c r="F1697" s="750"/>
      <c r="G1697" s="693" t="s">
        <v>397</v>
      </c>
      <c r="H1697" s="842" t="s">
        <v>527</v>
      </c>
      <c r="I1697" s="694">
        <f>VLOOKUP(H1696,'BTH mủ tạp'!$D$98:$AN$160,36,0)</f>
        <v>1377.4204609727719</v>
      </c>
      <c r="J1697" s="695"/>
      <c r="K1697" s="695"/>
      <c r="L1697" s="690"/>
    </row>
    <row r="1698" spans="1:12" s="27" customFormat="1" ht="17.25" customHeight="1">
      <c r="A1698" s="693" t="s">
        <v>77</v>
      </c>
      <c r="B1698" s="843" t="s">
        <v>432</v>
      </c>
      <c r="C1698" s="696">
        <f>VLOOKUP(B1696,'CNKT '!$D$113:$AA$178,3,0)</f>
        <v>0</v>
      </c>
      <c r="D1698" s="697">
        <v>25000</v>
      </c>
      <c r="E1698" s="695">
        <f t="shared" ref="E1698:E1703" si="197">C1698*D1698</f>
        <v>0</v>
      </c>
      <c r="F1698" s="750"/>
      <c r="G1698" s="693" t="s">
        <v>77</v>
      </c>
      <c r="H1698" s="843" t="s">
        <v>432</v>
      </c>
      <c r="I1698" s="696">
        <f>VLOOKUP(H1696,'CNKT '!$D$113:$AA$178,3,0)</f>
        <v>0</v>
      </c>
      <c r="J1698" s="697">
        <v>25000</v>
      </c>
      <c r="K1698" s="695">
        <f t="shared" ref="K1698:K1703" si="198">I1698*J1698</f>
        <v>0</v>
      </c>
      <c r="L1698" s="690"/>
    </row>
    <row r="1699" spans="1:12" s="27" customFormat="1" ht="17.25" customHeight="1">
      <c r="A1699" s="693" t="s">
        <v>307</v>
      </c>
      <c r="B1699" s="844" t="s">
        <v>528</v>
      </c>
      <c r="C1699" s="747">
        <f>VLOOKUP(B1696,'CNKT '!$D$113:$AA$178,11,0)</f>
        <v>24</v>
      </c>
      <c r="D1699" s="698">
        <f>46.1*$B$2</f>
        <v>30833.524000000001</v>
      </c>
      <c r="E1699" s="695">
        <f t="shared" si="197"/>
        <v>740004.576</v>
      </c>
      <c r="F1699" s="750"/>
      <c r="G1699" s="693" t="s">
        <v>307</v>
      </c>
      <c r="H1699" s="844" t="s">
        <v>528</v>
      </c>
      <c r="I1699" s="747">
        <f>VLOOKUP(H1696,'CNKT '!$D$113:$AA$178,11,0)</f>
        <v>24</v>
      </c>
      <c r="J1699" s="698">
        <f>46.1*$B$2</f>
        <v>30833.524000000001</v>
      </c>
      <c r="K1699" s="695">
        <f t="shared" si="198"/>
        <v>740004.576</v>
      </c>
      <c r="L1699" s="690"/>
    </row>
    <row r="1700" spans="1:12" s="27" customFormat="1" ht="17.25" customHeight="1">
      <c r="A1700" s="693" t="s">
        <v>399</v>
      </c>
      <c r="B1700" s="844" t="s">
        <v>529</v>
      </c>
      <c r="C1700" s="747">
        <f>VLOOKUP(B1696,'CNKT '!$D$113:$AA$178,12,0)</f>
        <v>4</v>
      </c>
      <c r="D1700" s="697">
        <f>76.9*$B$2</f>
        <v>51433.796000000009</v>
      </c>
      <c r="E1700" s="695">
        <f t="shared" si="197"/>
        <v>205735.18400000004</v>
      </c>
      <c r="F1700" s="750"/>
      <c r="G1700" s="693" t="s">
        <v>399</v>
      </c>
      <c r="H1700" s="844" t="s">
        <v>529</v>
      </c>
      <c r="I1700" s="747">
        <f>VLOOKUP(H1696,'CNKT '!$D$113:$AA$178,12,0)</f>
        <v>5</v>
      </c>
      <c r="J1700" s="697">
        <f>76.9*$B$2</f>
        <v>51433.796000000009</v>
      </c>
      <c r="K1700" s="695">
        <f t="shared" si="198"/>
        <v>257168.98000000004</v>
      </c>
      <c r="L1700" s="690"/>
    </row>
    <row r="1701" spans="1:12" s="27" customFormat="1" ht="17.25" customHeight="1">
      <c r="A1701" s="693" t="s">
        <v>78</v>
      </c>
      <c r="B1701" s="844" t="s">
        <v>530</v>
      </c>
      <c r="C1701" s="747">
        <f>VLOOKUP(B1696,'CNKT '!$D$113:$AA$178,8,0)</f>
        <v>1487.7803302897325</v>
      </c>
      <c r="D1701" s="697">
        <f>IF(C1697="A",6.1,IF(C1697="B",5.8,IF(C1697="C",5.5,IF(C1697="C.",5.5,IF(C1697="D",5.2)))))*$B$2</f>
        <v>0</v>
      </c>
      <c r="E1701" s="695">
        <f t="shared" si="197"/>
        <v>0</v>
      </c>
      <c r="F1701" s="750"/>
      <c r="G1701" s="693" t="s">
        <v>78</v>
      </c>
      <c r="H1701" s="844" t="s">
        <v>530</v>
      </c>
      <c r="I1701" s="747">
        <f>VLOOKUP(H1696,'CNKT '!$D$113:$AA$178,8,0)</f>
        <v>1377.4204609727722</v>
      </c>
      <c r="J1701" s="697">
        <f>IF(I1697="A",6.1,IF(I1697="B",5.8,IF(I1697="C",5.5,IF(I1697="C.",5.5,IF(I1697="D",5.2)))))*$B$2</f>
        <v>0</v>
      </c>
      <c r="K1701" s="695">
        <f t="shared" si="198"/>
        <v>0</v>
      </c>
      <c r="L1701" s="690"/>
    </row>
    <row r="1702" spans="1:12" s="27" customFormat="1" ht="17.25" customHeight="1">
      <c r="A1702" s="693" t="s">
        <v>493</v>
      </c>
      <c r="B1702" s="844" t="s">
        <v>531</v>
      </c>
      <c r="C1702" s="747">
        <f>VLOOKUP(B1696,'CNKT '!$D$99:$AA$178,13,0)</f>
        <v>0</v>
      </c>
      <c r="D1702" s="698">
        <f>92.2*$B$2</f>
        <v>61667.048000000003</v>
      </c>
      <c r="E1702" s="695">
        <f t="shared" si="197"/>
        <v>0</v>
      </c>
      <c r="F1702" s="750"/>
      <c r="G1702" s="693" t="s">
        <v>493</v>
      </c>
      <c r="H1702" s="844" t="s">
        <v>531</v>
      </c>
      <c r="I1702" s="747">
        <f>VLOOKUP(H1696,'CNKT '!$D$99:$AA$178,13,0)</f>
        <v>0</v>
      </c>
      <c r="J1702" s="698">
        <f>92.2*$B$2</f>
        <v>61667.048000000003</v>
      </c>
      <c r="K1702" s="695">
        <f t="shared" si="198"/>
        <v>0</v>
      </c>
      <c r="L1702" s="690"/>
    </row>
    <row r="1703" spans="1:12" s="27" customFormat="1" ht="17.25" customHeight="1">
      <c r="A1703" s="693" t="s">
        <v>448</v>
      </c>
      <c r="B1703" s="844" t="s">
        <v>496</v>
      </c>
      <c r="C1703" s="747">
        <f>VLOOKUP(B1696,'CNKT '!$D$113:$AA$178,14,0)</f>
        <v>0</v>
      </c>
      <c r="D1703" s="697">
        <f>153.6*$B$2</f>
        <v>102733.82400000001</v>
      </c>
      <c r="E1703" s="695">
        <f t="shared" si="197"/>
        <v>0</v>
      </c>
      <c r="F1703" s="750"/>
      <c r="G1703" s="693" t="s">
        <v>448</v>
      </c>
      <c r="H1703" s="844" t="s">
        <v>496</v>
      </c>
      <c r="I1703" s="747">
        <f>VLOOKUP(H1696,'CNKT '!$D$113:$AA$178,14,0)</f>
        <v>0</v>
      </c>
      <c r="J1703" s="697">
        <f>153.6*$B$2</f>
        <v>102733.82400000001</v>
      </c>
      <c r="K1703" s="695">
        <f t="shared" si="198"/>
        <v>0</v>
      </c>
      <c r="L1703" s="690"/>
    </row>
    <row r="1704" spans="1:12" s="27" customFormat="1" ht="17.25" customHeight="1">
      <c r="A1704" s="693" t="s">
        <v>453</v>
      </c>
      <c r="B1704" s="844" t="s">
        <v>497</v>
      </c>
      <c r="C1704" s="747">
        <f>VLOOKUP(B1696,'CNKT '!$D$114:$AA$178,18,0)</f>
        <v>0</v>
      </c>
      <c r="D1704" s="697">
        <v>10000</v>
      </c>
      <c r="E1704" s="695">
        <f>C1704*D1704</f>
        <v>0</v>
      </c>
      <c r="F1704" s="750"/>
      <c r="G1704" s="693" t="s">
        <v>453</v>
      </c>
      <c r="H1704" s="844" t="s">
        <v>497</v>
      </c>
      <c r="I1704" s="747">
        <f>VLOOKUP(H1696,'CNKT '!$D$114:$AA$178,18,0)</f>
        <v>0</v>
      </c>
      <c r="J1704" s="697">
        <v>10000</v>
      </c>
      <c r="K1704" s="695">
        <f>I1704*J1704</f>
        <v>0</v>
      </c>
      <c r="L1704" s="690"/>
    </row>
    <row r="1705" spans="1:12" s="27" customFormat="1" ht="17.25" customHeight="1">
      <c r="A1705" s="693" t="s">
        <v>453</v>
      </c>
      <c r="B1705" s="844" t="s">
        <v>497</v>
      </c>
      <c r="C1705" s="747">
        <f>VLOOKUP(B1696,'CNKT '!$D$114:$AA$178,19,0)</f>
        <v>0</v>
      </c>
      <c r="D1705" s="697">
        <v>20000</v>
      </c>
      <c r="E1705" s="695">
        <f>C1705*D1705</f>
        <v>0</v>
      </c>
      <c r="F1705" s="750"/>
      <c r="G1705" s="693" t="s">
        <v>453</v>
      </c>
      <c r="H1705" s="844" t="s">
        <v>497</v>
      </c>
      <c r="I1705" s="747">
        <f>VLOOKUP(H1696,'CNKT '!$D$114:$AA$178,19,0)</f>
        <v>0</v>
      </c>
      <c r="J1705" s="697">
        <v>20000</v>
      </c>
      <c r="K1705" s="695">
        <f>I1705*J1705</f>
        <v>0</v>
      </c>
      <c r="L1705" s="690"/>
    </row>
    <row r="1706" spans="1:12" s="27" customFormat="1" ht="17.25" customHeight="1">
      <c r="A1706" s="693" t="s">
        <v>512</v>
      </c>
      <c r="B1706" s="844" t="s">
        <v>513</v>
      </c>
      <c r="C1706" s="747"/>
      <c r="D1706" s="697"/>
      <c r="E1706" s="695"/>
      <c r="F1706" s="750"/>
      <c r="G1706" s="693" t="s">
        <v>512</v>
      </c>
      <c r="H1706" s="844" t="s">
        <v>513</v>
      </c>
      <c r="I1706" s="747"/>
      <c r="J1706" s="697"/>
      <c r="K1706" s="695"/>
      <c r="L1706" s="690"/>
    </row>
    <row r="1707" spans="1:12" s="27" customFormat="1" ht="17.25" customHeight="1">
      <c r="A1707" s="699" t="s">
        <v>79</v>
      </c>
      <c r="B1707" s="845" t="s">
        <v>532</v>
      </c>
      <c r="C1707" s="700"/>
      <c r="D1707" s="701"/>
      <c r="E1707" s="700"/>
      <c r="F1707" s="750"/>
      <c r="G1707" s="699" t="s">
        <v>79</v>
      </c>
      <c r="H1707" s="845" t="s">
        <v>532</v>
      </c>
      <c r="I1707" s="700"/>
      <c r="J1707" s="701"/>
      <c r="K1707" s="700"/>
      <c r="L1707" s="690"/>
    </row>
    <row r="1708" spans="1:12" s="27" customFormat="1" ht="17.25" customHeight="1">
      <c r="A1708" s="702" t="s">
        <v>80</v>
      </c>
      <c r="B1708" s="846" t="s">
        <v>533</v>
      </c>
      <c r="C1708" s="700"/>
      <c r="D1708" s="700"/>
      <c r="E1708" s="700"/>
      <c r="F1708" s="750"/>
      <c r="G1708" s="702" t="s">
        <v>80</v>
      </c>
      <c r="H1708" s="846" t="s">
        <v>533</v>
      </c>
      <c r="I1708" s="700"/>
      <c r="J1708" s="700"/>
      <c r="K1708" s="700"/>
      <c r="L1708" s="690"/>
    </row>
    <row r="1709" spans="1:12" s="27" customFormat="1" ht="17.25" customHeight="1">
      <c r="A1709" s="702" t="s">
        <v>81</v>
      </c>
      <c r="B1709" s="847" t="s">
        <v>534</v>
      </c>
      <c r="C1709" s="700"/>
      <c r="D1709" s="700"/>
      <c r="E1709" s="695">
        <f>SUM(E1708)</f>
        <v>0</v>
      </c>
      <c r="F1709" s="738"/>
      <c r="G1709" s="702" t="s">
        <v>81</v>
      </c>
      <c r="H1709" s="847" t="s">
        <v>534</v>
      </c>
      <c r="I1709" s="700"/>
      <c r="J1709" s="700"/>
      <c r="K1709" s="695">
        <f>SUM(K1708)</f>
        <v>0</v>
      </c>
      <c r="L1709" s="690"/>
    </row>
    <row r="1710" spans="1:12" s="27" customFormat="1" ht="17.25" customHeight="1">
      <c r="A1710" s="704" t="s">
        <v>82</v>
      </c>
      <c r="B1710" s="848" t="s">
        <v>438</v>
      </c>
      <c r="C1710" s="705"/>
      <c r="D1710" s="705"/>
      <c r="E1710" s="705">
        <f>(E1698+E1699+E1700+E1701+E1702+E1703+E1704+E1705+E1706)-E1709</f>
        <v>945739.76</v>
      </c>
      <c r="F1710" s="738"/>
      <c r="G1710" s="704" t="s">
        <v>82</v>
      </c>
      <c r="H1710" s="848" t="s">
        <v>438</v>
      </c>
      <c r="I1710" s="705"/>
      <c r="J1710" s="705"/>
      <c r="K1710" s="705">
        <f>(K1698+K1699+K1700+K1701+K1702+K1703+K1704+K1705+K1706)-K1709</f>
        <v>997173.5560000001</v>
      </c>
      <c r="L1710" s="707">
        <f>E1710+K1710</f>
        <v>1942913.3160000001</v>
      </c>
    </row>
    <row r="1711" spans="1:12" s="27" customFormat="1" ht="17.25" customHeight="1">
      <c r="A1711" s="763"/>
      <c r="B1711" s="763"/>
      <c r="C1711" s="763"/>
      <c r="D1711" s="763"/>
      <c r="E1711" s="763"/>
      <c r="F1711" s="763"/>
      <c r="G1711" s="763"/>
      <c r="H1711" s="763"/>
      <c r="I1711" s="763"/>
      <c r="J1711" s="763"/>
      <c r="K1711" s="763"/>
      <c r="L1711" s="690"/>
    </row>
    <row r="1712" spans="1:12" s="27" customFormat="1" ht="17.25" customHeight="1">
      <c r="A1712" s="759" t="str">
        <f>A1695</f>
        <v>LƯƠNG THÁNG 01/2025</v>
      </c>
      <c r="B1712" s="763"/>
      <c r="C1712" s="763"/>
      <c r="D1712" s="763"/>
      <c r="E1712" s="769">
        <f>VLOOKUP(B1713,'CNKT '!$D$114:$AD$178,26,0)</f>
        <v>0</v>
      </c>
      <c r="F1712" s="750"/>
      <c r="G1712" s="759" t="str">
        <f>A1712</f>
        <v>LƯƠNG THÁNG 01/2025</v>
      </c>
      <c r="H1712" s="763"/>
      <c r="I1712" s="763"/>
      <c r="J1712" s="766"/>
      <c r="K1712" s="769">
        <f>VLOOKUP(H1713,'CNKT '!$D$114:$AD$178,26,0)</f>
        <v>0</v>
      </c>
      <c r="L1712" s="690"/>
    </row>
    <row r="1713" spans="1:12" s="27" customFormat="1" ht="17.25" customHeight="1">
      <c r="A1713" s="709" t="s">
        <v>15</v>
      </c>
      <c r="B1713" s="840" t="str">
        <f>'CNKT '!D140</f>
        <v>N. Lỷ</v>
      </c>
      <c r="C1713" s="694"/>
      <c r="D1713" s="840" t="s">
        <v>396</v>
      </c>
      <c r="E1713" s="840" t="s">
        <v>18</v>
      </c>
      <c r="F1713" s="750"/>
      <c r="G1713" s="709" t="s">
        <v>15</v>
      </c>
      <c r="H1713" s="840" t="str">
        <f>'CNKT '!D141</f>
        <v>N. Quen</v>
      </c>
      <c r="I1713" s="694"/>
      <c r="J1713" s="840" t="s">
        <v>396</v>
      </c>
      <c r="K1713" s="840" t="s">
        <v>18</v>
      </c>
      <c r="L1713" s="690"/>
    </row>
    <row r="1714" spans="1:12" s="27" customFormat="1" ht="17.25" customHeight="1">
      <c r="A1714" s="693" t="s">
        <v>397</v>
      </c>
      <c r="B1714" s="842" t="s">
        <v>527</v>
      </c>
      <c r="C1714" s="694">
        <f>VLOOKUP(B1713,'BTH mủ tạp'!$D$98:$AN$160,36,0)</f>
        <v>1104.0604499449876</v>
      </c>
      <c r="D1714" s="695"/>
      <c r="E1714" s="695"/>
      <c r="F1714" s="750"/>
      <c r="G1714" s="693" t="s">
        <v>397</v>
      </c>
      <c r="H1714" s="842" t="s">
        <v>527</v>
      </c>
      <c r="I1714" s="694">
        <f>VLOOKUP(H1713,'BTH mủ tạp'!$D$98:$AN$160,36,0)</f>
        <v>1368.6470822404613</v>
      </c>
      <c r="J1714" s="695"/>
      <c r="K1714" s="695"/>
      <c r="L1714" s="690"/>
    </row>
    <row r="1715" spans="1:12" s="27" customFormat="1" ht="17.25" customHeight="1">
      <c r="A1715" s="693" t="s">
        <v>77</v>
      </c>
      <c r="B1715" s="843" t="s">
        <v>432</v>
      </c>
      <c r="C1715" s="696">
        <f>VLOOKUP(B1713,'CNKT '!$D$113:$AA$178,3,0)</f>
        <v>0</v>
      </c>
      <c r="D1715" s="697">
        <v>25000</v>
      </c>
      <c r="E1715" s="695">
        <f t="shared" ref="E1715:E1720" si="199">C1715*D1715</f>
        <v>0</v>
      </c>
      <c r="F1715" s="750"/>
      <c r="G1715" s="693" t="s">
        <v>77</v>
      </c>
      <c r="H1715" s="843" t="s">
        <v>432</v>
      </c>
      <c r="I1715" s="696">
        <f>VLOOKUP(H1713,'CNKT '!$D$113:$AA$178,3,0)</f>
        <v>0</v>
      </c>
      <c r="J1715" s="697">
        <v>25000</v>
      </c>
      <c r="K1715" s="695">
        <f t="shared" ref="K1715:K1720" si="200">I1715*J1715</f>
        <v>0</v>
      </c>
      <c r="L1715" s="690"/>
    </row>
    <row r="1716" spans="1:12" s="27" customFormat="1" ht="17.25" customHeight="1">
      <c r="A1716" s="693" t="s">
        <v>307</v>
      </c>
      <c r="B1716" s="844" t="s">
        <v>528</v>
      </c>
      <c r="C1716" s="747">
        <f>VLOOKUP(B1713,'CNKT '!$D$113:$AA$178,11,0)</f>
        <v>24</v>
      </c>
      <c r="D1716" s="698">
        <f>46.1*$B$2</f>
        <v>30833.524000000001</v>
      </c>
      <c r="E1716" s="695">
        <f t="shared" si="199"/>
        <v>740004.576</v>
      </c>
      <c r="F1716" s="750"/>
      <c r="G1716" s="693" t="s">
        <v>307</v>
      </c>
      <c r="H1716" s="844" t="s">
        <v>528</v>
      </c>
      <c r="I1716" s="747">
        <f>VLOOKUP(H1713,'CNKT '!$D$113:$AA$178,11,0)</f>
        <v>23</v>
      </c>
      <c r="J1716" s="698">
        <f>46.1*$B$2</f>
        <v>30833.524000000001</v>
      </c>
      <c r="K1716" s="695">
        <f t="shared" si="200"/>
        <v>709171.05200000003</v>
      </c>
      <c r="L1716" s="690"/>
    </row>
    <row r="1717" spans="1:12" s="27" customFormat="1" ht="17.25" customHeight="1">
      <c r="A1717" s="693" t="s">
        <v>399</v>
      </c>
      <c r="B1717" s="844" t="s">
        <v>529</v>
      </c>
      <c r="C1717" s="747">
        <f>VLOOKUP(B1713,'CNKT '!$D$113:$AA$178,12,0)</f>
        <v>5</v>
      </c>
      <c r="D1717" s="697">
        <f>76.9*$B$2</f>
        <v>51433.796000000009</v>
      </c>
      <c r="E1717" s="695">
        <f t="shared" si="199"/>
        <v>257168.98000000004</v>
      </c>
      <c r="F1717" s="750"/>
      <c r="G1717" s="693" t="s">
        <v>399</v>
      </c>
      <c r="H1717" s="844" t="s">
        <v>529</v>
      </c>
      <c r="I1717" s="747">
        <f>VLOOKUP(H1713,'CNKT '!$D$113:$AA$178,12,0)</f>
        <v>5</v>
      </c>
      <c r="J1717" s="697">
        <f>76.9*$B$2</f>
        <v>51433.796000000009</v>
      </c>
      <c r="K1717" s="695">
        <f t="shared" si="200"/>
        <v>257168.98000000004</v>
      </c>
      <c r="L1717" s="690"/>
    </row>
    <row r="1718" spans="1:12" s="27" customFormat="1" ht="17.25" customHeight="1">
      <c r="A1718" s="693" t="s">
        <v>78</v>
      </c>
      <c r="B1718" s="844" t="s">
        <v>530</v>
      </c>
      <c r="C1718" s="747">
        <f>VLOOKUP(B1713,'CNKT '!$D$113:$AA$178,8,0)</f>
        <v>1104.0604499449878</v>
      </c>
      <c r="D1718" s="697">
        <f>IF(C1714="A",6.1,IF(C1714="B",5.8,IF(C1714="C",5.5,IF(C1714="C.",5.5,IF(C1714="D",5.2)))))*$B$2</f>
        <v>0</v>
      </c>
      <c r="E1718" s="695">
        <f t="shared" si="199"/>
        <v>0</v>
      </c>
      <c r="F1718" s="750"/>
      <c r="G1718" s="693" t="s">
        <v>78</v>
      </c>
      <c r="H1718" s="844" t="s">
        <v>530</v>
      </c>
      <c r="I1718" s="747">
        <f>VLOOKUP(H1713,'CNKT '!$D$113:$AA$178,8,0)</f>
        <v>1368.6470822404615</v>
      </c>
      <c r="J1718" s="697">
        <f>IF(I1714="A",6.1,IF(I1714="B",5.8,IF(I1714="C",5.5,IF(I1714="C.",5.5,IF(I1714="D",5.2)))))*$B$2</f>
        <v>0</v>
      </c>
      <c r="K1718" s="695">
        <f t="shared" si="200"/>
        <v>0</v>
      </c>
      <c r="L1718" s="690"/>
    </row>
    <row r="1719" spans="1:12" s="27" customFormat="1" ht="17.25" customHeight="1">
      <c r="A1719" s="693" t="s">
        <v>493</v>
      </c>
      <c r="B1719" s="844" t="s">
        <v>531</v>
      </c>
      <c r="C1719" s="747">
        <f>VLOOKUP(B1713,'CNKT '!$D$99:$AA$178,13,0)</f>
        <v>0</v>
      </c>
      <c r="D1719" s="698">
        <f>92.2*$B$2</f>
        <v>61667.048000000003</v>
      </c>
      <c r="E1719" s="695">
        <f t="shared" si="199"/>
        <v>0</v>
      </c>
      <c r="F1719" s="750"/>
      <c r="G1719" s="693" t="s">
        <v>493</v>
      </c>
      <c r="H1719" s="844" t="s">
        <v>531</v>
      </c>
      <c r="I1719" s="747">
        <f>VLOOKUP(H1713,'CNKT '!$D$99:$AA$178,13,0)</f>
        <v>0</v>
      </c>
      <c r="J1719" s="698">
        <f>92.2*$B$2</f>
        <v>61667.048000000003</v>
      </c>
      <c r="K1719" s="695">
        <f t="shared" si="200"/>
        <v>0</v>
      </c>
      <c r="L1719" s="690"/>
    </row>
    <row r="1720" spans="1:12" s="27" customFormat="1" ht="17.25" customHeight="1">
      <c r="A1720" s="693" t="s">
        <v>448</v>
      </c>
      <c r="B1720" s="844" t="s">
        <v>496</v>
      </c>
      <c r="C1720" s="747">
        <f>VLOOKUP(B1713,'CNKT '!$D$113:$AA$178,14,0)</f>
        <v>0</v>
      </c>
      <c r="D1720" s="697">
        <f>153.6*$B$2</f>
        <v>102733.82400000001</v>
      </c>
      <c r="E1720" s="695">
        <f t="shared" si="199"/>
        <v>0</v>
      </c>
      <c r="F1720" s="750"/>
      <c r="G1720" s="693" t="s">
        <v>448</v>
      </c>
      <c r="H1720" s="844" t="s">
        <v>496</v>
      </c>
      <c r="I1720" s="747">
        <f>VLOOKUP(H1713,'CNKT '!$D$113:$AA$178,14,0)</f>
        <v>0</v>
      </c>
      <c r="J1720" s="697">
        <f>153.6*$B$2</f>
        <v>102733.82400000001</v>
      </c>
      <c r="K1720" s="695">
        <f t="shared" si="200"/>
        <v>0</v>
      </c>
      <c r="L1720" s="690"/>
    </row>
    <row r="1721" spans="1:12" s="27" customFormat="1" ht="17.25" customHeight="1">
      <c r="A1721" s="693" t="s">
        <v>453</v>
      </c>
      <c r="B1721" s="844" t="s">
        <v>497</v>
      </c>
      <c r="C1721" s="747">
        <f>VLOOKUP(B1713,'CNKT '!$D$114:$AA$178,18,0)</f>
        <v>0</v>
      </c>
      <c r="D1721" s="697">
        <v>10000</v>
      </c>
      <c r="E1721" s="695">
        <f>C1721*D1721</f>
        <v>0</v>
      </c>
      <c r="F1721" s="750"/>
      <c r="G1721" s="693" t="s">
        <v>453</v>
      </c>
      <c r="H1721" s="844" t="s">
        <v>497</v>
      </c>
      <c r="I1721" s="747">
        <f>VLOOKUP(H1713,'CNKT '!$D$114:$AA$178,18,0)</f>
        <v>0</v>
      </c>
      <c r="J1721" s="697">
        <v>10000</v>
      </c>
      <c r="K1721" s="695">
        <f>I1721*J1721</f>
        <v>0</v>
      </c>
      <c r="L1721" s="690"/>
    </row>
    <row r="1722" spans="1:12" s="27" customFormat="1" ht="17.25" customHeight="1">
      <c r="A1722" s="693" t="s">
        <v>453</v>
      </c>
      <c r="B1722" s="844" t="s">
        <v>497</v>
      </c>
      <c r="C1722" s="747">
        <f>VLOOKUP(B1713,'CNKT '!$D$114:$AA$178,19,0)</f>
        <v>0</v>
      </c>
      <c r="D1722" s="697">
        <v>20000</v>
      </c>
      <c r="E1722" s="695">
        <f>C1722*D1722</f>
        <v>0</v>
      </c>
      <c r="F1722" s="750"/>
      <c r="G1722" s="693" t="s">
        <v>453</v>
      </c>
      <c r="H1722" s="844" t="s">
        <v>497</v>
      </c>
      <c r="I1722" s="747">
        <f>VLOOKUP(H1713,'CNKT '!$D$114:$AA$178,19,0)</f>
        <v>0</v>
      </c>
      <c r="J1722" s="697">
        <v>20000</v>
      </c>
      <c r="K1722" s="695">
        <f>I1722*J1722</f>
        <v>0</v>
      </c>
      <c r="L1722" s="690"/>
    </row>
    <row r="1723" spans="1:12" s="27" customFormat="1" ht="17.25" customHeight="1">
      <c r="A1723" s="693" t="s">
        <v>512</v>
      </c>
      <c r="B1723" s="844" t="s">
        <v>513</v>
      </c>
      <c r="C1723" s="747"/>
      <c r="D1723" s="697"/>
      <c r="E1723" s="695"/>
      <c r="F1723" s="750"/>
      <c r="G1723" s="693" t="s">
        <v>512</v>
      </c>
      <c r="H1723" s="844" t="s">
        <v>513</v>
      </c>
      <c r="I1723" s="747"/>
      <c r="J1723" s="697"/>
      <c r="K1723" s="695"/>
      <c r="L1723" s="690"/>
    </row>
    <row r="1724" spans="1:12" s="27" customFormat="1" ht="17.25" customHeight="1">
      <c r="A1724" s="699" t="s">
        <v>79</v>
      </c>
      <c r="B1724" s="845" t="s">
        <v>532</v>
      </c>
      <c r="C1724" s="700"/>
      <c r="D1724" s="701"/>
      <c r="E1724" s="700"/>
      <c r="F1724" s="750"/>
      <c r="G1724" s="699" t="s">
        <v>79</v>
      </c>
      <c r="H1724" s="845" t="s">
        <v>532</v>
      </c>
      <c r="I1724" s="700"/>
      <c r="J1724" s="701"/>
      <c r="K1724" s="700"/>
      <c r="L1724" s="690"/>
    </row>
    <row r="1725" spans="1:12" s="27" customFormat="1" ht="17.25" customHeight="1">
      <c r="A1725" s="702" t="s">
        <v>80</v>
      </c>
      <c r="B1725" s="846" t="s">
        <v>533</v>
      </c>
      <c r="C1725" s="700"/>
      <c r="D1725" s="700"/>
      <c r="E1725" s="700"/>
      <c r="F1725" s="750"/>
      <c r="G1725" s="702" t="s">
        <v>80</v>
      </c>
      <c r="H1725" s="846" t="s">
        <v>533</v>
      </c>
      <c r="I1725" s="700"/>
      <c r="J1725" s="700"/>
      <c r="K1725" s="700"/>
      <c r="L1725" s="690"/>
    </row>
    <row r="1726" spans="1:12" s="27" customFormat="1" ht="17.25" customHeight="1">
      <c r="A1726" s="702" t="s">
        <v>81</v>
      </c>
      <c r="B1726" s="847" t="s">
        <v>534</v>
      </c>
      <c r="C1726" s="700"/>
      <c r="D1726" s="700"/>
      <c r="E1726" s="695">
        <f>SUM(E1725)</f>
        <v>0</v>
      </c>
      <c r="F1726" s="738"/>
      <c r="G1726" s="702" t="s">
        <v>81</v>
      </c>
      <c r="H1726" s="847" t="s">
        <v>534</v>
      </c>
      <c r="I1726" s="700"/>
      <c r="J1726" s="700"/>
      <c r="K1726" s="695">
        <f>SUM(K1725)</f>
        <v>0</v>
      </c>
      <c r="L1726" s="690"/>
    </row>
    <row r="1727" spans="1:12" s="27" customFormat="1" ht="17.25" customHeight="1">
      <c r="A1727" s="704" t="s">
        <v>82</v>
      </c>
      <c r="B1727" s="848" t="s">
        <v>438</v>
      </c>
      <c r="C1727" s="705"/>
      <c r="D1727" s="705"/>
      <c r="E1727" s="705">
        <f>(E1715+E1716+E1717+E1718+E1719+E1720+E1721+E1722+E1723)-E1726</f>
        <v>997173.5560000001</v>
      </c>
      <c r="F1727" s="738"/>
      <c r="G1727" s="704" t="s">
        <v>82</v>
      </c>
      <c r="H1727" s="848" t="s">
        <v>438</v>
      </c>
      <c r="I1727" s="705"/>
      <c r="J1727" s="705"/>
      <c r="K1727" s="705">
        <f>(K1715+K1716+K1717+K1718+K1719+K1720+K1721+K1722+K1723)-K1726</f>
        <v>966340.03200000012</v>
      </c>
      <c r="L1727" s="707">
        <f>E1727+K1727</f>
        <v>1963513.5880000002</v>
      </c>
    </row>
    <row r="1728" spans="1:12" s="27" customFormat="1" ht="66.75" customHeight="1">
      <c r="A1728" s="763"/>
      <c r="B1728" s="763"/>
      <c r="C1728" s="763"/>
      <c r="D1728" s="763"/>
      <c r="E1728" s="763"/>
      <c r="F1728" s="763"/>
      <c r="G1728" s="763"/>
      <c r="H1728" s="763"/>
      <c r="I1728" s="763"/>
      <c r="J1728" s="763"/>
      <c r="K1728" s="763"/>
      <c r="L1728" s="690"/>
    </row>
    <row r="1729" spans="1:12" s="27" customFormat="1" ht="17.25" customHeight="1">
      <c r="A1729" s="759" t="str">
        <f>A1712</f>
        <v>LƯƠNG THÁNG 01/2025</v>
      </c>
      <c r="B1729" s="763"/>
      <c r="C1729" s="763"/>
      <c r="D1729" s="763"/>
      <c r="E1729" s="769">
        <f>VLOOKUP(B1730,'CNKT '!$D$114:$AD$178,26,0)</f>
        <v>0</v>
      </c>
      <c r="F1729" s="750"/>
      <c r="G1729" s="759" t="str">
        <f>A1729</f>
        <v>LƯƠNG THÁNG 01/2025</v>
      </c>
      <c r="H1729" s="763"/>
      <c r="I1729" s="763"/>
      <c r="J1729" s="766"/>
      <c r="K1729" s="769">
        <f>VLOOKUP(H1730,'CNKT '!$D$114:$AD$178,26,0)</f>
        <v>0</v>
      </c>
      <c r="L1729" s="690"/>
    </row>
    <row r="1730" spans="1:12" s="27" customFormat="1" ht="17.25" customHeight="1">
      <c r="A1730" s="709" t="s">
        <v>15</v>
      </c>
      <c r="B1730" s="840" t="str">
        <f>'CNKT '!D142</f>
        <v>T. Xi Nuôn</v>
      </c>
      <c r="C1730" s="694"/>
      <c r="D1730" s="840" t="s">
        <v>396</v>
      </c>
      <c r="E1730" s="840" t="s">
        <v>18</v>
      </c>
      <c r="F1730" s="750"/>
      <c r="G1730" s="709" t="s">
        <v>15</v>
      </c>
      <c r="H1730" s="840" t="str">
        <f>'CNKT '!D143</f>
        <v>N. Ốc</v>
      </c>
      <c r="I1730" s="694"/>
      <c r="J1730" s="840" t="s">
        <v>396</v>
      </c>
      <c r="K1730" s="840" t="s">
        <v>18</v>
      </c>
      <c r="L1730" s="690"/>
    </row>
    <row r="1731" spans="1:12" s="27" customFormat="1" ht="17.25" customHeight="1">
      <c r="A1731" s="693" t="s">
        <v>397</v>
      </c>
      <c r="B1731" s="842" t="s">
        <v>527</v>
      </c>
      <c r="C1731" s="694">
        <f>VLOOKUP(B1730,'BTH mủ tạp'!$D$98:$AN$160,36,0)</f>
        <v>900.42571200030352</v>
      </c>
      <c r="D1731" s="695"/>
      <c r="E1731" s="695"/>
      <c r="F1731" s="750"/>
      <c r="G1731" s="693" t="s">
        <v>397</v>
      </c>
      <c r="H1731" s="842" t="s">
        <v>527</v>
      </c>
      <c r="I1731" s="694">
        <f>VLOOKUP(H1730,'BTH mủ tạp'!$D$98:$AN$160,36,0)</f>
        <v>1103.1369363942181</v>
      </c>
      <c r="J1731" s="695"/>
      <c r="K1731" s="695"/>
      <c r="L1731" s="690"/>
    </row>
    <row r="1732" spans="1:12" s="27" customFormat="1" ht="17.25" customHeight="1">
      <c r="A1732" s="693" t="s">
        <v>77</v>
      </c>
      <c r="B1732" s="843" t="s">
        <v>432</v>
      </c>
      <c r="C1732" s="696">
        <f>VLOOKUP(B1730,'CNKT '!$D$113:$AA$178,3,0)</f>
        <v>0</v>
      </c>
      <c r="D1732" s="697">
        <v>25000</v>
      </c>
      <c r="E1732" s="695">
        <f t="shared" ref="E1732:E1737" si="201">C1732*D1732</f>
        <v>0</v>
      </c>
      <c r="F1732" s="750"/>
      <c r="G1732" s="693" t="s">
        <v>77</v>
      </c>
      <c r="H1732" s="843" t="s">
        <v>432</v>
      </c>
      <c r="I1732" s="696">
        <f>VLOOKUP(H1730,'CNKT '!$D$113:$AA$178,3,0)</f>
        <v>0</v>
      </c>
      <c r="J1732" s="697">
        <v>25000</v>
      </c>
      <c r="K1732" s="695">
        <f t="shared" ref="K1732:K1737" si="202">I1732*J1732</f>
        <v>0</v>
      </c>
      <c r="L1732" s="690"/>
    </row>
    <row r="1733" spans="1:12" s="27" customFormat="1" ht="17.25" customHeight="1">
      <c r="A1733" s="693" t="s">
        <v>307</v>
      </c>
      <c r="B1733" s="844" t="s">
        <v>528</v>
      </c>
      <c r="C1733" s="747">
        <f>VLOOKUP(B1730,'CNKT '!$D$113:$AA$178,11,0)</f>
        <v>20</v>
      </c>
      <c r="D1733" s="698">
        <f>46.1*$B$2</f>
        <v>30833.524000000001</v>
      </c>
      <c r="E1733" s="695">
        <f t="shared" si="201"/>
        <v>616670.48</v>
      </c>
      <c r="F1733" s="750"/>
      <c r="G1733" s="693" t="s">
        <v>307</v>
      </c>
      <c r="H1733" s="844" t="s">
        <v>528</v>
      </c>
      <c r="I1733" s="747">
        <f>VLOOKUP(H1730,'CNKT '!$D$113:$AA$178,11,0)</f>
        <v>24</v>
      </c>
      <c r="J1733" s="698">
        <f>46.1*$B$2</f>
        <v>30833.524000000001</v>
      </c>
      <c r="K1733" s="695">
        <f t="shared" si="202"/>
        <v>740004.576</v>
      </c>
      <c r="L1733" s="690"/>
    </row>
    <row r="1734" spans="1:12" s="27" customFormat="1" ht="17.25" customHeight="1">
      <c r="A1734" s="693" t="s">
        <v>399</v>
      </c>
      <c r="B1734" s="844" t="s">
        <v>529</v>
      </c>
      <c r="C1734" s="747">
        <f>VLOOKUP(B1730,'CNKT '!$D$113:$AA$178,12,0)</f>
        <v>4</v>
      </c>
      <c r="D1734" s="697">
        <f>76.9*$B$2</f>
        <v>51433.796000000009</v>
      </c>
      <c r="E1734" s="695">
        <f t="shared" si="201"/>
        <v>205735.18400000004</v>
      </c>
      <c r="F1734" s="750"/>
      <c r="G1734" s="693" t="s">
        <v>399</v>
      </c>
      <c r="H1734" s="844" t="s">
        <v>529</v>
      </c>
      <c r="I1734" s="747">
        <f>VLOOKUP(H1730,'CNKT '!$D$113:$AA$178,12,0)</f>
        <v>5</v>
      </c>
      <c r="J1734" s="697">
        <f>76.9*$B$2</f>
        <v>51433.796000000009</v>
      </c>
      <c r="K1734" s="695">
        <f t="shared" si="202"/>
        <v>257168.98000000004</v>
      </c>
      <c r="L1734" s="690"/>
    </row>
    <row r="1735" spans="1:12" s="27" customFormat="1" ht="17.25" customHeight="1">
      <c r="A1735" s="693" t="s">
        <v>78</v>
      </c>
      <c r="B1735" s="844" t="s">
        <v>530</v>
      </c>
      <c r="C1735" s="747">
        <f>VLOOKUP(B1730,'CNKT '!$D$113:$AA$178,8,0)</f>
        <v>900.42571200030363</v>
      </c>
      <c r="D1735" s="697">
        <f>IF(C1731="A",6.1,IF(C1731="B",5.8,IF(C1731="C",5.5,IF(C1731="C.",5.5,IF(C1731="D",5.2)))))*$B$2</f>
        <v>0</v>
      </c>
      <c r="E1735" s="695">
        <f t="shared" si="201"/>
        <v>0</v>
      </c>
      <c r="F1735" s="750"/>
      <c r="G1735" s="693" t="s">
        <v>78</v>
      </c>
      <c r="H1735" s="844" t="s">
        <v>530</v>
      </c>
      <c r="I1735" s="747">
        <f>VLOOKUP(H1730,'CNKT '!$D$113:$AA$178,8,0)</f>
        <v>1103.1369363942181</v>
      </c>
      <c r="J1735" s="697">
        <f>IF(I1731="A",6.1,IF(I1731="B",5.8,IF(I1731="C",5.5,IF(I1731="C.",5.5,IF(I1731="D",5.2)))))*$B$2</f>
        <v>0</v>
      </c>
      <c r="K1735" s="695">
        <f t="shared" si="202"/>
        <v>0</v>
      </c>
      <c r="L1735" s="690"/>
    </row>
    <row r="1736" spans="1:12" s="27" customFormat="1" ht="17.25" customHeight="1">
      <c r="A1736" s="693" t="s">
        <v>493</v>
      </c>
      <c r="B1736" s="844" t="s">
        <v>531</v>
      </c>
      <c r="C1736" s="747">
        <f>VLOOKUP(B1730,'CNKT '!$D$99:$AA$178,13,0)</f>
        <v>0</v>
      </c>
      <c r="D1736" s="698">
        <f>92.2*$B$2</f>
        <v>61667.048000000003</v>
      </c>
      <c r="E1736" s="695">
        <f t="shared" si="201"/>
        <v>0</v>
      </c>
      <c r="F1736" s="750"/>
      <c r="G1736" s="693" t="s">
        <v>493</v>
      </c>
      <c r="H1736" s="844" t="s">
        <v>531</v>
      </c>
      <c r="I1736" s="747">
        <f>VLOOKUP(H1730,'CNKT '!$D$99:$AA$178,13,0)</f>
        <v>0</v>
      </c>
      <c r="J1736" s="698">
        <f>92.2*$B$2</f>
        <v>61667.048000000003</v>
      </c>
      <c r="K1736" s="695">
        <f t="shared" si="202"/>
        <v>0</v>
      </c>
      <c r="L1736" s="690"/>
    </row>
    <row r="1737" spans="1:12" s="27" customFormat="1" ht="17.25" customHeight="1">
      <c r="A1737" s="693" t="s">
        <v>448</v>
      </c>
      <c r="B1737" s="844" t="s">
        <v>496</v>
      </c>
      <c r="C1737" s="747">
        <f>VLOOKUP(B1730,'CNKT '!$D$113:$AA$178,14,0)</f>
        <v>0</v>
      </c>
      <c r="D1737" s="697">
        <f>153.6*$B$2</f>
        <v>102733.82400000001</v>
      </c>
      <c r="E1737" s="695">
        <f t="shared" si="201"/>
        <v>0</v>
      </c>
      <c r="F1737" s="750"/>
      <c r="G1737" s="693" t="s">
        <v>448</v>
      </c>
      <c r="H1737" s="844" t="s">
        <v>496</v>
      </c>
      <c r="I1737" s="747">
        <f>VLOOKUP(H1730,'CNKT '!$D$113:$AA$178,14,0)</f>
        <v>0</v>
      </c>
      <c r="J1737" s="697">
        <f>153.6*$B$2</f>
        <v>102733.82400000001</v>
      </c>
      <c r="K1737" s="695">
        <f t="shared" si="202"/>
        <v>0</v>
      </c>
      <c r="L1737" s="690"/>
    </row>
    <row r="1738" spans="1:12" s="27" customFormat="1" ht="17.25" customHeight="1">
      <c r="A1738" s="693" t="s">
        <v>453</v>
      </c>
      <c r="B1738" s="844" t="s">
        <v>497</v>
      </c>
      <c r="C1738" s="747">
        <f>VLOOKUP(B1730,'CNKT '!$D$114:$AA$178,18,0)</f>
        <v>0</v>
      </c>
      <c r="D1738" s="697">
        <v>10000</v>
      </c>
      <c r="E1738" s="695">
        <f>C1738*D1738</f>
        <v>0</v>
      </c>
      <c r="F1738" s="750"/>
      <c r="G1738" s="693" t="s">
        <v>453</v>
      </c>
      <c r="H1738" s="844" t="s">
        <v>497</v>
      </c>
      <c r="I1738" s="747">
        <f>VLOOKUP(H1730,'CNKT '!$D$114:$AA$178,18,0)</f>
        <v>0</v>
      </c>
      <c r="J1738" s="697">
        <v>10000</v>
      </c>
      <c r="K1738" s="695">
        <f>I1738*J1738</f>
        <v>0</v>
      </c>
      <c r="L1738" s="690"/>
    </row>
    <row r="1739" spans="1:12" s="27" customFormat="1" ht="17.25" customHeight="1">
      <c r="A1739" s="693" t="s">
        <v>453</v>
      </c>
      <c r="B1739" s="844" t="s">
        <v>497</v>
      </c>
      <c r="C1739" s="747">
        <f>VLOOKUP(B1730,'CNKT '!$D$114:$AA$178,19,0)</f>
        <v>0</v>
      </c>
      <c r="D1739" s="697">
        <v>20000</v>
      </c>
      <c r="E1739" s="695">
        <f>C1739*D1739</f>
        <v>0</v>
      </c>
      <c r="F1739" s="750"/>
      <c r="G1739" s="693" t="s">
        <v>453</v>
      </c>
      <c r="H1739" s="844" t="s">
        <v>497</v>
      </c>
      <c r="I1739" s="747">
        <f>VLOOKUP(H1730,'CNKT '!$D$114:$AA$178,19,0)</f>
        <v>0</v>
      </c>
      <c r="J1739" s="697">
        <v>20000</v>
      </c>
      <c r="K1739" s="695">
        <f>I1739*J1739</f>
        <v>0</v>
      </c>
      <c r="L1739" s="690"/>
    </row>
    <row r="1740" spans="1:12" s="27" customFormat="1" ht="17.25" customHeight="1">
      <c r="A1740" s="693" t="s">
        <v>512</v>
      </c>
      <c r="B1740" s="844" t="s">
        <v>513</v>
      </c>
      <c r="C1740" s="747"/>
      <c r="D1740" s="697"/>
      <c r="E1740" s="695"/>
      <c r="F1740" s="750"/>
      <c r="G1740" s="693" t="s">
        <v>512</v>
      </c>
      <c r="H1740" s="844" t="s">
        <v>513</v>
      </c>
      <c r="I1740" s="747"/>
      <c r="J1740" s="697"/>
      <c r="K1740" s="695"/>
      <c r="L1740" s="690"/>
    </row>
    <row r="1741" spans="1:12" s="27" customFormat="1" ht="17.25" customHeight="1">
      <c r="A1741" s="699" t="s">
        <v>79</v>
      </c>
      <c r="B1741" s="845" t="s">
        <v>532</v>
      </c>
      <c r="C1741" s="700"/>
      <c r="D1741" s="701"/>
      <c r="E1741" s="700"/>
      <c r="F1741" s="750"/>
      <c r="G1741" s="699" t="s">
        <v>79</v>
      </c>
      <c r="H1741" s="845" t="s">
        <v>532</v>
      </c>
      <c r="I1741" s="700"/>
      <c r="J1741" s="701"/>
      <c r="K1741" s="700"/>
      <c r="L1741" s="690"/>
    </row>
    <row r="1742" spans="1:12" s="27" customFormat="1" ht="17.25" customHeight="1">
      <c r="A1742" s="702" t="s">
        <v>80</v>
      </c>
      <c r="B1742" s="846" t="s">
        <v>533</v>
      </c>
      <c r="C1742" s="700"/>
      <c r="D1742" s="700"/>
      <c r="E1742" s="700"/>
      <c r="F1742" s="750"/>
      <c r="G1742" s="702" t="s">
        <v>80</v>
      </c>
      <c r="H1742" s="846" t="s">
        <v>533</v>
      </c>
      <c r="I1742" s="700"/>
      <c r="J1742" s="700"/>
      <c r="K1742" s="700"/>
      <c r="L1742" s="690"/>
    </row>
    <row r="1743" spans="1:12" s="27" customFormat="1" ht="17.25" customHeight="1">
      <c r="A1743" s="702" t="s">
        <v>81</v>
      </c>
      <c r="B1743" s="847" t="s">
        <v>534</v>
      </c>
      <c r="C1743" s="700"/>
      <c r="D1743" s="700"/>
      <c r="E1743" s="695">
        <f>SUM(E1742)</f>
        <v>0</v>
      </c>
      <c r="F1743" s="746"/>
      <c r="G1743" s="702" t="s">
        <v>81</v>
      </c>
      <c r="H1743" s="847" t="s">
        <v>534</v>
      </c>
      <c r="I1743" s="700"/>
      <c r="J1743" s="700"/>
      <c r="K1743" s="695">
        <f>SUM(K1742)</f>
        <v>0</v>
      </c>
      <c r="L1743" s="690"/>
    </row>
    <row r="1744" spans="1:12" s="27" customFormat="1" ht="17.25" customHeight="1">
      <c r="A1744" s="704" t="s">
        <v>82</v>
      </c>
      <c r="B1744" s="848" t="s">
        <v>438</v>
      </c>
      <c r="C1744" s="705"/>
      <c r="D1744" s="705"/>
      <c r="E1744" s="705">
        <f>(E1732+E1733+E1734+E1735+E1736+E1737+E1738+E1739+E1740)-E1743</f>
        <v>822405.66399999999</v>
      </c>
      <c r="F1744" s="746"/>
      <c r="G1744" s="704" t="s">
        <v>82</v>
      </c>
      <c r="H1744" s="848" t="s">
        <v>438</v>
      </c>
      <c r="I1744" s="705"/>
      <c r="J1744" s="705"/>
      <c r="K1744" s="705">
        <f>(K1732+K1733+K1734+K1735+K1736+K1737+K1738+K1739+K1740)-K1743</f>
        <v>997173.5560000001</v>
      </c>
      <c r="L1744" s="707">
        <f>E1744+K1744</f>
        <v>1819579.2200000002</v>
      </c>
    </row>
    <row r="1745" spans="1:12" s="27" customFormat="1" ht="17.25" customHeight="1">
      <c r="A1745" s="763"/>
      <c r="B1745" s="763"/>
      <c r="C1745" s="763"/>
      <c r="D1745" s="763"/>
      <c r="E1745" s="763"/>
      <c r="F1745" s="763"/>
      <c r="G1745" s="763"/>
      <c r="H1745" s="763"/>
      <c r="I1745" s="763"/>
      <c r="J1745" s="763"/>
      <c r="K1745" s="763"/>
      <c r="L1745" s="690"/>
    </row>
    <row r="1746" spans="1:12" s="27" customFormat="1" ht="17.25" customHeight="1">
      <c r="A1746" s="759" t="str">
        <f>A1729</f>
        <v>LƯƠNG THÁNG 01/2025</v>
      </c>
      <c r="B1746" s="763"/>
      <c r="C1746" s="763"/>
      <c r="D1746" s="763"/>
      <c r="E1746" s="769">
        <f>VLOOKUP(B1747,'CNKT '!$D$114:$AD$178,26,0)</f>
        <v>0</v>
      </c>
      <c r="F1746" s="750"/>
      <c r="G1746" s="759" t="str">
        <f>A1746</f>
        <v>LƯƠNG THÁNG 01/2025</v>
      </c>
      <c r="H1746" s="763"/>
      <c r="I1746" s="763"/>
      <c r="J1746" s="766"/>
      <c r="K1746" s="769">
        <f>VLOOKUP(H1747,'CNKT '!$D$114:$AD$178,26,0)</f>
        <v>0</v>
      </c>
      <c r="L1746" s="690"/>
    </row>
    <row r="1747" spans="1:12" s="27" customFormat="1" ht="17.25" customHeight="1">
      <c r="A1747" s="709" t="s">
        <v>15</v>
      </c>
      <c r="B1747" s="840" t="str">
        <f>'CNKT '!D144</f>
        <v>T. Văn Nô</v>
      </c>
      <c r="C1747" s="694"/>
      <c r="D1747" s="840" t="s">
        <v>396</v>
      </c>
      <c r="E1747" s="840" t="s">
        <v>18</v>
      </c>
      <c r="F1747" s="750"/>
      <c r="G1747" s="709" t="s">
        <v>15</v>
      </c>
      <c r="H1747" s="840" t="str">
        <f>'CNKT '!D145</f>
        <v>N. Văn Ta</v>
      </c>
      <c r="I1747" s="694"/>
      <c r="J1747" s="840" t="s">
        <v>396</v>
      </c>
      <c r="K1747" s="840" t="s">
        <v>18</v>
      </c>
      <c r="L1747" s="690"/>
    </row>
    <row r="1748" spans="1:12" s="27" customFormat="1" ht="17.25" customHeight="1">
      <c r="A1748" s="693" t="s">
        <v>397</v>
      </c>
      <c r="B1748" s="842" t="s">
        <v>527</v>
      </c>
      <c r="C1748" s="694">
        <f>VLOOKUP(B1747,'BTH mủ tạp'!$D$98:$AN$160,36,0)</f>
        <v>1528.4149265235922</v>
      </c>
      <c r="D1748" s="695"/>
      <c r="E1748" s="695"/>
      <c r="F1748" s="750"/>
      <c r="G1748" s="693" t="s">
        <v>397</v>
      </c>
      <c r="H1748" s="842" t="s">
        <v>527</v>
      </c>
      <c r="I1748" s="694">
        <f>VLOOKUP(H1747,'BTH mủ tạp'!$D$98:$AN$160,36,0)</f>
        <v>1313.2362691942888</v>
      </c>
      <c r="J1748" s="695"/>
      <c r="K1748" s="695"/>
      <c r="L1748" s="690"/>
    </row>
    <row r="1749" spans="1:12" s="27" customFormat="1" ht="17.25" customHeight="1">
      <c r="A1749" s="693" t="s">
        <v>77</v>
      </c>
      <c r="B1749" s="843" t="s">
        <v>432</v>
      </c>
      <c r="C1749" s="696">
        <f>VLOOKUP(B1747,'CNKT '!$D$113:$AA$178,3,0)</f>
        <v>0</v>
      </c>
      <c r="D1749" s="697">
        <v>25000</v>
      </c>
      <c r="E1749" s="695">
        <f t="shared" ref="E1749:E1754" si="203">C1749*D1749</f>
        <v>0</v>
      </c>
      <c r="F1749" s="750"/>
      <c r="G1749" s="693" t="s">
        <v>77</v>
      </c>
      <c r="H1749" s="843" t="s">
        <v>432</v>
      </c>
      <c r="I1749" s="696">
        <f>VLOOKUP(H1747,'CNKT '!$D$113:$AA$178,3,0)</f>
        <v>0</v>
      </c>
      <c r="J1749" s="697">
        <v>25000</v>
      </c>
      <c r="K1749" s="695">
        <f t="shared" ref="K1749:K1754" si="204">I1749*J1749</f>
        <v>0</v>
      </c>
      <c r="L1749" s="690"/>
    </row>
    <row r="1750" spans="1:12" s="27" customFormat="1" ht="17.25" customHeight="1">
      <c r="A1750" s="693" t="s">
        <v>307</v>
      </c>
      <c r="B1750" s="844" t="s">
        <v>528</v>
      </c>
      <c r="C1750" s="747">
        <f>VLOOKUP(B1747,'CNKT '!$D$113:$AA$178,11,0)</f>
        <v>24</v>
      </c>
      <c r="D1750" s="698">
        <f>46.1*$B$2</f>
        <v>30833.524000000001</v>
      </c>
      <c r="E1750" s="695">
        <f t="shared" si="203"/>
        <v>740004.576</v>
      </c>
      <c r="F1750" s="750"/>
      <c r="G1750" s="693" t="s">
        <v>307</v>
      </c>
      <c r="H1750" s="844" t="s">
        <v>528</v>
      </c>
      <c r="I1750" s="747">
        <f>VLOOKUP(H1747,'CNKT '!$D$113:$AA$178,11,0)</f>
        <v>24</v>
      </c>
      <c r="J1750" s="698">
        <f>46.1*$B$2</f>
        <v>30833.524000000001</v>
      </c>
      <c r="K1750" s="695">
        <f t="shared" si="204"/>
        <v>740004.576</v>
      </c>
      <c r="L1750" s="690"/>
    </row>
    <row r="1751" spans="1:12" s="27" customFormat="1" ht="17.25" customHeight="1">
      <c r="A1751" s="693" t="s">
        <v>399</v>
      </c>
      <c r="B1751" s="844" t="s">
        <v>529</v>
      </c>
      <c r="C1751" s="747">
        <f>VLOOKUP(B1747,'CNKT '!$D$113:$AA$178,12,0)</f>
        <v>5</v>
      </c>
      <c r="D1751" s="697">
        <f>76.9*$B$2</f>
        <v>51433.796000000009</v>
      </c>
      <c r="E1751" s="695">
        <f t="shared" si="203"/>
        <v>257168.98000000004</v>
      </c>
      <c r="F1751" s="750"/>
      <c r="G1751" s="693" t="s">
        <v>399</v>
      </c>
      <c r="H1751" s="844" t="s">
        <v>529</v>
      </c>
      <c r="I1751" s="747">
        <f>VLOOKUP(H1747,'CNKT '!$D$113:$AA$178,12,0)</f>
        <v>5</v>
      </c>
      <c r="J1751" s="697">
        <f>76.9*$B$2</f>
        <v>51433.796000000009</v>
      </c>
      <c r="K1751" s="695">
        <f t="shared" si="204"/>
        <v>257168.98000000004</v>
      </c>
      <c r="L1751" s="690"/>
    </row>
    <row r="1752" spans="1:12" s="27" customFormat="1" ht="17.25" customHeight="1">
      <c r="A1752" s="693" t="s">
        <v>78</v>
      </c>
      <c r="B1752" s="844" t="s">
        <v>530</v>
      </c>
      <c r="C1752" s="747">
        <f>VLOOKUP(B1747,'CNKT '!$D$113:$AA$178,8,0)</f>
        <v>1528.4149265235924</v>
      </c>
      <c r="D1752" s="697">
        <f>IF(C1748="A",6.1,IF(C1748="B",5.8,IF(C1748="C",5.5,IF(C1748="C.",5.5,IF(C1748="D",5.2)))))*$B$2</f>
        <v>0</v>
      </c>
      <c r="E1752" s="695">
        <f t="shared" si="203"/>
        <v>0</v>
      </c>
      <c r="F1752" s="750"/>
      <c r="G1752" s="693" t="s">
        <v>78</v>
      </c>
      <c r="H1752" s="844" t="s">
        <v>530</v>
      </c>
      <c r="I1752" s="747">
        <f>VLOOKUP(H1747,'CNKT '!$D$113:$AA$178,8,0)</f>
        <v>1313.236269194289</v>
      </c>
      <c r="J1752" s="697">
        <f>IF(I1748="A",6.1,IF(I1748="B",5.8,IF(I1748="C",5.5,IF(I1748="C.",5.5,IF(I1748="D",5.2)))))*$B$2</f>
        <v>0</v>
      </c>
      <c r="K1752" s="695">
        <f t="shared" si="204"/>
        <v>0</v>
      </c>
      <c r="L1752" s="690"/>
    </row>
    <row r="1753" spans="1:12" s="27" customFormat="1" ht="17.25" customHeight="1">
      <c r="A1753" s="693" t="s">
        <v>493</v>
      </c>
      <c r="B1753" s="844" t="s">
        <v>531</v>
      </c>
      <c r="C1753" s="747">
        <f>VLOOKUP(B1747,'CNKT '!$D$99:$AA$178,13,0)</f>
        <v>0</v>
      </c>
      <c r="D1753" s="698">
        <f>92.2*$B$2</f>
        <v>61667.048000000003</v>
      </c>
      <c r="E1753" s="695">
        <f t="shared" si="203"/>
        <v>0</v>
      </c>
      <c r="F1753" s="750"/>
      <c r="G1753" s="693" t="s">
        <v>493</v>
      </c>
      <c r="H1753" s="844" t="s">
        <v>531</v>
      </c>
      <c r="I1753" s="747">
        <f>VLOOKUP(H1747,'CNKT '!$D$99:$AA$178,13,0)</f>
        <v>0</v>
      </c>
      <c r="J1753" s="698">
        <f>92.2*$B$2</f>
        <v>61667.048000000003</v>
      </c>
      <c r="K1753" s="695">
        <f t="shared" si="204"/>
        <v>0</v>
      </c>
      <c r="L1753" s="690"/>
    </row>
    <row r="1754" spans="1:12" s="27" customFormat="1" ht="17.25" customHeight="1">
      <c r="A1754" s="693" t="s">
        <v>448</v>
      </c>
      <c r="B1754" s="844" t="s">
        <v>496</v>
      </c>
      <c r="C1754" s="747">
        <f>VLOOKUP(B1747,'CNKT '!$D$113:$AA$178,14,0)</f>
        <v>0</v>
      </c>
      <c r="D1754" s="697">
        <f>153.6*$B$2</f>
        <v>102733.82400000001</v>
      </c>
      <c r="E1754" s="695">
        <f t="shared" si="203"/>
        <v>0</v>
      </c>
      <c r="F1754" s="750"/>
      <c r="G1754" s="693" t="s">
        <v>448</v>
      </c>
      <c r="H1754" s="844" t="s">
        <v>496</v>
      </c>
      <c r="I1754" s="747">
        <f>VLOOKUP(H1747,'CNKT '!$D$113:$AA$178,14,0)</f>
        <v>0</v>
      </c>
      <c r="J1754" s="697">
        <f>153.6*$B$2</f>
        <v>102733.82400000001</v>
      </c>
      <c r="K1754" s="695">
        <f t="shared" si="204"/>
        <v>0</v>
      </c>
      <c r="L1754" s="690"/>
    </row>
    <row r="1755" spans="1:12" s="27" customFormat="1" ht="17.25" customHeight="1">
      <c r="A1755" s="693" t="s">
        <v>453</v>
      </c>
      <c r="B1755" s="844" t="s">
        <v>497</v>
      </c>
      <c r="C1755" s="747">
        <f>VLOOKUP(B1747,'CNKT '!$D$114:$AA$178,18,0)</f>
        <v>0</v>
      </c>
      <c r="D1755" s="697">
        <v>10000</v>
      </c>
      <c r="E1755" s="695">
        <f>C1755*D1755</f>
        <v>0</v>
      </c>
      <c r="F1755" s="750"/>
      <c r="G1755" s="693" t="s">
        <v>453</v>
      </c>
      <c r="H1755" s="844" t="s">
        <v>497</v>
      </c>
      <c r="I1755" s="747">
        <f>VLOOKUP(H1747,'CNKT '!$D$114:$AA$178,18,0)</f>
        <v>0</v>
      </c>
      <c r="J1755" s="697">
        <v>10000</v>
      </c>
      <c r="K1755" s="695">
        <f>I1755*J1755</f>
        <v>0</v>
      </c>
      <c r="L1755" s="690"/>
    </row>
    <row r="1756" spans="1:12" s="27" customFormat="1" ht="17.25" customHeight="1">
      <c r="A1756" s="693" t="s">
        <v>453</v>
      </c>
      <c r="B1756" s="844" t="s">
        <v>497</v>
      </c>
      <c r="C1756" s="747">
        <f>VLOOKUP(B1747,'CNKT '!$D$114:$AA$178,19,0)</f>
        <v>0</v>
      </c>
      <c r="D1756" s="697">
        <v>20000</v>
      </c>
      <c r="E1756" s="695">
        <f>C1756*D1756</f>
        <v>0</v>
      </c>
      <c r="F1756" s="750"/>
      <c r="G1756" s="693" t="s">
        <v>453</v>
      </c>
      <c r="H1756" s="844" t="s">
        <v>497</v>
      </c>
      <c r="I1756" s="747">
        <f>VLOOKUP(H1747,'CNKT '!$D$114:$AA$178,19,0)</f>
        <v>0</v>
      </c>
      <c r="J1756" s="697">
        <v>20000</v>
      </c>
      <c r="K1756" s="695">
        <f>I1756*J1756</f>
        <v>0</v>
      </c>
      <c r="L1756" s="690"/>
    </row>
    <row r="1757" spans="1:12" s="27" customFormat="1" ht="17.25" customHeight="1">
      <c r="A1757" s="693" t="s">
        <v>512</v>
      </c>
      <c r="B1757" s="844" t="s">
        <v>513</v>
      </c>
      <c r="C1757" s="747"/>
      <c r="D1757" s="697"/>
      <c r="E1757" s="695"/>
      <c r="F1757" s="750"/>
      <c r="G1757" s="693" t="s">
        <v>512</v>
      </c>
      <c r="H1757" s="844" t="s">
        <v>513</v>
      </c>
      <c r="I1757" s="747"/>
      <c r="J1757" s="697"/>
      <c r="K1757" s="695"/>
      <c r="L1757" s="690"/>
    </row>
    <row r="1758" spans="1:12" s="27" customFormat="1" ht="17.25" customHeight="1">
      <c r="A1758" s="699" t="s">
        <v>79</v>
      </c>
      <c r="B1758" s="845" t="s">
        <v>532</v>
      </c>
      <c r="C1758" s="700"/>
      <c r="D1758" s="701"/>
      <c r="E1758" s="700"/>
      <c r="F1758" s="750"/>
      <c r="G1758" s="699" t="s">
        <v>79</v>
      </c>
      <c r="H1758" s="845" t="s">
        <v>532</v>
      </c>
      <c r="I1758" s="700"/>
      <c r="J1758" s="701"/>
      <c r="K1758" s="700"/>
      <c r="L1758" s="690"/>
    </row>
    <row r="1759" spans="1:12" s="27" customFormat="1" ht="17.25" customHeight="1">
      <c r="A1759" s="702" t="s">
        <v>80</v>
      </c>
      <c r="B1759" s="846" t="s">
        <v>533</v>
      </c>
      <c r="C1759" s="700"/>
      <c r="D1759" s="700"/>
      <c r="E1759" s="700"/>
      <c r="F1759" s="750"/>
      <c r="G1759" s="702" t="s">
        <v>80</v>
      </c>
      <c r="H1759" s="846" t="s">
        <v>533</v>
      </c>
      <c r="I1759" s="700"/>
      <c r="J1759" s="700"/>
      <c r="K1759" s="700"/>
      <c r="L1759" s="690"/>
    </row>
    <row r="1760" spans="1:12" s="27" customFormat="1" ht="17.25" customHeight="1">
      <c r="A1760" s="702" t="s">
        <v>81</v>
      </c>
      <c r="B1760" s="847" t="s">
        <v>534</v>
      </c>
      <c r="C1760" s="700"/>
      <c r="D1760" s="700"/>
      <c r="E1760" s="695">
        <f>SUM(E1759)</f>
        <v>0</v>
      </c>
      <c r="F1760" s="738"/>
      <c r="G1760" s="702" t="s">
        <v>81</v>
      </c>
      <c r="H1760" s="847" t="s">
        <v>534</v>
      </c>
      <c r="I1760" s="700"/>
      <c r="J1760" s="700"/>
      <c r="K1760" s="695">
        <f>SUM(K1759)</f>
        <v>0</v>
      </c>
      <c r="L1760" s="690"/>
    </row>
    <row r="1761" spans="1:12" s="27" customFormat="1" ht="17.25" customHeight="1">
      <c r="A1761" s="704" t="s">
        <v>82</v>
      </c>
      <c r="B1761" s="848" t="s">
        <v>438</v>
      </c>
      <c r="C1761" s="705"/>
      <c r="D1761" s="705"/>
      <c r="E1761" s="705">
        <f>(E1749+E1750+E1751+E1752+E1753+E1754+E1755+E1756+E1757)-E1760</f>
        <v>997173.5560000001</v>
      </c>
      <c r="F1761" s="738"/>
      <c r="G1761" s="704" t="s">
        <v>82</v>
      </c>
      <c r="H1761" s="848" t="s">
        <v>438</v>
      </c>
      <c r="I1761" s="705"/>
      <c r="J1761" s="705"/>
      <c r="K1761" s="705">
        <f>(K1749+K1750+K1751+K1752+K1753+K1754+K1755+K1756+K1757)-K1760</f>
        <v>997173.5560000001</v>
      </c>
      <c r="L1761" s="707">
        <f>E1761+K1761</f>
        <v>1994347.1120000002</v>
      </c>
    </row>
    <row r="1762" spans="1:12" s="27" customFormat="1" ht="222" customHeight="1">
      <c r="A1762" s="763"/>
      <c r="B1762" s="763"/>
      <c r="C1762" s="763"/>
      <c r="D1762" s="763"/>
      <c r="E1762" s="763"/>
      <c r="F1762" s="763"/>
      <c r="G1762" s="763"/>
      <c r="H1762" s="763"/>
      <c r="I1762" s="763"/>
      <c r="J1762" s="763"/>
      <c r="K1762" s="763"/>
      <c r="L1762" s="690"/>
    </row>
    <row r="1763" spans="1:12" s="27" customFormat="1" ht="17.25" customHeight="1">
      <c r="A1763" s="759" t="str">
        <f>A1746</f>
        <v>LƯƠNG THÁNG 01/2025</v>
      </c>
      <c r="B1763" s="763"/>
      <c r="C1763" s="763"/>
      <c r="D1763" s="763"/>
      <c r="E1763" s="769">
        <f>VLOOKUP(B1764,'CNKT '!$D$114:$AD$178,26,0)</f>
        <v>0</v>
      </c>
      <c r="F1763" s="750"/>
      <c r="G1763" s="759" t="str">
        <f>A1763</f>
        <v>LƯƠNG THÁNG 01/2025</v>
      </c>
      <c r="H1763" s="763"/>
      <c r="I1763" s="763"/>
      <c r="J1763" s="766"/>
      <c r="K1763" s="769">
        <f>VLOOKUP(H1764,'CNKT '!$D$114:$AD$178,26,0)</f>
        <v>0</v>
      </c>
      <c r="L1763" s="690"/>
    </row>
    <row r="1764" spans="1:12" s="27" customFormat="1" ht="17.25" customHeight="1">
      <c r="A1764" s="709" t="s">
        <v>15</v>
      </c>
      <c r="B1764" s="840" t="str">
        <f>'CNKT '!D146</f>
        <v>T. Thon</v>
      </c>
      <c r="C1764" s="694"/>
      <c r="D1764" s="840" t="s">
        <v>396</v>
      </c>
      <c r="E1764" s="840" t="s">
        <v>18</v>
      </c>
      <c r="F1764" s="750"/>
      <c r="G1764" s="709" t="s">
        <v>15</v>
      </c>
      <c r="H1764" s="840" t="str">
        <f>'CNKT '!D147</f>
        <v>Bun Thon</v>
      </c>
      <c r="I1764" s="694"/>
      <c r="J1764" s="840" t="s">
        <v>396</v>
      </c>
      <c r="K1764" s="840" t="s">
        <v>18</v>
      </c>
      <c r="L1764" s="690"/>
    </row>
    <row r="1765" spans="1:12" s="27" customFormat="1" ht="17.25" customHeight="1">
      <c r="A1765" s="693" t="s">
        <v>397</v>
      </c>
      <c r="B1765" s="842" t="s">
        <v>527</v>
      </c>
      <c r="C1765" s="694">
        <f>VLOOKUP(B1764,'BTH mủ tạp'!$D$98:$AN$160,36,0)</f>
        <v>1324.7801885789079</v>
      </c>
      <c r="D1765" s="695"/>
      <c r="E1765" s="695"/>
      <c r="F1765" s="750"/>
      <c r="G1765" s="693" t="s">
        <v>397</v>
      </c>
      <c r="H1765" s="842" t="s">
        <v>527</v>
      </c>
      <c r="I1765" s="694">
        <f>VLOOKUP(H1764,'BTH mủ tạp'!$D$98:$AN$160,36,0)</f>
        <v>945.21611921262638</v>
      </c>
      <c r="J1765" s="695"/>
      <c r="K1765" s="695"/>
      <c r="L1765" s="690"/>
    </row>
    <row r="1766" spans="1:12" s="27" customFormat="1" ht="17.25" customHeight="1">
      <c r="A1766" s="693" t="s">
        <v>77</v>
      </c>
      <c r="B1766" s="843" t="s">
        <v>432</v>
      </c>
      <c r="C1766" s="696">
        <f>VLOOKUP(B1764,'CNKT '!$D$113:$AA$178,3,0)</f>
        <v>0</v>
      </c>
      <c r="D1766" s="697">
        <v>25000</v>
      </c>
      <c r="E1766" s="695">
        <f t="shared" ref="E1766:E1771" si="205">C1766*D1766</f>
        <v>0</v>
      </c>
      <c r="F1766" s="750"/>
      <c r="G1766" s="693" t="s">
        <v>77</v>
      </c>
      <c r="H1766" s="843" t="s">
        <v>432</v>
      </c>
      <c r="I1766" s="696">
        <f>VLOOKUP(H1764,'CNKT '!$D$113:$AA$178,3,0)</f>
        <v>0</v>
      </c>
      <c r="J1766" s="697">
        <v>25000</v>
      </c>
      <c r="K1766" s="695">
        <f t="shared" ref="K1766:K1771" si="206">I1766*J1766</f>
        <v>0</v>
      </c>
      <c r="L1766" s="690"/>
    </row>
    <row r="1767" spans="1:12" s="27" customFormat="1" ht="17.25" customHeight="1">
      <c r="A1767" s="693" t="s">
        <v>307</v>
      </c>
      <c r="B1767" s="844" t="s">
        <v>528</v>
      </c>
      <c r="C1767" s="747">
        <f>VLOOKUP(B1764,'CNKT '!$D$113:$AA$178,11,0)</f>
        <v>24</v>
      </c>
      <c r="D1767" s="698">
        <f>46.1*$B$2</f>
        <v>30833.524000000001</v>
      </c>
      <c r="E1767" s="695">
        <f t="shared" si="205"/>
        <v>740004.576</v>
      </c>
      <c r="F1767" s="750"/>
      <c r="G1767" s="693" t="s">
        <v>307</v>
      </c>
      <c r="H1767" s="844" t="s">
        <v>528</v>
      </c>
      <c r="I1767" s="747">
        <f>VLOOKUP(H1764,'CNKT '!$D$113:$AA$178,11,0)</f>
        <v>20</v>
      </c>
      <c r="J1767" s="698">
        <f>46.1*$B$2</f>
        <v>30833.524000000001</v>
      </c>
      <c r="K1767" s="695">
        <f t="shared" si="206"/>
        <v>616670.48</v>
      </c>
      <c r="L1767" s="690"/>
    </row>
    <row r="1768" spans="1:12" s="27" customFormat="1" ht="17.25" customHeight="1">
      <c r="A1768" s="693" t="s">
        <v>399</v>
      </c>
      <c r="B1768" s="844" t="s">
        <v>529</v>
      </c>
      <c r="C1768" s="747">
        <f>VLOOKUP(B1764,'CNKT '!$D$113:$AA$178,12,0)</f>
        <v>5</v>
      </c>
      <c r="D1768" s="697">
        <f>76.9*$B$2</f>
        <v>51433.796000000009</v>
      </c>
      <c r="E1768" s="695">
        <f t="shared" si="205"/>
        <v>257168.98000000004</v>
      </c>
      <c r="F1768" s="750"/>
      <c r="G1768" s="693" t="s">
        <v>399</v>
      </c>
      <c r="H1768" s="844" t="s">
        <v>529</v>
      </c>
      <c r="I1768" s="747">
        <f>VLOOKUP(H1764,'CNKT '!$D$113:$AA$178,12,0)</f>
        <v>4</v>
      </c>
      <c r="J1768" s="697">
        <f>76.9*$B$2</f>
        <v>51433.796000000009</v>
      </c>
      <c r="K1768" s="695">
        <f t="shared" si="206"/>
        <v>205735.18400000004</v>
      </c>
      <c r="L1768" s="690"/>
    </row>
    <row r="1769" spans="1:12" s="27" customFormat="1" ht="17.25" customHeight="1">
      <c r="A1769" s="693" t="s">
        <v>78</v>
      </c>
      <c r="B1769" s="844" t="s">
        <v>530</v>
      </c>
      <c r="C1769" s="747">
        <f>VLOOKUP(B1764,'CNKT '!$D$113:$AA$178,8,0)</f>
        <v>1324.7801885789083</v>
      </c>
      <c r="D1769" s="697">
        <f>IF(C1765="A",6.1,IF(C1765="B",5.8,IF(C1765="C",5.5,IF(C1765="C.",5.5,IF(C1765="D",5.2)))))*$B$2</f>
        <v>0</v>
      </c>
      <c r="E1769" s="695">
        <f t="shared" si="205"/>
        <v>0</v>
      </c>
      <c r="F1769" s="750"/>
      <c r="G1769" s="693" t="s">
        <v>78</v>
      </c>
      <c r="H1769" s="844" t="s">
        <v>530</v>
      </c>
      <c r="I1769" s="747">
        <f>VLOOKUP(H1764,'CNKT '!$D$113:$AA$178,8,0)</f>
        <v>945.2161192126265</v>
      </c>
      <c r="J1769" s="697">
        <f>IF(I1765="A",6.1,IF(I1765="B",5.8,IF(I1765="C",5.5,IF(I1765="C.",5.5,IF(I1765="D",5.2)))))*$B$2</f>
        <v>0</v>
      </c>
      <c r="K1769" s="695">
        <f t="shared" si="206"/>
        <v>0</v>
      </c>
      <c r="L1769" s="690"/>
    </row>
    <row r="1770" spans="1:12" s="27" customFormat="1" ht="17.25" customHeight="1">
      <c r="A1770" s="693" t="s">
        <v>493</v>
      </c>
      <c r="B1770" s="844" t="s">
        <v>531</v>
      </c>
      <c r="C1770" s="747">
        <f>VLOOKUP(B1764,'CNKT '!$D$99:$AA$178,13,0)</f>
        <v>0</v>
      </c>
      <c r="D1770" s="698">
        <f>92.2*$B$2</f>
        <v>61667.048000000003</v>
      </c>
      <c r="E1770" s="695">
        <f t="shared" si="205"/>
        <v>0</v>
      </c>
      <c r="F1770" s="750"/>
      <c r="G1770" s="693" t="s">
        <v>493</v>
      </c>
      <c r="H1770" s="844" t="s">
        <v>531</v>
      </c>
      <c r="I1770" s="747">
        <f>VLOOKUP(H1764,'CNKT '!$D$99:$AA$178,13,0)</f>
        <v>0</v>
      </c>
      <c r="J1770" s="698">
        <f>92.2*$B$2</f>
        <v>61667.048000000003</v>
      </c>
      <c r="K1770" s="695">
        <f t="shared" si="206"/>
        <v>0</v>
      </c>
      <c r="L1770" s="690"/>
    </row>
    <row r="1771" spans="1:12" s="27" customFormat="1" ht="17.25" customHeight="1">
      <c r="A1771" s="693" t="s">
        <v>448</v>
      </c>
      <c r="B1771" s="844" t="s">
        <v>496</v>
      </c>
      <c r="C1771" s="747">
        <f>VLOOKUP(B1764,'CNKT '!$D$113:$AA$178,14,0)</f>
        <v>0</v>
      </c>
      <c r="D1771" s="697">
        <f>153.6*$B$2</f>
        <v>102733.82400000001</v>
      </c>
      <c r="E1771" s="695">
        <f t="shared" si="205"/>
        <v>0</v>
      </c>
      <c r="F1771" s="750"/>
      <c r="G1771" s="693" t="s">
        <v>448</v>
      </c>
      <c r="H1771" s="844" t="s">
        <v>496</v>
      </c>
      <c r="I1771" s="747">
        <f>VLOOKUP(H1764,'CNKT '!$D$113:$AA$178,14,0)</f>
        <v>0</v>
      </c>
      <c r="J1771" s="697">
        <f>153.6*$B$2</f>
        <v>102733.82400000001</v>
      </c>
      <c r="K1771" s="695">
        <f t="shared" si="206"/>
        <v>0</v>
      </c>
      <c r="L1771" s="690"/>
    </row>
    <row r="1772" spans="1:12" s="27" customFormat="1" ht="17.25" customHeight="1">
      <c r="A1772" s="693" t="s">
        <v>453</v>
      </c>
      <c r="B1772" s="844" t="s">
        <v>497</v>
      </c>
      <c r="C1772" s="747">
        <f>VLOOKUP(B1764,'CNKT '!$D$114:$AA$178,18,0)</f>
        <v>0</v>
      </c>
      <c r="D1772" s="697">
        <v>10000</v>
      </c>
      <c r="E1772" s="695">
        <f>C1772*D1772</f>
        <v>0</v>
      </c>
      <c r="F1772" s="750"/>
      <c r="G1772" s="693" t="s">
        <v>453</v>
      </c>
      <c r="H1772" s="844" t="s">
        <v>497</v>
      </c>
      <c r="I1772" s="747">
        <f>VLOOKUP(H1764,'CNKT '!$D$114:$AA$178,18,0)</f>
        <v>0</v>
      </c>
      <c r="J1772" s="697">
        <v>10000</v>
      </c>
      <c r="K1772" s="695">
        <f>I1772*J1772</f>
        <v>0</v>
      </c>
      <c r="L1772" s="690"/>
    </row>
    <row r="1773" spans="1:12" s="27" customFormat="1" ht="17.25" customHeight="1">
      <c r="A1773" s="693" t="s">
        <v>453</v>
      </c>
      <c r="B1773" s="844" t="s">
        <v>497</v>
      </c>
      <c r="C1773" s="747">
        <f>VLOOKUP(B1764,'CNKT '!$D$114:$AA$178,19,0)</f>
        <v>0</v>
      </c>
      <c r="D1773" s="697">
        <v>20000</v>
      </c>
      <c r="E1773" s="695">
        <f>C1773*D1773</f>
        <v>0</v>
      </c>
      <c r="F1773" s="750"/>
      <c r="G1773" s="693" t="s">
        <v>453</v>
      </c>
      <c r="H1773" s="844" t="s">
        <v>497</v>
      </c>
      <c r="I1773" s="747">
        <f>VLOOKUP(H1764,'CNKT '!$D$114:$AA$178,19,0)</f>
        <v>0</v>
      </c>
      <c r="J1773" s="697">
        <v>20000</v>
      </c>
      <c r="K1773" s="695">
        <f>I1773*J1773</f>
        <v>0</v>
      </c>
      <c r="L1773" s="690"/>
    </row>
    <row r="1774" spans="1:12" s="27" customFormat="1" ht="17.25" customHeight="1">
      <c r="A1774" s="693" t="s">
        <v>512</v>
      </c>
      <c r="B1774" s="844" t="s">
        <v>513</v>
      </c>
      <c r="C1774" s="747"/>
      <c r="D1774" s="697"/>
      <c r="E1774" s="695"/>
      <c r="F1774" s="750"/>
      <c r="G1774" s="693" t="s">
        <v>512</v>
      </c>
      <c r="H1774" s="844" t="s">
        <v>513</v>
      </c>
      <c r="I1774" s="747"/>
      <c r="J1774" s="697"/>
      <c r="K1774" s="695"/>
      <c r="L1774" s="690"/>
    </row>
    <row r="1775" spans="1:12" s="27" customFormat="1" ht="17.25" customHeight="1">
      <c r="A1775" s="699" t="s">
        <v>79</v>
      </c>
      <c r="B1775" s="845" t="s">
        <v>532</v>
      </c>
      <c r="C1775" s="700"/>
      <c r="D1775" s="701"/>
      <c r="E1775" s="700"/>
      <c r="F1775" s="750"/>
      <c r="G1775" s="699" t="s">
        <v>79</v>
      </c>
      <c r="H1775" s="845" t="s">
        <v>532</v>
      </c>
      <c r="I1775" s="700"/>
      <c r="J1775" s="701"/>
      <c r="K1775" s="700"/>
      <c r="L1775" s="690"/>
    </row>
    <row r="1776" spans="1:12" s="27" customFormat="1" ht="17.25" customHeight="1">
      <c r="A1776" s="702" t="s">
        <v>80</v>
      </c>
      <c r="B1776" s="846" t="s">
        <v>533</v>
      </c>
      <c r="C1776" s="700"/>
      <c r="D1776" s="700"/>
      <c r="E1776" s="700"/>
      <c r="F1776" s="750"/>
      <c r="G1776" s="702" t="s">
        <v>80</v>
      </c>
      <c r="H1776" s="846" t="s">
        <v>533</v>
      </c>
      <c r="I1776" s="700"/>
      <c r="J1776" s="700"/>
      <c r="K1776" s="700"/>
      <c r="L1776" s="690"/>
    </row>
    <row r="1777" spans="1:12" s="27" customFormat="1" ht="17.25" customHeight="1">
      <c r="A1777" s="702" t="s">
        <v>81</v>
      </c>
      <c r="B1777" s="847" t="s">
        <v>534</v>
      </c>
      <c r="C1777" s="700"/>
      <c r="D1777" s="700"/>
      <c r="E1777" s="695">
        <f>SUM(E1776)</f>
        <v>0</v>
      </c>
      <c r="F1777" s="738"/>
      <c r="G1777" s="702" t="s">
        <v>81</v>
      </c>
      <c r="H1777" s="847" t="s">
        <v>534</v>
      </c>
      <c r="I1777" s="700"/>
      <c r="J1777" s="700"/>
      <c r="K1777" s="695">
        <f>SUM(K1776)</f>
        <v>0</v>
      </c>
      <c r="L1777" s="690"/>
    </row>
    <row r="1778" spans="1:12" s="27" customFormat="1" ht="17.25" customHeight="1">
      <c r="A1778" s="704" t="s">
        <v>82</v>
      </c>
      <c r="B1778" s="848" t="s">
        <v>438</v>
      </c>
      <c r="C1778" s="705"/>
      <c r="D1778" s="705"/>
      <c r="E1778" s="705">
        <f>(E1766+E1767+E1768+E1769+E1770+E1771+E1772+E1773+E1774)-E1777</f>
        <v>997173.5560000001</v>
      </c>
      <c r="F1778" s="738"/>
      <c r="G1778" s="704" t="s">
        <v>82</v>
      </c>
      <c r="H1778" s="848" t="s">
        <v>438</v>
      </c>
      <c r="I1778" s="705"/>
      <c r="J1778" s="705"/>
      <c r="K1778" s="705">
        <f>(K1766+K1767+K1768+K1769+K1770+K1771+K1772+K1773+K1774)-K1777</f>
        <v>822405.66399999999</v>
      </c>
      <c r="L1778" s="707">
        <f>E1778+K1778</f>
        <v>1819579.2200000002</v>
      </c>
    </row>
    <row r="1779" spans="1:12" s="27" customFormat="1" ht="17.25" customHeight="1">
      <c r="A1779" s="763"/>
      <c r="B1779" s="763"/>
      <c r="C1779" s="763"/>
      <c r="D1779" s="763"/>
      <c r="E1779" s="763"/>
      <c r="F1779" s="763"/>
      <c r="G1779" s="763"/>
      <c r="H1779" s="763"/>
      <c r="I1779" s="763"/>
      <c r="J1779" s="763"/>
      <c r="K1779" s="763"/>
      <c r="L1779" s="690"/>
    </row>
    <row r="1780" spans="1:12" s="27" customFormat="1" ht="17.25" customHeight="1">
      <c r="A1780" s="759" t="str">
        <f>A1763</f>
        <v>LƯƠNG THÁNG 01/2025</v>
      </c>
      <c r="B1780" s="763"/>
      <c r="C1780" s="763"/>
      <c r="D1780" s="763"/>
      <c r="E1780" s="769">
        <f>VLOOKUP(B1781,'CNKT '!$D$114:$AD$178,26,0)</f>
        <v>0</v>
      </c>
      <c r="F1780" s="750"/>
      <c r="G1780" s="759" t="str">
        <f>A1780</f>
        <v>LƯƠNG THÁNG 01/2025</v>
      </c>
      <c r="H1780" s="763"/>
      <c r="I1780" s="763"/>
      <c r="J1780" s="766"/>
      <c r="K1780" s="769">
        <f>VLOOKUP(H1781,'CNKT '!$D$114:$AD$178,26,0)</f>
        <v>0</v>
      </c>
      <c r="L1780" s="690"/>
    </row>
    <row r="1781" spans="1:12" s="27" customFormat="1" ht="17.25" customHeight="1">
      <c r="A1781" s="709" t="s">
        <v>15</v>
      </c>
      <c r="B1781" s="840" t="str">
        <f>'CNKT '!D148</f>
        <v>Lăm Thong</v>
      </c>
      <c r="C1781" s="694"/>
      <c r="D1781" s="840" t="s">
        <v>396</v>
      </c>
      <c r="E1781" s="840" t="s">
        <v>18</v>
      </c>
      <c r="F1781" s="750"/>
      <c r="G1781" s="709" t="s">
        <v>15</v>
      </c>
      <c r="H1781" s="840" t="str">
        <f>'CNKT '!D149</f>
        <v>N. Xeo Khăm</v>
      </c>
      <c r="I1781" s="694"/>
      <c r="J1781" s="840" t="s">
        <v>396</v>
      </c>
      <c r="K1781" s="840" t="s">
        <v>18</v>
      </c>
      <c r="L1781" s="690"/>
    </row>
    <row r="1782" spans="1:12" s="27" customFormat="1" ht="17.25" customHeight="1">
      <c r="A1782" s="693" t="s">
        <v>397</v>
      </c>
      <c r="B1782" s="842" t="s">
        <v>527</v>
      </c>
      <c r="C1782" s="694">
        <f>VLOOKUP(B1781,'BTH mủ tạp'!$D$98:$AN$160,36,0)</f>
        <v>975.6920663880212</v>
      </c>
      <c r="D1782" s="695"/>
      <c r="E1782" s="695"/>
      <c r="F1782" s="750"/>
      <c r="G1782" s="693" t="s">
        <v>397</v>
      </c>
      <c r="H1782" s="842" t="s">
        <v>527</v>
      </c>
      <c r="I1782" s="694">
        <f>VLOOKUP(H1781,'BTH mủ tạp'!$D$98:$AN$160,36,0)</f>
        <v>1530.723710400516</v>
      </c>
      <c r="J1782" s="695"/>
      <c r="K1782" s="695"/>
      <c r="L1782" s="690"/>
    </row>
    <row r="1783" spans="1:12" s="27" customFormat="1" ht="17.25" customHeight="1">
      <c r="A1783" s="693" t="s">
        <v>77</v>
      </c>
      <c r="B1783" s="843" t="s">
        <v>432</v>
      </c>
      <c r="C1783" s="696">
        <f>VLOOKUP(B1781,'CNKT '!$D$113:$AA$178,3,0)</f>
        <v>0</v>
      </c>
      <c r="D1783" s="697">
        <v>25000</v>
      </c>
      <c r="E1783" s="695">
        <f t="shared" ref="E1783:E1788" si="207">C1783*D1783</f>
        <v>0</v>
      </c>
      <c r="F1783" s="750"/>
      <c r="G1783" s="693" t="s">
        <v>77</v>
      </c>
      <c r="H1783" s="843" t="s">
        <v>432</v>
      </c>
      <c r="I1783" s="696">
        <f>VLOOKUP(H1781,'CNKT '!$D$113:$AA$178,3,0)</f>
        <v>0</v>
      </c>
      <c r="J1783" s="697">
        <v>25000</v>
      </c>
      <c r="K1783" s="695">
        <f t="shared" ref="K1783:K1788" si="208">I1783*J1783</f>
        <v>0</v>
      </c>
      <c r="L1783" s="690"/>
    </row>
    <row r="1784" spans="1:12" s="27" customFormat="1" ht="17.25" customHeight="1">
      <c r="A1784" s="693" t="s">
        <v>307</v>
      </c>
      <c r="B1784" s="844" t="s">
        <v>528</v>
      </c>
      <c r="C1784" s="747">
        <f>VLOOKUP(B1781,'CNKT '!$D$113:$AA$178,11,0)</f>
        <v>22</v>
      </c>
      <c r="D1784" s="698">
        <f>46.1*$B$2</f>
        <v>30833.524000000001</v>
      </c>
      <c r="E1784" s="695">
        <f t="shared" si="207"/>
        <v>678337.52800000005</v>
      </c>
      <c r="F1784" s="750"/>
      <c r="G1784" s="693" t="s">
        <v>307</v>
      </c>
      <c r="H1784" s="844" t="s">
        <v>528</v>
      </c>
      <c r="I1784" s="747">
        <f>VLOOKUP(H1781,'CNKT '!$D$113:$AA$178,11,0)</f>
        <v>24</v>
      </c>
      <c r="J1784" s="698">
        <f>46.1*$B$2</f>
        <v>30833.524000000001</v>
      </c>
      <c r="K1784" s="695">
        <f t="shared" si="208"/>
        <v>740004.576</v>
      </c>
      <c r="L1784" s="690"/>
    </row>
    <row r="1785" spans="1:12" s="27" customFormat="1" ht="17.25" customHeight="1">
      <c r="A1785" s="693" t="s">
        <v>399</v>
      </c>
      <c r="B1785" s="844" t="s">
        <v>529</v>
      </c>
      <c r="C1785" s="747">
        <f>VLOOKUP(B1781,'CNKT '!$D$113:$AA$178,12,0)</f>
        <v>4</v>
      </c>
      <c r="D1785" s="697">
        <f>76.9*$B$2</f>
        <v>51433.796000000009</v>
      </c>
      <c r="E1785" s="695">
        <f t="shared" si="207"/>
        <v>205735.18400000004</v>
      </c>
      <c r="F1785" s="750"/>
      <c r="G1785" s="693" t="s">
        <v>399</v>
      </c>
      <c r="H1785" s="844" t="s">
        <v>529</v>
      </c>
      <c r="I1785" s="747">
        <f>VLOOKUP(H1781,'CNKT '!$D$113:$AA$178,12,0)</f>
        <v>5</v>
      </c>
      <c r="J1785" s="697">
        <f>76.9*$B$2</f>
        <v>51433.796000000009</v>
      </c>
      <c r="K1785" s="695">
        <f t="shared" si="208"/>
        <v>257168.98000000004</v>
      </c>
      <c r="L1785" s="690"/>
    </row>
    <row r="1786" spans="1:12" s="27" customFormat="1" ht="17.25" customHeight="1">
      <c r="A1786" s="693" t="s">
        <v>78</v>
      </c>
      <c r="B1786" s="844" t="s">
        <v>530</v>
      </c>
      <c r="C1786" s="747">
        <f>VLOOKUP(B1781,'CNKT '!$D$113:$AA$178,8,0)</f>
        <v>975.69206638802132</v>
      </c>
      <c r="D1786" s="697">
        <f>IF(C1782="A",6.1,IF(C1782="B",5.8,IF(C1782="C",5.5,IF(C1782="C.",5.5,IF(C1782="D",5.2)))))*$B$2</f>
        <v>0</v>
      </c>
      <c r="E1786" s="695">
        <f t="shared" si="207"/>
        <v>0</v>
      </c>
      <c r="F1786" s="750"/>
      <c r="G1786" s="693" t="s">
        <v>78</v>
      </c>
      <c r="H1786" s="844" t="s">
        <v>530</v>
      </c>
      <c r="I1786" s="747">
        <f>VLOOKUP(H1781,'CNKT '!$D$113:$AA$178,8,0)</f>
        <v>1530.7237104005162</v>
      </c>
      <c r="J1786" s="697">
        <f>IF(I1782="A",6.1,IF(I1782="B",5.8,IF(I1782="C",5.5,IF(I1782="C.",5.5,IF(I1782="D",5.2)))))*$B$2</f>
        <v>0</v>
      </c>
      <c r="K1786" s="695">
        <f t="shared" si="208"/>
        <v>0</v>
      </c>
      <c r="L1786" s="690"/>
    </row>
    <row r="1787" spans="1:12" s="27" customFormat="1" ht="17.25" customHeight="1">
      <c r="A1787" s="693" t="s">
        <v>493</v>
      </c>
      <c r="B1787" s="844" t="s">
        <v>531</v>
      </c>
      <c r="C1787" s="747">
        <f>VLOOKUP(B1781,'CNKT '!$D$99:$AA$178,13,0)</f>
        <v>0</v>
      </c>
      <c r="D1787" s="698">
        <f>92.2*$B$2</f>
        <v>61667.048000000003</v>
      </c>
      <c r="E1787" s="695">
        <f t="shared" si="207"/>
        <v>0</v>
      </c>
      <c r="F1787" s="750"/>
      <c r="G1787" s="693" t="s">
        <v>493</v>
      </c>
      <c r="H1787" s="844" t="s">
        <v>531</v>
      </c>
      <c r="I1787" s="747">
        <f>VLOOKUP(H1781,'CNKT '!$D$99:$AA$178,13,0)</f>
        <v>0</v>
      </c>
      <c r="J1787" s="698">
        <f>92.2*$B$2</f>
        <v>61667.048000000003</v>
      </c>
      <c r="K1787" s="695">
        <f t="shared" si="208"/>
        <v>0</v>
      </c>
      <c r="L1787" s="690"/>
    </row>
    <row r="1788" spans="1:12" s="27" customFormat="1" ht="17.25" customHeight="1">
      <c r="A1788" s="693" t="s">
        <v>448</v>
      </c>
      <c r="B1788" s="844" t="s">
        <v>496</v>
      </c>
      <c r="C1788" s="747">
        <f>VLOOKUP(B1781,'CNKT '!$D$113:$AA$178,14,0)</f>
        <v>0</v>
      </c>
      <c r="D1788" s="697">
        <f>153.6*$B$2</f>
        <v>102733.82400000001</v>
      </c>
      <c r="E1788" s="695">
        <f t="shared" si="207"/>
        <v>0</v>
      </c>
      <c r="F1788" s="750"/>
      <c r="G1788" s="693" t="s">
        <v>448</v>
      </c>
      <c r="H1788" s="844" t="s">
        <v>496</v>
      </c>
      <c r="I1788" s="747">
        <f>VLOOKUP(H1781,'CNKT '!$D$113:$AA$178,14,0)</f>
        <v>0</v>
      </c>
      <c r="J1788" s="697">
        <f>153.6*$B$2</f>
        <v>102733.82400000001</v>
      </c>
      <c r="K1788" s="695">
        <f t="shared" si="208"/>
        <v>0</v>
      </c>
      <c r="L1788" s="690"/>
    </row>
    <row r="1789" spans="1:12" s="27" customFormat="1" ht="17.25" customHeight="1">
      <c r="A1789" s="693" t="s">
        <v>453</v>
      </c>
      <c r="B1789" s="844" t="s">
        <v>497</v>
      </c>
      <c r="C1789" s="747">
        <f>VLOOKUP(B1781,'CNKT '!$D$114:$AA$178,18,0)</f>
        <v>0</v>
      </c>
      <c r="D1789" s="697">
        <v>10000</v>
      </c>
      <c r="E1789" s="695">
        <f>C1789*D1789</f>
        <v>0</v>
      </c>
      <c r="F1789" s="750"/>
      <c r="G1789" s="693" t="s">
        <v>453</v>
      </c>
      <c r="H1789" s="844" t="s">
        <v>497</v>
      </c>
      <c r="I1789" s="747">
        <f>VLOOKUP(H1781,'CNKT '!$D$114:$AA$178,18,0)</f>
        <v>0</v>
      </c>
      <c r="J1789" s="697">
        <v>10000</v>
      </c>
      <c r="K1789" s="695">
        <f>I1789*J1789</f>
        <v>0</v>
      </c>
      <c r="L1789" s="690"/>
    </row>
    <row r="1790" spans="1:12" s="27" customFormat="1" ht="17.25" customHeight="1">
      <c r="A1790" s="693" t="s">
        <v>453</v>
      </c>
      <c r="B1790" s="844" t="s">
        <v>497</v>
      </c>
      <c r="C1790" s="747">
        <f>VLOOKUP(B1781,'CNKT '!$D$114:$AA$178,19,0)</f>
        <v>0</v>
      </c>
      <c r="D1790" s="697">
        <v>20000</v>
      </c>
      <c r="E1790" s="695">
        <f>C1790*D1790</f>
        <v>0</v>
      </c>
      <c r="F1790" s="750"/>
      <c r="G1790" s="693" t="s">
        <v>453</v>
      </c>
      <c r="H1790" s="844" t="s">
        <v>497</v>
      </c>
      <c r="I1790" s="747">
        <f>VLOOKUP(H1781,'CNKT '!$D$114:$AA$178,19,0)</f>
        <v>0</v>
      </c>
      <c r="J1790" s="697">
        <v>20000</v>
      </c>
      <c r="K1790" s="695">
        <f>I1790*J1790</f>
        <v>0</v>
      </c>
      <c r="L1790" s="690"/>
    </row>
    <row r="1791" spans="1:12" s="27" customFormat="1" ht="17.25" customHeight="1">
      <c r="A1791" s="693" t="s">
        <v>512</v>
      </c>
      <c r="B1791" s="844" t="s">
        <v>513</v>
      </c>
      <c r="C1791" s="747"/>
      <c r="D1791" s="697"/>
      <c r="E1791" s="695"/>
      <c r="F1791" s="750"/>
      <c r="G1791" s="693" t="s">
        <v>512</v>
      </c>
      <c r="H1791" s="844" t="s">
        <v>513</v>
      </c>
      <c r="I1791" s="747"/>
      <c r="J1791" s="697"/>
      <c r="K1791" s="695"/>
      <c r="L1791" s="690"/>
    </row>
    <row r="1792" spans="1:12" s="27" customFormat="1" ht="17.25" customHeight="1">
      <c r="A1792" s="699" t="s">
        <v>79</v>
      </c>
      <c r="B1792" s="845" t="s">
        <v>532</v>
      </c>
      <c r="C1792" s="700"/>
      <c r="D1792" s="701"/>
      <c r="E1792" s="700"/>
      <c r="F1792" s="750"/>
      <c r="G1792" s="699" t="s">
        <v>79</v>
      </c>
      <c r="H1792" s="845" t="s">
        <v>532</v>
      </c>
      <c r="I1792" s="700"/>
      <c r="J1792" s="701"/>
      <c r="K1792" s="700"/>
      <c r="L1792" s="690"/>
    </row>
    <row r="1793" spans="1:12" s="27" customFormat="1" ht="17.25" customHeight="1">
      <c r="A1793" s="702" t="s">
        <v>80</v>
      </c>
      <c r="B1793" s="846" t="s">
        <v>533</v>
      </c>
      <c r="C1793" s="700"/>
      <c r="D1793" s="700"/>
      <c r="E1793" s="700"/>
      <c r="F1793" s="750"/>
      <c r="G1793" s="702" t="s">
        <v>80</v>
      </c>
      <c r="H1793" s="846" t="s">
        <v>533</v>
      </c>
      <c r="I1793" s="700"/>
      <c r="J1793" s="700"/>
      <c r="K1793" s="700"/>
      <c r="L1793" s="690"/>
    </row>
    <row r="1794" spans="1:12" s="27" customFormat="1" ht="17.25" customHeight="1">
      <c r="A1794" s="702" t="s">
        <v>81</v>
      </c>
      <c r="B1794" s="847" t="s">
        <v>534</v>
      </c>
      <c r="C1794" s="700"/>
      <c r="D1794" s="700"/>
      <c r="E1794" s="695">
        <f>SUM(E1793)</f>
        <v>0</v>
      </c>
      <c r="F1794" s="747"/>
      <c r="G1794" s="702" t="s">
        <v>81</v>
      </c>
      <c r="H1794" s="847" t="s">
        <v>534</v>
      </c>
      <c r="I1794" s="700"/>
      <c r="J1794" s="700"/>
      <c r="K1794" s="695">
        <f>SUM(K1793)</f>
        <v>0</v>
      </c>
      <c r="L1794" s="690"/>
    </row>
    <row r="1795" spans="1:12" s="27" customFormat="1" ht="17.25" customHeight="1">
      <c r="A1795" s="704" t="s">
        <v>82</v>
      </c>
      <c r="B1795" s="848" t="s">
        <v>438</v>
      </c>
      <c r="C1795" s="705"/>
      <c r="D1795" s="705"/>
      <c r="E1795" s="705">
        <f>(E1783+E1784+E1785+E1786+E1787+E1788+E1789+E1790+E1791)-E1794</f>
        <v>884072.71200000006</v>
      </c>
      <c r="F1795" s="747"/>
      <c r="G1795" s="704" t="s">
        <v>82</v>
      </c>
      <c r="H1795" s="848" t="s">
        <v>438</v>
      </c>
      <c r="I1795" s="705"/>
      <c r="J1795" s="705"/>
      <c r="K1795" s="705">
        <f>(K1783+K1784+K1785+K1786+K1787+K1788+K1789+K1790+K1791)-K1794</f>
        <v>997173.5560000001</v>
      </c>
      <c r="L1795" s="707">
        <f>E1795+K1795</f>
        <v>1881246.2680000002</v>
      </c>
    </row>
    <row r="1796" spans="1:12" s="27" customFormat="1" ht="17.25" customHeight="1">
      <c r="A1796" s="763"/>
      <c r="B1796" s="763"/>
      <c r="C1796" s="763"/>
      <c r="D1796" s="763"/>
      <c r="E1796" s="763"/>
      <c r="F1796" s="763"/>
      <c r="G1796" s="763"/>
      <c r="H1796" s="763"/>
      <c r="I1796" s="763"/>
      <c r="J1796" s="763"/>
      <c r="K1796" s="763"/>
      <c r="L1796" s="690"/>
    </row>
    <row r="1797" spans="1:12" s="27" customFormat="1" ht="17.25" customHeight="1">
      <c r="A1797" s="759" t="str">
        <f>A1780</f>
        <v>LƯƠNG THÁNG 01/2025</v>
      </c>
      <c r="B1797" s="763"/>
      <c r="C1797" s="763"/>
      <c r="D1797" s="763"/>
      <c r="E1797" s="769">
        <f>VLOOKUP(B1798,'CNKT '!$D$114:$AD$178,26,0)</f>
        <v>0</v>
      </c>
      <c r="F1797" s="750"/>
      <c r="G1797" s="759" t="str">
        <f>A1797</f>
        <v>LƯƠNG THÁNG 01/2025</v>
      </c>
      <c r="H1797" s="763"/>
      <c r="I1797" s="763"/>
      <c r="J1797" s="766"/>
      <c r="K1797" s="769">
        <f>VLOOKUP(H1798,'CNKT '!$D$114:$AD$178,26,0)</f>
        <v>0</v>
      </c>
      <c r="L1797" s="690"/>
    </row>
    <row r="1798" spans="1:12" s="27" customFormat="1" ht="17.25" customHeight="1">
      <c r="A1798" s="709" t="s">
        <v>15</v>
      </c>
      <c r="B1798" s="840" t="str">
        <f>'CNKT '!D150</f>
        <v>T. Khăm...</v>
      </c>
      <c r="C1798" s="694"/>
      <c r="D1798" s="840" t="s">
        <v>396</v>
      </c>
      <c r="E1798" s="840" t="s">
        <v>18</v>
      </c>
      <c r="F1798" s="750"/>
      <c r="G1798" s="709" t="s">
        <v>15</v>
      </c>
      <c r="H1798" s="840" t="str">
        <f>'CNKT '!D151</f>
        <v>N. Túc</v>
      </c>
      <c r="I1798" s="694"/>
      <c r="J1798" s="840" t="s">
        <v>396</v>
      </c>
      <c r="K1798" s="840" t="s">
        <v>18</v>
      </c>
      <c r="L1798" s="690"/>
    </row>
    <row r="1799" spans="1:12" s="27" customFormat="1" ht="17.25" customHeight="1">
      <c r="A1799" s="693" t="s">
        <v>397</v>
      </c>
      <c r="B1799" s="842" t="s">
        <v>527</v>
      </c>
      <c r="C1799" s="694">
        <f>VLOOKUP(B1798,'BTH mủ tạp'!$D$98:$AN$160,36,0)</f>
        <v>1489.1656006158864</v>
      </c>
      <c r="D1799" s="695"/>
      <c r="E1799" s="695"/>
      <c r="F1799" s="750"/>
      <c r="G1799" s="693" t="s">
        <v>397</v>
      </c>
      <c r="H1799" s="842" t="s">
        <v>527</v>
      </c>
      <c r="I1799" s="694">
        <f>VLOOKUP(H1798,'BTH mủ tạp'!$D$98:$AN$160,36,0)</f>
        <v>1392.1966777850848</v>
      </c>
      <c r="J1799" s="695"/>
      <c r="K1799" s="695"/>
      <c r="L1799" s="690"/>
    </row>
    <row r="1800" spans="1:12" s="27" customFormat="1" ht="17.25" customHeight="1">
      <c r="A1800" s="693" t="s">
        <v>77</v>
      </c>
      <c r="B1800" s="843" t="s">
        <v>432</v>
      </c>
      <c r="C1800" s="696">
        <f>VLOOKUP(B1798,'CNKT '!$D$113:$AA$178,3,0)</f>
        <v>0</v>
      </c>
      <c r="D1800" s="697">
        <v>25000</v>
      </c>
      <c r="E1800" s="695">
        <f t="shared" ref="E1800:E1805" si="209">C1800*D1800</f>
        <v>0</v>
      </c>
      <c r="F1800" s="750"/>
      <c r="G1800" s="693" t="s">
        <v>77</v>
      </c>
      <c r="H1800" s="843" t="s">
        <v>432</v>
      </c>
      <c r="I1800" s="696">
        <f>VLOOKUP(H1798,'CNKT '!$D$113:$AA$178,3,0)</f>
        <v>0</v>
      </c>
      <c r="J1800" s="697">
        <v>25000</v>
      </c>
      <c r="K1800" s="695">
        <f t="shared" ref="K1800:K1805" si="210">I1800*J1800</f>
        <v>0</v>
      </c>
      <c r="L1800" s="690"/>
    </row>
    <row r="1801" spans="1:12" s="27" customFormat="1" ht="17.25" customHeight="1">
      <c r="A1801" s="693" t="s">
        <v>307</v>
      </c>
      <c r="B1801" s="844" t="s">
        <v>528</v>
      </c>
      <c r="C1801" s="747">
        <f>VLOOKUP(B1798,'CNKT '!$D$113:$AA$178,11,0)</f>
        <v>24</v>
      </c>
      <c r="D1801" s="698">
        <f>46.1*$B$2</f>
        <v>30833.524000000001</v>
      </c>
      <c r="E1801" s="695">
        <f t="shared" si="209"/>
        <v>740004.576</v>
      </c>
      <c r="F1801" s="750"/>
      <c r="G1801" s="693" t="s">
        <v>307</v>
      </c>
      <c r="H1801" s="844" t="s">
        <v>528</v>
      </c>
      <c r="I1801" s="747">
        <f>VLOOKUP(H1798,'CNKT '!$D$113:$AA$178,11,0)</f>
        <v>24</v>
      </c>
      <c r="J1801" s="698">
        <f>46.1*$B$2</f>
        <v>30833.524000000001</v>
      </c>
      <c r="K1801" s="695">
        <f t="shared" si="210"/>
        <v>740004.576</v>
      </c>
      <c r="L1801" s="690"/>
    </row>
    <row r="1802" spans="1:12" s="27" customFormat="1" ht="17.25" customHeight="1">
      <c r="A1802" s="693" t="s">
        <v>399</v>
      </c>
      <c r="B1802" s="844" t="s">
        <v>529</v>
      </c>
      <c r="C1802" s="747">
        <f>VLOOKUP(B1798,'CNKT '!$D$113:$AA$178,12,0)</f>
        <v>5</v>
      </c>
      <c r="D1802" s="697">
        <f>76.9*$B$2</f>
        <v>51433.796000000009</v>
      </c>
      <c r="E1802" s="695">
        <f t="shared" si="209"/>
        <v>257168.98000000004</v>
      </c>
      <c r="F1802" s="750"/>
      <c r="G1802" s="693" t="s">
        <v>399</v>
      </c>
      <c r="H1802" s="844" t="s">
        <v>529</v>
      </c>
      <c r="I1802" s="747">
        <f>VLOOKUP(H1798,'CNKT '!$D$113:$AA$178,12,0)</f>
        <v>5</v>
      </c>
      <c r="J1802" s="697">
        <f>76.9*$B$2</f>
        <v>51433.796000000009</v>
      </c>
      <c r="K1802" s="695">
        <f t="shared" si="210"/>
        <v>257168.98000000004</v>
      </c>
      <c r="L1802" s="690"/>
    </row>
    <row r="1803" spans="1:12" s="27" customFormat="1" ht="17.25" customHeight="1">
      <c r="A1803" s="693" t="s">
        <v>78</v>
      </c>
      <c r="B1803" s="844" t="s">
        <v>530</v>
      </c>
      <c r="C1803" s="747">
        <f>VLOOKUP(B1798,'CNKT '!$D$113:$AA$178,8,0)</f>
        <v>1489.1656006158869</v>
      </c>
      <c r="D1803" s="697">
        <f>IF(C1799="A",6.1,IF(C1799="B",5.8,IF(C1799="C",5.5,IF(C1799="C.",5.5,IF(C1799="D",5.2)))))*$B$2</f>
        <v>0</v>
      </c>
      <c r="E1803" s="695">
        <f t="shared" si="209"/>
        <v>0</v>
      </c>
      <c r="F1803" s="750"/>
      <c r="G1803" s="693" t="s">
        <v>78</v>
      </c>
      <c r="H1803" s="844" t="s">
        <v>530</v>
      </c>
      <c r="I1803" s="747">
        <f>VLOOKUP(H1798,'CNKT '!$D$113:$AA$178,8,0)</f>
        <v>1392.1966777850848</v>
      </c>
      <c r="J1803" s="697">
        <f>IF(I1799="A",6.1,IF(I1799="B",5.8,IF(I1799="C",5.5,IF(I1799="C.",5.5,IF(I1799="D",5.2)))))*$B$2</f>
        <v>0</v>
      </c>
      <c r="K1803" s="695">
        <f t="shared" si="210"/>
        <v>0</v>
      </c>
      <c r="L1803" s="690"/>
    </row>
    <row r="1804" spans="1:12" s="27" customFormat="1" ht="17.25" customHeight="1">
      <c r="A1804" s="693" t="s">
        <v>493</v>
      </c>
      <c r="B1804" s="844" t="s">
        <v>531</v>
      </c>
      <c r="C1804" s="747">
        <f>VLOOKUP(B1798,'CNKT '!$D$99:$AA$178,13,0)</f>
        <v>0</v>
      </c>
      <c r="D1804" s="698">
        <f>92.2*$B$2</f>
        <v>61667.048000000003</v>
      </c>
      <c r="E1804" s="695">
        <f t="shared" si="209"/>
        <v>0</v>
      </c>
      <c r="F1804" s="750"/>
      <c r="G1804" s="693" t="s">
        <v>493</v>
      </c>
      <c r="H1804" s="844" t="s">
        <v>531</v>
      </c>
      <c r="I1804" s="747">
        <f>VLOOKUP(H1798,'CNKT '!$D$99:$AA$178,13,0)</f>
        <v>0</v>
      </c>
      <c r="J1804" s="698">
        <f>92.2*$B$2</f>
        <v>61667.048000000003</v>
      </c>
      <c r="K1804" s="695">
        <f t="shared" si="210"/>
        <v>0</v>
      </c>
      <c r="L1804" s="690"/>
    </row>
    <row r="1805" spans="1:12" s="27" customFormat="1" ht="17.25" customHeight="1">
      <c r="A1805" s="693" t="s">
        <v>448</v>
      </c>
      <c r="B1805" s="844" t="s">
        <v>496</v>
      </c>
      <c r="C1805" s="747">
        <f>VLOOKUP(B1798,'CNKT '!$D$113:$AA$178,14,0)</f>
        <v>0</v>
      </c>
      <c r="D1805" s="697">
        <f>153.6*$B$2</f>
        <v>102733.82400000001</v>
      </c>
      <c r="E1805" s="695">
        <f t="shared" si="209"/>
        <v>0</v>
      </c>
      <c r="F1805" s="750"/>
      <c r="G1805" s="693" t="s">
        <v>448</v>
      </c>
      <c r="H1805" s="844" t="s">
        <v>496</v>
      </c>
      <c r="I1805" s="747">
        <f>VLOOKUP(H1798,'CNKT '!$D$113:$AA$178,14,0)</f>
        <v>0</v>
      </c>
      <c r="J1805" s="697">
        <f>153.6*$B$2</f>
        <v>102733.82400000001</v>
      </c>
      <c r="K1805" s="695">
        <f t="shared" si="210"/>
        <v>0</v>
      </c>
      <c r="L1805" s="690"/>
    </row>
    <row r="1806" spans="1:12" s="27" customFormat="1" ht="17.25" customHeight="1">
      <c r="A1806" s="693" t="s">
        <v>453</v>
      </c>
      <c r="B1806" s="844" t="s">
        <v>497</v>
      </c>
      <c r="C1806" s="747">
        <f>VLOOKUP(B1798,'CNKT '!$D$114:$AA$178,18,0)</f>
        <v>0</v>
      </c>
      <c r="D1806" s="697">
        <v>10000</v>
      </c>
      <c r="E1806" s="695">
        <f>C1806*D1806</f>
        <v>0</v>
      </c>
      <c r="F1806" s="750"/>
      <c r="G1806" s="693" t="s">
        <v>453</v>
      </c>
      <c r="H1806" s="844" t="s">
        <v>497</v>
      </c>
      <c r="I1806" s="747">
        <f>VLOOKUP(H1798,'CNKT '!$D$114:$AA$178,18,0)</f>
        <v>0</v>
      </c>
      <c r="J1806" s="697">
        <v>10000</v>
      </c>
      <c r="K1806" s="695">
        <f>I1806*J1806</f>
        <v>0</v>
      </c>
      <c r="L1806" s="690"/>
    </row>
    <row r="1807" spans="1:12" s="27" customFormat="1" ht="17.25" customHeight="1">
      <c r="A1807" s="693" t="s">
        <v>453</v>
      </c>
      <c r="B1807" s="844" t="s">
        <v>497</v>
      </c>
      <c r="C1807" s="747">
        <f>VLOOKUP(B1798,'CNKT '!$D$114:$AA$178,19,0)</f>
        <v>0</v>
      </c>
      <c r="D1807" s="697">
        <v>20000</v>
      </c>
      <c r="E1807" s="695">
        <f>C1807*D1807</f>
        <v>0</v>
      </c>
      <c r="F1807" s="750"/>
      <c r="G1807" s="693" t="s">
        <v>453</v>
      </c>
      <c r="H1807" s="844" t="s">
        <v>497</v>
      </c>
      <c r="I1807" s="747">
        <f>VLOOKUP(H1798,'CNKT '!$D$114:$AA$178,19,0)</f>
        <v>0</v>
      </c>
      <c r="J1807" s="697">
        <v>20000</v>
      </c>
      <c r="K1807" s="695">
        <f>I1807*J1807</f>
        <v>0</v>
      </c>
      <c r="L1807" s="690"/>
    </row>
    <row r="1808" spans="1:12" s="27" customFormat="1" ht="17.25" customHeight="1">
      <c r="A1808" s="693" t="s">
        <v>512</v>
      </c>
      <c r="B1808" s="844" t="s">
        <v>513</v>
      </c>
      <c r="C1808" s="747"/>
      <c r="D1808" s="697"/>
      <c r="E1808" s="695"/>
      <c r="F1808" s="750"/>
      <c r="G1808" s="693" t="s">
        <v>512</v>
      </c>
      <c r="H1808" s="844" t="s">
        <v>513</v>
      </c>
      <c r="I1808" s="747"/>
      <c r="J1808" s="697"/>
      <c r="K1808" s="695"/>
      <c r="L1808" s="690"/>
    </row>
    <row r="1809" spans="1:13" s="27" customFormat="1" ht="17.25" customHeight="1">
      <c r="A1809" s="699" t="s">
        <v>79</v>
      </c>
      <c r="B1809" s="845" t="s">
        <v>532</v>
      </c>
      <c r="C1809" s="700"/>
      <c r="D1809" s="701"/>
      <c r="E1809" s="700"/>
      <c r="F1809" s="750"/>
      <c r="G1809" s="699" t="s">
        <v>79</v>
      </c>
      <c r="H1809" s="845" t="s">
        <v>532</v>
      </c>
      <c r="I1809" s="700"/>
      <c r="J1809" s="701"/>
      <c r="K1809" s="700"/>
      <c r="L1809" s="690"/>
    </row>
    <row r="1810" spans="1:13" s="27" customFormat="1" ht="17.25" customHeight="1">
      <c r="A1810" s="702" t="s">
        <v>80</v>
      </c>
      <c r="B1810" s="846" t="s">
        <v>533</v>
      </c>
      <c r="C1810" s="700"/>
      <c r="D1810" s="700"/>
      <c r="E1810" s="700"/>
      <c r="F1810" s="750"/>
      <c r="G1810" s="702" t="s">
        <v>80</v>
      </c>
      <c r="H1810" s="846" t="s">
        <v>533</v>
      </c>
      <c r="I1810" s="700"/>
      <c r="J1810" s="700"/>
      <c r="K1810" s="700"/>
      <c r="L1810" s="690"/>
    </row>
    <row r="1811" spans="1:13" s="27" customFormat="1" ht="17.25" customHeight="1">
      <c r="A1811" s="702" t="s">
        <v>81</v>
      </c>
      <c r="B1811" s="847" t="s">
        <v>534</v>
      </c>
      <c r="C1811" s="700"/>
      <c r="D1811" s="700"/>
      <c r="E1811" s="695">
        <f>SUM(E1810)</f>
        <v>0</v>
      </c>
      <c r="F1811" s="746"/>
      <c r="G1811" s="702" t="s">
        <v>81</v>
      </c>
      <c r="H1811" s="847" t="s">
        <v>534</v>
      </c>
      <c r="I1811" s="700"/>
      <c r="J1811" s="700"/>
      <c r="K1811" s="695">
        <f>SUM(K1810)</f>
        <v>0</v>
      </c>
      <c r="L1811" s="707"/>
      <c r="M1811" s="703"/>
    </row>
    <row r="1812" spans="1:13" s="27" customFormat="1" ht="17.25" customHeight="1">
      <c r="A1812" s="704" t="s">
        <v>82</v>
      </c>
      <c r="B1812" s="848" t="s">
        <v>438</v>
      </c>
      <c r="C1812" s="705"/>
      <c r="D1812" s="705"/>
      <c r="E1812" s="705">
        <f>(E1800+E1801+E1802+E1803+E1804+E1805+E1806+E1807+E1808)-E1811</f>
        <v>997173.5560000001</v>
      </c>
      <c r="F1812" s="746"/>
      <c r="G1812" s="704" t="s">
        <v>82</v>
      </c>
      <c r="H1812" s="848" t="s">
        <v>438</v>
      </c>
      <c r="I1812" s="705"/>
      <c r="J1812" s="705"/>
      <c r="K1812" s="705">
        <f>(K1800+K1801+K1802+K1803+K1804+K1805+K1806+K1807+K1808)-K1811</f>
        <v>997173.5560000001</v>
      </c>
      <c r="L1812" s="707">
        <f>E1812+K1812</f>
        <v>1994347.1120000002</v>
      </c>
      <c r="M1812" s="703"/>
    </row>
    <row r="1813" spans="1:13" s="27" customFormat="1" ht="66.75" customHeight="1">
      <c r="A1813" s="763"/>
      <c r="B1813" s="763"/>
      <c r="C1813" s="763"/>
      <c r="D1813" s="763"/>
      <c r="E1813" s="763"/>
      <c r="F1813" s="763"/>
      <c r="G1813" s="763"/>
      <c r="H1813" s="763"/>
      <c r="I1813" s="763"/>
      <c r="J1813" s="763"/>
      <c r="K1813" s="763"/>
      <c r="L1813" s="707"/>
      <c r="M1813" s="703"/>
    </row>
    <row r="1814" spans="1:13" s="27" customFormat="1" ht="17.25" customHeight="1">
      <c r="A1814" s="759" t="str">
        <f>A1797</f>
        <v>LƯƠNG THÁNG 01/2025</v>
      </c>
      <c r="B1814" s="763"/>
      <c r="C1814" s="763"/>
      <c r="D1814" s="763"/>
      <c r="E1814" s="769">
        <f>VLOOKUP(B1815,'CNKT '!$D$114:$AD$178,26,0)</f>
        <v>0</v>
      </c>
      <c r="F1814" s="750"/>
      <c r="G1814" s="759" t="str">
        <f>A1814</f>
        <v>LƯƠNG THÁNG 01/2025</v>
      </c>
      <c r="H1814" s="763"/>
      <c r="I1814" s="763"/>
      <c r="J1814" s="766"/>
      <c r="K1814" s="769">
        <f>VLOOKUP(H1815,'CNKT '!$D$114:$AD$178,26,0)</f>
        <v>0</v>
      </c>
      <c r="L1814" s="707"/>
      <c r="M1814" s="703"/>
    </row>
    <row r="1815" spans="1:13" s="27" customFormat="1" ht="17.25" customHeight="1">
      <c r="A1815" s="709" t="s">
        <v>15</v>
      </c>
      <c r="B1815" s="840" t="str">
        <f>'CNKT '!D152</f>
        <v>N. Pheng</v>
      </c>
      <c r="C1815" s="694"/>
      <c r="D1815" s="840" t="s">
        <v>396</v>
      </c>
      <c r="E1815" s="840" t="s">
        <v>18</v>
      </c>
      <c r="F1815" s="750"/>
      <c r="G1815" s="709" t="s">
        <v>15</v>
      </c>
      <c r="H1815" s="840" t="str">
        <f>'CNKT '!D153</f>
        <v>N. Mom</v>
      </c>
      <c r="I1815" s="694"/>
      <c r="J1815" s="840" t="s">
        <v>396</v>
      </c>
      <c r="K1815" s="840" t="s">
        <v>18</v>
      </c>
      <c r="L1815" s="707"/>
      <c r="M1815" s="703"/>
    </row>
    <row r="1816" spans="1:13" s="27" customFormat="1" ht="17.25" customHeight="1">
      <c r="A1816" s="693" t="s">
        <v>397</v>
      </c>
      <c r="B1816" s="842" t="s">
        <v>527</v>
      </c>
      <c r="C1816" s="694">
        <f>VLOOKUP(B1815,'BTH mủ tạp'!$D$98:$AN$160,36,0)</f>
        <v>1638.7747958405523</v>
      </c>
      <c r="D1816" s="695"/>
      <c r="E1816" s="695"/>
      <c r="F1816" s="750"/>
      <c r="G1816" s="693" t="s">
        <v>397</v>
      </c>
      <c r="H1816" s="842" t="s">
        <v>527</v>
      </c>
      <c r="I1816" s="694">
        <f>VLOOKUP(H1815,'BTH mủ tạp'!$D$98:$AN$160,36,0)</f>
        <v>1490.550870942041</v>
      </c>
      <c r="J1816" s="695"/>
      <c r="K1816" s="695"/>
      <c r="L1816" s="707"/>
      <c r="M1816" s="703"/>
    </row>
    <row r="1817" spans="1:13" s="27" customFormat="1" ht="17.25" customHeight="1">
      <c r="A1817" s="693" t="s">
        <v>77</v>
      </c>
      <c r="B1817" s="843" t="s">
        <v>432</v>
      </c>
      <c r="C1817" s="696">
        <f>VLOOKUP(B1815,'CNKT '!$D$113:$AA$178,3,0)</f>
        <v>0</v>
      </c>
      <c r="D1817" s="697">
        <v>25000</v>
      </c>
      <c r="E1817" s="695">
        <f t="shared" ref="E1817:E1822" si="211">C1817*D1817</f>
        <v>0</v>
      </c>
      <c r="F1817" s="750"/>
      <c r="G1817" s="693" t="s">
        <v>77</v>
      </c>
      <c r="H1817" s="843" t="s">
        <v>432</v>
      </c>
      <c r="I1817" s="696">
        <f>VLOOKUP(H1815,'CNKT '!$D$113:$AA$178,3,0)</f>
        <v>0</v>
      </c>
      <c r="J1817" s="697">
        <v>25000</v>
      </c>
      <c r="K1817" s="695">
        <f t="shared" ref="K1817:K1822" si="212">I1817*J1817</f>
        <v>0</v>
      </c>
      <c r="L1817" s="707"/>
      <c r="M1817" s="703"/>
    </row>
    <row r="1818" spans="1:13" s="27" customFormat="1" ht="17.25" customHeight="1">
      <c r="A1818" s="693" t="s">
        <v>307</v>
      </c>
      <c r="B1818" s="844" t="s">
        <v>528</v>
      </c>
      <c r="C1818" s="747">
        <f>VLOOKUP(B1815,'CNKT '!$D$113:$AA$178,11,0)</f>
        <v>24</v>
      </c>
      <c r="D1818" s="698">
        <f>46.1*$B$2</f>
        <v>30833.524000000001</v>
      </c>
      <c r="E1818" s="695">
        <f t="shared" si="211"/>
        <v>740004.576</v>
      </c>
      <c r="F1818" s="750"/>
      <c r="G1818" s="693" t="s">
        <v>307</v>
      </c>
      <c r="H1818" s="844" t="s">
        <v>528</v>
      </c>
      <c r="I1818" s="747">
        <f>VLOOKUP(H1815,'CNKT '!$D$113:$AA$178,11,0)</f>
        <v>24</v>
      </c>
      <c r="J1818" s="698">
        <f>46.1*$B$2</f>
        <v>30833.524000000001</v>
      </c>
      <c r="K1818" s="695">
        <f t="shared" si="212"/>
        <v>740004.576</v>
      </c>
      <c r="L1818" s="707"/>
      <c r="M1818" s="703"/>
    </row>
    <row r="1819" spans="1:13" s="27" customFormat="1" ht="17.25" customHeight="1">
      <c r="A1819" s="693" t="s">
        <v>399</v>
      </c>
      <c r="B1819" s="844" t="s">
        <v>529</v>
      </c>
      <c r="C1819" s="747">
        <f>VLOOKUP(B1815,'CNKT '!$D$113:$AA$178,12,0)</f>
        <v>5</v>
      </c>
      <c r="D1819" s="697">
        <f>76.9*$B$2</f>
        <v>51433.796000000009</v>
      </c>
      <c r="E1819" s="695">
        <f t="shared" si="211"/>
        <v>257168.98000000004</v>
      </c>
      <c r="F1819" s="750"/>
      <c r="G1819" s="693" t="s">
        <v>399</v>
      </c>
      <c r="H1819" s="844" t="s">
        <v>529</v>
      </c>
      <c r="I1819" s="747">
        <f>VLOOKUP(H1815,'CNKT '!$D$113:$AA$178,12,0)</f>
        <v>5</v>
      </c>
      <c r="J1819" s="697">
        <f>76.9*$B$2</f>
        <v>51433.796000000009</v>
      </c>
      <c r="K1819" s="695">
        <f t="shared" si="212"/>
        <v>257168.98000000004</v>
      </c>
      <c r="L1819" s="707"/>
      <c r="M1819" s="703"/>
    </row>
    <row r="1820" spans="1:13" s="27" customFormat="1" ht="17.25" customHeight="1">
      <c r="A1820" s="693" t="s">
        <v>78</v>
      </c>
      <c r="B1820" s="844" t="s">
        <v>530</v>
      </c>
      <c r="C1820" s="747">
        <f>VLOOKUP(B1815,'CNKT '!$D$113:$AA$178,8,0)</f>
        <v>1638.7747958405528</v>
      </c>
      <c r="D1820" s="697">
        <f>IF(C1816="A",6.1,IF(C1816="B",5.8,IF(C1816="C",5.5,IF(C1816="C.",5.5,IF(C1816="D",5.2)))))*$B$2</f>
        <v>0</v>
      </c>
      <c r="E1820" s="695">
        <f t="shared" si="211"/>
        <v>0</v>
      </c>
      <c r="F1820" s="750"/>
      <c r="G1820" s="693" t="s">
        <v>78</v>
      </c>
      <c r="H1820" s="844" t="s">
        <v>530</v>
      </c>
      <c r="I1820" s="747">
        <f>VLOOKUP(H1815,'CNKT '!$D$113:$AA$178,8,0)</f>
        <v>1490.5508709420412</v>
      </c>
      <c r="J1820" s="697">
        <f>IF(I1816="A",6.1,IF(I1816="B",5.8,IF(I1816="C",5.5,IF(I1816="C.",5.5,IF(I1816="D",5.2)))))*$B$2</f>
        <v>0</v>
      </c>
      <c r="K1820" s="695">
        <f t="shared" si="212"/>
        <v>0</v>
      </c>
      <c r="L1820" s="707"/>
      <c r="M1820" s="703"/>
    </row>
    <row r="1821" spans="1:13" s="27" customFormat="1" ht="17.25" customHeight="1">
      <c r="A1821" s="693" t="s">
        <v>493</v>
      </c>
      <c r="B1821" s="844" t="s">
        <v>531</v>
      </c>
      <c r="C1821" s="747">
        <f>VLOOKUP(B1815,'CNKT '!$D$99:$AA$178,13,0)</f>
        <v>0</v>
      </c>
      <c r="D1821" s="698">
        <f>92.2*$B$2</f>
        <v>61667.048000000003</v>
      </c>
      <c r="E1821" s="695">
        <f t="shared" si="211"/>
        <v>0</v>
      </c>
      <c r="F1821" s="750"/>
      <c r="G1821" s="693" t="s">
        <v>493</v>
      </c>
      <c r="H1821" s="844" t="s">
        <v>531</v>
      </c>
      <c r="I1821" s="747">
        <f>VLOOKUP(H1815,'CNKT '!$D$99:$AA$178,13,0)</f>
        <v>0</v>
      </c>
      <c r="J1821" s="698">
        <f>92.2*$B$2</f>
        <v>61667.048000000003</v>
      </c>
      <c r="K1821" s="695">
        <f t="shared" si="212"/>
        <v>0</v>
      </c>
      <c r="L1821" s="707"/>
      <c r="M1821" s="703"/>
    </row>
    <row r="1822" spans="1:13" s="27" customFormat="1" ht="17.25" customHeight="1">
      <c r="A1822" s="693" t="s">
        <v>448</v>
      </c>
      <c r="B1822" s="844" t="s">
        <v>496</v>
      </c>
      <c r="C1822" s="747">
        <f>VLOOKUP(B1815,'CNKT '!$D$113:$AA$178,14,0)</f>
        <v>0</v>
      </c>
      <c r="D1822" s="697">
        <f>153.6*$B$2</f>
        <v>102733.82400000001</v>
      </c>
      <c r="E1822" s="695">
        <f t="shared" si="211"/>
        <v>0</v>
      </c>
      <c r="F1822" s="750"/>
      <c r="G1822" s="693" t="s">
        <v>448</v>
      </c>
      <c r="H1822" s="844" t="s">
        <v>496</v>
      </c>
      <c r="I1822" s="747">
        <f>VLOOKUP(H1815,'CNKT '!$D$113:$AA$178,14,0)</f>
        <v>0</v>
      </c>
      <c r="J1822" s="697">
        <f>153.6*$B$2</f>
        <v>102733.82400000001</v>
      </c>
      <c r="K1822" s="695">
        <f t="shared" si="212"/>
        <v>0</v>
      </c>
      <c r="L1822" s="707"/>
      <c r="M1822" s="703"/>
    </row>
    <row r="1823" spans="1:13" s="27" customFormat="1" ht="17.25" customHeight="1">
      <c r="A1823" s="693" t="s">
        <v>453</v>
      </c>
      <c r="B1823" s="844" t="s">
        <v>497</v>
      </c>
      <c r="C1823" s="747">
        <f>VLOOKUP(B1815,'CNKT '!$D$114:$AA$178,18,0)</f>
        <v>0</v>
      </c>
      <c r="D1823" s="697">
        <v>10000</v>
      </c>
      <c r="E1823" s="695">
        <f>C1823*D1823</f>
        <v>0</v>
      </c>
      <c r="F1823" s="750"/>
      <c r="G1823" s="693" t="s">
        <v>453</v>
      </c>
      <c r="H1823" s="844" t="s">
        <v>497</v>
      </c>
      <c r="I1823" s="747">
        <f>VLOOKUP(H1815,'CNKT '!$D$114:$AA$178,18,0)</f>
        <v>0</v>
      </c>
      <c r="J1823" s="697">
        <v>10000</v>
      </c>
      <c r="K1823" s="695">
        <f>I1823*J1823</f>
        <v>0</v>
      </c>
      <c r="L1823" s="707"/>
      <c r="M1823" s="703"/>
    </row>
    <row r="1824" spans="1:13" s="27" customFormat="1" ht="17.25" customHeight="1">
      <c r="A1824" s="693" t="s">
        <v>453</v>
      </c>
      <c r="B1824" s="844" t="s">
        <v>497</v>
      </c>
      <c r="C1824" s="747">
        <f>VLOOKUP(B1815,'CNKT '!$D$114:$AA$178,19,0)</f>
        <v>0</v>
      </c>
      <c r="D1824" s="697">
        <v>20000</v>
      </c>
      <c r="E1824" s="695">
        <f>C1824*D1824</f>
        <v>0</v>
      </c>
      <c r="F1824" s="750"/>
      <c r="G1824" s="693" t="s">
        <v>453</v>
      </c>
      <c r="H1824" s="844" t="s">
        <v>497</v>
      </c>
      <c r="I1824" s="747">
        <f>VLOOKUP(H1815,'CNKT '!$D$114:$AA$178,19,0)</f>
        <v>0</v>
      </c>
      <c r="J1824" s="697">
        <v>20000</v>
      </c>
      <c r="K1824" s="695">
        <f>I1824*J1824</f>
        <v>0</v>
      </c>
      <c r="L1824" s="707"/>
      <c r="M1824" s="703"/>
    </row>
    <row r="1825" spans="1:13" s="27" customFormat="1" ht="17.25" customHeight="1">
      <c r="A1825" s="693" t="s">
        <v>512</v>
      </c>
      <c r="B1825" s="844" t="s">
        <v>513</v>
      </c>
      <c r="C1825" s="747"/>
      <c r="D1825" s="697"/>
      <c r="E1825" s="695"/>
      <c r="F1825" s="750"/>
      <c r="G1825" s="693" t="s">
        <v>512</v>
      </c>
      <c r="H1825" s="844" t="s">
        <v>513</v>
      </c>
      <c r="I1825" s="747"/>
      <c r="J1825" s="697"/>
      <c r="K1825" s="695"/>
      <c r="L1825" s="707"/>
      <c r="M1825" s="703"/>
    </row>
    <row r="1826" spans="1:13" s="27" customFormat="1" ht="17.25" customHeight="1">
      <c r="A1826" s="699" t="s">
        <v>79</v>
      </c>
      <c r="B1826" s="845" t="s">
        <v>532</v>
      </c>
      <c r="C1826" s="700"/>
      <c r="D1826" s="701"/>
      <c r="E1826" s="700"/>
      <c r="F1826" s="750"/>
      <c r="G1826" s="699" t="s">
        <v>79</v>
      </c>
      <c r="H1826" s="845" t="s">
        <v>532</v>
      </c>
      <c r="I1826" s="700"/>
      <c r="J1826" s="701"/>
      <c r="K1826" s="700"/>
      <c r="L1826" s="707"/>
      <c r="M1826" s="703"/>
    </row>
    <row r="1827" spans="1:13" s="27" customFormat="1" ht="17.25" customHeight="1">
      <c r="A1827" s="702" t="s">
        <v>80</v>
      </c>
      <c r="B1827" s="846" t="s">
        <v>533</v>
      </c>
      <c r="C1827" s="700"/>
      <c r="D1827" s="700"/>
      <c r="E1827" s="700"/>
      <c r="F1827" s="750"/>
      <c r="G1827" s="702" t="s">
        <v>80</v>
      </c>
      <c r="H1827" s="846" t="s">
        <v>533</v>
      </c>
      <c r="I1827" s="700"/>
      <c r="J1827" s="700"/>
      <c r="K1827" s="700"/>
      <c r="L1827" s="707"/>
      <c r="M1827" s="703"/>
    </row>
    <row r="1828" spans="1:13" s="27" customFormat="1" ht="17.25" customHeight="1">
      <c r="A1828" s="702" t="s">
        <v>81</v>
      </c>
      <c r="B1828" s="847" t="s">
        <v>534</v>
      </c>
      <c r="C1828" s="700"/>
      <c r="D1828" s="700"/>
      <c r="E1828" s="695">
        <f>SUM(E1827)</f>
        <v>0</v>
      </c>
      <c r="F1828" s="746"/>
      <c r="G1828" s="702" t="s">
        <v>81</v>
      </c>
      <c r="H1828" s="847" t="s">
        <v>534</v>
      </c>
      <c r="I1828" s="700"/>
      <c r="J1828" s="700"/>
      <c r="K1828" s="695">
        <f>SUM(K1827)</f>
        <v>0</v>
      </c>
      <c r="L1828" s="707"/>
      <c r="M1828" s="703"/>
    </row>
    <row r="1829" spans="1:13" s="27" customFormat="1" ht="17.25" customHeight="1">
      <c r="A1829" s="704" t="s">
        <v>82</v>
      </c>
      <c r="B1829" s="848" t="s">
        <v>438</v>
      </c>
      <c r="C1829" s="705"/>
      <c r="D1829" s="705"/>
      <c r="E1829" s="705">
        <f>(E1817+E1818+E1819+E1820+E1821+E1822+E1823+E1824+E1825)-E1828</f>
        <v>997173.5560000001</v>
      </c>
      <c r="F1829" s="746"/>
      <c r="G1829" s="704" t="s">
        <v>82</v>
      </c>
      <c r="H1829" s="848" t="s">
        <v>438</v>
      </c>
      <c r="I1829" s="705"/>
      <c r="J1829" s="705"/>
      <c r="K1829" s="705">
        <f>(K1817+K1818+K1819+K1820+K1821+K1822+K1823+K1824+K1825)-K1828</f>
        <v>997173.5560000001</v>
      </c>
      <c r="L1829" s="707">
        <f>E1829+K1829</f>
        <v>1994347.1120000002</v>
      </c>
      <c r="M1829" s="703"/>
    </row>
    <row r="1830" spans="1:13" s="27" customFormat="1" ht="238.5" customHeight="1">
      <c r="A1830" s="763"/>
      <c r="B1830" s="763"/>
      <c r="C1830" s="763"/>
      <c r="D1830" s="763"/>
      <c r="E1830" s="763"/>
      <c r="F1830" s="763"/>
      <c r="G1830" s="763"/>
      <c r="H1830" s="763"/>
      <c r="I1830" s="763"/>
      <c r="J1830" s="763"/>
      <c r="K1830" s="763"/>
      <c r="L1830" s="707"/>
      <c r="M1830" s="703"/>
    </row>
    <row r="1831" spans="1:13" s="27" customFormat="1" ht="17.25" customHeight="1">
      <c r="A1831" s="759" t="str">
        <f>A1814</f>
        <v>LƯƠNG THÁNG 01/2025</v>
      </c>
      <c r="B1831" s="763"/>
      <c r="C1831" s="763"/>
      <c r="D1831" s="763"/>
      <c r="E1831" s="769">
        <f>VLOOKUP(B1832,'CNKT '!$D$114:$AD$178,26,0)</f>
        <v>0</v>
      </c>
      <c r="F1831" s="750"/>
      <c r="G1831" s="759" t="str">
        <f>A1831</f>
        <v>LƯƠNG THÁNG 01/2025</v>
      </c>
      <c r="H1831" s="763"/>
      <c r="I1831" s="763"/>
      <c r="J1831" s="766"/>
      <c r="K1831" s="769">
        <f>VLOOKUP(H1832,'CNKT '!$D$114:$AD$178,26,0)</f>
        <v>0</v>
      </c>
      <c r="L1831" s="707"/>
      <c r="M1831" s="703"/>
    </row>
    <row r="1832" spans="1:13" s="27" customFormat="1" ht="17.25" customHeight="1">
      <c r="A1832" s="709" t="s">
        <v>15</v>
      </c>
      <c r="B1832" s="840" t="str">
        <f>'CNKT '!D154</f>
        <v>T. Môn</v>
      </c>
      <c r="C1832" s="694"/>
      <c r="D1832" s="840" t="s">
        <v>396</v>
      </c>
      <c r="E1832" s="840" t="s">
        <v>18</v>
      </c>
      <c r="F1832" s="750"/>
      <c r="G1832" s="709" t="s">
        <v>15</v>
      </c>
      <c r="H1832" s="840" t="str">
        <f>'CNKT '!D155</f>
        <v>Khăn Hạ</v>
      </c>
      <c r="I1832" s="694"/>
      <c r="J1832" s="840" t="s">
        <v>396</v>
      </c>
      <c r="K1832" s="840" t="s">
        <v>18</v>
      </c>
      <c r="L1832" s="707"/>
      <c r="M1832" s="703"/>
    </row>
    <row r="1833" spans="1:13" s="27" customFormat="1" ht="17.25" customHeight="1">
      <c r="A1833" s="693" t="s">
        <v>397</v>
      </c>
      <c r="B1833" s="842" t="s">
        <v>527</v>
      </c>
      <c r="C1833" s="694">
        <f>VLOOKUP(B1832,'BTH mủ tạp'!$D$98:$AN$160,36,0)</f>
        <v>955.83652504647603</v>
      </c>
      <c r="D1833" s="695"/>
      <c r="E1833" s="695"/>
      <c r="F1833" s="750"/>
      <c r="G1833" s="693" t="s">
        <v>397</v>
      </c>
      <c r="H1833" s="842" t="s">
        <v>527</v>
      </c>
      <c r="I1833" s="694">
        <f>VLOOKUP(H1832,'BTH mủ tạp'!$D$98:$AN$160,36,0)</f>
        <v>952.14247084339786</v>
      </c>
      <c r="J1833" s="695"/>
      <c r="K1833" s="695"/>
      <c r="L1833" s="707"/>
      <c r="M1833" s="703"/>
    </row>
    <row r="1834" spans="1:13" s="27" customFormat="1" ht="17.25" customHeight="1">
      <c r="A1834" s="693" t="s">
        <v>77</v>
      </c>
      <c r="B1834" s="843" t="s">
        <v>432</v>
      </c>
      <c r="C1834" s="696">
        <f>VLOOKUP(B1832,'CNKT '!$D$113:$AA$178,3,0)</f>
        <v>0</v>
      </c>
      <c r="D1834" s="697">
        <v>25000</v>
      </c>
      <c r="E1834" s="695">
        <f t="shared" ref="E1834:E1839" si="213">C1834*D1834</f>
        <v>0</v>
      </c>
      <c r="F1834" s="750"/>
      <c r="G1834" s="693" t="s">
        <v>77</v>
      </c>
      <c r="H1834" s="843" t="s">
        <v>432</v>
      </c>
      <c r="I1834" s="696">
        <f>VLOOKUP(H1832,'CNKT '!$D$113:$AA$178,3,0)</f>
        <v>0</v>
      </c>
      <c r="J1834" s="697">
        <v>25000</v>
      </c>
      <c r="K1834" s="695">
        <f t="shared" ref="K1834:K1839" si="214">I1834*J1834</f>
        <v>0</v>
      </c>
      <c r="L1834" s="707"/>
      <c r="M1834" s="703"/>
    </row>
    <row r="1835" spans="1:13" s="27" customFormat="1" ht="17.25" customHeight="1">
      <c r="A1835" s="693" t="s">
        <v>307</v>
      </c>
      <c r="B1835" s="844" t="s">
        <v>528</v>
      </c>
      <c r="C1835" s="747">
        <f>VLOOKUP(B1832,'CNKT '!$D$113:$AA$178,11,0)</f>
        <v>21</v>
      </c>
      <c r="D1835" s="698">
        <f>46.1*$B$2</f>
        <v>30833.524000000001</v>
      </c>
      <c r="E1835" s="695">
        <f t="shared" si="213"/>
        <v>647504.00400000007</v>
      </c>
      <c r="F1835" s="750"/>
      <c r="G1835" s="693" t="s">
        <v>307</v>
      </c>
      <c r="H1835" s="844" t="s">
        <v>528</v>
      </c>
      <c r="I1835" s="747">
        <f>VLOOKUP(H1832,'CNKT '!$D$113:$AA$178,11,0)</f>
        <v>22</v>
      </c>
      <c r="J1835" s="698">
        <f>46.1*$B$2</f>
        <v>30833.524000000001</v>
      </c>
      <c r="K1835" s="695">
        <f t="shared" si="214"/>
        <v>678337.52800000005</v>
      </c>
      <c r="L1835" s="707"/>
      <c r="M1835" s="703"/>
    </row>
    <row r="1836" spans="1:13" s="27" customFormat="1" ht="17.25" customHeight="1">
      <c r="A1836" s="693" t="s">
        <v>399</v>
      </c>
      <c r="B1836" s="844" t="s">
        <v>529</v>
      </c>
      <c r="C1836" s="747">
        <f>VLOOKUP(B1832,'CNKT '!$D$113:$AA$178,12,0)</f>
        <v>5</v>
      </c>
      <c r="D1836" s="697">
        <f>76.9*$B$2</f>
        <v>51433.796000000009</v>
      </c>
      <c r="E1836" s="695">
        <f t="shared" si="213"/>
        <v>257168.98000000004</v>
      </c>
      <c r="F1836" s="750"/>
      <c r="G1836" s="693" t="s">
        <v>399</v>
      </c>
      <c r="H1836" s="844" t="s">
        <v>529</v>
      </c>
      <c r="I1836" s="747">
        <f>VLOOKUP(H1832,'CNKT '!$D$113:$AA$178,12,0)</f>
        <v>5</v>
      </c>
      <c r="J1836" s="697">
        <f>76.9*$B$2</f>
        <v>51433.796000000009</v>
      </c>
      <c r="K1836" s="695">
        <f t="shared" si="214"/>
        <v>257168.98000000004</v>
      </c>
      <c r="L1836" s="707"/>
      <c r="M1836" s="703"/>
    </row>
    <row r="1837" spans="1:13" s="27" customFormat="1" ht="17.25" customHeight="1">
      <c r="A1837" s="693" t="s">
        <v>78</v>
      </c>
      <c r="B1837" s="844" t="s">
        <v>530</v>
      </c>
      <c r="C1837" s="747">
        <f>VLOOKUP(B1832,'CNKT '!$D$113:$AA$178,8,0)</f>
        <v>955.83652504647625</v>
      </c>
      <c r="D1837" s="697">
        <f>IF(C1833="A",6.1,IF(C1833="B",5.8,IF(C1833="C",5.5,IF(C1833="C.",5.5,IF(C1833="D",5.2)))))*$B$2</f>
        <v>0</v>
      </c>
      <c r="E1837" s="695">
        <f t="shared" si="213"/>
        <v>0</v>
      </c>
      <c r="F1837" s="750"/>
      <c r="G1837" s="693" t="s">
        <v>78</v>
      </c>
      <c r="H1837" s="844" t="s">
        <v>530</v>
      </c>
      <c r="I1837" s="747">
        <f>VLOOKUP(H1832,'CNKT '!$D$113:$AA$178,8,0)</f>
        <v>952.14247084339809</v>
      </c>
      <c r="J1837" s="697">
        <f>IF(I1833="A",6.1,IF(I1833="B",5.8,IF(I1833="C",5.5,IF(I1833="C.",5.5,IF(I1833="D",5.2)))))*$B$2</f>
        <v>0</v>
      </c>
      <c r="K1837" s="695">
        <f t="shared" si="214"/>
        <v>0</v>
      </c>
      <c r="L1837" s="707"/>
      <c r="M1837" s="703"/>
    </row>
    <row r="1838" spans="1:13" s="27" customFormat="1" ht="17.25" customHeight="1">
      <c r="A1838" s="693" t="s">
        <v>493</v>
      </c>
      <c r="B1838" s="844" t="s">
        <v>531</v>
      </c>
      <c r="C1838" s="747">
        <f>VLOOKUP(B1832,'CNKT '!$D$99:$AA$178,13,0)</f>
        <v>0</v>
      </c>
      <c r="D1838" s="698">
        <f>92.2*$B$2</f>
        <v>61667.048000000003</v>
      </c>
      <c r="E1838" s="695">
        <f t="shared" si="213"/>
        <v>0</v>
      </c>
      <c r="F1838" s="750"/>
      <c r="G1838" s="693" t="s">
        <v>493</v>
      </c>
      <c r="H1838" s="844" t="s">
        <v>531</v>
      </c>
      <c r="I1838" s="747">
        <f>VLOOKUP(H1832,'CNKT '!$D$99:$AA$178,13,0)</f>
        <v>0</v>
      </c>
      <c r="J1838" s="698">
        <f>92.2*$B$2</f>
        <v>61667.048000000003</v>
      </c>
      <c r="K1838" s="695">
        <f t="shared" si="214"/>
        <v>0</v>
      </c>
      <c r="L1838" s="707"/>
      <c r="M1838" s="703"/>
    </row>
    <row r="1839" spans="1:13" s="27" customFormat="1" ht="17.25" customHeight="1">
      <c r="A1839" s="693" t="s">
        <v>448</v>
      </c>
      <c r="B1839" s="844" t="s">
        <v>496</v>
      </c>
      <c r="C1839" s="747">
        <f>VLOOKUP(B1832,'CNKT '!$D$113:$AA$178,14,0)</f>
        <v>0</v>
      </c>
      <c r="D1839" s="697">
        <f>153.6*$B$2</f>
        <v>102733.82400000001</v>
      </c>
      <c r="E1839" s="695">
        <f t="shared" si="213"/>
        <v>0</v>
      </c>
      <c r="F1839" s="750"/>
      <c r="G1839" s="693" t="s">
        <v>448</v>
      </c>
      <c r="H1839" s="844" t="s">
        <v>496</v>
      </c>
      <c r="I1839" s="747">
        <f>VLOOKUP(H1832,'CNKT '!$D$113:$AA$178,14,0)</f>
        <v>0</v>
      </c>
      <c r="J1839" s="697">
        <f>153.6*$B$2</f>
        <v>102733.82400000001</v>
      </c>
      <c r="K1839" s="695">
        <f t="shared" si="214"/>
        <v>0</v>
      </c>
      <c r="L1839" s="707"/>
      <c r="M1839" s="703"/>
    </row>
    <row r="1840" spans="1:13" s="27" customFormat="1" ht="17.25" customHeight="1">
      <c r="A1840" s="693" t="s">
        <v>453</v>
      </c>
      <c r="B1840" s="844" t="s">
        <v>497</v>
      </c>
      <c r="C1840" s="747">
        <f>VLOOKUP(B1832,'CNKT '!$D$114:$AA$178,18,0)</f>
        <v>0</v>
      </c>
      <c r="D1840" s="697">
        <v>10000</v>
      </c>
      <c r="E1840" s="695">
        <f>C1840*D1840</f>
        <v>0</v>
      </c>
      <c r="F1840" s="750"/>
      <c r="G1840" s="693" t="s">
        <v>453</v>
      </c>
      <c r="H1840" s="844" t="s">
        <v>497</v>
      </c>
      <c r="I1840" s="747">
        <f>VLOOKUP(H1832,'CNKT '!$D$114:$AA$178,18,0)</f>
        <v>0</v>
      </c>
      <c r="J1840" s="697">
        <v>10000</v>
      </c>
      <c r="K1840" s="695">
        <f>I1840*J1840</f>
        <v>0</v>
      </c>
      <c r="L1840" s="707"/>
      <c r="M1840" s="703"/>
    </row>
    <row r="1841" spans="1:13" s="27" customFormat="1" ht="17.25" customHeight="1">
      <c r="A1841" s="693" t="s">
        <v>453</v>
      </c>
      <c r="B1841" s="844" t="s">
        <v>497</v>
      </c>
      <c r="C1841" s="747">
        <f>VLOOKUP(B1832,'CNKT '!$D$114:$AA$178,19,0)</f>
        <v>0</v>
      </c>
      <c r="D1841" s="697">
        <v>20000</v>
      </c>
      <c r="E1841" s="695">
        <f>C1841*D1841</f>
        <v>0</v>
      </c>
      <c r="F1841" s="750"/>
      <c r="G1841" s="693" t="s">
        <v>453</v>
      </c>
      <c r="H1841" s="844" t="s">
        <v>497</v>
      </c>
      <c r="I1841" s="747">
        <f>VLOOKUP(H1832,'CNKT '!$D$114:$AA$178,19,0)</f>
        <v>0</v>
      </c>
      <c r="J1841" s="697">
        <v>20000</v>
      </c>
      <c r="K1841" s="695">
        <f>I1841*J1841</f>
        <v>0</v>
      </c>
      <c r="L1841" s="707"/>
      <c r="M1841" s="703"/>
    </row>
    <row r="1842" spans="1:13" s="27" customFormat="1" ht="17.25" customHeight="1">
      <c r="A1842" s="693" t="s">
        <v>512</v>
      </c>
      <c r="B1842" s="844" t="s">
        <v>513</v>
      </c>
      <c r="C1842" s="747"/>
      <c r="D1842" s="697"/>
      <c r="E1842" s="695"/>
      <c r="F1842" s="750"/>
      <c r="G1842" s="693" t="s">
        <v>512</v>
      </c>
      <c r="H1842" s="844" t="s">
        <v>513</v>
      </c>
      <c r="I1842" s="747"/>
      <c r="J1842" s="697"/>
      <c r="K1842" s="695"/>
      <c r="L1842" s="707"/>
      <c r="M1842" s="703"/>
    </row>
    <row r="1843" spans="1:13" s="27" customFormat="1" ht="17.25" customHeight="1">
      <c r="A1843" s="699" t="s">
        <v>79</v>
      </c>
      <c r="B1843" s="845" t="s">
        <v>532</v>
      </c>
      <c r="C1843" s="700"/>
      <c r="D1843" s="701"/>
      <c r="E1843" s="700"/>
      <c r="F1843" s="750"/>
      <c r="G1843" s="699" t="s">
        <v>79</v>
      </c>
      <c r="H1843" s="845" t="s">
        <v>532</v>
      </c>
      <c r="I1843" s="700"/>
      <c r="J1843" s="701"/>
      <c r="K1843" s="700"/>
      <c r="L1843" s="707"/>
      <c r="M1843" s="703"/>
    </row>
    <row r="1844" spans="1:13" s="27" customFormat="1" ht="17.25" customHeight="1">
      <c r="A1844" s="702" t="s">
        <v>80</v>
      </c>
      <c r="B1844" s="846" t="s">
        <v>533</v>
      </c>
      <c r="C1844" s="700"/>
      <c r="D1844" s="700"/>
      <c r="E1844" s="700"/>
      <c r="F1844" s="750"/>
      <c r="G1844" s="702" t="s">
        <v>80</v>
      </c>
      <c r="H1844" s="846" t="s">
        <v>533</v>
      </c>
      <c r="I1844" s="700"/>
      <c r="J1844" s="700"/>
      <c r="K1844" s="700"/>
      <c r="L1844" s="707"/>
      <c r="M1844" s="703"/>
    </row>
    <row r="1845" spans="1:13" s="27" customFormat="1" ht="17.25" customHeight="1">
      <c r="A1845" s="702" t="s">
        <v>81</v>
      </c>
      <c r="B1845" s="847" t="s">
        <v>534</v>
      </c>
      <c r="C1845" s="700"/>
      <c r="D1845" s="700"/>
      <c r="E1845" s="695">
        <f>SUM(E1844)</f>
        <v>0</v>
      </c>
      <c r="F1845" s="746"/>
      <c r="G1845" s="702" t="s">
        <v>81</v>
      </c>
      <c r="H1845" s="847" t="s">
        <v>534</v>
      </c>
      <c r="I1845" s="700"/>
      <c r="J1845" s="700"/>
      <c r="K1845" s="695">
        <f>SUM(K1844)</f>
        <v>0</v>
      </c>
      <c r="L1845" s="707"/>
      <c r="M1845" s="703"/>
    </row>
    <row r="1846" spans="1:13" s="27" customFormat="1" ht="17.25" customHeight="1">
      <c r="A1846" s="704" t="s">
        <v>82</v>
      </c>
      <c r="B1846" s="848" t="s">
        <v>438</v>
      </c>
      <c r="C1846" s="705"/>
      <c r="D1846" s="705"/>
      <c r="E1846" s="705">
        <f>(E1834+E1835+E1836+E1837+E1838+E1839+E1840+E1841+E1842)-E1845</f>
        <v>904672.98400000017</v>
      </c>
      <c r="F1846" s="746"/>
      <c r="G1846" s="704" t="s">
        <v>82</v>
      </c>
      <c r="H1846" s="848" t="s">
        <v>438</v>
      </c>
      <c r="I1846" s="705"/>
      <c r="J1846" s="705"/>
      <c r="K1846" s="705">
        <f>(K1834+K1835+K1836+K1837+K1838+K1839+K1840+K1841+K1842)-K1845</f>
        <v>935506.50800000015</v>
      </c>
      <c r="L1846" s="707">
        <f>E1846+K1846</f>
        <v>1840179.4920000003</v>
      </c>
      <c r="M1846" s="703"/>
    </row>
    <row r="1847" spans="1:13" s="27" customFormat="1" ht="17.25" customHeight="1">
      <c r="A1847" s="763"/>
      <c r="B1847" s="763"/>
      <c r="C1847" s="763"/>
      <c r="D1847" s="763"/>
      <c r="E1847" s="763"/>
      <c r="F1847" s="763"/>
      <c r="G1847" s="763"/>
      <c r="H1847" s="763"/>
      <c r="I1847" s="763"/>
      <c r="J1847" s="763"/>
      <c r="K1847" s="763"/>
      <c r="L1847" s="707"/>
      <c r="M1847" s="703"/>
    </row>
    <row r="1848" spans="1:13" s="27" customFormat="1" ht="17.25" customHeight="1">
      <c r="A1848" s="759" t="str">
        <f>A1831</f>
        <v>LƯƠNG THÁNG 01/2025</v>
      </c>
      <c r="B1848" s="763"/>
      <c r="C1848" s="763"/>
      <c r="D1848" s="763"/>
      <c r="E1848" s="769">
        <f>VLOOKUP(B1849,'CNKT '!$D$114:$AD$178,26,0)</f>
        <v>0</v>
      </c>
      <c r="F1848" s="750"/>
      <c r="G1848" s="759" t="str">
        <f>A1848</f>
        <v>LƯƠNG THÁNG 01/2025</v>
      </c>
      <c r="H1848" s="763"/>
      <c r="I1848" s="763"/>
      <c r="J1848" s="766"/>
      <c r="K1848" s="769">
        <f>VLOOKUP(H1849,'CNKT '!$D$114:$AD$178,26,0)</f>
        <v>0</v>
      </c>
      <c r="L1848" s="707"/>
      <c r="M1848" s="703"/>
    </row>
    <row r="1849" spans="1:13" s="27" customFormat="1" ht="17.25" customHeight="1">
      <c r="A1849" s="709" t="s">
        <v>15</v>
      </c>
      <c r="B1849" s="840" t="str">
        <f>'CNKT '!D156</f>
        <v>T. Chăn La .</v>
      </c>
      <c r="C1849" s="694"/>
      <c r="D1849" s="840" t="s">
        <v>396</v>
      </c>
      <c r="E1849" s="840" t="s">
        <v>18</v>
      </c>
      <c r="F1849" s="750"/>
      <c r="G1849" s="709" t="s">
        <v>15</v>
      </c>
      <c r="H1849" s="840" t="str">
        <f>'CNKT '!D157</f>
        <v>T. Nú</v>
      </c>
      <c r="I1849" s="694"/>
      <c r="J1849" s="840" t="s">
        <v>396</v>
      </c>
      <c r="K1849" s="840" t="s">
        <v>18</v>
      </c>
      <c r="L1849" s="707"/>
      <c r="M1849" s="703"/>
    </row>
    <row r="1850" spans="1:13" s="27" customFormat="1" ht="17.25" customHeight="1">
      <c r="A1850" s="693" t="s">
        <v>397</v>
      </c>
      <c r="B1850" s="842" t="s">
        <v>527</v>
      </c>
      <c r="C1850" s="694">
        <f>VLOOKUP(B1849,'BTH mủ tạp'!$D$98:$AN$160,36,0)</f>
        <v>1032.4881497603481</v>
      </c>
      <c r="D1850" s="695"/>
      <c r="E1850" s="695"/>
      <c r="F1850" s="750"/>
      <c r="G1850" s="693" t="s">
        <v>397</v>
      </c>
      <c r="H1850" s="842" t="s">
        <v>527</v>
      </c>
      <c r="I1850" s="694">
        <f>VLOOKUP(H1849,'BTH mủ tạp'!$D$98:$AN$160,36,0)</f>
        <v>960.91584957570853</v>
      </c>
      <c r="J1850" s="695"/>
      <c r="K1850" s="695"/>
      <c r="L1850" s="707"/>
      <c r="M1850" s="703"/>
    </row>
    <row r="1851" spans="1:13" s="27" customFormat="1" ht="17.25" customHeight="1">
      <c r="A1851" s="693" t="s">
        <v>77</v>
      </c>
      <c r="B1851" s="843" t="s">
        <v>432</v>
      </c>
      <c r="C1851" s="696">
        <f>VLOOKUP(B1849,'CNKT '!$D$113:$AA$178,3,0)</f>
        <v>0</v>
      </c>
      <c r="D1851" s="697">
        <v>25000</v>
      </c>
      <c r="E1851" s="695">
        <f t="shared" ref="E1851:E1856" si="215">C1851*D1851</f>
        <v>0</v>
      </c>
      <c r="F1851" s="750"/>
      <c r="G1851" s="693" t="s">
        <v>77</v>
      </c>
      <c r="H1851" s="843" t="s">
        <v>432</v>
      </c>
      <c r="I1851" s="696">
        <f>VLOOKUP(H1849,'CNKT '!$D$113:$AA$178,3,0)</f>
        <v>0</v>
      </c>
      <c r="J1851" s="697">
        <v>25000</v>
      </c>
      <c r="K1851" s="695">
        <f t="shared" ref="K1851:K1856" si="216">I1851*J1851</f>
        <v>0</v>
      </c>
      <c r="L1851" s="707"/>
      <c r="M1851" s="703"/>
    </row>
    <row r="1852" spans="1:13" s="27" customFormat="1" ht="17.25" customHeight="1">
      <c r="A1852" s="693" t="s">
        <v>307</v>
      </c>
      <c r="B1852" s="844" t="s">
        <v>528</v>
      </c>
      <c r="C1852" s="747">
        <f>VLOOKUP(B1849,'CNKT '!$D$113:$AA$178,11,0)</f>
        <v>22</v>
      </c>
      <c r="D1852" s="698">
        <f>46.1*$B$2</f>
        <v>30833.524000000001</v>
      </c>
      <c r="E1852" s="695">
        <f t="shared" si="215"/>
        <v>678337.52800000005</v>
      </c>
      <c r="F1852" s="750"/>
      <c r="G1852" s="693" t="s">
        <v>307</v>
      </c>
      <c r="H1852" s="844" t="s">
        <v>528</v>
      </c>
      <c r="I1852" s="747">
        <f>VLOOKUP(H1849,'CNKT '!$D$113:$AA$178,11,0)</f>
        <v>22</v>
      </c>
      <c r="J1852" s="698">
        <f>46.1*$B$2</f>
        <v>30833.524000000001</v>
      </c>
      <c r="K1852" s="695">
        <f t="shared" si="216"/>
        <v>678337.52800000005</v>
      </c>
      <c r="L1852" s="707"/>
      <c r="M1852" s="703"/>
    </row>
    <row r="1853" spans="1:13" s="27" customFormat="1" ht="17.25" customHeight="1">
      <c r="A1853" s="693" t="s">
        <v>399</v>
      </c>
      <c r="B1853" s="844" t="s">
        <v>529</v>
      </c>
      <c r="C1853" s="747">
        <f>VLOOKUP(B1849,'CNKT '!$D$113:$AA$178,12,0)</f>
        <v>5</v>
      </c>
      <c r="D1853" s="697">
        <f>76.9*$B$2</f>
        <v>51433.796000000009</v>
      </c>
      <c r="E1853" s="695">
        <f t="shared" si="215"/>
        <v>257168.98000000004</v>
      </c>
      <c r="F1853" s="750"/>
      <c r="G1853" s="693" t="s">
        <v>399</v>
      </c>
      <c r="H1853" s="844" t="s">
        <v>529</v>
      </c>
      <c r="I1853" s="747">
        <f>VLOOKUP(H1849,'CNKT '!$D$113:$AA$178,12,0)</f>
        <v>5</v>
      </c>
      <c r="J1853" s="697">
        <f>76.9*$B$2</f>
        <v>51433.796000000009</v>
      </c>
      <c r="K1853" s="695">
        <f t="shared" si="216"/>
        <v>257168.98000000004</v>
      </c>
      <c r="L1853" s="707"/>
      <c r="M1853" s="703"/>
    </row>
    <row r="1854" spans="1:13" s="27" customFormat="1" ht="17.25" customHeight="1">
      <c r="A1854" s="693" t="s">
        <v>78</v>
      </c>
      <c r="B1854" s="844" t="s">
        <v>530</v>
      </c>
      <c r="C1854" s="747">
        <f>VLOOKUP(B1849,'CNKT '!$D$113:$AA$178,8,0)</f>
        <v>1032.4881497603483</v>
      </c>
      <c r="D1854" s="697">
        <f>IF(C1850="A",6.1,IF(C1850="B",5.8,IF(C1850="C",5.5,IF(C1850="C.",5.5,IF(C1850="D",5.2)))))*$B$2</f>
        <v>0</v>
      </c>
      <c r="E1854" s="695">
        <f t="shared" si="215"/>
        <v>0</v>
      </c>
      <c r="F1854" s="750"/>
      <c r="G1854" s="693" t="s">
        <v>78</v>
      </c>
      <c r="H1854" s="844" t="s">
        <v>530</v>
      </c>
      <c r="I1854" s="747">
        <f>VLOOKUP(H1849,'CNKT '!$D$113:$AA$178,8,0)</f>
        <v>960.91584957570865</v>
      </c>
      <c r="J1854" s="697">
        <f>IF(I1850="A",6.1,IF(I1850="B",5.8,IF(I1850="C",5.5,IF(I1850="C.",5.5,IF(I1850="D",5.2)))))*$B$2</f>
        <v>0</v>
      </c>
      <c r="K1854" s="695">
        <f t="shared" si="216"/>
        <v>0</v>
      </c>
      <c r="L1854" s="707"/>
      <c r="M1854" s="703"/>
    </row>
    <row r="1855" spans="1:13" s="27" customFormat="1" ht="17.25" customHeight="1">
      <c r="A1855" s="693" t="s">
        <v>493</v>
      </c>
      <c r="B1855" s="844" t="s">
        <v>531</v>
      </c>
      <c r="C1855" s="747">
        <f>VLOOKUP(B1849,'CNKT '!$D$99:$AA$178,13,0)</f>
        <v>0</v>
      </c>
      <c r="D1855" s="698">
        <f>92.2*$B$2</f>
        <v>61667.048000000003</v>
      </c>
      <c r="E1855" s="695">
        <f t="shared" si="215"/>
        <v>0</v>
      </c>
      <c r="F1855" s="750"/>
      <c r="G1855" s="693" t="s">
        <v>493</v>
      </c>
      <c r="H1855" s="844" t="s">
        <v>531</v>
      </c>
      <c r="I1855" s="747">
        <f>VLOOKUP(H1849,'CNKT '!$D$99:$AA$178,13,0)</f>
        <v>0</v>
      </c>
      <c r="J1855" s="698">
        <f>92.2*$B$2</f>
        <v>61667.048000000003</v>
      </c>
      <c r="K1855" s="695">
        <f t="shared" si="216"/>
        <v>0</v>
      </c>
      <c r="L1855" s="707"/>
      <c r="M1855" s="703"/>
    </row>
    <row r="1856" spans="1:13" s="27" customFormat="1" ht="17.25" customHeight="1">
      <c r="A1856" s="693" t="s">
        <v>448</v>
      </c>
      <c r="B1856" s="844" t="s">
        <v>496</v>
      </c>
      <c r="C1856" s="747">
        <f>VLOOKUP(B1849,'CNKT '!$D$113:$AA$178,14,0)</f>
        <v>0</v>
      </c>
      <c r="D1856" s="697">
        <f>153.6*$B$2</f>
        <v>102733.82400000001</v>
      </c>
      <c r="E1856" s="695">
        <f t="shared" si="215"/>
        <v>0</v>
      </c>
      <c r="F1856" s="750"/>
      <c r="G1856" s="693" t="s">
        <v>448</v>
      </c>
      <c r="H1856" s="844" t="s">
        <v>496</v>
      </c>
      <c r="I1856" s="747">
        <f>VLOOKUP(H1849,'CNKT '!$D$113:$AA$178,14,0)</f>
        <v>0</v>
      </c>
      <c r="J1856" s="697">
        <f>153.6*$B$2</f>
        <v>102733.82400000001</v>
      </c>
      <c r="K1856" s="695">
        <f t="shared" si="216"/>
        <v>0</v>
      </c>
      <c r="L1856" s="707"/>
      <c r="M1856" s="703"/>
    </row>
    <row r="1857" spans="1:13" s="27" customFormat="1" ht="17.25" customHeight="1">
      <c r="A1857" s="693" t="s">
        <v>453</v>
      </c>
      <c r="B1857" s="844" t="s">
        <v>497</v>
      </c>
      <c r="C1857" s="747">
        <f>VLOOKUP(B1849,'CNKT '!$D$114:$AA$178,18,0)</f>
        <v>0</v>
      </c>
      <c r="D1857" s="697">
        <v>10000</v>
      </c>
      <c r="E1857" s="695">
        <f>C1857*D1857</f>
        <v>0</v>
      </c>
      <c r="F1857" s="750"/>
      <c r="G1857" s="693" t="s">
        <v>453</v>
      </c>
      <c r="H1857" s="844" t="s">
        <v>497</v>
      </c>
      <c r="I1857" s="747">
        <f>VLOOKUP(H1849,'CNKT '!$D$114:$AA$178,18,0)</f>
        <v>0</v>
      </c>
      <c r="J1857" s="697">
        <v>10000</v>
      </c>
      <c r="K1857" s="695">
        <f>I1857*J1857</f>
        <v>0</v>
      </c>
      <c r="L1857" s="707"/>
      <c r="M1857" s="703"/>
    </row>
    <row r="1858" spans="1:13" s="27" customFormat="1" ht="17.25" customHeight="1">
      <c r="A1858" s="693" t="s">
        <v>453</v>
      </c>
      <c r="B1858" s="844" t="s">
        <v>497</v>
      </c>
      <c r="C1858" s="747">
        <f>VLOOKUP(B1849,'CNKT '!$D$114:$AA$178,19,0)</f>
        <v>0</v>
      </c>
      <c r="D1858" s="697">
        <v>20000</v>
      </c>
      <c r="E1858" s="695">
        <f>C1858*D1858</f>
        <v>0</v>
      </c>
      <c r="F1858" s="750"/>
      <c r="G1858" s="693" t="s">
        <v>453</v>
      </c>
      <c r="H1858" s="844" t="s">
        <v>497</v>
      </c>
      <c r="I1858" s="747">
        <f>VLOOKUP(H1849,'CNKT '!$D$114:$AA$178,19,0)</f>
        <v>0</v>
      </c>
      <c r="J1858" s="697">
        <v>20000</v>
      </c>
      <c r="K1858" s="695">
        <f>I1858*J1858</f>
        <v>0</v>
      </c>
      <c r="L1858" s="707"/>
      <c r="M1858" s="703"/>
    </row>
    <row r="1859" spans="1:13" s="27" customFormat="1" ht="17.25" customHeight="1">
      <c r="A1859" s="693" t="s">
        <v>512</v>
      </c>
      <c r="B1859" s="844" t="s">
        <v>513</v>
      </c>
      <c r="C1859" s="747"/>
      <c r="D1859" s="697"/>
      <c r="E1859" s="695"/>
      <c r="F1859" s="750"/>
      <c r="G1859" s="693" t="s">
        <v>512</v>
      </c>
      <c r="H1859" s="844" t="s">
        <v>513</v>
      </c>
      <c r="I1859" s="747"/>
      <c r="J1859" s="697"/>
      <c r="K1859" s="695"/>
      <c r="L1859" s="707"/>
      <c r="M1859" s="703"/>
    </row>
    <row r="1860" spans="1:13" s="27" customFormat="1" ht="17.25" customHeight="1">
      <c r="A1860" s="699" t="s">
        <v>79</v>
      </c>
      <c r="B1860" s="845" t="s">
        <v>532</v>
      </c>
      <c r="C1860" s="700"/>
      <c r="D1860" s="701"/>
      <c r="E1860" s="700"/>
      <c r="F1860" s="750"/>
      <c r="G1860" s="699" t="s">
        <v>79</v>
      </c>
      <c r="H1860" s="845" t="s">
        <v>532</v>
      </c>
      <c r="I1860" s="700"/>
      <c r="J1860" s="701"/>
      <c r="K1860" s="700"/>
      <c r="L1860" s="707"/>
      <c r="M1860" s="703"/>
    </row>
    <row r="1861" spans="1:13" s="27" customFormat="1" ht="17.25" customHeight="1">
      <c r="A1861" s="702" t="s">
        <v>80</v>
      </c>
      <c r="B1861" s="846" t="s">
        <v>533</v>
      </c>
      <c r="C1861" s="700"/>
      <c r="D1861" s="700"/>
      <c r="E1861" s="700"/>
      <c r="F1861" s="750"/>
      <c r="G1861" s="702" t="s">
        <v>80</v>
      </c>
      <c r="H1861" s="846" t="s">
        <v>533</v>
      </c>
      <c r="I1861" s="700"/>
      <c r="J1861" s="700"/>
      <c r="K1861" s="700"/>
      <c r="L1861" s="707"/>
      <c r="M1861" s="703"/>
    </row>
    <row r="1862" spans="1:13" s="27" customFormat="1" ht="17.25" customHeight="1">
      <c r="A1862" s="702" t="s">
        <v>81</v>
      </c>
      <c r="B1862" s="847" t="s">
        <v>534</v>
      </c>
      <c r="C1862" s="700"/>
      <c r="D1862" s="700"/>
      <c r="E1862" s="695">
        <f>SUM(E1861)</f>
        <v>0</v>
      </c>
      <c r="F1862" s="746"/>
      <c r="G1862" s="702" t="s">
        <v>81</v>
      </c>
      <c r="H1862" s="847" t="s">
        <v>534</v>
      </c>
      <c r="I1862" s="700"/>
      <c r="J1862" s="700"/>
      <c r="K1862" s="695">
        <f>SUM(K1861)</f>
        <v>0</v>
      </c>
      <c r="L1862" s="707"/>
      <c r="M1862" s="703"/>
    </row>
    <row r="1863" spans="1:13" s="27" customFormat="1" ht="17.25" customHeight="1">
      <c r="A1863" s="704" t="s">
        <v>82</v>
      </c>
      <c r="B1863" s="848" t="s">
        <v>438</v>
      </c>
      <c r="C1863" s="705"/>
      <c r="D1863" s="705"/>
      <c r="E1863" s="705">
        <f>(E1851+E1852+E1853+E1854+E1855+E1856+E1857+E1858+E1859)-E1862</f>
        <v>935506.50800000015</v>
      </c>
      <c r="F1863" s="746"/>
      <c r="G1863" s="704" t="s">
        <v>82</v>
      </c>
      <c r="H1863" s="848" t="s">
        <v>438</v>
      </c>
      <c r="I1863" s="705"/>
      <c r="J1863" s="705"/>
      <c r="K1863" s="705">
        <f>(K1851+K1852+K1853+K1854+K1855+K1856+K1857+K1858+K1859)-K1862</f>
        <v>935506.50800000015</v>
      </c>
      <c r="L1863" s="707">
        <f>E1863+K1863</f>
        <v>1871013.0160000003</v>
      </c>
      <c r="M1863" s="703"/>
    </row>
    <row r="1864" spans="1:13" s="27" customFormat="1" ht="17.25" customHeight="1">
      <c r="A1864" s="763"/>
      <c r="B1864" s="763"/>
      <c r="C1864" s="763"/>
      <c r="D1864" s="763"/>
      <c r="E1864" s="763"/>
      <c r="F1864" s="763"/>
      <c r="G1864" s="763"/>
      <c r="H1864" s="763"/>
      <c r="I1864" s="763"/>
      <c r="J1864" s="763"/>
      <c r="K1864" s="763"/>
      <c r="L1864" s="707"/>
      <c r="M1864" s="703"/>
    </row>
    <row r="1865" spans="1:13" s="27" customFormat="1" ht="17.25" customHeight="1">
      <c r="A1865" s="759" t="str">
        <f>A1848</f>
        <v>LƯƠNG THÁNG 01/2025</v>
      </c>
      <c r="B1865" s="763"/>
      <c r="C1865" s="763"/>
      <c r="D1865" s="763"/>
      <c r="E1865" s="769">
        <f>VLOOKUP(B1866,'CNKT '!$D$114:$AD$178,26,0)</f>
        <v>0</v>
      </c>
      <c r="F1865" s="750"/>
      <c r="G1865" s="759" t="str">
        <f>A1865</f>
        <v>LƯƠNG THÁNG 01/2025</v>
      </c>
      <c r="H1865" s="763"/>
      <c r="I1865" s="763"/>
      <c r="J1865" s="766"/>
      <c r="K1865" s="769">
        <f>VLOOKUP(H1866,'CNKT '!$D$114:$AD$178,26,0)</f>
        <v>0</v>
      </c>
      <c r="L1865" s="707"/>
      <c r="M1865" s="703"/>
    </row>
    <row r="1866" spans="1:13" s="27" customFormat="1" ht="17.25" customHeight="1">
      <c r="A1866" s="709" t="s">
        <v>15</v>
      </c>
      <c r="B1866" s="840" t="str">
        <f>'CNKT '!D158</f>
        <v>T. Xan Nha</v>
      </c>
      <c r="C1866" s="694"/>
      <c r="D1866" s="840" t="s">
        <v>396</v>
      </c>
      <c r="E1866" s="840" t="s">
        <v>18</v>
      </c>
      <c r="F1866" s="750"/>
      <c r="G1866" s="709" t="s">
        <v>15</v>
      </c>
      <c r="H1866" s="840" t="str">
        <f>'CNKT '!D159</f>
        <v>T. A lem</v>
      </c>
      <c r="I1866" s="694"/>
      <c r="J1866" s="840" t="s">
        <v>396</v>
      </c>
      <c r="K1866" s="840" t="s">
        <v>18</v>
      </c>
      <c r="L1866" s="707"/>
      <c r="M1866" s="703"/>
    </row>
    <row r="1867" spans="1:13" s="27" customFormat="1" ht="17.25" customHeight="1">
      <c r="A1867" s="693" t="s">
        <v>397</v>
      </c>
      <c r="B1867" s="842" t="s">
        <v>527</v>
      </c>
      <c r="C1867" s="694">
        <f>VLOOKUP(B1866,'BTH mủ tạp'!$D$98:$AN$160,36,0)</f>
        <v>1016.3266626218812</v>
      </c>
      <c r="D1867" s="695"/>
      <c r="E1867" s="695"/>
      <c r="F1867" s="750"/>
      <c r="G1867" s="693" t="s">
        <v>397</v>
      </c>
      <c r="H1867" s="842" t="s">
        <v>527</v>
      </c>
      <c r="I1867" s="694">
        <f>VLOOKUP(H1866,'BTH mủ tạp'!$D$98:$AN$160,36,0)</f>
        <v>947.52490308955021</v>
      </c>
      <c r="J1867" s="695"/>
      <c r="K1867" s="695"/>
      <c r="L1867" s="707"/>
      <c r="M1867" s="703"/>
    </row>
    <row r="1868" spans="1:13" s="27" customFormat="1" ht="17.25" customHeight="1">
      <c r="A1868" s="693" t="s">
        <v>77</v>
      </c>
      <c r="B1868" s="843" t="s">
        <v>432</v>
      </c>
      <c r="C1868" s="696">
        <f>VLOOKUP(B1866,'CNKT '!$D$113:$AA$178,3,0)</f>
        <v>0</v>
      </c>
      <c r="D1868" s="697">
        <v>25000</v>
      </c>
      <c r="E1868" s="695">
        <f t="shared" ref="E1868:E1873" si="217">C1868*D1868</f>
        <v>0</v>
      </c>
      <c r="F1868" s="750"/>
      <c r="G1868" s="693" t="s">
        <v>77</v>
      </c>
      <c r="H1868" s="843" t="s">
        <v>432</v>
      </c>
      <c r="I1868" s="696">
        <f>VLOOKUP(H1866,'CNKT '!$D$113:$AA$178,3,0)</f>
        <v>0</v>
      </c>
      <c r="J1868" s="697">
        <v>25000</v>
      </c>
      <c r="K1868" s="695">
        <f t="shared" ref="K1868:K1873" si="218">I1868*J1868</f>
        <v>0</v>
      </c>
      <c r="L1868" s="707"/>
      <c r="M1868" s="703"/>
    </row>
    <row r="1869" spans="1:13" s="27" customFormat="1" ht="17.25" customHeight="1">
      <c r="A1869" s="693" t="s">
        <v>307</v>
      </c>
      <c r="B1869" s="844" t="s">
        <v>528</v>
      </c>
      <c r="C1869" s="747">
        <f>VLOOKUP(B1866,'CNKT '!$D$113:$AA$178,11,0)</f>
        <v>22</v>
      </c>
      <c r="D1869" s="698">
        <f>46.1*$B$2</f>
        <v>30833.524000000001</v>
      </c>
      <c r="E1869" s="695">
        <f t="shared" si="217"/>
        <v>678337.52800000005</v>
      </c>
      <c r="F1869" s="750"/>
      <c r="G1869" s="693" t="s">
        <v>307</v>
      </c>
      <c r="H1869" s="844" t="s">
        <v>528</v>
      </c>
      <c r="I1869" s="747">
        <f>VLOOKUP(H1866,'CNKT '!$D$113:$AA$178,11,0)</f>
        <v>18</v>
      </c>
      <c r="J1869" s="698">
        <f>46.1*$B$2</f>
        <v>30833.524000000001</v>
      </c>
      <c r="K1869" s="695">
        <f t="shared" si="218"/>
        <v>555003.43200000003</v>
      </c>
      <c r="L1869" s="707"/>
      <c r="M1869" s="703"/>
    </row>
    <row r="1870" spans="1:13" s="27" customFormat="1" ht="17.25" customHeight="1">
      <c r="A1870" s="693" t="s">
        <v>399</v>
      </c>
      <c r="B1870" s="844" t="s">
        <v>529</v>
      </c>
      <c r="C1870" s="747">
        <f>VLOOKUP(B1866,'CNKT '!$D$113:$AA$178,12,0)</f>
        <v>5</v>
      </c>
      <c r="D1870" s="697">
        <f>76.9*$B$2</f>
        <v>51433.796000000009</v>
      </c>
      <c r="E1870" s="695">
        <f t="shared" si="217"/>
        <v>257168.98000000004</v>
      </c>
      <c r="F1870" s="750"/>
      <c r="G1870" s="693" t="s">
        <v>399</v>
      </c>
      <c r="H1870" s="844" t="s">
        <v>529</v>
      </c>
      <c r="I1870" s="747">
        <f>VLOOKUP(H1866,'CNKT '!$D$113:$AA$178,12,0)</f>
        <v>4</v>
      </c>
      <c r="J1870" s="697">
        <f>76.9*$B$2</f>
        <v>51433.796000000009</v>
      </c>
      <c r="K1870" s="695">
        <f t="shared" si="218"/>
        <v>205735.18400000004</v>
      </c>
      <c r="L1870" s="707"/>
      <c r="M1870" s="703"/>
    </row>
    <row r="1871" spans="1:13" s="27" customFormat="1" ht="17.25" customHeight="1">
      <c r="A1871" s="693" t="s">
        <v>78</v>
      </c>
      <c r="B1871" s="844" t="s">
        <v>530</v>
      </c>
      <c r="C1871" s="747">
        <f>VLOOKUP(B1866,'CNKT '!$D$113:$AA$178,8,0)</f>
        <v>1016.3266626218813</v>
      </c>
      <c r="D1871" s="697">
        <f>IF(C1867="A",6.1,IF(C1867="B",5.8,IF(C1867="C",5.5,IF(C1867="C.",5.5,IF(C1867="D",5.2)))))*$B$2</f>
        <v>0</v>
      </c>
      <c r="E1871" s="695">
        <f t="shared" si="217"/>
        <v>0</v>
      </c>
      <c r="F1871" s="750"/>
      <c r="G1871" s="693" t="s">
        <v>78</v>
      </c>
      <c r="H1871" s="844" t="s">
        <v>530</v>
      </c>
      <c r="I1871" s="747">
        <f>VLOOKUP(H1866,'CNKT '!$D$113:$AA$178,8,0)</f>
        <v>947.52490308955032</v>
      </c>
      <c r="J1871" s="697">
        <f>IF(I1867="A",6.1,IF(I1867="B",5.8,IF(I1867="C",5.5,IF(I1867="C.",5.5,IF(I1867="D",5.2)))))*$B$2</f>
        <v>0</v>
      </c>
      <c r="K1871" s="695">
        <f t="shared" si="218"/>
        <v>0</v>
      </c>
      <c r="L1871" s="707"/>
      <c r="M1871" s="703"/>
    </row>
    <row r="1872" spans="1:13" s="27" customFormat="1" ht="17.25" customHeight="1">
      <c r="A1872" s="693" t="s">
        <v>493</v>
      </c>
      <c r="B1872" s="844" t="s">
        <v>531</v>
      </c>
      <c r="C1872" s="747">
        <f>VLOOKUP(B1866,'CNKT '!$D$99:$AA$178,13,0)</f>
        <v>0</v>
      </c>
      <c r="D1872" s="698">
        <f>92.2*$B$2</f>
        <v>61667.048000000003</v>
      </c>
      <c r="E1872" s="695">
        <f t="shared" si="217"/>
        <v>0</v>
      </c>
      <c r="F1872" s="750"/>
      <c r="G1872" s="693" t="s">
        <v>493</v>
      </c>
      <c r="H1872" s="844" t="s">
        <v>531</v>
      </c>
      <c r="I1872" s="747">
        <f>VLOOKUP(H1866,'CNKT '!$D$99:$AA$178,13,0)</f>
        <v>0</v>
      </c>
      <c r="J1872" s="698">
        <f>92.2*$B$2</f>
        <v>61667.048000000003</v>
      </c>
      <c r="K1872" s="695">
        <f t="shared" si="218"/>
        <v>0</v>
      </c>
      <c r="L1872" s="707"/>
      <c r="M1872" s="703"/>
    </row>
    <row r="1873" spans="1:13" s="27" customFormat="1" ht="17.25" customHeight="1">
      <c r="A1873" s="693" t="s">
        <v>448</v>
      </c>
      <c r="B1873" s="844" t="s">
        <v>496</v>
      </c>
      <c r="C1873" s="747">
        <f>VLOOKUP(B1866,'CNKT '!$D$113:$AA$178,14,0)</f>
        <v>0</v>
      </c>
      <c r="D1873" s="697">
        <f>153.6*$B$2</f>
        <v>102733.82400000001</v>
      </c>
      <c r="E1873" s="695">
        <f t="shared" si="217"/>
        <v>0</v>
      </c>
      <c r="F1873" s="750"/>
      <c r="G1873" s="693" t="s">
        <v>448</v>
      </c>
      <c r="H1873" s="844" t="s">
        <v>496</v>
      </c>
      <c r="I1873" s="747">
        <f>VLOOKUP(H1866,'CNKT '!$D$113:$AA$178,14,0)</f>
        <v>0</v>
      </c>
      <c r="J1873" s="697">
        <f>153.6*$B$2</f>
        <v>102733.82400000001</v>
      </c>
      <c r="K1873" s="695">
        <f t="shared" si="218"/>
        <v>0</v>
      </c>
      <c r="L1873" s="707"/>
      <c r="M1873" s="703"/>
    </row>
    <row r="1874" spans="1:13" s="27" customFormat="1" ht="17.25" customHeight="1">
      <c r="A1874" s="693" t="s">
        <v>453</v>
      </c>
      <c r="B1874" s="844" t="s">
        <v>497</v>
      </c>
      <c r="C1874" s="747">
        <f>VLOOKUP(B1866,'CNKT '!$D$114:$AA$178,18,0)</f>
        <v>0</v>
      </c>
      <c r="D1874" s="697">
        <v>10000</v>
      </c>
      <c r="E1874" s="695">
        <f>C1874*D1874</f>
        <v>0</v>
      </c>
      <c r="F1874" s="750"/>
      <c r="G1874" s="693" t="s">
        <v>453</v>
      </c>
      <c r="H1874" s="844" t="s">
        <v>497</v>
      </c>
      <c r="I1874" s="747">
        <f>VLOOKUP(H1866,'CNKT '!$D$114:$AA$178,18,0)</f>
        <v>0</v>
      </c>
      <c r="J1874" s="697">
        <v>10000</v>
      </c>
      <c r="K1874" s="695">
        <f>I1874*J1874</f>
        <v>0</v>
      </c>
      <c r="L1874" s="707"/>
      <c r="M1874" s="703"/>
    </row>
    <row r="1875" spans="1:13" s="27" customFormat="1" ht="17.25" customHeight="1">
      <c r="A1875" s="693" t="s">
        <v>453</v>
      </c>
      <c r="B1875" s="844" t="s">
        <v>497</v>
      </c>
      <c r="C1875" s="747">
        <f>VLOOKUP(B1866,'CNKT '!$D$114:$AA$178,19,0)</f>
        <v>0</v>
      </c>
      <c r="D1875" s="697">
        <v>20000</v>
      </c>
      <c r="E1875" s="695">
        <f>C1875*D1875</f>
        <v>0</v>
      </c>
      <c r="F1875" s="750"/>
      <c r="G1875" s="693" t="s">
        <v>453</v>
      </c>
      <c r="H1875" s="844" t="s">
        <v>497</v>
      </c>
      <c r="I1875" s="747">
        <f>VLOOKUP(H1866,'CNKT '!$D$114:$AA$178,19,0)</f>
        <v>0</v>
      </c>
      <c r="J1875" s="697">
        <v>20000</v>
      </c>
      <c r="K1875" s="695">
        <f>I1875*J1875</f>
        <v>0</v>
      </c>
      <c r="L1875" s="707"/>
      <c r="M1875" s="703"/>
    </row>
    <row r="1876" spans="1:13" s="27" customFormat="1" ht="17.25" customHeight="1">
      <c r="A1876" s="693" t="s">
        <v>512</v>
      </c>
      <c r="B1876" s="844" t="s">
        <v>513</v>
      </c>
      <c r="C1876" s="747"/>
      <c r="D1876" s="697"/>
      <c r="E1876" s="695"/>
      <c r="F1876" s="750"/>
      <c r="G1876" s="693" t="s">
        <v>512</v>
      </c>
      <c r="H1876" s="844" t="s">
        <v>513</v>
      </c>
      <c r="I1876" s="747"/>
      <c r="J1876" s="697"/>
      <c r="K1876" s="695"/>
      <c r="L1876" s="707"/>
      <c r="M1876" s="703"/>
    </row>
    <row r="1877" spans="1:13" s="27" customFormat="1" ht="17.25" customHeight="1">
      <c r="A1877" s="699" t="s">
        <v>79</v>
      </c>
      <c r="B1877" s="845" t="s">
        <v>532</v>
      </c>
      <c r="C1877" s="700"/>
      <c r="D1877" s="701"/>
      <c r="E1877" s="700"/>
      <c r="F1877" s="750"/>
      <c r="G1877" s="699" t="s">
        <v>79</v>
      </c>
      <c r="H1877" s="845" t="s">
        <v>532</v>
      </c>
      <c r="I1877" s="700"/>
      <c r="J1877" s="701"/>
      <c r="K1877" s="700"/>
      <c r="L1877" s="707"/>
      <c r="M1877" s="703"/>
    </row>
    <row r="1878" spans="1:13" s="27" customFormat="1" ht="17.25" customHeight="1">
      <c r="A1878" s="702" t="s">
        <v>80</v>
      </c>
      <c r="B1878" s="846" t="s">
        <v>533</v>
      </c>
      <c r="C1878" s="700"/>
      <c r="D1878" s="700"/>
      <c r="E1878" s="700"/>
      <c r="F1878" s="750"/>
      <c r="G1878" s="702" t="s">
        <v>80</v>
      </c>
      <c r="H1878" s="846" t="s">
        <v>533</v>
      </c>
      <c r="I1878" s="700"/>
      <c r="J1878" s="700"/>
      <c r="K1878" s="700"/>
      <c r="L1878" s="707"/>
      <c r="M1878" s="703"/>
    </row>
    <row r="1879" spans="1:13" s="27" customFormat="1" ht="17.25" customHeight="1">
      <c r="A1879" s="702" t="s">
        <v>81</v>
      </c>
      <c r="B1879" s="847" t="s">
        <v>534</v>
      </c>
      <c r="C1879" s="700"/>
      <c r="D1879" s="700"/>
      <c r="E1879" s="695">
        <f>SUM(E1878)</f>
        <v>0</v>
      </c>
      <c r="F1879" s="746"/>
      <c r="G1879" s="702" t="s">
        <v>81</v>
      </c>
      <c r="H1879" s="847" t="s">
        <v>534</v>
      </c>
      <c r="I1879" s="700"/>
      <c r="J1879" s="700"/>
      <c r="K1879" s="695">
        <f>SUM(K1878)</f>
        <v>0</v>
      </c>
      <c r="L1879" s="707"/>
      <c r="M1879" s="703"/>
    </row>
    <row r="1880" spans="1:13" s="27" customFormat="1" ht="17.25" customHeight="1">
      <c r="A1880" s="704" t="s">
        <v>82</v>
      </c>
      <c r="B1880" s="848" t="s">
        <v>438</v>
      </c>
      <c r="C1880" s="705"/>
      <c r="D1880" s="705"/>
      <c r="E1880" s="705">
        <f>(E1868+E1869+E1870+E1871+E1872+E1873+E1874+E1875+E1876)-E1879</f>
        <v>935506.50800000015</v>
      </c>
      <c r="F1880" s="746"/>
      <c r="G1880" s="704" t="s">
        <v>82</v>
      </c>
      <c r="H1880" s="848" t="s">
        <v>438</v>
      </c>
      <c r="I1880" s="705"/>
      <c r="J1880" s="705"/>
      <c r="K1880" s="705">
        <f>(K1868+K1869+K1870+K1871+K1872+K1873+K1874+K1875+K1876)-K1879</f>
        <v>760738.61600000004</v>
      </c>
      <c r="L1880" s="707">
        <f>E1880+K1880</f>
        <v>1696245.1240000003</v>
      </c>
      <c r="M1880" s="703"/>
    </row>
    <row r="1881" spans="1:13" s="27" customFormat="1" ht="17.25" customHeight="1">
      <c r="A1881" s="763"/>
      <c r="B1881" s="763"/>
      <c r="C1881" s="763"/>
      <c r="D1881" s="763"/>
      <c r="E1881" s="763"/>
      <c r="F1881" s="763"/>
      <c r="G1881" s="763"/>
      <c r="H1881" s="763"/>
      <c r="I1881" s="763"/>
      <c r="J1881" s="763"/>
      <c r="K1881" s="763"/>
      <c r="L1881" s="707"/>
      <c r="M1881" s="703"/>
    </row>
    <row r="1882" spans="1:13" s="27" customFormat="1" ht="17.25" customHeight="1">
      <c r="A1882" s="759" t="str">
        <f>A1865</f>
        <v>LƯƠNG THÁNG 01/2025</v>
      </c>
      <c r="B1882" s="763"/>
      <c r="C1882" s="763"/>
      <c r="D1882" s="763"/>
      <c r="E1882" s="769">
        <f>VLOOKUP(B1883,'CNKT '!$D$114:$AD$178,26,0)</f>
        <v>0</v>
      </c>
      <c r="F1882" s="750"/>
      <c r="G1882" s="759" t="str">
        <f>A1882</f>
        <v>LƯƠNG THÁNG 01/2025</v>
      </c>
      <c r="H1882" s="763"/>
      <c r="I1882" s="763"/>
      <c r="J1882" s="766"/>
      <c r="K1882" s="769">
        <f>VLOOKUP(H1883,'CNKT '!$D$114:$AD$178,26,0)</f>
        <v>0</v>
      </c>
      <c r="L1882" s="707"/>
      <c r="M1882" s="703"/>
    </row>
    <row r="1883" spans="1:13" s="27" customFormat="1" ht="17.25" customHeight="1">
      <c r="A1883" s="709" t="s">
        <v>15</v>
      </c>
      <c r="B1883" s="840" t="str">
        <f>'CNKT '!D160</f>
        <v>T. Phan</v>
      </c>
      <c r="C1883" s="694"/>
      <c r="D1883" s="840" t="s">
        <v>396</v>
      </c>
      <c r="E1883" s="840" t="s">
        <v>18</v>
      </c>
      <c r="F1883" s="750"/>
      <c r="G1883" s="709" t="s">
        <v>15</v>
      </c>
      <c r="H1883" s="840" t="str">
        <f>'CNKT '!D161</f>
        <v>T . Cổ</v>
      </c>
      <c r="I1883" s="694"/>
      <c r="J1883" s="840" t="s">
        <v>396</v>
      </c>
      <c r="K1883" s="840" t="s">
        <v>18</v>
      </c>
      <c r="L1883" s="707"/>
      <c r="M1883" s="703"/>
    </row>
    <row r="1884" spans="1:13" s="27" customFormat="1" ht="17.25" customHeight="1">
      <c r="A1884" s="693" t="s">
        <v>397</v>
      </c>
      <c r="B1884" s="842" t="s">
        <v>527</v>
      </c>
      <c r="C1884" s="694">
        <f>VLOOKUP(B1883,'BTH mủ tạp'!$D$98:$AN$160,36,0)</f>
        <v>1107.7545041480657</v>
      </c>
      <c r="D1884" s="695"/>
      <c r="E1884" s="695"/>
      <c r="F1884" s="750"/>
      <c r="G1884" s="693" t="s">
        <v>397</v>
      </c>
      <c r="H1884" s="842" t="s">
        <v>527</v>
      </c>
      <c r="I1884" s="694">
        <f>VLOOKUP(H1883,'BTH mủ tạp'!$D$98:$AN$160,36,0)</f>
        <v>1158.5477494403904</v>
      </c>
      <c r="J1884" s="695"/>
      <c r="K1884" s="695"/>
      <c r="L1884" s="707"/>
      <c r="M1884" s="703"/>
    </row>
    <row r="1885" spans="1:13" s="27" customFormat="1" ht="17.25" customHeight="1">
      <c r="A1885" s="693" t="s">
        <v>77</v>
      </c>
      <c r="B1885" s="843" t="s">
        <v>432</v>
      </c>
      <c r="C1885" s="696">
        <f>VLOOKUP(B1883,'CNKT '!$D$113:$AA$178,3,0)</f>
        <v>0</v>
      </c>
      <c r="D1885" s="697">
        <v>25000</v>
      </c>
      <c r="E1885" s="695">
        <f t="shared" ref="E1885:E1890" si="219">C1885*D1885</f>
        <v>0</v>
      </c>
      <c r="F1885" s="750"/>
      <c r="G1885" s="693" t="s">
        <v>77</v>
      </c>
      <c r="H1885" s="843" t="s">
        <v>432</v>
      </c>
      <c r="I1885" s="696">
        <f>VLOOKUP(H1883,'CNKT '!$D$113:$AA$178,3,0)</f>
        <v>0</v>
      </c>
      <c r="J1885" s="697">
        <v>25000</v>
      </c>
      <c r="K1885" s="695">
        <f t="shared" ref="K1885:K1890" si="220">I1885*J1885</f>
        <v>0</v>
      </c>
      <c r="L1885" s="707"/>
      <c r="M1885" s="703"/>
    </row>
    <row r="1886" spans="1:13" s="27" customFormat="1" ht="17.25" customHeight="1">
      <c r="A1886" s="693" t="s">
        <v>307</v>
      </c>
      <c r="B1886" s="844" t="s">
        <v>528</v>
      </c>
      <c r="C1886" s="747">
        <f>VLOOKUP(B1883,'CNKT '!$D$113:$AA$178,11,0)</f>
        <v>25</v>
      </c>
      <c r="D1886" s="698">
        <f>46.1*$B$2</f>
        <v>30833.524000000001</v>
      </c>
      <c r="E1886" s="695">
        <f t="shared" si="219"/>
        <v>770838.1</v>
      </c>
      <c r="F1886" s="750"/>
      <c r="G1886" s="693" t="s">
        <v>307</v>
      </c>
      <c r="H1886" s="844" t="s">
        <v>528</v>
      </c>
      <c r="I1886" s="747">
        <f>VLOOKUP(H1883,'CNKT '!$D$113:$AA$178,11,0)</f>
        <v>15</v>
      </c>
      <c r="J1886" s="698">
        <f>46.1*$B$2</f>
        <v>30833.524000000001</v>
      </c>
      <c r="K1886" s="695">
        <f t="shared" si="220"/>
        <v>462502.86000000004</v>
      </c>
      <c r="L1886" s="707"/>
      <c r="M1886" s="703"/>
    </row>
    <row r="1887" spans="1:13" s="27" customFormat="1" ht="17.25" customHeight="1">
      <c r="A1887" s="693" t="s">
        <v>399</v>
      </c>
      <c r="B1887" s="844" t="s">
        <v>529</v>
      </c>
      <c r="C1887" s="747">
        <f>VLOOKUP(B1883,'CNKT '!$D$113:$AA$178,12,0)</f>
        <v>5</v>
      </c>
      <c r="D1887" s="697">
        <f>76.9*$B$2</f>
        <v>51433.796000000009</v>
      </c>
      <c r="E1887" s="695">
        <f t="shared" si="219"/>
        <v>257168.98000000004</v>
      </c>
      <c r="F1887" s="750"/>
      <c r="G1887" s="693" t="s">
        <v>399</v>
      </c>
      <c r="H1887" s="844" t="s">
        <v>529</v>
      </c>
      <c r="I1887" s="747">
        <f>VLOOKUP(H1883,'CNKT '!$D$113:$AA$178,12,0)</f>
        <v>2</v>
      </c>
      <c r="J1887" s="697">
        <f>76.9*$B$2</f>
        <v>51433.796000000009</v>
      </c>
      <c r="K1887" s="695">
        <f t="shared" si="220"/>
        <v>102867.59200000002</v>
      </c>
      <c r="L1887" s="707"/>
      <c r="M1887" s="703"/>
    </row>
    <row r="1888" spans="1:13" s="27" customFormat="1" ht="17.25" customHeight="1">
      <c r="A1888" s="693" t="s">
        <v>78</v>
      </c>
      <c r="B1888" s="844" t="s">
        <v>530</v>
      </c>
      <c r="C1888" s="747">
        <f>VLOOKUP(B1883,'CNKT '!$D$113:$AA$178,8,0)</f>
        <v>1107.754504148066</v>
      </c>
      <c r="D1888" s="697">
        <f>IF(C1884="A",6.1,IF(C1884="B",5.8,IF(C1884="C",5.5,IF(C1884="C.",5.5,IF(C1884="D",5.2)))))*$B$2</f>
        <v>0</v>
      </c>
      <c r="E1888" s="695">
        <f t="shared" si="219"/>
        <v>0</v>
      </c>
      <c r="F1888" s="750"/>
      <c r="G1888" s="693" t="s">
        <v>78</v>
      </c>
      <c r="H1888" s="844" t="s">
        <v>530</v>
      </c>
      <c r="I1888" s="747">
        <f>VLOOKUP(H1883,'CNKT '!$D$113:$AA$178,8,0)</f>
        <v>1158.5477494403908</v>
      </c>
      <c r="J1888" s="697">
        <f>IF(I1884="A",6.1,IF(I1884="B",5.8,IF(I1884="C",5.5,IF(I1884="C.",5.5,IF(I1884="D",5.2)))))*$B$2</f>
        <v>0</v>
      </c>
      <c r="K1888" s="695">
        <f t="shared" si="220"/>
        <v>0</v>
      </c>
      <c r="L1888" s="707"/>
      <c r="M1888" s="703"/>
    </row>
    <row r="1889" spans="1:13" s="27" customFormat="1" ht="17.25" customHeight="1">
      <c r="A1889" s="693" t="s">
        <v>493</v>
      </c>
      <c r="B1889" s="844" t="s">
        <v>531</v>
      </c>
      <c r="C1889" s="747">
        <f>VLOOKUP(B1883,'CNKT '!$D$99:$AA$178,13,0)</f>
        <v>0</v>
      </c>
      <c r="D1889" s="698">
        <f>92.2*$B$2</f>
        <v>61667.048000000003</v>
      </c>
      <c r="E1889" s="695">
        <f t="shared" si="219"/>
        <v>0</v>
      </c>
      <c r="F1889" s="750"/>
      <c r="G1889" s="693" t="s">
        <v>493</v>
      </c>
      <c r="H1889" s="844" t="s">
        <v>531</v>
      </c>
      <c r="I1889" s="747">
        <f>VLOOKUP(H1883,'CNKT '!$D$99:$AA$178,13,0)</f>
        <v>0</v>
      </c>
      <c r="J1889" s="698">
        <f>92.2*$B$2</f>
        <v>61667.048000000003</v>
      </c>
      <c r="K1889" s="695">
        <f t="shared" si="220"/>
        <v>0</v>
      </c>
      <c r="L1889" s="707"/>
      <c r="M1889" s="703"/>
    </row>
    <row r="1890" spans="1:13" s="27" customFormat="1" ht="17.25" customHeight="1">
      <c r="A1890" s="693" t="s">
        <v>448</v>
      </c>
      <c r="B1890" s="844" t="s">
        <v>496</v>
      </c>
      <c r="C1890" s="747">
        <f>VLOOKUP(B1883,'CNKT '!$D$113:$AA$178,14,0)</f>
        <v>0</v>
      </c>
      <c r="D1890" s="697">
        <f>153.6*$B$2</f>
        <v>102733.82400000001</v>
      </c>
      <c r="E1890" s="695">
        <f t="shared" si="219"/>
        <v>0</v>
      </c>
      <c r="F1890" s="750"/>
      <c r="G1890" s="693" t="s">
        <v>448</v>
      </c>
      <c r="H1890" s="844" t="s">
        <v>496</v>
      </c>
      <c r="I1890" s="747">
        <f>VLOOKUP(H1883,'CNKT '!$D$113:$AA$178,14,0)</f>
        <v>0</v>
      </c>
      <c r="J1890" s="697">
        <f>153.6*$B$2</f>
        <v>102733.82400000001</v>
      </c>
      <c r="K1890" s="695">
        <f t="shared" si="220"/>
        <v>0</v>
      </c>
      <c r="L1890" s="707"/>
      <c r="M1890" s="703"/>
    </row>
    <row r="1891" spans="1:13" s="27" customFormat="1" ht="17.25" customHeight="1">
      <c r="A1891" s="693" t="s">
        <v>453</v>
      </c>
      <c r="B1891" s="844" t="s">
        <v>497</v>
      </c>
      <c r="C1891" s="747">
        <f>VLOOKUP(B1883,'CNKT '!$D$114:$AA$178,18,0)</f>
        <v>0</v>
      </c>
      <c r="D1891" s="697">
        <v>10000</v>
      </c>
      <c r="E1891" s="695">
        <f>C1891*D1891</f>
        <v>0</v>
      </c>
      <c r="F1891" s="750"/>
      <c r="G1891" s="693" t="s">
        <v>453</v>
      </c>
      <c r="H1891" s="844" t="s">
        <v>497</v>
      </c>
      <c r="I1891" s="747">
        <f>VLOOKUP(H1883,'CNKT '!$D$114:$AA$178,18,0)</f>
        <v>0</v>
      </c>
      <c r="J1891" s="697">
        <v>10000</v>
      </c>
      <c r="K1891" s="695">
        <f>I1891*J1891</f>
        <v>0</v>
      </c>
      <c r="L1891" s="707"/>
      <c r="M1891" s="703"/>
    </row>
    <row r="1892" spans="1:13" s="27" customFormat="1" ht="17.25" customHeight="1">
      <c r="A1892" s="693" t="s">
        <v>453</v>
      </c>
      <c r="B1892" s="844" t="s">
        <v>497</v>
      </c>
      <c r="C1892" s="747">
        <f>VLOOKUP(B1883,'CNKT '!$D$114:$AA$178,19,0)</f>
        <v>0</v>
      </c>
      <c r="D1892" s="697">
        <v>20000</v>
      </c>
      <c r="E1892" s="695">
        <f>C1892*D1892</f>
        <v>0</v>
      </c>
      <c r="F1892" s="750"/>
      <c r="G1892" s="693" t="s">
        <v>453</v>
      </c>
      <c r="H1892" s="844" t="s">
        <v>497</v>
      </c>
      <c r="I1892" s="747">
        <f>VLOOKUP(H1883,'CNKT '!$D$114:$AA$178,19,0)</f>
        <v>0</v>
      </c>
      <c r="J1892" s="697">
        <v>20000</v>
      </c>
      <c r="K1892" s="695">
        <f>I1892*J1892</f>
        <v>0</v>
      </c>
      <c r="L1892" s="707"/>
      <c r="M1892" s="703"/>
    </row>
    <row r="1893" spans="1:13" s="27" customFormat="1" ht="17.25" customHeight="1">
      <c r="A1893" s="693" t="s">
        <v>512</v>
      </c>
      <c r="B1893" s="844" t="s">
        <v>513</v>
      </c>
      <c r="C1893" s="747"/>
      <c r="D1893" s="697"/>
      <c r="E1893" s="695"/>
      <c r="F1893" s="750"/>
      <c r="G1893" s="693" t="s">
        <v>512</v>
      </c>
      <c r="H1893" s="844" t="s">
        <v>513</v>
      </c>
      <c r="I1893" s="747"/>
      <c r="J1893" s="697"/>
      <c r="K1893" s="695"/>
      <c r="L1893" s="707"/>
      <c r="M1893" s="703"/>
    </row>
    <row r="1894" spans="1:13" s="27" customFormat="1" ht="17.25" customHeight="1">
      <c r="A1894" s="699" t="s">
        <v>79</v>
      </c>
      <c r="B1894" s="845" t="s">
        <v>532</v>
      </c>
      <c r="C1894" s="700"/>
      <c r="D1894" s="701"/>
      <c r="E1894" s="700"/>
      <c r="F1894" s="750"/>
      <c r="G1894" s="699" t="s">
        <v>79</v>
      </c>
      <c r="H1894" s="845" t="s">
        <v>532</v>
      </c>
      <c r="I1894" s="700"/>
      <c r="J1894" s="701"/>
      <c r="K1894" s="700"/>
      <c r="L1894" s="707"/>
      <c r="M1894" s="703"/>
    </row>
    <row r="1895" spans="1:13" s="27" customFormat="1" ht="17.25" customHeight="1">
      <c r="A1895" s="702" t="s">
        <v>80</v>
      </c>
      <c r="B1895" s="846" t="s">
        <v>533</v>
      </c>
      <c r="C1895" s="700"/>
      <c r="D1895" s="700"/>
      <c r="E1895" s="700"/>
      <c r="F1895" s="750"/>
      <c r="G1895" s="702" t="s">
        <v>80</v>
      </c>
      <c r="H1895" s="846" t="s">
        <v>533</v>
      </c>
      <c r="I1895" s="700"/>
      <c r="J1895" s="700"/>
      <c r="K1895" s="700"/>
      <c r="L1895" s="707"/>
      <c r="M1895" s="703"/>
    </row>
    <row r="1896" spans="1:13" s="27" customFormat="1" ht="17.25" customHeight="1">
      <c r="A1896" s="702" t="s">
        <v>81</v>
      </c>
      <c r="B1896" s="847" t="s">
        <v>534</v>
      </c>
      <c r="C1896" s="700"/>
      <c r="D1896" s="700"/>
      <c r="E1896" s="695">
        <f>SUM(E1895)</f>
        <v>0</v>
      </c>
      <c r="F1896" s="746"/>
      <c r="G1896" s="702" t="s">
        <v>81</v>
      </c>
      <c r="H1896" s="847" t="s">
        <v>534</v>
      </c>
      <c r="I1896" s="700"/>
      <c r="J1896" s="700"/>
      <c r="K1896" s="695">
        <f>SUM(K1895)</f>
        <v>0</v>
      </c>
      <c r="L1896" s="707"/>
      <c r="M1896" s="703"/>
    </row>
    <row r="1897" spans="1:13" s="27" customFormat="1" ht="17.25" customHeight="1">
      <c r="A1897" s="704" t="s">
        <v>82</v>
      </c>
      <c r="B1897" s="848" t="s">
        <v>438</v>
      </c>
      <c r="C1897" s="705"/>
      <c r="D1897" s="705"/>
      <c r="E1897" s="705">
        <f>(E1885+E1886+E1887+E1888+E1889+E1890+E1891+E1892+E1893)-E1896</f>
        <v>1028007.0800000001</v>
      </c>
      <c r="F1897" s="746"/>
      <c r="G1897" s="704" t="s">
        <v>82</v>
      </c>
      <c r="H1897" s="848" t="s">
        <v>438</v>
      </c>
      <c r="I1897" s="705"/>
      <c r="J1897" s="705"/>
      <c r="K1897" s="705">
        <f>(K1885+K1886+K1887+K1888+K1889+K1890+K1891+K1892+K1893)-K1896</f>
        <v>565370.45200000005</v>
      </c>
      <c r="L1897" s="707">
        <f>E1897+K1897</f>
        <v>1593377.5320000001</v>
      </c>
      <c r="M1897" s="703"/>
    </row>
    <row r="1898" spans="1:13" s="27" customFormat="1" ht="69" customHeight="1">
      <c r="A1898" s="763"/>
      <c r="B1898" s="763"/>
      <c r="C1898" s="763"/>
      <c r="D1898" s="763"/>
      <c r="E1898" s="763"/>
      <c r="F1898" s="763"/>
      <c r="G1898" s="763"/>
      <c r="H1898" s="763"/>
      <c r="I1898" s="763"/>
      <c r="J1898" s="763"/>
      <c r="K1898" s="763"/>
      <c r="L1898" s="707"/>
      <c r="M1898" s="703"/>
    </row>
    <row r="1899" spans="1:13" s="27" customFormat="1" ht="17.25" customHeight="1">
      <c r="A1899" s="759" t="str">
        <f>A1882</f>
        <v>LƯƠNG THÁNG 01/2025</v>
      </c>
      <c r="B1899" s="763"/>
      <c r="C1899" s="763"/>
      <c r="D1899" s="763"/>
      <c r="E1899" s="769">
        <f>VLOOKUP(B1900,'CNKT '!$D$114:$AD$178,26,0)</f>
        <v>0</v>
      </c>
      <c r="F1899" s="750"/>
      <c r="G1899" s="759" t="str">
        <f>A1899</f>
        <v>LƯƠNG THÁNG 01/2025</v>
      </c>
      <c r="H1899" s="763"/>
      <c r="I1899" s="763"/>
      <c r="J1899" s="766"/>
      <c r="K1899" s="769">
        <f>VLOOKUP(H1900,'CNKT '!$D$114:$AD$178,26,0)</f>
        <v>0</v>
      </c>
      <c r="L1899" s="707"/>
      <c r="M1899" s="703"/>
    </row>
    <row r="1900" spans="1:13" s="27" customFormat="1" ht="17.25" customHeight="1">
      <c r="A1900" s="709" t="s">
        <v>15</v>
      </c>
      <c r="B1900" s="840" t="str">
        <f>'CNKT '!D162</f>
        <v>N. Phim Pha</v>
      </c>
      <c r="C1900" s="694"/>
      <c r="D1900" s="840" t="s">
        <v>396</v>
      </c>
      <c r="E1900" s="840" t="s">
        <v>18</v>
      </c>
      <c r="F1900" s="750"/>
      <c r="G1900" s="709" t="s">
        <v>15</v>
      </c>
      <c r="H1900" s="840" t="str">
        <f>'CNKT '!D163</f>
        <v xml:space="preserve">T. Xeng </v>
      </c>
      <c r="I1900" s="694"/>
      <c r="J1900" s="840" t="s">
        <v>396</v>
      </c>
      <c r="K1900" s="840" t="s">
        <v>18</v>
      </c>
      <c r="L1900" s="707"/>
      <c r="M1900" s="703"/>
    </row>
    <row r="1901" spans="1:13" s="27" customFormat="1" ht="17.25" customHeight="1">
      <c r="A1901" s="693" t="s">
        <v>397</v>
      </c>
      <c r="B1901" s="842" t="s">
        <v>527</v>
      </c>
      <c r="C1901" s="694">
        <f>VLOOKUP(B1900,'BTH mủ tạp'!$D$98:$AN$160,36,0)</f>
        <v>926.74584819723543</v>
      </c>
      <c r="D1901" s="695"/>
      <c r="E1901" s="695"/>
      <c r="F1901" s="750"/>
      <c r="G1901" s="693" t="s">
        <v>397</v>
      </c>
      <c r="H1901" s="842" t="s">
        <v>527</v>
      </c>
      <c r="I1901" s="694">
        <f>VLOOKUP(H1900,'BTH mủ tạp'!$D$98:$AN$160,36,0)</f>
        <v>1347.8680273481468</v>
      </c>
      <c r="J1901" s="695"/>
      <c r="K1901" s="695"/>
      <c r="L1901" s="707"/>
      <c r="M1901" s="703"/>
    </row>
    <row r="1902" spans="1:13" s="27" customFormat="1" ht="17.25" customHeight="1">
      <c r="A1902" s="693" t="s">
        <v>77</v>
      </c>
      <c r="B1902" s="843" t="s">
        <v>432</v>
      </c>
      <c r="C1902" s="696">
        <f>VLOOKUP(B1900,'CNKT '!$D$113:$AA$178,3,0)</f>
        <v>0</v>
      </c>
      <c r="D1902" s="697">
        <v>25000</v>
      </c>
      <c r="E1902" s="695">
        <f t="shared" ref="E1902:E1907" si="221">C1902*D1902</f>
        <v>0</v>
      </c>
      <c r="F1902" s="750"/>
      <c r="G1902" s="693" t="s">
        <v>77</v>
      </c>
      <c r="H1902" s="843" t="s">
        <v>432</v>
      </c>
      <c r="I1902" s="696">
        <f>VLOOKUP(H1900,'CNKT '!$D$113:$AA$178,3,0)</f>
        <v>0</v>
      </c>
      <c r="J1902" s="697">
        <v>25000</v>
      </c>
      <c r="K1902" s="695">
        <f t="shared" ref="K1902:K1907" si="222">I1902*J1902</f>
        <v>0</v>
      </c>
      <c r="L1902" s="707"/>
      <c r="M1902" s="703"/>
    </row>
    <row r="1903" spans="1:13" s="27" customFormat="1" ht="17.25" customHeight="1">
      <c r="A1903" s="693" t="s">
        <v>307</v>
      </c>
      <c r="B1903" s="844" t="s">
        <v>528</v>
      </c>
      <c r="C1903" s="747">
        <f>VLOOKUP(B1900,'CNKT '!$D$113:$AA$178,11,0)</f>
        <v>18</v>
      </c>
      <c r="D1903" s="698">
        <f>46.1*$B$2</f>
        <v>30833.524000000001</v>
      </c>
      <c r="E1903" s="695">
        <f t="shared" si="221"/>
        <v>555003.43200000003</v>
      </c>
      <c r="F1903" s="750"/>
      <c r="G1903" s="693" t="s">
        <v>307</v>
      </c>
      <c r="H1903" s="844" t="s">
        <v>528</v>
      </c>
      <c r="I1903" s="747">
        <f>VLOOKUP(H1900,'CNKT '!$D$113:$AA$178,11,0)</f>
        <v>22</v>
      </c>
      <c r="J1903" s="698">
        <f>46.1*$B$2</f>
        <v>30833.524000000001</v>
      </c>
      <c r="K1903" s="695">
        <f t="shared" si="222"/>
        <v>678337.52800000005</v>
      </c>
      <c r="L1903" s="707"/>
      <c r="M1903" s="703"/>
    </row>
    <row r="1904" spans="1:13" s="27" customFormat="1" ht="17.25" customHeight="1">
      <c r="A1904" s="693" t="s">
        <v>399</v>
      </c>
      <c r="B1904" s="844" t="s">
        <v>529</v>
      </c>
      <c r="C1904" s="747">
        <f>VLOOKUP(B1900,'CNKT '!$D$113:$AA$178,12,0)</f>
        <v>5</v>
      </c>
      <c r="D1904" s="697">
        <f>76.9*$B$2</f>
        <v>51433.796000000009</v>
      </c>
      <c r="E1904" s="695">
        <f t="shared" si="221"/>
        <v>257168.98000000004</v>
      </c>
      <c r="F1904" s="750"/>
      <c r="G1904" s="693" t="s">
        <v>399</v>
      </c>
      <c r="H1904" s="844" t="s">
        <v>529</v>
      </c>
      <c r="I1904" s="747">
        <f>VLOOKUP(H1900,'CNKT '!$D$113:$AA$178,12,0)</f>
        <v>5</v>
      </c>
      <c r="J1904" s="697">
        <f>76.9*$B$2</f>
        <v>51433.796000000009</v>
      </c>
      <c r="K1904" s="695">
        <f t="shared" si="222"/>
        <v>257168.98000000004</v>
      </c>
      <c r="L1904" s="707"/>
      <c r="M1904" s="703"/>
    </row>
    <row r="1905" spans="1:13" s="27" customFormat="1" ht="17.25" customHeight="1">
      <c r="A1905" s="693" t="s">
        <v>78</v>
      </c>
      <c r="B1905" s="844" t="s">
        <v>530</v>
      </c>
      <c r="C1905" s="747">
        <f>VLOOKUP(B1900,'CNKT '!$D$113:$AA$178,8,0)</f>
        <v>926.74584819723566</v>
      </c>
      <c r="D1905" s="697">
        <f>IF(C1901="A",6.1,IF(C1901="B",5.8,IF(C1901="C",5.5,IF(C1901="C.",5.5,IF(C1901="D",5.2)))))*$B$2</f>
        <v>0</v>
      </c>
      <c r="E1905" s="695">
        <f t="shared" si="221"/>
        <v>0</v>
      </c>
      <c r="F1905" s="750"/>
      <c r="G1905" s="693" t="s">
        <v>78</v>
      </c>
      <c r="H1905" s="844" t="s">
        <v>530</v>
      </c>
      <c r="I1905" s="747">
        <f>VLOOKUP(H1900,'CNKT '!$D$113:$AA$178,8,0)</f>
        <v>1347.8680273481468</v>
      </c>
      <c r="J1905" s="697">
        <f>IF(I1901="A",6.1,IF(I1901="B",5.8,IF(I1901="C",5.5,IF(I1901="C.",5.5,IF(I1901="D",5.2)))))*$B$2</f>
        <v>0</v>
      </c>
      <c r="K1905" s="695">
        <f t="shared" si="222"/>
        <v>0</v>
      </c>
      <c r="L1905" s="707"/>
      <c r="M1905" s="703"/>
    </row>
    <row r="1906" spans="1:13" s="27" customFormat="1" ht="17.25" customHeight="1">
      <c r="A1906" s="693" t="s">
        <v>493</v>
      </c>
      <c r="B1906" s="844" t="s">
        <v>531</v>
      </c>
      <c r="C1906" s="747">
        <f>VLOOKUP(B1900,'CNKT '!$D$99:$AA$178,13,0)</f>
        <v>0</v>
      </c>
      <c r="D1906" s="698">
        <f>92.2*$B$2</f>
        <v>61667.048000000003</v>
      </c>
      <c r="E1906" s="695">
        <f t="shared" si="221"/>
        <v>0</v>
      </c>
      <c r="F1906" s="750"/>
      <c r="G1906" s="693" t="s">
        <v>493</v>
      </c>
      <c r="H1906" s="844" t="s">
        <v>531</v>
      </c>
      <c r="I1906" s="747">
        <f>VLOOKUP(H1900,'CNKT '!$D$99:$AA$178,13,0)</f>
        <v>0</v>
      </c>
      <c r="J1906" s="698">
        <f>92.2*$B$2</f>
        <v>61667.048000000003</v>
      </c>
      <c r="K1906" s="695">
        <f t="shared" si="222"/>
        <v>0</v>
      </c>
      <c r="L1906" s="707"/>
      <c r="M1906" s="703"/>
    </row>
    <row r="1907" spans="1:13" s="27" customFormat="1" ht="17.25" customHeight="1">
      <c r="A1907" s="693" t="s">
        <v>448</v>
      </c>
      <c r="B1907" s="844" t="s">
        <v>496</v>
      </c>
      <c r="C1907" s="747">
        <f>VLOOKUP(B1900,'CNKT '!$D$113:$AA$178,14,0)</f>
        <v>0</v>
      </c>
      <c r="D1907" s="697">
        <f>153.6*$B$2</f>
        <v>102733.82400000001</v>
      </c>
      <c r="E1907" s="695">
        <f t="shared" si="221"/>
        <v>0</v>
      </c>
      <c r="F1907" s="750"/>
      <c r="G1907" s="693" t="s">
        <v>448</v>
      </c>
      <c r="H1907" s="844" t="s">
        <v>496</v>
      </c>
      <c r="I1907" s="747">
        <f>VLOOKUP(H1900,'CNKT '!$D$113:$AA$178,14,0)</f>
        <v>0</v>
      </c>
      <c r="J1907" s="697">
        <f>153.6*$B$2</f>
        <v>102733.82400000001</v>
      </c>
      <c r="K1907" s="695">
        <f t="shared" si="222"/>
        <v>0</v>
      </c>
      <c r="L1907" s="707"/>
      <c r="M1907" s="703"/>
    </row>
    <row r="1908" spans="1:13" s="27" customFormat="1" ht="17.25" customHeight="1">
      <c r="A1908" s="693" t="s">
        <v>453</v>
      </c>
      <c r="B1908" s="844" t="s">
        <v>497</v>
      </c>
      <c r="C1908" s="747">
        <f>VLOOKUP(B1900,'CNKT '!$D$114:$AA$178,18,0)</f>
        <v>0</v>
      </c>
      <c r="D1908" s="697">
        <v>10000</v>
      </c>
      <c r="E1908" s="695">
        <f>C1908*D1908</f>
        <v>0</v>
      </c>
      <c r="F1908" s="750"/>
      <c r="G1908" s="693" t="s">
        <v>453</v>
      </c>
      <c r="H1908" s="844" t="s">
        <v>497</v>
      </c>
      <c r="I1908" s="747">
        <f>VLOOKUP(H1900,'CNKT '!$D$114:$AA$178,18,0)</f>
        <v>0</v>
      </c>
      <c r="J1908" s="697">
        <v>10000</v>
      </c>
      <c r="K1908" s="695">
        <f>I1908*J1908</f>
        <v>0</v>
      </c>
      <c r="L1908" s="707"/>
      <c r="M1908" s="703"/>
    </row>
    <row r="1909" spans="1:13" s="27" customFormat="1" ht="17.25" customHeight="1">
      <c r="A1909" s="693" t="s">
        <v>453</v>
      </c>
      <c r="B1909" s="844" t="s">
        <v>497</v>
      </c>
      <c r="C1909" s="747">
        <f>VLOOKUP(B1900,'CNKT '!$D$114:$AA$178,19,0)</f>
        <v>0</v>
      </c>
      <c r="D1909" s="697">
        <v>20000</v>
      </c>
      <c r="E1909" s="695">
        <f>C1909*D1909</f>
        <v>0</v>
      </c>
      <c r="F1909" s="750"/>
      <c r="G1909" s="693" t="s">
        <v>453</v>
      </c>
      <c r="H1909" s="844" t="s">
        <v>497</v>
      </c>
      <c r="I1909" s="747">
        <f>VLOOKUP(H1900,'CNKT '!$D$114:$AA$178,19,0)</f>
        <v>0</v>
      </c>
      <c r="J1909" s="697">
        <v>20000</v>
      </c>
      <c r="K1909" s="695">
        <f>I1909*J1909</f>
        <v>0</v>
      </c>
      <c r="L1909" s="707"/>
      <c r="M1909" s="703"/>
    </row>
    <row r="1910" spans="1:13" s="27" customFormat="1" ht="17.25" customHeight="1">
      <c r="A1910" s="693" t="s">
        <v>512</v>
      </c>
      <c r="B1910" s="844" t="s">
        <v>513</v>
      </c>
      <c r="C1910" s="747"/>
      <c r="D1910" s="697"/>
      <c r="E1910" s="695"/>
      <c r="F1910" s="750"/>
      <c r="G1910" s="693" t="s">
        <v>512</v>
      </c>
      <c r="H1910" s="844" t="s">
        <v>513</v>
      </c>
      <c r="I1910" s="747"/>
      <c r="J1910" s="697"/>
      <c r="K1910" s="695"/>
      <c r="L1910" s="707"/>
      <c r="M1910" s="703"/>
    </row>
    <row r="1911" spans="1:13" s="27" customFormat="1" ht="17.25" customHeight="1">
      <c r="A1911" s="699" t="s">
        <v>79</v>
      </c>
      <c r="B1911" s="845" t="s">
        <v>532</v>
      </c>
      <c r="C1911" s="700"/>
      <c r="D1911" s="701"/>
      <c r="E1911" s="700"/>
      <c r="F1911" s="750"/>
      <c r="G1911" s="699" t="s">
        <v>79</v>
      </c>
      <c r="H1911" s="845" t="s">
        <v>532</v>
      </c>
      <c r="I1911" s="700"/>
      <c r="J1911" s="701"/>
      <c r="K1911" s="700"/>
      <c r="L1911" s="707"/>
      <c r="M1911" s="703"/>
    </row>
    <row r="1912" spans="1:13" s="27" customFormat="1" ht="17.25" customHeight="1">
      <c r="A1912" s="702" t="s">
        <v>80</v>
      </c>
      <c r="B1912" s="846" t="s">
        <v>533</v>
      </c>
      <c r="C1912" s="700"/>
      <c r="D1912" s="700"/>
      <c r="E1912" s="700"/>
      <c r="F1912" s="750"/>
      <c r="G1912" s="702" t="s">
        <v>80</v>
      </c>
      <c r="H1912" s="846" t="s">
        <v>533</v>
      </c>
      <c r="I1912" s="700"/>
      <c r="J1912" s="700"/>
      <c r="K1912" s="700"/>
      <c r="L1912" s="707"/>
      <c r="M1912" s="703"/>
    </row>
    <row r="1913" spans="1:13" s="27" customFormat="1" ht="17.25" customHeight="1">
      <c r="A1913" s="702" t="s">
        <v>81</v>
      </c>
      <c r="B1913" s="847" t="s">
        <v>534</v>
      </c>
      <c r="C1913" s="700"/>
      <c r="D1913" s="700"/>
      <c r="E1913" s="695">
        <f>SUM(E1912)</f>
        <v>0</v>
      </c>
      <c r="F1913" s="746"/>
      <c r="G1913" s="702" t="s">
        <v>81</v>
      </c>
      <c r="H1913" s="847" t="s">
        <v>534</v>
      </c>
      <c r="I1913" s="700"/>
      <c r="J1913" s="700"/>
      <c r="K1913" s="695">
        <f>SUM(K1912)</f>
        <v>0</v>
      </c>
      <c r="L1913" s="707"/>
      <c r="M1913" s="703"/>
    </row>
    <row r="1914" spans="1:13" s="27" customFormat="1" ht="17.25" customHeight="1">
      <c r="A1914" s="704" t="s">
        <v>82</v>
      </c>
      <c r="B1914" s="848" t="s">
        <v>438</v>
      </c>
      <c r="C1914" s="705"/>
      <c r="D1914" s="705"/>
      <c r="E1914" s="705">
        <f>(E1902+E1903+E1904+E1905+E1906+E1907+E1908+E1909+E1910)-E1913</f>
        <v>812172.41200000001</v>
      </c>
      <c r="F1914" s="746"/>
      <c r="G1914" s="704" t="s">
        <v>82</v>
      </c>
      <c r="H1914" s="848" t="s">
        <v>438</v>
      </c>
      <c r="I1914" s="705"/>
      <c r="J1914" s="705"/>
      <c r="K1914" s="705">
        <f>(K1902+K1903+K1904+K1905+K1906+K1907+K1908+K1909+K1910)-K1913</f>
        <v>935506.50800000015</v>
      </c>
      <c r="L1914" s="707">
        <f>E1914+K1914</f>
        <v>1747678.9200000002</v>
      </c>
      <c r="M1914" s="703"/>
    </row>
    <row r="1915" spans="1:13" s="27" customFormat="1" ht="17.25" customHeight="1">
      <c r="A1915" s="763"/>
      <c r="B1915" s="763"/>
      <c r="C1915" s="763"/>
      <c r="D1915" s="763"/>
      <c r="E1915" s="763"/>
      <c r="F1915" s="763"/>
      <c r="G1915" s="763"/>
      <c r="H1915" s="763"/>
      <c r="I1915" s="763"/>
      <c r="J1915" s="763"/>
      <c r="K1915" s="763"/>
      <c r="L1915" s="707"/>
      <c r="M1915" s="703"/>
    </row>
    <row r="1916" spans="1:13" s="27" customFormat="1" ht="17.25" customHeight="1">
      <c r="A1916" s="759" t="str">
        <f>A1899</f>
        <v>LƯƠNG THÁNG 01/2025</v>
      </c>
      <c r="B1916" s="763"/>
      <c r="C1916" s="763"/>
      <c r="D1916" s="763"/>
      <c r="E1916" s="769">
        <f>VLOOKUP(B1917,'CNKT '!$D$114:$AD$178,26,0)</f>
        <v>0</v>
      </c>
      <c r="F1916" s="750"/>
      <c r="G1916" s="759" t="str">
        <f>A1916</f>
        <v>LƯƠNG THÁNG 01/2025</v>
      </c>
      <c r="H1916" s="763"/>
      <c r="I1916" s="763"/>
      <c r="J1916" s="766"/>
      <c r="K1916" s="769">
        <f>VLOOKUP(H1917,'CNKT '!$D$114:$AD$178,26,0)</f>
        <v>0</v>
      </c>
      <c r="L1916" s="707"/>
      <c r="M1916" s="703"/>
    </row>
    <row r="1917" spans="1:13" s="27" customFormat="1" ht="17.25" customHeight="1">
      <c r="A1917" s="709" t="s">
        <v>15</v>
      </c>
      <c r="B1917" s="840" t="str">
        <f>'CNKT '!D164</f>
        <v>T. Vạt</v>
      </c>
      <c r="C1917" s="694"/>
      <c r="D1917" s="840" t="s">
        <v>396</v>
      </c>
      <c r="E1917" s="840" t="s">
        <v>18</v>
      </c>
      <c r="F1917" s="750"/>
      <c r="G1917" s="709" t="s">
        <v>15</v>
      </c>
      <c r="H1917" s="840" t="str">
        <f>'CNKT '!D165</f>
        <v>T. Lay</v>
      </c>
      <c r="I1917" s="694"/>
      <c r="J1917" s="840" t="s">
        <v>396</v>
      </c>
      <c r="K1917" s="840" t="s">
        <v>18</v>
      </c>
      <c r="L1917" s="707"/>
      <c r="M1917" s="703"/>
    </row>
    <row r="1918" spans="1:13" s="27" customFormat="1" ht="17.25" customHeight="1">
      <c r="A1918" s="693" t="s">
        <v>397</v>
      </c>
      <c r="B1918" s="842" t="s">
        <v>527</v>
      </c>
      <c r="C1918" s="694">
        <f>VLOOKUP(B1917,'BTH mủ tạp'!$D$98:$AN$160,36,0)</f>
        <v>976.6155799387908</v>
      </c>
      <c r="D1918" s="695"/>
      <c r="E1918" s="695"/>
      <c r="F1918" s="750"/>
      <c r="G1918" s="693" t="s">
        <v>397</v>
      </c>
      <c r="H1918" s="842" t="s">
        <v>527</v>
      </c>
      <c r="I1918" s="694">
        <f>VLOOKUP(H1917,'BTH mủ tạp'!$D$98:$AN$160,36,0)</f>
        <v>1549.6557381912914</v>
      </c>
      <c r="J1918" s="695"/>
      <c r="K1918" s="695"/>
      <c r="L1918" s="707"/>
      <c r="M1918" s="703"/>
    </row>
    <row r="1919" spans="1:13" s="27" customFormat="1" ht="17.25" customHeight="1">
      <c r="A1919" s="693" t="s">
        <v>77</v>
      </c>
      <c r="B1919" s="843" t="s">
        <v>432</v>
      </c>
      <c r="C1919" s="696">
        <f>VLOOKUP(B1917,'CNKT '!$D$113:$AA$178,3,0)</f>
        <v>0</v>
      </c>
      <c r="D1919" s="697">
        <v>25000</v>
      </c>
      <c r="E1919" s="695">
        <f t="shared" ref="E1919:E1924" si="223">C1919*D1919</f>
        <v>0</v>
      </c>
      <c r="F1919" s="750"/>
      <c r="G1919" s="693" t="s">
        <v>77</v>
      </c>
      <c r="H1919" s="843" t="s">
        <v>432</v>
      </c>
      <c r="I1919" s="696">
        <f>VLOOKUP(H1917,'CNKT '!$D$113:$AA$178,3,0)</f>
        <v>0</v>
      </c>
      <c r="J1919" s="697">
        <v>25000</v>
      </c>
      <c r="K1919" s="695">
        <f t="shared" ref="K1919:K1924" si="224">I1919*J1919</f>
        <v>0</v>
      </c>
      <c r="L1919" s="707"/>
      <c r="M1919" s="703"/>
    </row>
    <row r="1920" spans="1:13" s="27" customFormat="1" ht="17.25" customHeight="1">
      <c r="A1920" s="693" t="s">
        <v>307</v>
      </c>
      <c r="B1920" s="844" t="s">
        <v>528</v>
      </c>
      <c r="C1920" s="747">
        <f>VLOOKUP(B1917,'CNKT '!$D$113:$AA$178,11,0)</f>
        <v>19</v>
      </c>
      <c r="D1920" s="698">
        <f>46.1*$B$2</f>
        <v>30833.524000000001</v>
      </c>
      <c r="E1920" s="695">
        <f t="shared" si="223"/>
        <v>585836.95600000001</v>
      </c>
      <c r="F1920" s="750"/>
      <c r="G1920" s="693" t="s">
        <v>307</v>
      </c>
      <c r="H1920" s="844" t="s">
        <v>528</v>
      </c>
      <c r="I1920" s="747">
        <f>VLOOKUP(H1917,'CNKT '!$D$113:$AA$178,11,0)</f>
        <v>24</v>
      </c>
      <c r="J1920" s="698">
        <f>46.1*$B$2</f>
        <v>30833.524000000001</v>
      </c>
      <c r="K1920" s="695">
        <f t="shared" si="224"/>
        <v>740004.576</v>
      </c>
      <c r="L1920" s="707"/>
      <c r="M1920" s="703"/>
    </row>
    <row r="1921" spans="1:13" s="27" customFormat="1" ht="17.25" customHeight="1">
      <c r="A1921" s="693" t="s">
        <v>399</v>
      </c>
      <c r="B1921" s="844" t="s">
        <v>529</v>
      </c>
      <c r="C1921" s="747">
        <f>VLOOKUP(B1917,'CNKT '!$D$113:$AA$178,12,0)</f>
        <v>3</v>
      </c>
      <c r="D1921" s="697">
        <f>76.9*$B$2</f>
        <v>51433.796000000009</v>
      </c>
      <c r="E1921" s="695">
        <f t="shared" si="223"/>
        <v>154301.38800000004</v>
      </c>
      <c r="F1921" s="750"/>
      <c r="G1921" s="693" t="s">
        <v>399</v>
      </c>
      <c r="H1921" s="844" t="s">
        <v>529</v>
      </c>
      <c r="I1921" s="747">
        <f>VLOOKUP(H1917,'CNKT '!$D$113:$AA$178,12,0)</f>
        <v>5</v>
      </c>
      <c r="J1921" s="697">
        <f>76.9*$B$2</f>
        <v>51433.796000000009</v>
      </c>
      <c r="K1921" s="695">
        <f t="shared" si="224"/>
        <v>257168.98000000004</v>
      </c>
      <c r="L1921" s="707"/>
      <c r="M1921" s="703"/>
    </row>
    <row r="1922" spans="1:13" s="27" customFormat="1" ht="17.25" customHeight="1">
      <c r="A1922" s="693" t="s">
        <v>78</v>
      </c>
      <c r="B1922" s="844" t="s">
        <v>530</v>
      </c>
      <c r="C1922" s="747">
        <f>VLOOKUP(B1917,'CNKT '!$D$113:$AA$178,8,0)</f>
        <v>976.61557993879092</v>
      </c>
      <c r="D1922" s="697">
        <f>IF(C1918="A",6.1,IF(C1918="B",5.8,IF(C1918="C",5.5,IF(C1918="C.",5.5,IF(C1918="D",5.2)))))*$B$2</f>
        <v>0</v>
      </c>
      <c r="E1922" s="695">
        <f t="shared" si="223"/>
        <v>0</v>
      </c>
      <c r="F1922" s="750"/>
      <c r="G1922" s="693" t="s">
        <v>78</v>
      </c>
      <c r="H1922" s="844" t="s">
        <v>530</v>
      </c>
      <c r="I1922" s="747">
        <f>VLOOKUP(H1917,'CNKT '!$D$113:$AA$178,8,0)</f>
        <v>1549.6557381912919</v>
      </c>
      <c r="J1922" s="697">
        <f>IF(I1918="A",6.1,IF(I1918="B",5.8,IF(I1918="C",5.5,IF(I1918="C.",5.5,IF(I1918="D",5.2)))))*$B$2</f>
        <v>0</v>
      </c>
      <c r="K1922" s="695">
        <f t="shared" si="224"/>
        <v>0</v>
      </c>
      <c r="L1922" s="707"/>
      <c r="M1922" s="703"/>
    </row>
    <row r="1923" spans="1:13" s="27" customFormat="1" ht="17.25" customHeight="1">
      <c r="A1923" s="693" t="s">
        <v>493</v>
      </c>
      <c r="B1923" s="844" t="s">
        <v>531</v>
      </c>
      <c r="C1923" s="747">
        <f>VLOOKUP(B1917,'CNKT '!$D$99:$AA$178,13,0)</f>
        <v>0</v>
      </c>
      <c r="D1923" s="698">
        <f>92.2*$B$2</f>
        <v>61667.048000000003</v>
      </c>
      <c r="E1923" s="695">
        <f t="shared" si="223"/>
        <v>0</v>
      </c>
      <c r="F1923" s="750"/>
      <c r="G1923" s="693" t="s">
        <v>493</v>
      </c>
      <c r="H1923" s="844" t="s">
        <v>531</v>
      </c>
      <c r="I1923" s="747">
        <f>VLOOKUP(H1917,'CNKT '!$D$99:$AA$178,13,0)</f>
        <v>0</v>
      </c>
      <c r="J1923" s="698">
        <f>92.2*$B$2</f>
        <v>61667.048000000003</v>
      </c>
      <c r="K1923" s="695">
        <f t="shared" si="224"/>
        <v>0</v>
      </c>
      <c r="L1923" s="707"/>
      <c r="M1923" s="703"/>
    </row>
    <row r="1924" spans="1:13" s="27" customFormat="1" ht="17.25" customHeight="1">
      <c r="A1924" s="693" t="s">
        <v>448</v>
      </c>
      <c r="B1924" s="844" t="s">
        <v>496</v>
      </c>
      <c r="C1924" s="747">
        <f>VLOOKUP(B1917,'CNKT '!$D$113:$AA$178,14,0)</f>
        <v>0</v>
      </c>
      <c r="D1924" s="697">
        <f>153.6*$B$2</f>
        <v>102733.82400000001</v>
      </c>
      <c r="E1924" s="695">
        <f t="shared" si="223"/>
        <v>0</v>
      </c>
      <c r="F1924" s="750"/>
      <c r="G1924" s="693" t="s">
        <v>448</v>
      </c>
      <c r="H1924" s="844" t="s">
        <v>496</v>
      </c>
      <c r="I1924" s="747">
        <f>VLOOKUP(H1917,'CNKT '!$D$113:$AA$178,14,0)</f>
        <v>0</v>
      </c>
      <c r="J1924" s="697">
        <f>153.6*$B$2</f>
        <v>102733.82400000001</v>
      </c>
      <c r="K1924" s="695">
        <f t="shared" si="224"/>
        <v>0</v>
      </c>
      <c r="L1924" s="707"/>
      <c r="M1924" s="703"/>
    </row>
    <row r="1925" spans="1:13" s="27" customFormat="1" ht="17.25" customHeight="1">
      <c r="A1925" s="693" t="s">
        <v>453</v>
      </c>
      <c r="B1925" s="844" t="s">
        <v>497</v>
      </c>
      <c r="C1925" s="747">
        <f>VLOOKUP(B1917,'CNKT '!$D$114:$AA$178,18,0)</f>
        <v>0</v>
      </c>
      <c r="D1925" s="697">
        <v>10000</v>
      </c>
      <c r="E1925" s="695">
        <f>C1925*D1925</f>
        <v>0</v>
      </c>
      <c r="F1925" s="750"/>
      <c r="G1925" s="693" t="s">
        <v>453</v>
      </c>
      <c r="H1925" s="844" t="s">
        <v>497</v>
      </c>
      <c r="I1925" s="747">
        <f>VLOOKUP(H1917,'CNKT '!$D$114:$AA$178,18,0)</f>
        <v>0</v>
      </c>
      <c r="J1925" s="697">
        <v>10000</v>
      </c>
      <c r="K1925" s="695">
        <f>I1925*J1925</f>
        <v>0</v>
      </c>
      <c r="L1925" s="707"/>
      <c r="M1925" s="703"/>
    </row>
    <row r="1926" spans="1:13" s="27" customFormat="1" ht="17.25" customHeight="1">
      <c r="A1926" s="693" t="s">
        <v>453</v>
      </c>
      <c r="B1926" s="844" t="s">
        <v>497</v>
      </c>
      <c r="C1926" s="747">
        <f>VLOOKUP(B1917,'CNKT '!$D$114:$AA$178,19,0)</f>
        <v>0</v>
      </c>
      <c r="D1926" s="697">
        <v>20000</v>
      </c>
      <c r="E1926" s="695">
        <f>C1926*D1926</f>
        <v>0</v>
      </c>
      <c r="F1926" s="750"/>
      <c r="G1926" s="693" t="s">
        <v>453</v>
      </c>
      <c r="H1926" s="844" t="s">
        <v>497</v>
      </c>
      <c r="I1926" s="747">
        <f>VLOOKUP(H1917,'CNKT '!$D$114:$AA$178,19,0)</f>
        <v>0</v>
      </c>
      <c r="J1926" s="697">
        <v>20000</v>
      </c>
      <c r="K1926" s="695">
        <f>I1926*J1926</f>
        <v>0</v>
      </c>
      <c r="L1926" s="707"/>
      <c r="M1926" s="703"/>
    </row>
    <row r="1927" spans="1:13" s="27" customFormat="1" ht="17.25" customHeight="1">
      <c r="A1927" s="693" t="s">
        <v>512</v>
      </c>
      <c r="B1927" s="844" t="s">
        <v>513</v>
      </c>
      <c r="C1927" s="747"/>
      <c r="D1927" s="697"/>
      <c r="E1927" s="695"/>
      <c r="F1927" s="750"/>
      <c r="G1927" s="693" t="s">
        <v>512</v>
      </c>
      <c r="H1927" s="844" t="s">
        <v>513</v>
      </c>
      <c r="I1927" s="747"/>
      <c r="J1927" s="697"/>
      <c r="K1927" s="695"/>
      <c r="L1927" s="707"/>
      <c r="M1927" s="703"/>
    </row>
    <row r="1928" spans="1:13" s="27" customFormat="1" ht="17.25" customHeight="1">
      <c r="A1928" s="699" t="s">
        <v>79</v>
      </c>
      <c r="B1928" s="845" t="s">
        <v>532</v>
      </c>
      <c r="C1928" s="700"/>
      <c r="D1928" s="701"/>
      <c r="E1928" s="700"/>
      <c r="F1928" s="750"/>
      <c r="G1928" s="699" t="s">
        <v>79</v>
      </c>
      <c r="H1928" s="845" t="s">
        <v>532</v>
      </c>
      <c r="I1928" s="700"/>
      <c r="J1928" s="701"/>
      <c r="K1928" s="700"/>
      <c r="L1928" s="707"/>
      <c r="M1928" s="703"/>
    </row>
    <row r="1929" spans="1:13" s="27" customFormat="1" ht="17.25" customHeight="1">
      <c r="A1929" s="702" t="s">
        <v>80</v>
      </c>
      <c r="B1929" s="846" t="s">
        <v>533</v>
      </c>
      <c r="C1929" s="700"/>
      <c r="D1929" s="700"/>
      <c r="E1929" s="700"/>
      <c r="F1929" s="750"/>
      <c r="G1929" s="702" t="s">
        <v>80</v>
      </c>
      <c r="H1929" s="846" t="s">
        <v>533</v>
      </c>
      <c r="I1929" s="700"/>
      <c r="J1929" s="700"/>
      <c r="K1929" s="700"/>
      <c r="L1929" s="707"/>
      <c r="M1929" s="703"/>
    </row>
    <row r="1930" spans="1:13" s="27" customFormat="1" ht="17.25" customHeight="1">
      <c r="A1930" s="702" t="s">
        <v>81</v>
      </c>
      <c r="B1930" s="847" t="s">
        <v>534</v>
      </c>
      <c r="C1930" s="700"/>
      <c r="D1930" s="700"/>
      <c r="E1930" s="695">
        <f>SUM(E1929)</f>
        <v>0</v>
      </c>
      <c r="F1930" s="746"/>
      <c r="G1930" s="702" t="s">
        <v>81</v>
      </c>
      <c r="H1930" s="847" t="s">
        <v>534</v>
      </c>
      <c r="I1930" s="700"/>
      <c r="J1930" s="700"/>
      <c r="K1930" s="695">
        <f>SUM(K1929)</f>
        <v>0</v>
      </c>
      <c r="L1930" s="707"/>
      <c r="M1930" s="703"/>
    </row>
    <row r="1931" spans="1:13" s="27" customFormat="1" ht="17.25" customHeight="1">
      <c r="A1931" s="704" t="s">
        <v>82</v>
      </c>
      <c r="B1931" s="848" t="s">
        <v>438</v>
      </c>
      <c r="C1931" s="705"/>
      <c r="D1931" s="705"/>
      <c r="E1931" s="705">
        <f>(E1919+E1920+E1921+E1922+E1923+E1924+E1925+E1926+E1927)-E1930</f>
        <v>740138.34400000004</v>
      </c>
      <c r="F1931" s="746"/>
      <c r="G1931" s="704" t="s">
        <v>82</v>
      </c>
      <c r="H1931" s="848" t="s">
        <v>438</v>
      </c>
      <c r="I1931" s="705"/>
      <c r="J1931" s="705"/>
      <c r="K1931" s="705">
        <f>(K1919+K1920+K1921+K1922+K1923+K1924+K1925+K1926+K1927)-K1930</f>
        <v>997173.5560000001</v>
      </c>
      <c r="L1931" s="707">
        <f>E1931+K1931</f>
        <v>1737311.9000000001</v>
      </c>
      <c r="M1931" s="703"/>
    </row>
    <row r="1932" spans="1:13" s="27" customFormat="1" ht="17.25" customHeight="1">
      <c r="A1932" s="763"/>
      <c r="B1932" s="763"/>
      <c r="C1932" s="763"/>
      <c r="D1932" s="763"/>
      <c r="E1932" s="763"/>
      <c r="F1932" s="763"/>
      <c r="G1932" s="763"/>
      <c r="H1932" s="763"/>
      <c r="I1932" s="763"/>
      <c r="J1932" s="763"/>
      <c r="K1932" s="763"/>
      <c r="L1932" s="707"/>
      <c r="M1932" s="703"/>
    </row>
    <row r="1933" spans="1:13" s="27" customFormat="1" ht="17.25" customHeight="1">
      <c r="A1933" s="759" t="str">
        <f>A1916</f>
        <v>LƯƠNG THÁNG 01/2025</v>
      </c>
      <c r="B1933" s="763"/>
      <c r="C1933" s="763"/>
      <c r="D1933" s="763"/>
      <c r="E1933" s="769">
        <f>VLOOKUP(B1934,'CNKT '!$D$114:$AD$178,26,0)</f>
        <v>0</v>
      </c>
      <c r="F1933" s="750"/>
      <c r="G1933" s="759" t="str">
        <f>A1933</f>
        <v>LƯƠNG THÁNG 01/2025</v>
      </c>
      <c r="H1933" s="763"/>
      <c r="I1933" s="763"/>
      <c r="J1933" s="766"/>
      <c r="K1933" s="769">
        <f>VLOOKUP(H1934,'CNKT '!$D$114:$AD$178,26,0)</f>
        <v>0</v>
      </c>
      <c r="L1933" s="707"/>
      <c r="M1933" s="703"/>
    </row>
    <row r="1934" spans="1:13" s="27" customFormat="1" ht="17.25" customHeight="1">
      <c r="A1934" s="709" t="s">
        <v>15</v>
      </c>
      <c r="B1934" s="840" t="str">
        <f>'CNKT '!D166</f>
        <v>N. Nọi</v>
      </c>
      <c r="C1934" s="694"/>
      <c r="D1934" s="840" t="s">
        <v>396</v>
      </c>
      <c r="E1934" s="840" t="s">
        <v>18</v>
      </c>
      <c r="F1934" s="750"/>
      <c r="G1934" s="709" t="s">
        <v>15</v>
      </c>
      <c r="H1934" s="840" t="str">
        <f>'CNKT '!D167</f>
        <v>T Bun Xi</v>
      </c>
      <c r="I1934" s="694"/>
      <c r="J1934" s="840" t="s">
        <v>396</v>
      </c>
      <c r="K1934" s="840" t="s">
        <v>18</v>
      </c>
      <c r="L1934" s="707"/>
      <c r="M1934" s="703"/>
    </row>
    <row r="1935" spans="1:13" s="27" customFormat="1" ht="17.25" customHeight="1">
      <c r="A1935" s="693" t="s">
        <v>397</v>
      </c>
      <c r="B1935" s="842" t="s">
        <v>527</v>
      </c>
      <c r="C1935" s="694">
        <f>VLOOKUP(B1934,'BTH mủ tạp'!$D$98:$AN$160,36,0)</f>
        <v>1485.9333031881933</v>
      </c>
      <c r="D1935" s="695"/>
      <c r="E1935" s="695"/>
      <c r="F1935" s="750"/>
      <c r="G1935" s="693" t="s">
        <v>397</v>
      </c>
      <c r="H1935" s="842" t="s">
        <v>527</v>
      </c>
      <c r="I1935" s="694">
        <f>VLOOKUP(H1934,'BTH mủ tạp'!$D$98:$AN$160,36,0)</f>
        <v>1336.3241079635275</v>
      </c>
      <c r="J1935" s="695"/>
      <c r="K1935" s="695"/>
      <c r="L1935" s="707"/>
      <c r="M1935" s="703"/>
    </row>
    <row r="1936" spans="1:13" s="27" customFormat="1" ht="17.25" customHeight="1">
      <c r="A1936" s="693" t="s">
        <v>77</v>
      </c>
      <c r="B1936" s="843" t="s">
        <v>432</v>
      </c>
      <c r="C1936" s="696">
        <f>VLOOKUP(B1934,'CNKT '!$D$113:$AA$178,3,0)</f>
        <v>0</v>
      </c>
      <c r="D1936" s="697">
        <v>25000</v>
      </c>
      <c r="E1936" s="695">
        <f t="shared" ref="E1936:E1941" si="225">C1936*D1936</f>
        <v>0</v>
      </c>
      <c r="F1936" s="750"/>
      <c r="G1936" s="693" t="s">
        <v>77</v>
      </c>
      <c r="H1936" s="843" t="s">
        <v>432</v>
      </c>
      <c r="I1936" s="696">
        <f>VLOOKUP(H1934,'CNKT '!$D$113:$AA$178,3,0)</f>
        <v>0</v>
      </c>
      <c r="J1936" s="697">
        <v>25000</v>
      </c>
      <c r="K1936" s="695">
        <f t="shared" ref="K1936:K1941" si="226">I1936*J1936</f>
        <v>0</v>
      </c>
      <c r="L1936" s="707"/>
      <c r="M1936" s="703"/>
    </row>
    <row r="1937" spans="1:13" s="27" customFormat="1" ht="17.25" customHeight="1">
      <c r="A1937" s="693" t="s">
        <v>307</v>
      </c>
      <c r="B1937" s="844" t="s">
        <v>528</v>
      </c>
      <c r="C1937" s="747">
        <f>VLOOKUP(B1934,'CNKT '!$D$113:$AA$178,11,0)</f>
        <v>24</v>
      </c>
      <c r="D1937" s="698">
        <f>46.1*$B$2</f>
        <v>30833.524000000001</v>
      </c>
      <c r="E1937" s="695">
        <f t="shared" si="225"/>
        <v>740004.576</v>
      </c>
      <c r="F1937" s="750"/>
      <c r="G1937" s="693" t="s">
        <v>307</v>
      </c>
      <c r="H1937" s="844" t="s">
        <v>528</v>
      </c>
      <c r="I1937" s="747">
        <f>VLOOKUP(H1934,'CNKT '!$D$113:$AA$178,11,0)</f>
        <v>23</v>
      </c>
      <c r="J1937" s="698">
        <f>46.1*$B$2</f>
        <v>30833.524000000001</v>
      </c>
      <c r="K1937" s="695">
        <f t="shared" si="226"/>
        <v>709171.05200000003</v>
      </c>
      <c r="L1937" s="707"/>
      <c r="M1937" s="703"/>
    </row>
    <row r="1938" spans="1:13" s="27" customFormat="1" ht="17.25" customHeight="1">
      <c r="A1938" s="693" t="s">
        <v>399</v>
      </c>
      <c r="B1938" s="844" t="s">
        <v>529</v>
      </c>
      <c r="C1938" s="747">
        <f>VLOOKUP(B1934,'CNKT '!$D$113:$AA$178,12,0)</f>
        <v>5</v>
      </c>
      <c r="D1938" s="697">
        <f>76.9*$B$2</f>
        <v>51433.796000000009</v>
      </c>
      <c r="E1938" s="695">
        <f t="shared" si="225"/>
        <v>257168.98000000004</v>
      </c>
      <c r="F1938" s="750"/>
      <c r="G1938" s="693" t="s">
        <v>399</v>
      </c>
      <c r="H1938" s="844" t="s">
        <v>529</v>
      </c>
      <c r="I1938" s="747">
        <f>VLOOKUP(H1934,'CNKT '!$D$113:$AA$178,12,0)</f>
        <v>5</v>
      </c>
      <c r="J1938" s="697">
        <f>76.9*$B$2</f>
        <v>51433.796000000009</v>
      </c>
      <c r="K1938" s="695">
        <f t="shared" si="226"/>
        <v>257168.98000000004</v>
      </c>
      <c r="L1938" s="707"/>
      <c r="M1938" s="703"/>
    </row>
    <row r="1939" spans="1:13" s="27" customFormat="1" ht="17.25" customHeight="1">
      <c r="A1939" s="693" t="s">
        <v>78</v>
      </c>
      <c r="B1939" s="844" t="s">
        <v>530</v>
      </c>
      <c r="C1939" s="747">
        <f>VLOOKUP(B1934,'CNKT '!$D$113:$AA$178,8,0)</f>
        <v>1485.9333031881933</v>
      </c>
      <c r="D1939" s="697">
        <f>IF(C1935="A",6.1,IF(C1935="B",5.8,IF(C1935="C",5.5,IF(C1935="C.",5.5,IF(C1935="D",5.2)))))*$B$2</f>
        <v>0</v>
      </c>
      <c r="E1939" s="695">
        <f t="shared" si="225"/>
        <v>0</v>
      </c>
      <c r="F1939" s="750"/>
      <c r="G1939" s="693" t="s">
        <v>78</v>
      </c>
      <c r="H1939" s="844" t="s">
        <v>530</v>
      </c>
      <c r="I1939" s="747">
        <f>VLOOKUP(H1934,'CNKT '!$D$113:$AA$178,8,0)</f>
        <v>1336.3241079635277</v>
      </c>
      <c r="J1939" s="697">
        <f>IF(I1935="A",6.1,IF(I1935="B",5.8,IF(I1935="C",5.5,IF(I1935="C.",5.5,IF(I1935="D",5.2)))))*$B$2</f>
        <v>0</v>
      </c>
      <c r="K1939" s="695">
        <f t="shared" si="226"/>
        <v>0</v>
      </c>
      <c r="L1939" s="707"/>
      <c r="M1939" s="703"/>
    </row>
    <row r="1940" spans="1:13" s="27" customFormat="1" ht="17.25" customHeight="1">
      <c r="A1940" s="693" t="s">
        <v>493</v>
      </c>
      <c r="B1940" s="844" t="s">
        <v>531</v>
      </c>
      <c r="C1940" s="747">
        <f>VLOOKUP(B1934,'CNKT '!$D$99:$AA$178,13,0)</f>
        <v>0</v>
      </c>
      <c r="D1940" s="698">
        <f>92.2*$B$2</f>
        <v>61667.048000000003</v>
      </c>
      <c r="E1940" s="695">
        <f t="shared" si="225"/>
        <v>0</v>
      </c>
      <c r="F1940" s="750"/>
      <c r="G1940" s="693" t="s">
        <v>493</v>
      </c>
      <c r="H1940" s="844" t="s">
        <v>531</v>
      </c>
      <c r="I1940" s="747">
        <f>VLOOKUP(H1934,'CNKT '!$D$99:$AA$178,13,0)</f>
        <v>0</v>
      </c>
      <c r="J1940" s="698">
        <f>92.2*$B$2</f>
        <v>61667.048000000003</v>
      </c>
      <c r="K1940" s="695">
        <f t="shared" si="226"/>
        <v>0</v>
      </c>
      <c r="L1940" s="707"/>
      <c r="M1940" s="703"/>
    </row>
    <row r="1941" spans="1:13" s="27" customFormat="1" ht="17.25" customHeight="1">
      <c r="A1941" s="693" t="s">
        <v>448</v>
      </c>
      <c r="B1941" s="844" t="s">
        <v>496</v>
      </c>
      <c r="C1941" s="747">
        <f>VLOOKUP(B1934,'CNKT '!$D$113:$AA$178,14,0)</f>
        <v>0</v>
      </c>
      <c r="D1941" s="697">
        <f>153.6*$B$2</f>
        <v>102733.82400000001</v>
      </c>
      <c r="E1941" s="695">
        <f t="shared" si="225"/>
        <v>0</v>
      </c>
      <c r="F1941" s="750"/>
      <c r="G1941" s="693" t="s">
        <v>448</v>
      </c>
      <c r="H1941" s="844" t="s">
        <v>496</v>
      </c>
      <c r="I1941" s="747">
        <f>VLOOKUP(H1934,'CNKT '!$D$113:$AA$178,14,0)</f>
        <v>0</v>
      </c>
      <c r="J1941" s="697">
        <f>153.6*$B$2</f>
        <v>102733.82400000001</v>
      </c>
      <c r="K1941" s="695">
        <f t="shared" si="226"/>
        <v>0</v>
      </c>
      <c r="L1941" s="707"/>
      <c r="M1941" s="703"/>
    </row>
    <row r="1942" spans="1:13" s="27" customFormat="1" ht="17.25" customHeight="1">
      <c r="A1942" s="693" t="s">
        <v>453</v>
      </c>
      <c r="B1942" s="844" t="s">
        <v>497</v>
      </c>
      <c r="C1942" s="747">
        <f>VLOOKUP(B1934,'CNKT '!$D$114:$AA$178,18,0)</f>
        <v>0</v>
      </c>
      <c r="D1942" s="697">
        <v>10000</v>
      </c>
      <c r="E1942" s="695">
        <f>C1942*D1942</f>
        <v>0</v>
      </c>
      <c r="F1942" s="750"/>
      <c r="G1942" s="693" t="s">
        <v>453</v>
      </c>
      <c r="H1942" s="844" t="s">
        <v>497</v>
      </c>
      <c r="I1942" s="747">
        <f>VLOOKUP(H1934,'CNKT '!$D$114:$AA$178,18,0)</f>
        <v>0</v>
      </c>
      <c r="J1942" s="697">
        <v>10000</v>
      </c>
      <c r="K1942" s="695">
        <f>I1942*J1942</f>
        <v>0</v>
      </c>
      <c r="L1942" s="707"/>
      <c r="M1942" s="703"/>
    </row>
    <row r="1943" spans="1:13" s="27" customFormat="1" ht="17.25" customHeight="1">
      <c r="A1943" s="693" t="s">
        <v>453</v>
      </c>
      <c r="B1943" s="844" t="s">
        <v>497</v>
      </c>
      <c r="C1943" s="747">
        <f>VLOOKUP(B1934,'CNKT '!$D$114:$AA$178,19,0)</f>
        <v>0</v>
      </c>
      <c r="D1943" s="697">
        <v>20000</v>
      </c>
      <c r="E1943" s="695">
        <f>C1943*D1943</f>
        <v>0</v>
      </c>
      <c r="F1943" s="750"/>
      <c r="G1943" s="693" t="s">
        <v>453</v>
      </c>
      <c r="H1943" s="844" t="s">
        <v>497</v>
      </c>
      <c r="I1943" s="747">
        <f>VLOOKUP(H1934,'CNKT '!$D$114:$AA$178,19,0)</f>
        <v>0</v>
      </c>
      <c r="J1943" s="697">
        <v>20000</v>
      </c>
      <c r="K1943" s="695">
        <f>I1943*J1943</f>
        <v>0</v>
      </c>
      <c r="L1943" s="707"/>
      <c r="M1943" s="703"/>
    </row>
    <row r="1944" spans="1:13" s="27" customFormat="1" ht="17.25" customHeight="1">
      <c r="A1944" s="693" t="s">
        <v>512</v>
      </c>
      <c r="B1944" s="844" t="s">
        <v>513</v>
      </c>
      <c r="C1944" s="747"/>
      <c r="D1944" s="697"/>
      <c r="E1944" s="695"/>
      <c r="F1944" s="750"/>
      <c r="G1944" s="693" t="s">
        <v>512</v>
      </c>
      <c r="H1944" s="844" t="s">
        <v>513</v>
      </c>
      <c r="I1944" s="747"/>
      <c r="J1944" s="697"/>
      <c r="K1944" s="695"/>
      <c r="L1944" s="707"/>
      <c r="M1944" s="703"/>
    </row>
    <row r="1945" spans="1:13" s="27" customFormat="1" ht="17.25" customHeight="1">
      <c r="A1945" s="699" t="s">
        <v>79</v>
      </c>
      <c r="B1945" s="845" t="s">
        <v>532</v>
      </c>
      <c r="C1945" s="700"/>
      <c r="D1945" s="701"/>
      <c r="E1945" s="700"/>
      <c r="F1945" s="750"/>
      <c r="G1945" s="699" t="s">
        <v>79</v>
      </c>
      <c r="H1945" s="845" t="s">
        <v>532</v>
      </c>
      <c r="I1945" s="700"/>
      <c r="J1945" s="701"/>
      <c r="K1945" s="700"/>
      <c r="L1945" s="707"/>
      <c r="M1945" s="703"/>
    </row>
    <row r="1946" spans="1:13" s="27" customFormat="1" ht="17.25" customHeight="1">
      <c r="A1946" s="702" t="s">
        <v>80</v>
      </c>
      <c r="B1946" s="846" t="s">
        <v>533</v>
      </c>
      <c r="C1946" s="700"/>
      <c r="D1946" s="700"/>
      <c r="E1946" s="700"/>
      <c r="F1946" s="750"/>
      <c r="G1946" s="702" t="s">
        <v>80</v>
      </c>
      <c r="H1946" s="846" t="s">
        <v>533</v>
      </c>
      <c r="I1946" s="700"/>
      <c r="J1946" s="700"/>
      <c r="K1946" s="700"/>
      <c r="L1946" s="707"/>
      <c r="M1946" s="703"/>
    </row>
    <row r="1947" spans="1:13" s="27" customFormat="1" ht="17.25" customHeight="1">
      <c r="A1947" s="702" t="s">
        <v>81</v>
      </c>
      <c r="B1947" s="847" t="s">
        <v>534</v>
      </c>
      <c r="C1947" s="700"/>
      <c r="D1947" s="700"/>
      <c r="E1947" s="695">
        <f>SUM(E1946)</f>
        <v>0</v>
      </c>
      <c r="F1947" s="750"/>
      <c r="G1947" s="702" t="s">
        <v>81</v>
      </c>
      <c r="H1947" s="847" t="s">
        <v>534</v>
      </c>
      <c r="I1947" s="700"/>
      <c r="J1947" s="700"/>
      <c r="K1947" s="695">
        <f>SUM(K1946)</f>
        <v>0</v>
      </c>
      <c r="L1947" s="707"/>
      <c r="M1947" s="703"/>
    </row>
    <row r="1948" spans="1:13" s="27" customFormat="1" ht="17.25" customHeight="1">
      <c r="A1948" s="704" t="s">
        <v>82</v>
      </c>
      <c r="B1948" s="848" t="s">
        <v>438</v>
      </c>
      <c r="C1948" s="705"/>
      <c r="D1948" s="705"/>
      <c r="E1948" s="705">
        <f>(E1936+E1937+E1938+E1939+E1940+E1941+E1942+E1943+E1944)-E1947</f>
        <v>997173.5560000001</v>
      </c>
      <c r="F1948" s="750"/>
      <c r="G1948" s="704" t="s">
        <v>82</v>
      </c>
      <c r="H1948" s="848" t="s">
        <v>438</v>
      </c>
      <c r="I1948" s="705"/>
      <c r="J1948" s="705"/>
      <c r="K1948" s="705">
        <f>(K1936+K1937+K1938+K1939+K1940+K1941+K1942+K1943+K1944)-K1947</f>
        <v>966340.03200000012</v>
      </c>
      <c r="L1948" s="707">
        <f>E1948+K1948</f>
        <v>1963513.5880000002</v>
      </c>
      <c r="M1948" s="703"/>
    </row>
    <row r="1949" spans="1:13" s="27" customFormat="1" ht="17.25" customHeight="1">
      <c r="A1949" s="763"/>
      <c r="B1949" s="763"/>
      <c r="C1949" s="763"/>
      <c r="D1949" s="763"/>
      <c r="E1949" s="763"/>
      <c r="F1949" s="763"/>
      <c r="G1949" s="763"/>
      <c r="H1949" s="763"/>
      <c r="I1949" s="763"/>
      <c r="J1949" s="763"/>
      <c r="K1949" s="763"/>
      <c r="L1949" s="707"/>
      <c r="M1949" s="703"/>
    </row>
    <row r="1950" spans="1:13" s="27" customFormat="1" ht="17.25" customHeight="1">
      <c r="A1950" s="759" t="str">
        <f>A1933</f>
        <v>LƯƠNG THÁNG 01/2025</v>
      </c>
      <c r="B1950" s="763"/>
      <c r="C1950" s="763"/>
      <c r="D1950" s="763"/>
      <c r="E1950" s="769">
        <f>VLOOKUP(B1951,'CNKT '!$D$114:$AD$178,26,0)</f>
        <v>0</v>
      </c>
      <c r="F1950" s="750"/>
      <c r="G1950" s="759" t="str">
        <f>A1950</f>
        <v>LƯƠNG THÁNG 01/2025</v>
      </c>
      <c r="H1950" s="763"/>
      <c r="I1950" s="763"/>
      <c r="J1950" s="766"/>
      <c r="K1950" s="769">
        <f>VLOOKUP(H1951,'CNKT '!$D$114:$AD$178,26,0)</f>
        <v>0</v>
      </c>
      <c r="L1950" s="707"/>
      <c r="M1950" s="703"/>
    </row>
    <row r="1951" spans="1:13" s="27" customFormat="1" ht="17.25" customHeight="1">
      <c r="A1951" s="709" t="s">
        <v>15</v>
      </c>
      <c r="B1951" s="840" t="str">
        <f>'CNKT '!D168</f>
        <v>N. Bù</v>
      </c>
      <c r="C1951" s="694"/>
      <c r="D1951" s="840" t="s">
        <v>396</v>
      </c>
      <c r="E1951" s="840" t="s">
        <v>18</v>
      </c>
      <c r="F1951" s="750"/>
      <c r="G1951" s="709" t="s">
        <v>15</v>
      </c>
      <c r="H1951" s="840" t="str">
        <f>'CNKT '!D169</f>
        <v>T. Xơn</v>
      </c>
      <c r="I1951" s="694"/>
      <c r="J1951" s="840" t="s">
        <v>396</v>
      </c>
      <c r="K1951" s="840" t="s">
        <v>18</v>
      </c>
      <c r="L1951" s="707"/>
      <c r="M1951" s="703"/>
    </row>
    <row r="1952" spans="1:13" s="27" customFormat="1" ht="17.25" customHeight="1">
      <c r="A1952" s="693" t="s">
        <v>397</v>
      </c>
      <c r="B1952" s="842" t="s">
        <v>527</v>
      </c>
      <c r="C1952" s="694">
        <f>VLOOKUP(B1951,'BTH mủ tạp'!$D$98:$AN$160,36,0)</f>
        <v>1002.4739593603379</v>
      </c>
      <c r="D1952" s="695"/>
      <c r="E1952" s="695"/>
      <c r="F1952" s="750"/>
      <c r="G1952" s="693" t="s">
        <v>397</v>
      </c>
      <c r="H1952" s="842" t="s">
        <v>527</v>
      </c>
      <c r="I1952" s="694">
        <f>VLOOKUP(H1951,'BTH mủ tạp'!$D$98:$AN$160,36,0)</f>
        <v>1319.239107274291</v>
      </c>
      <c r="J1952" s="695"/>
      <c r="K1952" s="695"/>
      <c r="L1952" s="707"/>
      <c r="M1952" s="703"/>
    </row>
    <row r="1953" spans="1:13" s="27" customFormat="1" ht="17.25" customHeight="1">
      <c r="A1953" s="693" t="s">
        <v>77</v>
      </c>
      <c r="B1953" s="843" t="s">
        <v>432</v>
      </c>
      <c r="C1953" s="696">
        <f>VLOOKUP(B1951,'CNKT '!$D$113:$AA$178,3,0)</f>
        <v>0</v>
      </c>
      <c r="D1953" s="697">
        <v>25000</v>
      </c>
      <c r="E1953" s="695">
        <f t="shared" ref="E1953:E1958" si="227">C1953*D1953</f>
        <v>0</v>
      </c>
      <c r="F1953" s="750"/>
      <c r="G1953" s="693" t="s">
        <v>77</v>
      </c>
      <c r="H1953" s="843" t="s">
        <v>432</v>
      </c>
      <c r="I1953" s="696">
        <f>VLOOKUP(H1951,'CNKT '!$D$113:$AA$178,3,0)</f>
        <v>0</v>
      </c>
      <c r="J1953" s="697">
        <v>25000</v>
      </c>
      <c r="K1953" s="695">
        <f t="shared" ref="K1953:K1958" si="228">I1953*J1953</f>
        <v>0</v>
      </c>
      <c r="L1953" s="707"/>
      <c r="M1953" s="703"/>
    </row>
    <row r="1954" spans="1:13" s="27" customFormat="1" ht="17.25" customHeight="1">
      <c r="A1954" s="693" t="s">
        <v>307</v>
      </c>
      <c r="B1954" s="844" t="s">
        <v>528</v>
      </c>
      <c r="C1954" s="747">
        <f>VLOOKUP(B1951,'CNKT '!$D$113:$AA$178,11,0)</f>
        <v>22</v>
      </c>
      <c r="D1954" s="698">
        <f>46.1*$B$2</f>
        <v>30833.524000000001</v>
      </c>
      <c r="E1954" s="695">
        <f t="shared" si="227"/>
        <v>678337.52800000005</v>
      </c>
      <c r="F1954" s="750"/>
      <c r="G1954" s="693" t="s">
        <v>307</v>
      </c>
      <c r="H1954" s="844" t="s">
        <v>528</v>
      </c>
      <c r="I1954" s="747">
        <f>VLOOKUP(H1951,'CNKT '!$D$113:$AA$178,11,0)</f>
        <v>23</v>
      </c>
      <c r="J1954" s="698">
        <f>46.1*$B$2</f>
        <v>30833.524000000001</v>
      </c>
      <c r="K1954" s="695">
        <f t="shared" si="228"/>
        <v>709171.05200000003</v>
      </c>
      <c r="L1954" s="707"/>
      <c r="M1954" s="703"/>
    </row>
    <row r="1955" spans="1:13" s="27" customFormat="1" ht="17.25" customHeight="1">
      <c r="A1955" s="693" t="s">
        <v>399</v>
      </c>
      <c r="B1955" s="844" t="s">
        <v>529</v>
      </c>
      <c r="C1955" s="747">
        <f>VLOOKUP(B1951,'CNKT '!$D$113:$AA$178,12,0)</f>
        <v>4</v>
      </c>
      <c r="D1955" s="697">
        <f>76.9*$B$2</f>
        <v>51433.796000000009</v>
      </c>
      <c r="E1955" s="695">
        <f t="shared" si="227"/>
        <v>205735.18400000004</v>
      </c>
      <c r="F1955" s="750"/>
      <c r="G1955" s="693" t="s">
        <v>399</v>
      </c>
      <c r="H1955" s="844" t="s">
        <v>529</v>
      </c>
      <c r="I1955" s="747">
        <f>VLOOKUP(H1951,'CNKT '!$D$113:$AA$178,12,0)</f>
        <v>5</v>
      </c>
      <c r="J1955" s="697">
        <f>76.9*$B$2</f>
        <v>51433.796000000009</v>
      </c>
      <c r="K1955" s="695">
        <f t="shared" si="228"/>
        <v>257168.98000000004</v>
      </c>
      <c r="L1955" s="707"/>
      <c r="M1955" s="703"/>
    </row>
    <row r="1956" spans="1:13" s="27" customFormat="1" ht="17.25" customHeight="1">
      <c r="A1956" s="693" t="s">
        <v>78</v>
      </c>
      <c r="B1956" s="844" t="s">
        <v>530</v>
      </c>
      <c r="C1956" s="747">
        <f>VLOOKUP(B1951,'CNKT '!$D$113:$AA$178,8,0)</f>
        <v>1002.4739593603381</v>
      </c>
      <c r="D1956" s="697">
        <f>IF(C1952="A",6.1,IF(C1952="B",5.8,IF(C1952="C",5.5,IF(C1952="C.",5.5,IF(C1952="D",5.2)))))*$B$2</f>
        <v>0</v>
      </c>
      <c r="E1956" s="695">
        <f t="shared" si="227"/>
        <v>0</v>
      </c>
      <c r="F1956" s="750"/>
      <c r="G1956" s="693" t="s">
        <v>78</v>
      </c>
      <c r="H1956" s="844" t="s">
        <v>530</v>
      </c>
      <c r="I1956" s="747">
        <f>VLOOKUP(H1951,'CNKT '!$D$113:$AA$178,8,0)</f>
        <v>1319.239107274291</v>
      </c>
      <c r="J1956" s="697">
        <f>IF(I1952="A",6.1,IF(I1952="B",5.8,IF(I1952="C",5.5,IF(I1952="C.",5.5,IF(I1952="D",5.2)))))*$B$2</f>
        <v>0</v>
      </c>
      <c r="K1956" s="695">
        <f t="shared" si="228"/>
        <v>0</v>
      </c>
      <c r="L1956" s="707"/>
      <c r="M1956" s="703"/>
    </row>
    <row r="1957" spans="1:13" s="27" customFormat="1" ht="17.25" customHeight="1">
      <c r="A1957" s="693" t="s">
        <v>493</v>
      </c>
      <c r="B1957" s="844" t="s">
        <v>531</v>
      </c>
      <c r="C1957" s="747">
        <f>VLOOKUP(B1951,'CNKT '!$D$99:$AA$178,13,0)</f>
        <v>0</v>
      </c>
      <c r="D1957" s="698">
        <f>92.2*$B$2</f>
        <v>61667.048000000003</v>
      </c>
      <c r="E1957" s="695">
        <f t="shared" si="227"/>
        <v>0</v>
      </c>
      <c r="F1957" s="750"/>
      <c r="G1957" s="693" t="s">
        <v>493</v>
      </c>
      <c r="H1957" s="844" t="s">
        <v>531</v>
      </c>
      <c r="I1957" s="747">
        <f>VLOOKUP(H1951,'CNKT '!$D$99:$AA$178,13,0)</f>
        <v>0</v>
      </c>
      <c r="J1957" s="698">
        <f>92.2*$B$2</f>
        <v>61667.048000000003</v>
      </c>
      <c r="K1957" s="695">
        <f t="shared" si="228"/>
        <v>0</v>
      </c>
      <c r="L1957" s="707"/>
      <c r="M1957" s="703"/>
    </row>
    <row r="1958" spans="1:13" s="27" customFormat="1" ht="17.25" customHeight="1">
      <c r="A1958" s="693" t="s">
        <v>448</v>
      </c>
      <c r="B1958" s="844" t="s">
        <v>496</v>
      </c>
      <c r="C1958" s="747">
        <f>VLOOKUP(B1951,'CNKT '!$D$113:$AA$178,14,0)</f>
        <v>0</v>
      </c>
      <c r="D1958" s="697">
        <f>153.6*$B$2</f>
        <v>102733.82400000001</v>
      </c>
      <c r="E1958" s="695">
        <f t="shared" si="227"/>
        <v>0</v>
      </c>
      <c r="F1958" s="750"/>
      <c r="G1958" s="693" t="s">
        <v>448</v>
      </c>
      <c r="H1958" s="844" t="s">
        <v>496</v>
      </c>
      <c r="I1958" s="747">
        <f>VLOOKUP(H1951,'CNKT '!$D$113:$AA$178,14,0)</f>
        <v>0</v>
      </c>
      <c r="J1958" s="697">
        <f>153.6*$B$2</f>
        <v>102733.82400000001</v>
      </c>
      <c r="K1958" s="695">
        <f t="shared" si="228"/>
        <v>0</v>
      </c>
      <c r="L1958" s="707"/>
      <c r="M1958" s="703"/>
    </row>
    <row r="1959" spans="1:13" s="27" customFormat="1" ht="17.25" customHeight="1">
      <c r="A1959" s="693" t="s">
        <v>453</v>
      </c>
      <c r="B1959" s="844" t="s">
        <v>497</v>
      </c>
      <c r="C1959" s="747">
        <f>VLOOKUP(B1951,'CNKT '!$D$114:$AA$178,18,0)</f>
        <v>0</v>
      </c>
      <c r="D1959" s="697">
        <v>10000</v>
      </c>
      <c r="E1959" s="695">
        <f>C1959*D1959</f>
        <v>0</v>
      </c>
      <c r="F1959" s="750"/>
      <c r="G1959" s="693" t="s">
        <v>453</v>
      </c>
      <c r="H1959" s="844" t="s">
        <v>497</v>
      </c>
      <c r="I1959" s="747">
        <f>VLOOKUP(H1951,'CNKT '!$D$114:$AA$178,18,0)</f>
        <v>0</v>
      </c>
      <c r="J1959" s="697">
        <v>10000</v>
      </c>
      <c r="K1959" s="695">
        <f>I1959*J1959</f>
        <v>0</v>
      </c>
      <c r="L1959" s="707"/>
      <c r="M1959" s="703"/>
    </row>
    <row r="1960" spans="1:13" s="27" customFormat="1" ht="17.25" customHeight="1">
      <c r="A1960" s="693" t="s">
        <v>453</v>
      </c>
      <c r="B1960" s="844" t="s">
        <v>497</v>
      </c>
      <c r="C1960" s="747">
        <f>VLOOKUP(B1951,'CNKT '!$D$114:$AA$178,19,0)</f>
        <v>0</v>
      </c>
      <c r="D1960" s="697">
        <v>20000</v>
      </c>
      <c r="E1960" s="695">
        <f>C1960*D1960</f>
        <v>0</v>
      </c>
      <c r="F1960" s="750"/>
      <c r="G1960" s="693" t="s">
        <v>453</v>
      </c>
      <c r="H1960" s="844" t="s">
        <v>497</v>
      </c>
      <c r="I1960" s="747">
        <f>VLOOKUP(H1951,'CNKT '!$D$114:$AA$178,19,0)</f>
        <v>0</v>
      </c>
      <c r="J1960" s="697">
        <v>20000</v>
      </c>
      <c r="K1960" s="695">
        <f>I1960*J1960</f>
        <v>0</v>
      </c>
      <c r="L1960" s="707"/>
      <c r="M1960" s="703"/>
    </row>
    <row r="1961" spans="1:13" s="27" customFormat="1" ht="17.25" customHeight="1">
      <c r="A1961" s="693" t="s">
        <v>512</v>
      </c>
      <c r="B1961" s="844" t="s">
        <v>513</v>
      </c>
      <c r="C1961" s="747"/>
      <c r="D1961" s="697"/>
      <c r="E1961" s="695"/>
      <c r="F1961" s="750"/>
      <c r="G1961" s="693" t="s">
        <v>512</v>
      </c>
      <c r="H1961" s="844" t="s">
        <v>513</v>
      </c>
      <c r="I1961" s="747"/>
      <c r="J1961" s="697"/>
      <c r="K1961" s="695"/>
      <c r="L1961" s="707"/>
      <c r="M1961" s="703"/>
    </row>
    <row r="1962" spans="1:13" s="27" customFormat="1" ht="17.25" customHeight="1">
      <c r="A1962" s="699" t="s">
        <v>79</v>
      </c>
      <c r="B1962" s="845" t="s">
        <v>532</v>
      </c>
      <c r="C1962" s="700"/>
      <c r="D1962" s="701"/>
      <c r="E1962" s="700"/>
      <c r="F1962" s="750"/>
      <c r="G1962" s="699" t="s">
        <v>79</v>
      </c>
      <c r="H1962" s="845" t="s">
        <v>532</v>
      </c>
      <c r="I1962" s="700"/>
      <c r="J1962" s="701"/>
      <c r="K1962" s="700"/>
      <c r="L1962" s="707"/>
      <c r="M1962" s="703"/>
    </row>
    <row r="1963" spans="1:13" s="27" customFormat="1" ht="17.25" customHeight="1">
      <c r="A1963" s="702" t="s">
        <v>80</v>
      </c>
      <c r="B1963" s="846" t="s">
        <v>533</v>
      </c>
      <c r="C1963" s="700"/>
      <c r="D1963" s="700"/>
      <c r="E1963" s="700"/>
      <c r="F1963" s="750"/>
      <c r="G1963" s="702" t="s">
        <v>80</v>
      </c>
      <c r="H1963" s="846" t="s">
        <v>533</v>
      </c>
      <c r="I1963" s="700"/>
      <c r="J1963" s="700"/>
      <c r="K1963" s="700"/>
      <c r="L1963" s="707"/>
      <c r="M1963" s="703"/>
    </row>
    <row r="1964" spans="1:13" s="27" customFormat="1" ht="17.25" customHeight="1">
      <c r="A1964" s="702" t="s">
        <v>81</v>
      </c>
      <c r="B1964" s="847" t="s">
        <v>534</v>
      </c>
      <c r="C1964" s="700"/>
      <c r="D1964" s="700"/>
      <c r="E1964" s="695">
        <f>SUM(E1963)</f>
        <v>0</v>
      </c>
      <c r="F1964" s="750"/>
      <c r="G1964" s="702" t="s">
        <v>81</v>
      </c>
      <c r="H1964" s="847" t="s">
        <v>534</v>
      </c>
      <c r="I1964" s="700"/>
      <c r="J1964" s="700"/>
      <c r="K1964" s="695">
        <f>SUM(K1963)</f>
        <v>0</v>
      </c>
      <c r="L1964" s="707"/>
      <c r="M1964" s="703"/>
    </row>
    <row r="1965" spans="1:13" s="27" customFormat="1" ht="17.25" customHeight="1">
      <c r="A1965" s="704" t="s">
        <v>82</v>
      </c>
      <c r="B1965" s="848" t="s">
        <v>438</v>
      </c>
      <c r="C1965" s="705"/>
      <c r="D1965" s="705"/>
      <c r="E1965" s="705">
        <f>(E1953+E1954+E1955+E1956+E1957+E1958+E1959+E1960+E1961)-E1964</f>
        <v>884072.71200000006</v>
      </c>
      <c r="F1965" s="750"/>
      <c r="G1965" s="704" t="s">
        <v>82</v>
      </c>
      <c r="H1965" s="848" t="s">
        <v>438</v>
      </c>
      <c r="I1965" s="705"/>
      <c r="J1965" s="705"/>
      <c r="K1965" s="705">
        <f>(K1953+K1954+K1955+K1956+K1957+K1958+K1959+K1960+K1961)-K1964</f>
        <v>966340.03200000012</v>
      </c>
      <c r="L1965" s="707">
        <f>E1965+K1965</f>
        <v>1850412.7440000002</v>
      </c>
      <c r="M1965" s="703"/>
    </row>
    <row r="1966" spans="1:13" s="27" customFormat="1" ht="204" customHeight="1">
      <c r="A1966" s="763"/>
      <c r="B1966" s="763"/>
      <c r="C1966" s="763"/>
      <c r="D1966" s="763"/>
      <c r="E1966" s="763"/>
      <c r="F1966" s="763"/>
      <c r="G1966" s="763"/>
      <c r="H1966" s="763"/>
      <c r="I1966" s="763"/>
      <c r="J1966" s="763"/>
      <c r="K1966" s="763"/>
      <c r="L1966" s="707"/>
      <c r="M1966" s="703"/>
    </row>
    <row r="1967" spans="1:13" s="27" customFormat="1" ht="17.25" customHeight="1">
      <c r="A1967" s="759" t="str">
        <f>A1950</f>
        <v>LƯƠNG THÁNG 01/2025</v>
      </c>
      <c r="B1967" s="763"/>
      <c r="C1967" s="763"/>
      <c r="D1967" s="763"/>
      <c r="E1967" s="769">
        <f>VLOOKUP(B1968,'CNKT '!$D$114:$AD$178,26,0)</f>
        <v>0</v>
      </c>
      <c r="F1967" s="750"/>
      <c r="G1967" s="759" t="str">
        <f>A1967</f>
        <v>LƯƠNG THÁNG 01/2025</v>
      </c>
      <c r="H1967" s="763"/>
      <c r="I1967" s="763"/>
      <c r="J1967" s="766"/>
      <c r="K1967" s="769">
        <f>VLOOKUP(H1968,'CNKT '!$D$114:$AD$178,26,0)</f>
        <v>0</v>
      </c>
      <c r="L1967" s="707"/>
      <c r="M1967" s="703"/>
    </row>
    <row r="1968" spans="1:13" s="27" customFormat="1" ht="17.25" customHeight="1">
      <c r="A1968" s="709" t="s">
        <v>15</v>
      </c>
      <c r="B1968" s="840" t="str">
        <f>'CNKT '!D170</f>
        <v>T. Thi</v>
      </c>
      <c r="C1968" s="694"/>
      <c r="D1968" s="840" t="s">
        <v>396</v>
      </c>
      <c r="E1968" s="840" t="s">
        <v>18</v>
      </c>
      <c r="F1968" s="750"/>
      <c r="G1968" s="709" t="s">
        <v>15</v>
      </c>
      <c r="H1968" s="840" t="str">
        <f>'CNKT '!D171</f>
        <v>On chay</v>
      </c>
      <c r="I1968" s="694"/>
      <c r="J1968" s="840" t="s">
        <v>396</v>
      </c>
      <c r="K1968" s="840" t="s">
        <v>18</v>
      </c>
      <c r="L1968" s="707"/>
      <c r="M1968" s="703"/>
    </row>
    <row r="1969" spans="1:13" s="27" customFormat="1" ht="17.25" customHeight="1">
      <c r="A1969" s="693" t="s">
        <v>397</v>
      </c>
      <c r="B1969" s="842" t="s">
        <v>527</v>
      </c>
      <c r="C1969" s="694">
        <f>VLOOKUP(B1968,'BTH mủ tạp'!$D$98:$AN$160,36,0)</f>
        <v>1182.5591017603986</v>
      </c>
      <c r="D1969" s="695"/>
      <c r="E1969" s="695"/>
      <c r="F1969" s="750"/>
      <c r="G1969" s="693" t="s">
        <v>397</v>
      </c>
      <c r="H1969" s="842" t="s">
        <v>527</v>
      </c>
      <c r="I1969" s="694">
        <f>VLOOKUP(H1968,'BTH mủ tạp'!$D$98:$AN$160,36,0)</f>
        <v>1226.4259954219517</v>
      </c>
      <c r="J1969" s="695"/>
      <c r="K1969" s="695"/>
      <c r="L1969" s="707"/>
      <c r="M1969" s="703"/>
    </row>
    <row r="1970" spans="1:13" s="27" customFormat="1" ht="17.25" customHeight="1">
      <c r="A1970" s="693" t="s">
        <v>77</v>
      </c>
      <c r="B1970" s="843" t="s">
        <v>432</v>
      </c>
      <c r="C1970" s="696">
        <f>VLOOKUP(B1968,'CNKT '!$D$113:$AA$178,3,0)</f>
        <v>0</v>
      </c>
      <c r="D1970" s="697">
        <v>25000</v>
      </c>
      <c r="E1970" s="695">
        <f t="shared" ref="E1970:E1975" si="229">C1970*D1970</f>
        <v>0</v>
      </c>
      <c r="F1970" s="750"/>
      <c r="G1970" s="693" t="s">
        <v>77</v>
      </c>
      <c r="H1970" s="843" t="s">
        <v>432</v>
      </c>
      <c r="I1970" s="696">
        <f>VLOOKUP(H1968,'CNKT '!$D$113:$AA$178,3,0)</f>
        <v>0</v>
      </c>
      <c r="J1970" s="697">
        <v>25000</v>
      </c>
      <c r="K1970" s="695">
        <f t="shared" ref="K1970:K1975" si="230">I1970*J1970</f>
        <v>0</v>
      </c>
      <c r="L1970" s="707"/>
      <c r="M1970" s="703"/>
    </row>
    <row r="1971" spans="1:13" s="27" customFormat="1" ht="17.25" customHeight="1">
      <c r="A1971" s="693" t="s">
        <v>307</v>
      </c>
      <c r="B1971" s="844" t="s">
        <v>528</v>
      </c>
      <c r="C1971" s="747">
        <f>VLOOKUP(B1968,'CNKT '!$D$113:$AA$178,11,0)</f>
        <v>25</v>
      </c>
      <c r="D1971" s="698">
        <f>46.1*$B$2</f>
        <v>30833.524000000001</v>
      </c>
      <c r="E1971" s="695">
        <f t="shared" si="229"/>
        <v>770838.1</v>
      </c>
      <c r="F1971" s="750"/>
      <c r="G1971" s="693" t="s">
        <v>307</v>
      </c>
      <c r="H1971" s="844" t="s">
        <v>528</v>
      </c>
      <c r="I1971" s="747">
        <f>VLOOKUP(H1968,'CNKT '!$D$113:$AA$178,11,0)</f>
        <v>25</v>
      </c>
      <c r="J1971" s="698">
        <f>46.1*$B$2</f>
        <v>30833.524000000001</v>
      </c>
      <c r="K1971" s="695">
        <f t="shared" si="230"/>
        <v>770838.1</v>
      </c>
      <c r="L1971" s="707"/>
      <c r="M1971" s="703"/>
    </row>
    <row r="1972" spans="1:13" s="27" customFormat="1" ht="17.25" customHeight="1">
      <c r="A1972" s="693" t="s">
        <v>399</v>
      </c>
      <c r="B1972" s="844" t="s">
        <v>529</v>
      </c>
      <c r="C1972" s="747">
        <f>VLOOKUP(B1968,'CNKT '!$D$113:$AA$178,12,0)</f>
        <v>5</v>
      </c>
      <c r="D1972" s="697">
        <f>76.9*$B$2</f>
        <v>51433.796000000009</v>
      </c>
      <c r="E1972" s="695">
        <f t="shared" si="229"/>
        <v>257168.98000000004</v>
      </c>
      <c r="F1972" s="750"/>
      <c r="G1972" s="693" t="s">
        <v>399</v>
      </c>
      <c r="H1972" s="844" t="s">
        <v>529</v>
      </c>
      <c r="I1972" s="747">
        <f>VLOOKUP(H1968,'CNKT '!$D$113:$AA$178,12,0)</f>
        <v>5</v>
      </c>
      <c r="J1972" s="697">
        <f>76.9*$B$2</f>
        <v>51433.796000000009</v>
      </c>
      <c r="K1972" s="695">
        <f t="shared" si="230"/>
        <v>257168.98000000004</v>
      </c>
      <c r="L1972" s="707"/>
      <c r="M1972" s="703"/>
    </row>
    <row r="1973" spans="1:13" s="27" customFormat="1" ht="17.25" customHeight="1">
      <c r="A1973" s="693" t="s">
        <v>78</v>
      </c>
      <c r="B1973" s="844" t="s">
        <v>530</v>
      </c>
      <c r="C1973" s="747">
        <f>VLOOKUP(B1968,'CNKT '!$D$113:$AA$178,8,0)</f>
        <v>1182.5591017603988</v>
      </c>
      <c r="D1973" s="697">
        <f>IF(C1969="A",6.1,IF(C1969="B",5.8,IF(C1969="C",5.5,IF(C1969="C.",5.5,IF(C1969="D",5.2)))))*$B$2</f>
        <v>0</v>
      </c>
      <c r="E1973" s="695">
        <f t="shared" si="229"/>
        <v>0</v>
      </c>
      <c r="F1973" s="750"/>
      <c r="G1973" s="693" t="s">
        <v>78</v>
      </c>
      <c r="H1973" s="844" t="s">
        <v>530</v>
      </c>
      <c r="I1973" s="747">
        <f>VLOOKUP(H1968,'CNKT '!$D$113:$AA$178,8,0)</f>
        <v>1226.4259954219522</v>
      </c>
      <c r="J1973" s="697">
        <f>IF(I1969="A",6.1,IF(I1969="B",5.8,IF(I1969="C",5.5,IF(I1969="C.",5.5,IF(I1969="D",5.2)))))*$B$2</f>
        <v>0</v>
      </c>
      <c r="K1973" s="695">
        <f t="shared" si="230"/>
        <v>0</v>
      </c>
      <c r="L1973" s="707"/>
      <c r="M1973" s="703"/>
    </row>
    <row r="1974" spans="1:13" s="27" customFormat="1" ht="17.25" customHeight="1">
      <c r="A1974" s="693" t="s">
        <v>493</v>
      </c>
      <c r="B1974" s="844" t="s">
        <v>531</v>
      </c>
      <c r="C1974" s="747">
        <f>VLOOKUP(B1968,'CNKT '!$D$99:$AA$178,13,0)</f>
        <v>0</v>
      </c>
      <c r="D1974" s="698">
        <f>92.2*$B$2</f>
        <v>61667.048000000003</v>
      </c>
      <c r="E1974" s="695">
        <f t="shared" si="229"/>
        <v>0</v>
      </c>
      <c r="F1974" s="750"/>
      <c r="G1974" s="693" t="s">
        <v>493</v>
      </c>
      <c r="H1974" s="844" t="s">
        <v>531</v>
      </c>
      <c r="I1974" s="747">
        <f>VLOOKUP(H1968,'CNKT '!$D$99:$AA$178,13,0)</f>
        <v>0</v>
      </c>
      <c r="J1974" s="698">
        <f>92.2*$B$2</f>
        <v>61667.048000000003</v>
      </c>
      <c r="K1974" s="695">
        <f t="shared" si="230"/>
        <v>0</v>
      </c>
      <c r="L1974" s="707"/>
      <c r="M1974" s="703"/>
    </row>
    <row r="1975" spans="1:13" s="27" customFormat="1" ht="17.25" customHeight="1">
      <c r="A1975" s="693" t="s">
        <v>448</v>
      </c>
      <c r="B1975" s="844" t="s">
        <v>496</v>
      </c>
      <c r="C1975" s="747">
        <f>VLOOKUP(B1968,'CNKT '!$D$113:$AA$178,14,0)</f>
        <v>0</v>
      </c>
      <c r="D1975" s="697">
        <f>153.6*$B$2</f>
        <v>102733.82400000001</v>
      </c>
      <c r="E1975" s="695">
        <f t="shared" si="229"/>
        <v>0</v>
      </c>
      <c r="F1975" s="750"/>
      <c r="G1975" s="693" t="s">
        <v>448</v>
      </c>
      <c r="H1975" s="844" t="s">
        <v>496</v>
      </c>
      <c r="I1975" s="747">
        <f>VLOOKUP(H1968,'CNKT '!$D$113:$AA$178,14,0)</f>
        <v>0</v>
      </c>
      <c r="J1975" s="697">
        <f>153.6*$B$2</f>
        <v>102733.82400000001</v>
      </c>
      <c r="K1975" s="695">
        <f t="shared" si="230"/>
        <v>0</v>
      </c>
      <c r="L1975" s="707"/>
      <c r="M1975" s="703"/>
    </row>
    <row r="1976" spans="1:13" s="27" customFormat="1" ht="17.25" customHeight="1">
      <c r="A1976" s="693" t="s">
        <v>453</v>
      </c>
      <c r="B1976" s="844" t="s">
        <v>497</v>
      </c>
      <c r="C1976" s="747">
        <f>VLOOKUP(B1968,'CNKT '!$D$114:$AA$178,18,0)</f>
        <v>0</v>
      </c>
      <c r="D1976" s="697">
        <v>10000</v>
      </c>
      <c r="E1976" s="695">
        <f>C1976*D1976</f>
        <v>0</v>
      </c>
      <c r="F1976" s="750"/>
      <c r="G1976" s="693" t="s">
        <v>453</v>
      </c>
      <c r="H1976" s="844" t="s">
        <v>497</v>
      </c>
      <c r="I1976" s="747">
        <f>VLOOKUP(H1968,'CNKT '!$D$114:$AA$178,18,0)</f>
        <v>0</v>
      </c>
      <c r="J1976" s="697">
        <v>10000</v>
      </c>
      <c r="K1976" s="695">
        <f>I1976*J1976</f>
        <v>0</v>
      </c>
      <c r="L1976" s="707"/>
      <c r="M1976" s="703"/>
    </row>
    <row r="1977" spans="1:13" s="27" customFormat="1" ht="17.25" customHeight="1">
      <c r="A1977" s="693" t="s">
        <v>453</v>
      </c>
      <c r="B1977" s="844" t="s">
        <v>497</v>
      </c>
      <c r="C1977" s="747">
        <f>VLOOKUP(B1968,'CNKT '!$D$114:$AA$178,19,0)</f>
        <v>0</v>
      </c>
      <c r="D1977" s="697">
        <v>20000</v>
      </c>
      <c r="E1977" s="695">
        <f>C1977*D1977</f>
        <v>0</v>
      </c>
      <c r="F1977" s="750"/>
      <c r="G1977" s="693" t="s">
        <v>453</v>
      </c>
      <c r="H1977" s="844" t="s">
        <v>497</v>
      </c>
      <c r="I1977" s="747">
        <f>VLOOKUP(H1968,'CNKT '!$D$114:$AA$178,19,0)</f>
        <v>0</v>
      </c>
      <c r="J1977" s="697">
        <v>20000</v>
      </c>
      <c r="K1977" s="695">
        <f>I1977*J1977</f>
        <v>0</v>
      </c>
      <c r="L1977" s="707"/>
      <c r="M1977" s="703"/>
    </row>
    <row r="1978" spans="1:13" s="27" customFormat="1" ht="17.25" customHeight="1">
      <c r="A1978" s="693" t="s">
        <v>512</v>
      </c>
      <c r="B1978" s="844" t="s">
        <v>513</v>
      </c>
      <c r="C1978" s="747"/>
      <c r="D1978" s="697"/>
      <c r="E1978" s="695"/>
      <c r="F1978" s="750"/>
      <c r="G1978" s="693" t="s">
        <v>512</v>
      </c>
      <c r="H1978" s="844" t="s">
        <v>513</v>
      </c>
      <c r="I1978" s="747"/>
      <c r="J1978" s="697"/>
      <c r="K1978" s="695"/>
      <c r="L1978" s="707"/>
      <c r="M1978" s="703"/>
    </row>
    <row r="1979" spans="1:13" s="27" customFormat="1" ht="17.25" customHeight="1">
      <c r="A1979" s="699" t="s">
        <v>79</v>
      </c>
      <c r="B1979" s="845" t="s">
        <v>532</v>
      </c>
      <c r="C1979" s="700"/>
      <c r="D1979" s="701"/>
      <c r="E1979" s="700"/>
      <c r="F1979" s="750"/>
      <c r="G1979" s="699" t="s">
        <v>79</v>
      </c>
      <c r="H1979" s="845" t="s">
        <v>532</v>
      </c>
      <c r="I1979" s="700"/>
      <c r="J1979" s="701"/>
      <c r="K1979" s="700"/>
      <c r="L1979" s="707"/>
      <c r="M1979" s="703"/>
    </row>
    <row r="1980" spans="1:13" s="27" customFormat="1" ht="17.25" customHeight="1">
      <c r="A1980" s="702" t="s">
        <v>80</v>
      </c>
      <c r="B1980" s="846" t="s">
        <v>533</v>
      </c>
      <c r="C1980" s="700"/>
      <c r="D1980" s="700"/>
      <c r="E1980" s="700"/>
      <c r="F1980" s="750"/>
      <c r="G1980" s="702" t="s">
        <v>80</v>
      </c>
      <c r="H1980" s="846" t="s">
        <v>533</v>
      </c>
      <c r="I1980" s="700"/>
      <c r="J1980" s="700"/>
      <c r="K1980" s="700"/>
      <c r="L1980" s="707"/>
      <c r="M1980" s="703"/>
    </row>
    <row r="1981" spans="1:13" s="27" customFormat="1" ht="17.25" customHeight="1">
      <c r="A1981" s="702" t="s">
        <v>81</v>
      </c>
      <c r="B1981" s="847" t="s">
        <v>534</v>
      </c>
      <c r="C1981" s="700"/>
      <c r="D1981" s="700"/>
      <c r="E1981" s="695">
        <f>SUM(E1980)</f>
        <v>0</v>
      </c>
      <c r="F1981" s="750"/>
      <c r="G1981" s="702" t="s">
        <v>81</v>
      </c>
      <c r="H1981" s="847" t="s">
        <v>534</v>
      </c>
      <c r="I1981" s="700"/>
      <c r="J1981" s="700"/>
      <c r="K1981" s="695">
        <f>SUM(K1980)</f>
        <v>0</v>
      </c>
      <c r="L1981" s="707"/>
      <c r="M1981" s="703"/>
    </row>
    <row r="1982" spans="1:13" s="27" customFormat="1" ht="17.25" customHeight="1">
      <c r="A1982" s="704" t="s">
        <v>82</v>
      </c>
      <c r="B1982" s="848" t="s">
        <v>438</v>
      </c>
      <c r="C1982" s="705"/>
      <c r="D1982" s="705"/>
      <c r="E1982" s="705">
        <f>(E1970+E1971+E1972+E1973+E1974+E1975+E1976+E1977+E1978)-E1981</f>
        <v>1028007.0800000001</v>
      </c>
      <c r="F1982" s="750"/>
      <c r="G1982" s="704" t="s">
        <v>82</v>
      </c>
      <c r="H1982" s="848" t="s">
        <v>438</v>
      </c>
      <c r="I1982" s="705"/>
      <c r="J1982" s="705"/>
      <c r="K1982" s="705">
        <f>(K1970+K1971+K1972+K1973+K1974+K1975+K1976+K1977+K1978)-K1981</f>
        <v>1028007.0800000001</v>
      </c>
      <c r="L1982" s="707">
        <f>E1982+K1982</f>
        <v>2056014.1600000001</v>
      </c>
      <c r="M1982" s="703"/>
    </row>
    <row r="1983" spans="1:13" s="27" customFormat="1" ht="66.75" customHeight="1">
      <c r="A1983" s="763"/>
      <c r="B1983" s="763"/>
      <c r="C1983" s="763"/>
      <c r="D1983" s="763"/>
      <c r="E1983" s="763"/>
      <c r="F1983" s="763"/>
      <c r="G1983" s="763"/>
      <c r="H1983" s="763"/>
      <c r="I1983" s="763"/>
      <c r="J1983" s="763"/>
      <c r="K1983" s="763"/>
      <c r="L1983" s="707"/>
      <c r="M1983" s="703"/>
    </row>
    <row r="1984" spans="1:13" s="27" customFormat="1" ht="17.25" customHeight="1">
      <c r="A1984" s="759" t="str">
        <f>A1967</f>
        <v>LƯƠNG THÁNG 01/2025</v>
      </c>
      <c r="B1984" s="763"/>
      <c r="C1984" s="763"/>
      <c r="D1984" s="763"/>
      <c r="E1984" s="769">
        <f>VLOOKUP(B1985,'CNKT '!$D$114:$AD$178,26,0)</f>
        <v>0</v>
      </c>
      <c r="F1984" s="750"/>
      <c r="G1984" s="759" t="str">
        <f>A1984</f>
        <v>LƯƠNG THÁNG 01/2025</v>
      </c>
      <c r="H1984" s="763"/>
      <c r="I1984" s="763"/>
      <c r="J1984" s="766"/>
      <c r="K1984" s="769">
        <f>VLOOKUP(H1985,'CNKT '!$D$114:$AD$178,26,0)</f>
        <v>0</v>
      </c>
      <c r="L1984" s="707"/>
      <c r="M1984" s="703"/>
    </row>
    <row r="1985" spans="1:13" s="27" customFormat="1" ht="17.25" customHeight="1">
      <c r="A1985" s="709" t="s">
        <v>15</v>
      </c>
      <c r="B1985" s="840" t="str">
        <f>'CNKT '!D172</f>
        <v>T. Thong</v>
      </c>
      <c r="C1985" s="694"/>
      <c r="D1985" s="840" t="s">
        <v>396</v>
      </c>
      <c r="E1985" s="840" t="s">
        <v>18</v>
      </c>
      <c r="F1985" s="750"/>
      <c r="G1985" s="709" t="s">
        <v>15</v>
      </c>
      <c r="H1985" s="840" t="str">
        <f>'CNKT '!D173</f>
        <v>T. Khách</v>
      </c>
      <c r="I1985" s="694"/>
      <c r="J1985" s="840" t="s">
        <v>396</v>
      </c>
      <c r="K1985" s="840" t="s">
        <v>18</v>
      </c>
      <c r="L1985" s="707"/>
      <c r="M1985" s="703"/>
    </row>
    <row r="1986" spans="1:13" s="27" customFormat="1" ht="17.25" customHeight="1">
      <c r="A1986" s="693" t="s">
        <v>397</v>
      </c>
      <c r="B1986" s="842" t="s">
        <v>527</v>
      </c>
      <c r="C1986" s="694">
        <f>VLOOKUP(B1985,'BTH mủ tạp'!$D$98:$AN$160,36,0)</f>
        <v>735.57854318794023</v>
      </c>
      <c r="D1986" s="695"/>
      <c r="E1986" s="695"/>
      <c r="F1986" s="750"/>
      <c r="G1986" s="693" t="s">
        <v>397</v>
      </c>
      <c r="H1986" s="842" t="s">
        <v>527</v>
      </c>
      <c r="I1986" s="694">
        <f>VLOOKUP(H1985,'BTH mủ tạp'!$D$98:$AN$160,36,0)</f>
        <v>608.5954299571282</v>
      </c>
      <c r="J1986" s="695"/>
      <c r="K1986" s="695"/>
      <c r="L1986" s="707"/>
      <c r="M1986" s="703"/>
    </row>
    <row r="1987" spans="1:13" s="27" customFormat="1" ht="17.25" customHeight="1">
      <c r="A1987" s="693" t="s">
        <v>77</v>
      </c>
      <c r="B1987" s="843" t="s">
        <v>432</v>
      </c>
      <c r="C1987" s="696">
        <f>VLOOKUP(B1985,'CNKT '!$D$113:$AA$178,3,0)</f>
        <v>0</v>
      </c>
      <c r="D1987" s="697">
        <v>25000</v>
      </c>
      <c r="E1987" s="695">
        <f t="shared" ref="E1987:E1992" si="231">C1987*D1987</f>
        <v>0</v>
      </c>
      <c r="F1987" s="750"/>
      <c r="G1987" s="693" t="s">
        <v>77</v>
      </c>
      <c r="H1987" s="843" t="s">
        <v>432</v>
      </c>
      <c r="I1987" s="696">
        <f>VLOOKUP(H1985,'CNKT '!$D$113:$AA$178,3,0)</f>
        <v>0</v>
      </c>
      <c r="J1987" s="697">
        <v>25000</v>
      </c>
      <c r="K1987" s="695">
        <f t="shared" ref="K1987:K1992" si="232">I1987*J1987</f>
        <v>0</v>
      </c>
      <c r="L1987" s="707"/>
      <c r="M1987" s="703"/>
    </row>
    <row r="1988" spans="1:13" s="27" customFormat="1" ht="17.25" customHeight="1">
      <c r="A1988" s="693" t="s">
        <v>307</v>
      </c>
      <c r="B1988" s="844" t="s">
        <v>528</v>
      </c>
      <c r="C1988" s="747">
        <f>VLOOKUP(B1985,'CNKT '!$D$113:$AA$178,11,0)</f>
        <v>23</v>
      </c>
      <c r="D1988" s="698">
        <f>46.1*$B$2</f>
        <v>30833.524000000001</v>
      </c>
      <c r="E1988" s="695">
        <f t="shared" si="231"/>
        <v>709171.05200000003</v>
      </c>
      <c r="F1988" s="750"/>
      <c r="G1988" s="693" t="s">
        <v>307</v>
      </c>
      <c r="H1988" s="844" t="s">
        <v>528</v>
      </c>
      <c r="I1988" s="747">
        <f>VLOOKUP(H1985,'CNKT '!$D$113:$AA$178,11,0)</f>
        <v>22</v>
      </c>
      <c r="J1988" s="698">
        <f>46.1*$B$2</f>
        <v>30833.524000000001</v>
      </c>
      <c r="K1988" s="695">
        <f t="shared" si="232"/>
        <v>678337.52800000005</v>
      </c>
      <c r="L1988" s="707"/>
      <c r="M1988" s="703"/>
    </row>
    <row r="1989" spans="1:13" s="27" customFormat="1" ht="17.25" customHeight="1">
      <c r="A1989" s="693" t="s">
        <v>399</v>
      </c>
      <c r="B1989" s="844" t="s">
        <v>529</v>
      </c>
      <c r="C1989" s="747">
        <f>VLOOKUP(B1985,'CNKT '!$D$113:$AA$178,12,0)</f>
        <v>5</v>
      </c>
      <c r="D1989" s="697">
        <f>76.9*$B$2</f>
        <v>51433.796000000009</v>
      </c>
      <c r="E1989" s="695">
        <f t="shared" si="231"/>
        <v>257168.98000000004</v>
      </c>
      <c r="F1989" s="750"/>
      <c r="G1989" s="693" t="s">
        <v>399</v>
      </c>
      <c r="H1989" s="844" t="s">
        <v>529</v>
      </c>
      <c r="I1989" s="747">
        <f>VLOOKUP(H1985,'CNKT '!$D$113:$AA$178,12,0)</f>
        <v>5</v>
      </c>
      <c r="J1989" s="697">
        <f>76.9*$B$2</f>
        <v>51433.796000000009</v>
      </c>
      <c r="K1989" s="695">
        <f t="shared" si="232"/>
        <v>257168.98000000004</v>
      </c>
      <c r="L1989" s="707"/>
      <c r="M1989" s="703"/>
    </row>
    <row r="1990" spans="1:13" s="27" customFormat="1" ht="17.25" customHeight="1">
      <c r="A1990" s="693" t="s">
        <v>78</v>
      </c>
      <c r="B1990" s="844" t="s">
        <v>530</v>
      </c>
      <c r="C1990" s="747">
        <f>VLOOKUP(B1985,'CNKT '!$D$113:$AA$178,8,0)</f>
        <v>735.57854318794034</v>
      </c>
      <c r="D1990" s="697">
        <f>IF(C1986="A",6.1,IF(C1986="B",5.8,IF(C1986="C",5.5,IF(C1986="C.",5.5,IF(C1986="D",5.2)))))*$B$2</f>
        <v>0</v>
      </c>
      <c r="E1990" s="695">
        <f t="shared" si="231"/>
        <v>0</v>
      </c>
      <c r="F1990" s="750"/>
      <c r="G1990" s="693" t="s">
        <v>78</v>
      </c>
      <c r="H1990" s="844" t="s">
        <v>530</v>
      </c>
      <c r="I1990" s="747">
        <f>VLOOKUP(H1985,'CNKT '!$D$113:$AA$178,8,0)</f>
        <v>608.59542995712832</v>
      </c>
      <c r="J1990" s="697">
        <f>IF(I1986="A",6.1,IF(I1986="B",5.8,IF(I1986="C",5.5,IF(I1986="C.",5.5,IF(I1986="D",5.2)))))*$B$2</f>
        <v>0</v>
      </c>
      <c r="K1990" s="695">
        <f t="shared" si="232"/>
        <v>0</v>
      </c>
      <c r="L1990" s="707"/>
      <c r="M1990" s="703"/>
    </row>
    <row r="1991" spans="1:13" s="27" customFormat="1" ht="17.25" customHeight="1">
      <c r="A1991" s="693" t="s">
        <v>493</v>
      </c>
      <c r="B1991" s="844" t="s">
        <v>531</v>
      </c>
      <c r="C1991" s="747">
        <f>VLOOKUP(B1985,'CNKT '!$D$99:$AA$178,13,0)</f>
        <v>0</v>
      </c>
      <c r="D1991" s="698">
        <f>92.2*$B$2</f>
        <v>61667.048000000003</v>
      </c>
      <c r="E1991" s="695">
        <f t="shared" si="231"/>
        <v>0</v>
      </c>
      <c r="F1991" s="750"/>
      <c r="G1991" s="693" t="s">
        <v>493</v>
      </c>
      <c r="H1991" s="844" t="s">
        <v>531</v>
      </c>
      <c r="I1991" s="747">
        <f>VLOOKUP(H1985,'CNKT '!$D$99:$AA$178,13,0)</f>
        <v>0</v>
      </c>
      <c r="J1991" s="698">
        <f>92.2*$B$2</f>
        <v>61667.048000000003</v>
      </c>
      <c r="K1991" s="695">
        <f t="shared" si="232"/>
        <v>0</v>
      </c>
      <c r="L1991" s="707"/>
      <c r="M1991" s="703"/>
    </row>
    <row r="1992" spans="1:13" s="27" customFormat="1" ht="17.25" customHeight="1">
      <c r="A1992" s="693" t="s">
        <v>448</v>
      </c>
      <c r="B1992" s="844" t="s">
        <v>496</v>
      </c>
      <c r="C1992" s="747">
        <f>VLOOKUP(B1985,'CNKT '!$D$113:$AA$178,14,0)</f>
        <v>0</v>
      </c>
      <c r="D1992" s="697">
        <f>153.6*$B$2</f>
        <v>102733.82400000001</v>
      </c>
      <c r="E1992" s="695">
        <f t="shared" si="231"/>
        <v>0</v>
      </c>
      <c r="F1992" s="750"/>
      <c r="G1992" s="693" t="s">
        <v>448</v>
      </c>
      <c r="H1992" s="844" t="s">
        <v>496</v>
      </c>
      <c r="I1992" s="747">
        <f>VLOOKUP(H1985,'CNKT '!$D$113:$AA$178,14,0)</f>
        <v>0</v>
      </c>
      <c r="J1992" s="697">
        <f>153.6*$B$2</f>
        <v>102733.82400000001</v>
      </c>
      <c r="K1992" s="695">
        <f t="shared" si="232"/>
        <v>0</v>
      </c>
      <c r="L1992" s="707"/>
      <c r="M1992" s="703"/>
    </row>
    <row r="1993" spans="1:13" s="27" customFormat="1" ht="17.25" customHeight="1">
      <c r="A1993" s="693" t="s">
        <v>453</v>
      </c>
      <c r="B1993" s="844" t="s">
        <v>497</v>
      </c>
      <c r="C1993" s="747">
        <f>VLOOKUP(B1985,'CNKT '!$D$114:$AA$178,18,0)</f>
        <v>0</v>
      </c>
      <c r="D1993" s="697">
        <v>10000</v>
      </c>
      <c r="E1993" s="695">
        <f>C1993*D1993</f>
        <v>0</v>
      </c>
      <c r="F1993" s="750"/>
      <c r="G1993" s="693" t="s">
        <v>453</v>
      </c>
      <c r="H1993" s="844" t="s">
        <v>497</v>
      </c>
      <c r="I1993" s="747">
        <f>VLOOKUP(H1985,'CNKT '!$D$114:$AA$178,18,0)</f>
        <v>0</v>
      </c>
      <c r="J1993" s="697">
        <v>10000</v>
      </c>
      <c r="K1993" s="695">
        <f>I1993*J1993</f>
        <v>0</v>
      </c>
      <c r="L1993" s="707"/>
      <c r="M1993" s="703"/>
    </row>
    <row r="1994" spans="1:13" s="27" customFormat="1" ht="17.25" customHeight="1">
      <c r="A1994" s="693" t="s">
        <v>453</v>
      </c>
      <c r="B1994" s="844" t="s">
        <v>497</v>
      </c>
      <c r="C1994" s="747">
        <f>VLOOKUP(B1985,'CNKT '!$D$114:$AA$178,19,0)</f>
        <v>0</v>
      </c>
      <c r="D1994" s="697">
        <v>20000</v>
      </c>
      <c r="E1994" s="695">
        <f>C1994*D1994</f>
        <v>0</v>
      </c>
      <c r="F1994" s="750"/>
      <c r="G1994" s="693" t="s">
        <v>453</v>
      </c>
      <c r="H1994" s="844" t="s">
        <v>497</v>
      </c>
      <c r="I1994" s="747">
        <f>VLOOKUP(H1985,'CNKT '!$D$114:$AA$178,19,0)</f>
        <v>0</v>
      </c>
      <c r="J1994" s="697">
        <v>20000</v>
      </c>
      <c r="K1994" s="695">
        <f>I1994*J1994</f>
        <v>0</v>
      </c>
      <c r="L1994" s="707"/>
      <c r="M1994" s="703"/>
    </row>
    <row r="1995" spans="1:13" s="27" customFormat="1" ht="17.25" customHeight="1">
      <c r="A1995" s="693" t="s">
        <v>512</v>
      </c>
      <c r="B1995" s="844" t="s">
        <v>513</v>
      </c>
      <c r="C1995" s="747"/>
      <c r="D1995" s="697"/>
      <c r="E1995" s="695"/>
      <c r="F1995" s="750"/>
      <c r="G1995" s="693" t="s">
        <v>512</v>
      </c>
      <c r="H1995" s="844" t="s">
        <v>513</v>
      </c>
      <c r="I1995" s="747"/>
      <c r="J1995" s="697"/>
      <c r="K1995" s="695"/>
      <c r="L1995" s="707"/>
      <c r="M1995" s="703"/>
    </row>
    <row r="1996" spans="1:13" s="27" customFormat="1" ht="17.25" customHeight="1">
      <c r="A1996" s="699" t="s">
        <v>79</v>
      </c>
      <c r="B1996" s="845" t="s">
        <v>532</v>
      </c>
      <c r="C1996" s="700"/>
      <c r="D1996" s="701"/>
      <c r="E1996" s="700"/>
      <c r="F1996" s="750"/>
      <c r="G1996" s="699" t="s">
        <v>79</v>
      </c>
      <c r="H1996" s="845" t="s">
        <v>532</v>
      </c>
      <c r="I1996" s="700"/>
      <c r="J1996" s="701"/>
      <c r="K1996" s="700"/>
      <c r="L1996" s="707"/>
      <c r="M1996" s="703"/>
    </row>
    <row r="1997" spans="1:13" s="27" customFormat="1" ht="17.25" customHeight="1">
      <c r="A1997" s="702" t="s">
        <v>80</v>
      </c>
      <c r="B1997" s="846" t="s">
        <v>533</v>
      </c>
      <c r="C1997" s="700"/>
      <c r="D1997" s="700"/>
      <c r="E1997" s="700"/>
      <c r="F1997" s="750"/>
      <c r="G1997" s="702" t="s">
        <v>80</v>
      </c>
      <c r="H1997" s="846" t="s">
        <v>533</v>
      </c>
      <c r="I1997" s="700"/>
      <c r="J1997" s="700"/>
      <c r="K1997" s="700"/>
      <c r="L1997" s="707"/>
      <c r="M1997" s="703"/>
    </row>
    <row r="1998" spans="1:13" s="27" customFormat="1" ht="17.25" customHeight="1">
      <c r="A1998" s="702" t="s">
        <v>81</v>
      </c>
      <c r="B1998" s="847" t="s">
        <v>534</v>
      </c>
      <c r="C1998" s="700"/>
      <c r="D1998" s="700"/>
      <c r="E1998" s="695">
        <f>SUM(E1997)</f>
        <v>0</v>
      </c>
      <c r="F1998" s="750"/>
      <c r="G1998" s="702" t="s">
        <v>81</v>
      </c>
      <c r="H1998" s="847" t="s">
        <v>534</v>
      </c>
      <c r="I1998" s="700"/>
      <c r="J1998" s="700"/>
      <c r="K1998" s="695">
        <f>SUM(K1997)</f>
        <v>0</v>
      </c>
      <c r="L1998" s="707"/>
      <c r="M1998" s="703"/>
    </row>
    <row r="1999" spans="1:13" s="27" customFormat="1" ht="17.25" customHeight="1">
      <c r="A1999" s="704" t="s">
        <v>82</v>
      </c>
      <c r="B1999" s="848" t="s">
        <v>438</v>
      </c>
      <c r="C1999" s="705"/>
      <c r="D1999" s="705"/>
      <c r="E1999" s="705">
        <f>(E1987+E1988+E1989+E1990+E1991+E1992+E1993+E1994+E1995)-E1998</f>
        <v>966340.03200000012</v>
      </c>
      <c r="F1999" s="750"/>
      <c r="G1999" s="704" t="s">
        <v>82</v>
      </c>
      <c r="H1999" s="848" t="s">
        <v>438</v>
      </c>
      <c r="I1999" s="705"/>
      <c r="J1999" s="705"/>
      <c r="K1999" s="705">
        <f>(K1987+K1988+K1989+K1990+K1991+K1992+K1993+K1994+K1995)-K1998</f>
        <v>935506.50800000015</v>
      </c>
      <c r="L1999" s="707">
        <f>E1999+K1999</f>
        <v>1901846.5400000003</v>
      </c>
      <c r="M1999" s="703"/>
    </row>
    <row r="2000" spans="1:13" s="27" customFormat="1" ht="17.25" customHeight="1">
      <c r="A2000" s="763"/>
      <c r="B2000" s="763"/>
      <c r="C2000" s="763"/>
      <c r="D2000" s="763"/>
      <c r="E2000" s="763"/>
      <c r="F2000" s="763"/>
      <c r="G2000" s="763"/>
      <c r="H2000" s="763"/>
      <c r="I2000" s="763"/>
      <c r="J2000" s="763"/>
      <c r="K2000" s="763"/>
      <c r="L2000" s="707"/>
      <c r="M2000" s="703"/>
    </row>
    <row r="2001" spans="1:13" s="27" customFormat="1" ht="17.25" customHeight="1">
      <c r="A2001" s="759" t="str">
        <f>A1984</f>
        <v>LƯƠNG THÁNG 01/2025</v>
      </c>
      <c r="B2001" s="763"/>
      <c r="C2001" s="763"/>
      <c r="D2001" s="763"/>
      <c r="E2001" s="769">
        <f>VLOOKUP(B2002,'CNKT '!$D$114:$AD$178,26,0)</f>
        <v>0</v>
      </c>
      <c r="F2001" s="750"/>
      <c r="G2001" s="759" t="str">
        <f>A2001</f>
        <v>LƯƠNG THÁNG 01/2025</v>
      </c>
      <c r="H2001" s="763"/>
      <c r="I2001" s="763"/>
      <c r="J2001" s="766"/>
      <c r="K2001" s="769">
        <f>VLOOKUP(H2002,'CNKT '!$D$114:$AD$178,26,0)</f>
        <v>0</v>
      </c>
      <c r="L2001" s="707"/>
      <c r="M2001" s="703"/>
    </row>
    <row r="2002" spans="1:13" s="27" customFormat="1" ht="17.25" customHeight="1">
      <c r="A2002" s="709" t="s">
        <v>15</v>
      </c>
      <c r="B2002" s="840" t="str">
        <f>'CNKT '!D174</f>
        <v>Nang On Xi</v>
      </c>
      <c r="C2002" s="694"/>
      <c r="D2002" s="840" t="s">
        <v>396</v>
      </c>
      <c r="E2002" s="840" t="s">
        <v>18</v>
      </c>
      <c r="F2002" s="750"/>
      <c r="G2002" s="709" t="s">
        <v>15</v>
      </c>
      <c r="H2002" s="840" t="str">
        <f>'CNKT '!D175</f>
        <v>Thảo Túc</v>
      </c>
      <c r="I2002" s="694"/>
      <c r="J2002" s="840" t="s">
        <v>396</v>
      </c>
      <c r="K2002" s="840" t="s">
        <v>18</v>
      </c>
      <c r="L2002" s="707"/>
      <c r="M2002" s="703"/>
    </row>
    <row r="2003" spans="1:13" s="27" customFormat="1" ht="17.25" customHeight="1">
      <c r="A2003" s="693" t="s">
        <v>397</v>
      </c>
      <c r="B2003" s="842" t="s">
        <v>527</v>
      </c>
      <c r="C2003" s="694">
        <f>VLOOKUP(B2002,'BTH mủ tạp'!$D$98:$AN$160,36,0)</f>
        <v>239.65176642469618</v>
      </c>
      <c r="D2003" s="695"/>
      <c r="E2003" s="695"/>
      <c r="F2003" s="750"/>
      <c r="G2003" s="693" t="s">
        <v>397</v>
      </c>
      <c r="H2003" s="842" t="s">
        <v>527</v>
      </c>
      <c r="I2003" s="694">
        <f>VLOOKUP(H2002,'BTH mủ tạp'!$D$98:$AN$160,36,0)</f>
        <v>54.487299495402986</v>
      </c>
      <c r="J2003" s="695"/>
      <c r="K2003" s="695"/>
      <c r="L2003" s="707"/>
      <c r="M2003" s="703"/>
    </row>
    <row r="2004" spans="1:13" s="27" customFormat="1" ht="17.25" customHeight="1">
      <c r="A2004" s="693" t="s">
        <v>77</v>
      </c>
      <c r="B2004" s="843" t="s">
        <v>432</v>
      </c>
      <c r="C2004" s="696">
        <f>VLOOKUP(B2002,'CNKT '!$D$113:$AA$178,3,0)</f>
        <v>0</v>
      </c>
      <c r="D2004" s="697">
        <v>25000</v>
      </c>
      <c r="E2004" s="695">
        <f t="shared" ref="E2004:E2009" si="233">C2004*D2004</f>
        <v>0</v>
      </c>
      <c r="F2004" s="750"/>
      <c r="G2004" s="693" t="s">
        <v>77</v>
      </c>
      <c r="H2004" s="843" t="s">
        <v>432</v>
      </c>
      <c r="I2004" s="696">
        <f>VLOOKUP(H2002,'CNKT '!$D$113:$AA$178,3,0)</f>
        <v>0</v>
      </c>
      <c r="J2004" s="697">
        <v>25000</v>
      </c>
      <c r="K2004" s="695">
        <f t="shared" ref="K2004:K2009" si="234">I2004*J2004</f>
        <v>0</v>
      </c>
      <c r="L2004" s="707"/>
      <c r="M2004" s="703"/>
    </row>
    <row r="2005" spans="1:13" s="27" customFormat="1" ht="17.25" customHeight="1">
      <c r="A2005" s="693" t="s">
        <v>307</v>
      </c>
      <c r="B2005" s="844" t="s">
        <v>528</v>
      </c>
      <c r="C2005" s="747">
        <f>VLOOKUP(B2002,'CNKT '!$D$113:$AA$178,11,0)</f>
        <v>11</v>
      </c>
      <c r="D2005" s="698">
        <f>46.1*$B$2</f>
        <v>30833.524000000001</v>
      </c>
      <c r="E2005" s="695">
        <f t="shared" si="233"/>
        <v>339168.76400000002</v>
      </c>
      <c r="F2005" s="750"/>
      <c r="G2005" s="693" t="s">
        <v>307</v>
      </c>
      <c r="H2005" s="844" t="s">
        <v>528</v>
      </c>
      <c r="I2005" s="747">
        <f>VLOOKUP(H2002,'CNKT '!$D$113:$AA$178,11,0)</f>
        <v>2</v>
      </c>
      <c r="J2005" s="698">
        <f>46.1*$B$2</f>
        <v>30833.524000000001</v>
      </c>
      <c r="K2005" s="695">
        <f t="shared" si="234"/>
        <v>61667.048000000003</v>
      </c>
      <c r="L2005" s="707"/>
      <c r="M2005" s="703"/>
    </row>
    <row r="2006" spans="1:13" s="27" customFormat="1" ht="17.25" customHeight="1">
      <c r="A2006" s="693" t="s">
        <v>399</v>
      </c>
      <c r="B2006" s="844" t="s">
        <v>529</v>
      </c>
      <c r="C2006" s="747">
        <f>VLOOKUP(B2002,'CNKT '!$D$113:$AA$178,12,0)</f>
        <v>5</v>
      </c>
      <c r="D2006" s="697">
        <f>76.9*$B$2</f>
        <v>51433.796000000009</v>
      </c>
      <c r="E2006" s="695">
        <f t="shared" si="233"/>
        <v>257168.98000000004</v>
      </c>
      <c r="F2006" s="750"/>
      <c r="G2006" s="693" t="s">
        <v>399</v>
      </c>
      <c r="H2006" s="844" t="s">
        <v>529</v>
      </c>
      <c r="I2006" s="747">
        <f>VLOOKUP(H2002,'CNKT '!$D$113:$AA$178,12,0)</f>
        <v>2</v>
      </c>
      <c r="J2006" s="697">
        <f>76.9*$B$2</f>
        <v>51433.796000000009</v>
      </c>
      <c r="K2006" s="695">
        <f t="shared" si="234"/>
        <v>102867.59200000002</v>
      </c>
      <c r="L2006" s="707"/>
      <c r="M2006" s="703"/>
    </row>
    <row r="2007" spans="1:13" s="27" customFormat="1" ht="17.25" customHeight="1">
      <c r="A2007" s="693" t="s">
        <v>78</v>
      </c>
      <c r="B2007" s="844" t="s">
        <v>530</v>
      </c>
      <c r="C2007" s="747">
        <f>VLOOKUP(B2002,'CNKT '!$D$113:$AA$178,8,0)</f>
        <v>239.65176642469621</v>
      </c>
      <c r="D2007" s="697">
        <f>IF(C2003="A",6.1,IF(C2003="B",5.8,IF(C2003="C",5.5,IF(C2003="C.",5.5,IF(C2003="D",5.2)))))*$B$2</f>
        <v>0</v>
      </c>
      <c r="E2007" s="695">
        <f t="shared" si="233"/>
        <v>0</v>
      </c>
      <c r="F2007" s="750"/>
      <c r="G2007" s="693" t="s">
        <v>78</v>
      </c>
      <c r="H2007" s="844" t="s">
        <v>530</v>
      </c>
      <c r="I2007" s="747">
        <f>VLOOKUP(H2002,'CNKT '!$D$113:$AA$178,8,0)</f>
        <v>54.487299495402993</v>
      </c>
      <c r="J2007" s="697">
        <f>IF(I2003="A",6.1,IF(I2003="B",5.8,IF(I2003="C",5.5,IF(I2003="C.",5.5,IF(I2003="D",5.2)))))*$B$2</f>
        <v>0</v>
      </c>
      <c r="K2007" s="695">
        <f t="shared" si="234"/>
        <v>0</v>
      </c>
      <c r="L2007" s="707"/>
      <c r="M2007" s="703"/>
    </row>
    <row r="2008" spans="1:13" s="27" customFormat="1" ht="17.25" customHeight="1">
      <c r="A2008" s="693" t="s">
        <v>493</v>
      </c>
      <c r="B2008" s="844" t="s">
        <v>531</v>
      </c>
      <c r="C2008" s="747">
        <f>VLOOKUP(B2002,'CNKT '!$D$99:$AA$178,13,0)</f>
        <v>0</v>
      </c>
      <c r="D2008" s="698">
        <f>92.2*$B$2</f>
        <v>61667.048000000003</v>
      </c>
      <c r="E2008" s="695">
        <f t="shared" si="233"/>
        <v>0</v>
      </c>
      <c r="F2008" s="750"/>
      <c r="G2008" s="693" t="s">
        <v>493</v>
      </c>
      <c r="H2008" s="844" t="s">
        <v>531</v>
      </c>
      <c r="I2008" s="747">
        <f>VLOOKUP(H2002,'CNKT '!$D$99:$AA$178,13,0)</f>
        <v>0</v>
      </c>
      <c r="J2008" s="698">
        <f>92.2*$B$2</f>
        <v>61667.048000000003</v>
      </c>
      <c r="K2008" s="695">
        <f t="shared" si="234"/>
        <v>0</v>
      </c>
      <c r="L2008" s="707"/>
      <c r="M2008" s="703"/>
    </row>
    <row r="2009" spans="1:13" s="27" customFormat="1" ht="17.25" customHeight="1">
      <c r="A2009" s="693" t="s">
        <v>448</v>
      </c>
      <c r="B2009" s="844" t="s">
        <v>496</v>
      </c>
      <c r="C2009" s="747">
        <f>VLOOKUP(B2002,'CNKT '!$D$113:$AA$178,14,0)</f>
        <v>0</v>
      </c>
      <c r="D2009" s="697">
        <f>153.6*$B$2</f>
        <v>102733.82400000001</v>
      </c>
      <c r="E2009" s="695">
        <f t="shared" si="233"/>
        <v>0</v>
      </c>
      <c r="F2009" s="750"/>
      <c r="G2009" s="693" t="s">
        <v>448</v>
      </c>
      <c r="H2009" s="844" t="s">
        <v>496</v>
      </c>
      <c r="I2009" s="747">
        <f>VLOOKUP(H2002,'CNKT '!$D$113:$AA$178,14,0)</f>
        <v>0</v>
      </c>
      <c r="J2009" s="697">
        <f>153.6*$B$2</f>
        <v>102733.82400000001</v>
      </c>
      <c r="K2009" s="695">
        <f t="shared" si="234"/>
        <v>0</v>
      </c>
      <c r="L2009" s="707"/>
      <c r="M2009" s="703"/>
    </row>
    <row r="2010" spans="1:13" s="27" customFormat="1" ht="17.25" customHeight="1">
      <c r="A2010" s="693" t="s">
        <v>453</v>
      </c>
      <c r="B2010" s="844" t="s">
        <v>497</v>
      </c>
      <c r="C2010" s="747">
        <f>VLOOKUP(B2002,'CNKT '!$D$114:$AA$178,18,0)</f>
        <v>0</v>
      </c>
      <c r="D2010" s="697">
        <v>10000</v>
      </c>
      <c r="E2010" s="695">
        <f>C2010*D2010</f>
        <v>0</v>
      </c>
      <c r="F2010" s="750"/>
      <c r="G2010" s="693" t="s">
        <v>453</v>
      </c>
      <c r="H2010" s="844" t="s">
        <v>497</v>
      </c>
      <c r="I2010" s="747">
        <f>VLOOKUP(H2002,'CNKT '!$D$114:$AA$178,18,0)</f>
        <v>0</v>
      </c>
      <c r="J2010" s="697">
        <v>10000</v>
      </c>
      <c r="K2010" s="695">
        <f>I2010*J2010</f>
        <v>0</v>
      </c>
      <c r="L2010" s="707"/>
      <c r="M2010" s="703"/>
    </row>
    <row r="2011" spans="1:13" s="27" customFormat="1" ht="17.25" customHeight="1">
      <c r="A2011" s="693" t="s">
        <v>453</v>
      </c>
      <c r="B2011" s="844" t="s">
        <v>497</v>
      </c>
      <c r="C2011" s="747">
        <f>VLOOKUP(B2002,'CNKT '!$D$114:$AA$178,19,0)</f>
        <v>0</v>
      </c>
      <c r="D2011" s="697">
        <v>20000</v>
      </c>
      <c r="E2011" s="695">
        <f>C2011*D2011</f>
        <v>0</v>
      </c>
      <c r="F2011" s="750"/>
      <c r="G2011" s="693" t="s">
        <v>453</v>
      </c>
      <c r="H2011" s="844" t="s">
        <v>497</v>
      </c>
      <c r="I2011" s="747">
        <f>VLOOKUP(H2002,'CNKT '!$D$114:$AA$178,19,0)</f>
        <v>0</v>
      </c>
      <c r="J2011" s="697">
        <v>20000</v>
      </c>
      <c r="K2011" s="695">
        <f>I2011*J2011</f>
        <v>0</v>
      </c>
      <c r="L2011" s="707"/>
      <c r="M2011" s="703"/>
    </row>
    <row r="2012" spans="1:13" s="27" customFormat="1" ht="17.25" customHeight="1">
      <c r="A2012" s="693" t="s">
        <v>512</v>
      </c>
      <c r="B2012" s="844" t="s">
        <v>513</v>
      </c>
      <c r="C2012" s="747"/>
      <c r="D2012" s="697"/>
      <c r="E2012" s="695"/>
      <c r="F2012" s="750"/>
      <c r="G2012" s="693" t="s">
        <v>512</v>
      </c>
      <c r="H2012" s="844" t="s">
        <v>513</v>
      </c>
      <c r="I2012" s="747"/>
      <c r="J2012" s="697"/>
      <c r="K2012" s="695"/>
      <c r="L2012" s="707"/>
      <c r="M2012" s="703"/>
    </row>
    <row r="2013" spans="1:13" s="27" customFormat="1" ht="17.25" customHeight="1">
      <c r="A2013" s="699" t="s">
        <v>79</v>
      </c>
      <c r="B2013" s="845" t="s">
        <v>532</v>
      </c>
      <c r="C2013" s="700"/>
      <c r="D2013" s="701"/>
      <c r="E2013" s="700"/>
      <c r="F2013" s="750"/>
      <c r="G2013" s="699" t="s">
        <v>79</v>
      </c>
      <c r="H2013" s="845" t="s">
        <v>532</v>
      </c>
      <c r="I2013" s="700"/>
      <c r="J2013" s="701"/>
      <c r="K2013" s="700"/>
      <c r="L2013" s="707"/>
      <c r="M2013" s="703"/>
    </row>
    <row r="2014" spans="1:13" s="27" customFormat="1" ht="17.25" customHeight="1">
      <c r="A2014" s="702" t="s">
        <v>80</v>
      </c>
      <c r="B2014" s="846" t="s">
        <v>533</v>
      </c>
      <c r="C2014" s="700"/>
      <c r="D2014" s="700"/>
      <c r="E2014" s="700"/>
      <c r="F2014" s="750"/>
      <c r="G2014" s="702" t="s">
        <v>80</v>
      </c>
      <c r="H2014" s="846" t="s">
        <v>533</v>
      </c>
      <c r="I2014" s="700"/>
      <c r="J2014" s="700"/>
      <c r="K2014" s="700"/>
      <c r="L2014" s="707"/>
      <c r="M2014" s="703"/>
    </row>
    <row r="2015" spans="1:13" s="27" customFormat="1" ht="17.25" customHeight="1">
      <c r="A2015" s="702" t="s">
        <v>81</v>
      </c>
      <c r="B2015" s="847" t="s">
        <v>534</v>
      </c>
      <c r="C2015" s="700"/>
      <c r="D2015" s="700"/>
      <c r="E2015" s="695">
        <f>SUM(E2014)</f>
        <v>0</v>
      </c>
      <c r="F2015" s="750"/>
      <c r="G2015" s="702" t="s">
        <v>81</v>
      </c>
      <c r="H2015" s="847" t="s">
        <v>534</v>
      </c>
      <c r="I2015" s="700"/>
      <c r="J2015" s="700"/>
      <c r="K2015" s="695">
        <f>SUM(K2014)</f>
        <v>0</v>
      </c>
      <c r="L2015" s="707"/>
      <c r="M2015" s="703"/>
    </row>
    <row r="2016" spans="1:13" s="27" customFormat="1" ht="17.25" customHeight="1">
      <c r="A2016" s="704" t="s">
        <v>82</v>
      </c>
      <c r="B2016" s="848" t="s">
        <v>438</v>
      </c>
      <c r="C2016" s="705"/>
      <c r="D2016" s="705"/>
      <c r="E2016" s="705">
        <f>(E2004+E2005+E2006+E2007+E2008+E2009+E2010+E2011+E2012)-E2015</f>
        <v>596337.74400000006</v>
      </c>
      <c r="F2016" s="750"/>
      <c r="G2016" s="704" t="s">
        <v>82</v>
      </c>
      <c r="H2016" s="848" t="s">
        <v>438</v>
      </c>
      <c r="I2016" s="705"/>
      <c r="J2016" s="705"/>
      <c r="K2016" s="705">
        <f>(K2004+K2005+K2006+K2007+K2008+K2009+K2010+K2011+K2012)-K2015</f>
        <v>164534.64000000001</v>
      </c>
      <c r="L2016" s="707">
        <f>E2016+K2016</f>
        <v>760872.38400000008</v>
      </c>
      <c r="M2016" s="703"/>
    </row>
    <row r="2017" spans="1:13" s="27" customFormat="1" ht="17.25" customHeight="1">
      <c r="A2017" s="763"/>
      <c r="B2017" s="763"/>
      <c r="C2017" s="763"/>
      <c r="D2017" s="763"/>
      <c r="E2017" s="763"/>
      <c r="F2017" s="763"/>
      <c r="G2017" s="763"/>
      <c r="H2017" s="763"/>
      <c r="I2017" s="763"/>
      <c r="J2017" s="763"/>
      <c r="K2017" s="763"/>
      <c r="L2017" s="707"/>
      <c r="M2017" s="703"/>
    </row>
    <row r="2018" spans="1:13" s="27" customFormat="1" ht="17.25" customHeight="1">
      <c r="A2018" s="759" t="str">
        <f>A2001</f>
        <v>LƯƠNG THÁNG 01/2025</v>
      </c>
      <c r="B2018" s="763"/>
      <c r="C2018" s="763"/>
      <c r="D2018" s="763"/>
      <c r="E2018" s="769">
        <f>VLOOKUP(B2019,'CNKT '!$D$114:$AD$178,26,0)</f>
        <v>0</v>
      </c>
      <c r="F2018" s="750"/>
      <c r="G2018" s="759" t="str">
        <f>A2018</f>
        <v>LƯƠNG THÁNG 01/2025</v>
      </c>
      <c r="H2018" s="763"/>
      <c r="I2018" s="763"/>
      <c r="J2018" s="766"/>
      <c r="K2018" s="769">
        <f>VLOOKUP(H2019,'CNKT '!$D$114:$AD$178,26,0)</f>
        <v>0</v>
      </c>
      <c r="L2018" s="707"/>
      <c r="M2018" s="703"/>
    </row>
    <row r="2019" spans="1:13" s="27" customFormat="1" ht="17.25" customHeight="1">
      <c r="A2019" s="709" t="s">
        <v>15</v>
      </c>
      <c r="B2019" s="840" t="str">
        <f>'CNKT '!D177</f>
        <v>Mon (3)</v>
      </c>
      <c r="C2019" s="694"/>
      <c r="D2019" s="840" t="s">
        <v>396</v>
      </c>
      <c r="E2019" s="840" t="s">
        <v>18</v>
      </c>
      <c r="F2019" s="750"/>
      <c r="G2019" s="709" t="s">
        <v>15</v>
      </c>
      <c r="H2019" s="840" t="str">
        <f>'CNKT '!D178</f>
        <v>T. Huân</v>
      </c>
      <c r="I2019" s="694"/>
      <c r="J2019" s="840" t="s">
        <v>396</v>
      </c>
      <c r="K2019" s="840" t="s">
        <v>18</v>
      </c>
      <c r="L2019" s="707"/>
      <c r="M2019" s="703"/>
    </row>
    <row r="2020" spans="1:13" s="27" customFormat="1" ht="17.25" customHeight="1">
      <c r="A2020" s="693" t="s">
        <v>397</v>
      </c>
      <c r="B2020" s="842" t="s">
        <v>527</v>
      </c>
      <c r="C2020" s="694"/>
      <c r="D2020" s="695"/>
      <c r="E2020" s="695"/>
      <c r="F2020" s="750"/>
      <c r="G2020" s="693" t="s">
        <v>397</v>
      </c>
      <c r="H2020" s="842" t="s">
        <v>527</v>
      </c>
      <c r="I2020" s="694"/>
      <c r="J2020" s="695"/>
      <c r="K2020" s="695"/>
      <c r="L2020" s="707"/>
      <c r="M2020" s="703"/>
    </row>
    <row r="2021" spans="1:13" s="27" customFormat="1" ht="17.25" customHeight="1">
      <c r="A2021" s="693" t="s">
        <v>77</v>
      </c>
      <c r="B2021" s="843" t="s">
        <v>432</v>
      </c>
      <c r="C2021" s="696">
        <f>VLOOKUP(B2019,'CNKT '!$D$113:$AA$178,3,0)</f>
        <v>0</v>
      </c>
      <c r="D2021" s="697">
        <v>25000</v>
      </c>
      <c r="E2021" s="695">
        <f t="shared" ref="E2021:E2026" si="235">C2021*D2021</f>
        <v>0</v>
      </c>
      <c r="F2021" s="750"/>
      <c r="G2021" s="693" t="s">
        <v>77</v>
      </c>
      <c r="H2021" s="843" t="s">
        <v>432</v>
      </c>
      <c r="I2021" s="696">
        <f>VLOOKUP(H2019,'CNKT '!$D$113:$AA$178,3,0)</f>
        <v>0</v>
      </c>
      <c r="J2021" s="697">
        <v>25000</v>
      </c>
      <c r="K2021" s="695">
        <f t="shared" ref="K2021:K2026" si="236">I2021*J2021</f>
        <v>0</v>
      </c>
      <c r="L2021" s="707"/>
      <c r="M2021" s="703"/>
    </row>
    <row r="2022" spans="1:13" s="27" customFormat="1" ht="17.25" customHeight="1">
      <c r="A2022" s="693" t="s">
        <v>307</v>
      </c>
      <c r="B2022" s="844" t="s">
        <v>528</v>
      </c>
      <c r="C2022" s="747">
        <f>VLOOKUP(B2019,'CNKT '!$D$113:$AA$178,11,0)</f>
        <v>0</v>
      </c>
      <c r="D2022" s="698">
        <f>46.1*$B$2</f>
        <v>30833.524000000001</v>
      </c>
      <c r="E2022" s="695">
        <f t="shared" si="235"/>
        <v>0</v>
      </c>
      <c r="F2022" s="750"/>
      <c r="G2022" s="693" t="s">
        <v>307</v>
      </c>
      <c r="H2022" s="844" t="s">
        <v>528</v>
      </c>
      <c r="I2022" s="747">
        <f>VLOOKUP(H2019,'CNKT '!$D$113:$AA$178,11,0)</f>
        <v>0</v>
      </c>
      <c r="J2022" s="698">
        <f>46.1*$B$2</f>
        <v>30833.524000000001</v>
      </c>
      <c r="K2022" s="695">
        <f t="shared" si="236"/>
        <v>0</v>
      </c>
      <c r="L2022" s="707"/>
      <c r="M2022" s="703"/>
    </row>
    <row r="2023" spans="1:13" s="27" customFormat="1" ht="17.25" customHeight="1">
      <c r="A2023" s="693" t="s">
        <v>399</v>
      </c>
      <c r="B2023" s="844" t="s">
        <v>529</v>
      </c>
      <c r="C2023" s="747">
        <f>VLOOKUP(B2019,'CNKT '!$D$113:$AA$178,12,0)</f>
        <v>0</v>
      </c>
      <c r="D2023" s="697">
        <f>76.9*$B$2</f>
        <v>51433.796000000009</v>
      </c>
      <c r="E2023" s="695">
        <f t="shared" si="235"/>
        <v>0</v>
      </c>
      <c r="F2023" s="750"/>
      <c r="G2023" s="693" t="s">
        <v>399</v>
      </c>
      <c r="H2023" s="844" t="s">
        <v>529</v>
      </c>
      <c r="I2023" s="747">
        <f>VLOOKUP(H2019,'CNKT '!$D$113:$AA$178,12,0)</f>
        <v>0</v>
      </c>
      <c r="J2023" s="697">
        <f>76.9*$B$2</f>
        <v>51433.796000000009</v>
      </c>
      <c r="K2023" s="695">
        <f t="shared" si="236"/>
        <v>0</v>
      </c>
      <c r="L2023" s="707"/>
      <c r="M2023" s="703"/>
    </row>
    <row r="2024" spans="1:13" s="27" customFormat="1" ht="17.25" customHeight="1">
      <c r="A2024" s="693" t="s">
        <v>78</v>
      </c>
      <c r="B2024" s="844" t="s">
        <v>530</v>
      </c>
      <c r="C2024" s="747">
        <f>VLOOKUP(B2019,'CNKT '!$D$113:$AA$178,8,0)</f>
        <v>0</v>
      </c>
      <c r="D2024" s="697">
        <f>IF(C2020="A",6.1,IF(C2020="B",5.8,IF(C2020="C",5.5,IF(C2020="C.",5.5,IF(C2020="D",5.2)))))*$B$2</f>
        <v>0</v>
      </c>
      <c r="E2024" s="695">
        <f t="shared" si="235"/>
        <v>0</v>
      </c>
      <c r="F2024" s="750"/>
      <c r="G2024" s="693" t="s">
        <v>78</v>
      </c>
      <c r="H2024" s="844" t="s">
        <v>530</v>
      </c>
      <c r="I2024" s="747">
        <f>VLOOKUP(H2019,'CNKT '!$D$113:$AA$178,8,0)</f>
        <v>0</v>
      </c>
      <c r="J2024" s="697"/>
      <c r="K2024" s="695">
        <f t="shared" si="236"/>
        <v>0</v>
      </c>
      <c r="L2024" s="707"/>
      <c r="M2024" s="703"/>
    </row>
    <row r="2025" spans="1:13" s="27" customFormat="1" ht="17.25" customHeight="1">
      <c r="A2025" s="693" t="s">
        <v>493</v>
      </c>
      <c r="B2025" s="844" t="s">
        <v>531</v>
      </c>
      <c r="C2025" s="747">
        <f>VLOOKUP(B2019,'CNKT '!$D$99:$AA$178,13,0)</f>
        <v>0</v>
      </c>
      <c r="D2025" s="698">
        <f>92.2*$B$2</f>
        <v>61667.048000000003</v>
      </c>
      <c r="E2025" s="695">
        <f t="shared" si="235"/>
        <v>0</v>
      </c>
      <c r="F2025" s="750"/>
      <c r="G2025" s="693" t="s">
        <v>493</v>
      </c>
      <c r="H2025" s="844" t="s">
        <v>531</v>
      </c>
      <c r="I2025" s="747">
        <f>VLOOKUP(H2019,'CNKT '!$D$99:$AA$178,13,0)</f>
        <v>0</v>
      </c>
      <c r="J2025" s="698">
        <f>92.2*$B$2</f>
        <v>61667.048000000003</v>
      </c>
      <c r="K2025" s="695">
        <f t="shared" si="236"/>
        <v>0</v>
      </c>
      <c r="L2025" s="707"/>
      <c r="M2025" s="703"/>
    </row>
    <row r="2026" spans="1:13" s="27" customFormat="1" ht="17.25" customHeight="1">
      <c r="A2026" s="693" t="s">
        <v>448</v>
      </c>
      <c r="B2026" s="844" t="s">
        <v>496</v>
      </c>
      <c r="C2026" s="747">
        <f>VLOOKUP(B2019,'CNKT '!$D$113:$AA$178,14,0)</f>
        <v>0</v>
      </c>
      <c r="D2026" s="697">
        <f>153.6*$B$2</f>
        <v>102733.82400000001</v>
      </c>
      <c r="E2026" s="695">
        <f t="shared" si="235"/>
        <v>0</v>
      </c>
      <c r="F2026" s="750"/>
      <c r="G2026" s="693" t="s">
        <v>448</v>
      </c>
      <c r="H2026" s="844" t="s">
        <v>496</v>
      </c>
      <c r="I2026" s="747">
        <f>VLOOKUP(H2019,'CNKT '!$D$113:$AA$178,14,0)</f>
        <v>0</v>
      </c>
      <c r="J2026" s="697">
        <f>153.6*$B$2</f>
        <v>102733.82400000001</v>
      </c>
      <c r="K2026" s="695">
        <f t="shared" si="236"/>
        <v>0</v>
      </c>
      <c r="L2026" s="707"/>
      <c r="M2026" s="703"/>
    </row>
    <row r="2027" spans="1:13" s="27" customFormat="1" ht="17.25" customHeight="1">
      <c r="A2027" s="693" t="s">
        <v>453</v>
      </c>
      <c r="B2027" s="844" t="s">
        <v>497</v>
      </c>
      <c r="C2027" s="747">
        <f>VLOOKUP(B2019,'CNKT '!$D$114:$AA$178,18,0)</f>
        <v>0</v>
      </c>
      <c r="D2027" s="697">
        <v>10000</v>
      </c>
      <c r="E2027" s="695">
        <f>C2027*D2027</f>
        <v>0</v>
      </c>
      <c r="F2027" s="750"/>
      <c r="G2027" s="693" t="s">
        <v>453</v>
      </c>
      <c r="H2027" s="844" t="s">
        <v>497</v>
      </c>
      <c r="I2027" s="747">
        <f>VLOOKUP(H2019,'CNKT '!$D$114:$AA$178,18,0)</f>
        <v>0</v>
      </c>
      <c r="J2027" s="697">
        <v>10000</v>
      </c>
      <c r="K2027" s="695">
        <f>I2027*J2027</f>
        <v>0</v>
      </c>
      <c r="L2027" s="707"/>
      <c r="M2027" s="703"/>
    </row>
    <row r="2028" spans="1:13" s="27" customFormat="1" ht="17.25" customHeight="1">
      <c r="A2028" s="693" t="s">
        <v>453</v>
      </c>
      <c r="B2028" s="844" t="s">
        <v>497</v>
      </c>
      <c r="C2028" s="747">
        <f>VLOOKUP(B2019,'CNKT '!$D$114:$AA$178,19,0)</f>
        <v>0</v>
      </c>
      <c r="D2028" s="697">
        <v>20000</v>
      </c>
      <c r="E2028" s="695">
        <f>C2028*D2028</f>
        <v>0</v>
      </c>
      <c r="F2028" s="750"/>
      <c r="G2028" s="693" t="s">
        <v>453</v>
      </c>
      <c r="H2028" s="844" t="s">
        <v>497</v>
      </c>
      <c r="I2028" s="747">
        <f>VLOOKUP(H2019,'CNKT '!$D$114:$AA$178,19,0)</f>
        <v>0</v>
      </c>
      <c r="J2028" s="697">
        <v>20000</v>
      </c>
      <c r="K2028" s="695">
        <f>I2028*J2028</f>
        <v>0</v>
      </c>
      <c r="L2028" s="707"/>
      <c r="M2028" s="703"/>
    </row>
    <row r="2029" spans="1:13" s="27" customFormat="1" ht="17.25" customHeight="1">
      <c r="A2029" s="693" t="s">
        <v>512</v>
      </c>
      <c r="B2029" s="844" t="s">
        <v>513</v>
      </c>
      <c r="C2029" s="747"/>
      <c r="D2029" s="697"/>
      <c r="E2029" s="695"/>
      <c r="F2029" s="750"/>
      <c r="G2029" s="693" t="s">
        <v>512</v>
      </c>
      <c r="H2029" s="844" t="s">
        <v>513</v>
      </c>
      <c r="I2029" s="747"/>
      <c r="J2029" s="697"/>
      <c r="K2029" s="695"/>
      <c r="L2029" s="707"/>
      <c r="M2029" s="703"/>
    </row>
    <row r="2030" spans="1:13" s="27" customFormat="1" ht="17.25" customHeight="1">
      <c r="A2030" s="699" t="s">
        <v>79</v>
      </c>
      <c r="B2030" s="845" t="s">
        <v>532</v>
      </c>
      <c r="C2030" s="700"/>
      <c r="D2030" s="701"/>
      <c r="E2030" s="700"/>
      <c r="F2030" s="750"/>
      <c r="G2030" s="699" t="s">
        <v>79</v>
      </c>
      <c r="H2030" s="845" t="s">
        <v>532</v>
      </c>
      <c r="I2030" s="700"/>
      <c r="J2030" s="701"/>
      <c r="K2030" s="700"/>
      <c r="L2030" s="707"/>
      <c r="M2030" s="703"/>
    </row>
    <row r="2031" spans="1:13" s="27" customFormat="1" ht="17.25" customHeight="1">
      <c r="A2031" s="702" t="s">
        <v>80</v>
      </c>
      <c r="B2031" s="846" t="s">
        <v>533</v>
      </c>
      <c r="C2031" s="700"/>
      <c r="D2031" s="700"/>
      <c r="E2031" s="700"/>
      <c r="F2031" s="750"/>
      <c r="G2031" s="702" t="s">
        <v>80</v>
      </c>
      <c r="H2031" s="846" t="s">
        <v>533</v>
      </c>
      <c r="I2031" s="700"/>
      <c r="J2031" s="700"/>
      <c r="K2031" s="700"/>
      <c r="L2031" s="707"/>
      <c r="M2031" s="703"/>
    </row>
    <row r="2032" spans="1:13" s="27" customFormat="1" ht="17.25" customHeight="1">
      <c r="A2032" s="702" t="s">
        <v>81</v>
      </c>
      <c r="B2032" s="847" t="s">
        <v>534</v>
      </c>
      <c r="C2032" s="700"/>
      <c r="D2032" s="700"/>
      <c r="E2032" s="695">
        <f>SUM(E2031)</f>
        <v>0</v>
      </c>
      <c r="F2032" s="750"/>
      <c r="G2032" s="702" t="s">
        <v>81</v>
      </c>
      <c r="H2032" s="847" t="s">
        <v>534</v>
      </c>
      <c r="I2032" s="700"/>
      <c r="J2032" s="700"/>
      <c r="K2032" s="695">
        <f>SUM(K2031)</f>
        <v>0</v>
      </c>
      <c r="L2032" s="707"/>
      <c r="M2032" s="703"/>
    </row>
    <row r="2033" spans="1:14" s="27" customFormat="1" ht="17.25" customHeight="1">
      <c r="A2033" s="704" t="s">
        <v>82</v>
      </c>
      <c r="B2033" s="848" t="s">
        <v>438</v>
      </c>
      <c r="C2033" s="705"/>
      <c r="D2033" s="705"/>
      <c r="E2033" s="705">
        <f>(E2021+E2022+E2023+E2024+E2025+E2026+E2027+E2028+E2029)-E2032</f>
        <v>0</v>
      </c>
      <c r="F2033" s="750"/>
      <c r="G2033" s="704" t="s">
        <v>82</v>
      </c>
      <c r="H2033" s="848" t="s">
        <v>438</v>
      </c>
      <c r="I2033" s="705"/>
      <c r="J2033" s="705"/>
      <c r="K2033" s="705">
        <f>(K2021+K2022+K2023+K2024+K2025+K2026+K2027+K2028+K2029)-K2032</f>
        <v>0</v>
      </c>
      <c r="L2033" s="707">
        <f>E2033+K2033</f>
        <v>0</v>
      </c>
      <c r="M2033" s="703"/>
    </row>
    <row r="2034" spans="1:14" s="27" customFormat="1" ht="222" customHeight="1">
      <c r="A2034" s="763"/>
      <c r="B2034" s="763"/>
      <c r="C2034" s="763"/>
      <c r="D2034" s="763"/>
      <c r="E2034" s="763"/>
      <c r="F2034" s="763"/>
      <c r="G2034" s="763"/>
      <c r="H2034" s="763"/>
      <c r="I2034" s="763"/>
      <c r="J2034" s="763"/>
      <c r="K2034" s="763"/>
      <c r="L2034" s="707"/>
      <c r="M2034" s="703"/>
    </row>
    <row r="2035" spans="1:14" s="27" customFormat="1" ht="17.25" customHeight="1">
      <c r="A2035" s="759" t="str">
        <f>A2018</f>
        <v>LƯƠNG THÁNG 01/2025</v>
      </c>
      <c r="B2035" s="763"/>
      <c r="C2035" s="763"/>
      <c r="D2035" s="763"/>
      <c r="E2035" s="769">
        <f>VLOOKUP(B2036,'CNKT '!$D$114:$AD$178,26,0)</f>
        <v>0</v>
      </c>
      <c r="F2035" s="750"/>
      <c r="G2035" s="759" t="str">
        <f>A2035</f>
        <v>LƯƠNG THÁNG 01/2025</v>
      </c>
      <c r="H2035" s="763"/>
      <c r="I2035" s="763"/>
      <c r="J2035" s="766"/>
      <c r="K2035" s="750"/>
      <c r="L2035" s="707"/>
      <c r="M2035" s="703"/>
    </row>
    <row r="2036" spans="1:14" s="27" customFormat="1" ht="17.25" customHeight="1">
      <c r="A2036" s="709" t="s">
        <v>15</v>
      </c>
      <c r="B2036" s="840" t="str">
        <f>'CNKT '!D176</f>
        <v>Mủ Xi Rum</v>
      </c>
      <c r="C2036" s="694"/>
      <c r="D2036" s="840" t="s">
        <v>396</v>
      </c>
      <c r="E2036" s="840" t="s">
        <v>18</v>
      </c>
      <c r="F2036" s="750"/>
      <c r="G2036" s="709" t="s">
        <v>15</v>
      </c>
      <c r="H2036" s="840" t="e">
        <f>'CNKT '!#REF!</f>
        <v>#REF!</v>
      </c>
      <c r="I2036" s="694"/>
      <c r="J2036" s="840" t="s">
        <v>396</v>
      </c>
      <c r="K2036" s="840" t="s">
        <v>18</v>
      </c>
      <c r="L2036" s="707"/>
      <c r="M2036" s="703"/>
    </row>
    <row r="2037" spans="1:14" s="27" customFormat="1" ht="17.25" customHeight="1">
      <c r="A2037" s="693" t="s">
        <v>397</v>
      </c>
      <c r="B2037" s="842" t="s">
        <v>527</v>
      </c>
      <c r="C2037" s="694" t="s">
        <v>38</v>
      </c>
      <c r="D2037" s="695"/>
      <c r="E2037" s="695"/>
      <c r="F2037" s="750"/>
      <c r="G2037" s="693" t="s">
        <v>397</v>
      </c>
      <c r="H2037" s="842" t="s">
        <v>527</v>
      </c>
      <c r="I2037" s="694"/>
      <c r="J2037" s="695"/>
      <c r="K2037" s="695"/>
      <c r="L2037" s="707"/>
      <c r="M2037" s="703"/>
    </row>
    <row r="2038" spans="1:14" s="27" customFormat="1" ht="17.25" customHeight="1">
      <c r="A2038" s="693" t="s">
        <v>77</v>
      </c>
      <c r="B2038" s="843" t="s">
        <v>432</v>
      </c>
      <c r="C2038" s="696">
        <f>VLOOKUP(B2036,'CNKT '!$D$113:$AA$178,3,0)</f>
        <v>0</v>
      </c>
      <c r="D2038" s="697">
        <v>25000</v>
      </c>
      <c r="E2038" s="695">
        <f t="shared" ref="E2038:E2043" si="237">C2038*D2038</f>
        <v>0</v>
      </c>
      <c r="F2038" s="750"/>
      <c r="G2038" s="693" t="s">
        <v>77</v>
      </c>
      <c r="H2038" s="843" t="s">
        <v>432</v>
      </c>
      <c r="I2038" s="696" t="e">
        <f>VLOOKUP(H2036,'CNKT '!$D$113:$AA$178,3,0)</f>
        <v>#REF!</v>
      </c>
      <c r="J2038" s="697">
        <v>25000</v>
      </c>
      <c r="K2038" s="695" t="e">
        <f t="shared" ref="K2038:K2043" si="238">I2038*J2038</f>
        <v>#REF!</v>
      </c>
      <c r="L2038" s="707"/>
      <c r="M2038" s="703"/>
    </row>
    <row r="2039" spans="1:14" s="27" customFormat="1" ht="17.25" customHeight="1">
      <c r="A2039" s="693" t="s">
        <v>307</v>
      </c>
      <c r="B2039" s="844" t="s">
        <v>528</v>
      </c>
      <c r="C2039" s="747">
        <f>VLOOKUP(B2036,'CNKT '!$D$113:$AA$178,11,0)</f>
        <v>0</v>
      </c>
      <c r="D2039" s="698">
        <f>46.1*$B$2</f>
        <v>30833.524000000001</v>
      </c>
      <c r="E2039" s="695">
        <f t="shared" si="237"/>
        <v>0</v>
      </c>
      <c r="F2039" s="750"/>
      <c r="G2039" s="693" t="s">
        <v>307</v>
      </c>
      <c r="H2039" s="844" t="s">
        <v>528</v>
      </c>
      <c r="I2039" s="747" t="e">
        <f>VLOOKUP(H2036,'CNKT '!$D$113:$AA$178,11,0)</f>
        <v>#REF!</v>
      </c>
      <c r="J2039" s="698">
        <f>46.1*$B$2</f>
        <v>30833.524000000001</v>
      </c>
      <c r="K2039" s="695" t="e">
        <f t="shared" si="238"/>
        <v>#REF!</v>
      </c>
      <c r="L2039" s="707"/>
      <c r="M2039" s="703"/>
    </row>
    <row r="2040" spans="1:14" s="27" customFormat="1" ht="17.25" customHeight="1">
      <c r="A2040" s="693" t="s">
        <v>399</v>
      </c>
      <c r="B2040" s="844" t="s">
        <v>529</v>
      </c>
      <c r="C2040" s="747">
        <f>VLOOKUP(B2036,'CNKT '!$D$113:$AA$178,12,0)</f>
        <v>0</v>
      </c>
      <c r="D2040" s="697">
        <f>76.9*$B$2</f>
        <v>51433.796000000009</v>
      </c>
      <c r="E2040" s="695">
        <f t="shared" si="237"/>
        <v>0</v>
      </c>
      <c r="F2040" s="750"/>
      <c r="G2040" s="693" t="s">
        <v>399</v>
      </c>
      <c r="H2040" s="844" t="s">
        <v>529</v>
      </c>
      <c r="I2040" s="747" t="e">
        <f>VLOOKUP(H2036,'CNKT '!$D$113:$AA$178,13,0)</f>
        <v>#REF!</v>
      </c>
      <c r="J2040" s="697">
        <f>76.9*$B$2</f>
        <v>51433.796000000009</v>
      </c>
      <c r="K2040" s="695" t="e">
        <f t="shared" si="238"/>
        <v>#REF!</v>
      </c>
      <c r="L2040" s="707"/>
      <c r="M2040" s="703"/>
    </row>
    <row r="2041" spans="1:14" s="27" customFormat="1" ht="17.25" customHeight="1">
      <c r="A2041" s="693" t="s">
        <v>78</v>
      </c>
      <c r="B2041" s="844" t="s">
        <v>530</v>
      </c>
      <c r="C2041" s="747">
        <f>VLOOKUP(B2036,'CNKT '!$D$113:$AA$178,8,0)</f>
        <v>0</v>
      </c>
      <c r="D2041" s="697">
        <f>IF(C2037="A",6.1,IF(C2037="B",5.8,IF(C2037="C",5.5,IF(C2037="C.",5.5,IF(C2037="D",5.2)))))*$B$2</f>
        <v>4079.924</v>
      </c>
      <c r="E2041" s="695">
        <f t="shared" si="237"/>
        <v>0</v>
      </c>
      <c r="F2041" s="750"/>
      <c r="G2041" s="693" t="s">
        <v>78</v>
      </c>
      <c r="H2041" s="844" t="s">
        <v>530</v>
      </c>
      <c r="I2041" s="747" t="e">
        <f>VLOOKUP(H2036,'CNKT '!$D$113:$AA$178,8,0)</f>
        <v>#REF!</v>
      </c>
      <c r="J2041" s="697">
        <f>IF(I2037="A",6.1,IF(I2037="B",5.8,IF(I2037="C",5.5,IF(I2037="C.",5.5,IF(I2037="D",5.2)))))*$B$2</f>
        <v>0</v>
      </c>
      <c r="K2041" s="695" t="e">
        <f t="shared" si="238"/>
        <v>#REF!</v>
      </c>
      <c r="L2041" s="707"/>
      <c r="M2041" s="703"/>
    </row>
    <row r="2042" spans="1:14" s="27" customFormat="1" ht="17.25" customHeight="1">
      <c r="A2042" s="693" t="s">
        <v>493</v>
      </c>
      <c r="B2042" s="844" t="s">
        <v>531</v>
      </c>
      <c r="C2042" s="747">
        <f>VLOOKUP(B2036,'CNKT '!$D$99:$AA$178,13,0)</f>
        <v>0</v>
      </c>
      <c r="D2042" s="698">
        <f>92.2*$B$2</f>
        <v>61667.048000000003</v>
      </c>
      <c r="E2042" s="695">
        <f t="shared" si="237"/>
        <v>0</v>
      </c>
      <c r="F2042" s="750"/>
      <c r="G2042" s="693" t="s">
        <v>493</v>
      </c>
      <c r="H2042" s="844" t="s">
        <v>531</v>
      </c>
      <c r="I2042" s="747" t="e">
        <f>VLOOKUP(H2036,'CNKT '!$D$99:$AA$178,12,0)</f>
        <v>#REF!</v>
      </c>
      <c r="J2042" s="698">
        <f>92.2*$B$2</f>
        <v>61667.048000000003</v>
      </c>
      <c r="K2042" s="695" t="e">
        <f t="shared" si="238"/>
        <v>#REF!</v>
      </c>
      <c r="L2042" s="707"/>
      <c r="M2042" s="703"/>
    </row>
    <row r="2043" spans="1:14" s="27" customFormat="1" ht="17.25" customHeight="1">
      <c r="A2043" s="693" t="s">
        <v>448</v>
      </c>
      <c r="B2043" s="844" t="s">
        <v>496</v>
      </c>
      <c r="C2043" s="747">
        <f>VLOOKUP(B2036,'CNKT '!$D$113:$AA$178,14,0)</f>
        <v>0</v>
      </c>
      <c r="D2043" s="697">
        <f>153.6*$B$2</f>
        <v>102733.82400000001</v>
      </c>
      <c r="E2043" s="695">
        <f t="shared" si="237"/>
        <v>0</v>
      </c>
      <c r="F2043" s="750"/>
      <c r="G2043" s="693" t="s">
        <v>448</v>
      </c>
      <c r="H2043" s="844" t="s">
        <v>496</v>
      </c>
      <c r="I2043" s="747" t="e">
        <f>VLOOKUP(H2036,'CNKT '!$D$113:$AA$178,14,0)</f>
        <v>#REF!</v>
      </c>
      <c r="J2043" s="697">
        <f>153.6*$B$2</f>
        <v>102733.82400000001</v>
      </c>
      <c r="K2043" s="695" t="e">
        <f t="shared" si="238"/>
        <v>#REF!</v>
      </c>
      <c r="L2043" s="707"/>
      <c r="M2043" s="703"/>
    </row>
    <row r="2044" spans="1:14" s="27" customFormat="1" ht="17.25" customHeight="1">
      <c r="A2044" s="693" t="s">
        <v>453</v>
      </c>
      <c r="B2044" s="844" t="s">
        <v>497</v>
      </c>
      <c r="C2044" s="747">
        <f>VLOOKUP(B2036,'CNKT '!$D$114:$AA$178,18,0)</f>
        <v>0</v>
      </c>
      <c r="D2044" s="697">
        <v>10000</v>
      </c>
      <c r="E2044" s="695">
        <f>C2044*D2044</f>
        <v>0</v>
      </c>
      <c r="F2044" s="750"/>
      <c r="G2044" s="693" t="s">
        <v>453</v>
      </c>
      <c r="H2044" s="844" t="s">
        <v>497</v>
      </c>
      <c r="I2044" s="747"/>
      <c r="J2044" s="697"/>
      <c r="K2044" s="695"/>
      <c r="L2044" s="707"/>
      <c r="M2044" s="703"/>
    </row>
    <row r="2045" spans="1:14" s="27" customFormat="1" ht="17.25" customHeight="1">
      <c r="A2045" s="693" t="s">
        <v>453</v>
      </c>
      <c r="B2045" s="844" t="s">
        <v>497</v>
      </c>
      <c r="C2045" s="747">
        <f>VLOOKUP(B2036,'CNKT '!$D$114:$AA$178,19,0)</f>
        <v>0</v>
      </c>
      <c r="D2045" s="697">
        <v>20000</v>
      </c>
      <c r="E2045" s="695">
        <f>C2045*D2045</f>
        <v>0</v>
      </c>
      <c r="F2045" s="750"/>
      <c r="G2045" s="693" t="s">
        <v>453</v>
      </c>
      <c r="H2045" s="844" t="s">
        <v>497</v>
      </c>
      <c r="I2045" s="747" t="e">
        <f>VLOOKUP(H2036,'CNKT '!$D$113:$AA$178,16,0)</f>
        <v>#REF!</v>
      </c>
      <c r="J2045" s="697">
        <v>25000</v>
      </c>
      <c r="K2045" s="695" t="e">
        <f>I2045*J2045</f>
        <v>#REF!</v>
      </c>
      <c r="L2045" s="707"/>
      <c r="M2045" s="703"/>
    </row>
    <row r="2046" spans="1:14" s="27" customFormat="1" ht="17.25" customHeight="1">
      <c r="A2046" s="693" t="s">
        <v>512</v>
      </c>
      <c r="B2046" s="844" t="s">
        <v>513</v>
      </c>
      <c r="C2046" s="747"/>
      <c r="D2046" s="697"/>
      <c r="E2046" s="695"/>
      <c r="F2046" s="750"/>
      <c r="G2046" s="693" t="s">
        <v>512</v>
      </c>
      <c r="H2046" s="844" t="s">
        <v>513</v>
      </c>
      <c r="I2046" s="747"/>
      <c r="J2046" s="697"/>
      <c r="K2046" s="695"/>
      <c r="L2046" s="707"/>
      <c r="M2046" s="703"/>
    </row>
    <row r="2047" spans="1:14" s="27" customFormat="1" ht="17.25" customHeight="1">
      <c r="A2047" s="699" t="s">
        <v>79</v>
      </c>
      <c r="B2047" s="845" t="s">
        <v>532</v>
      </c>
      <c r="C2047" s="700"/>
      <c r="D2047" s="701"/>
      <c r="E2047" s="700"/>
      <c r="F2047" s="750"/>
      <c r="G2047" s="699" t="s">
        <v>79</v>
      </c>
      <c r="H2047" s="845" t="s">
        <v>532</v>
      </c>
      <c r="I2047" s="700"/>
      <c r="J2047" s="701"/>
      <c r="K2047" s="700"/>
      <c r="L2047" s="707"/>
      <c r="M2047" s="726"/>
      <c r="N2047" s="726">
        <v>553761875</v>
      </c>
    </row>
    <row r="2048" spans="1:14" s="27" customFormat="1" ht="17.25" customHeight="1">
      <c r="A2048" s="702" t="s">
        <v>80</v>
      </c>
      <c r="B2048" s="846" t="s">
        <v>533</v>
      </c>
      <c r="C2048" s="700"/>
      <c r="D2048" s="700"/>
      <c r="E2048" s="700"/>
      <c r="F2048" s="750"/>
      <c r="G2048" s="702" t="s">
        <v>80</v>
      </c>
      <c r="H2048" s="846" t="s">
        <v>533</v>
      </c>
      <c r="I2048" s="700"/>
      <c r="J2048" s="700"/>
      <c r="K2048" s="700"/>
      <c r="L2048" s="707"/>
      <c r="M2048" s="726"/>
      <c r="N2048" s="726">
        <v>5600000</v>
      </c>
    </row>
    <row r="2049" spans="1:15" s="27" customFormat="1" ht="17.25" customHeight="1">
      <c r="A2049" s="702" t="s">
        <v>81</v>
      </c>
      <c r="B2049" s="847" t="s">
        <v>534</v>
      </c>
      <c r="C2049" s="700"/>
      <c r="D2049" s="700"/>
      <c r="E2049" s="695">
        <f>SUM(E2048)</f>
        <v>0</v>
      </c>
      <c r="F2049" s="750"/>
      <c r="G2049" s="702" t="s">
        <v>81</v>
      </c>
      <c r="H2049" s="847" t="s">
        <v>534</v>
      </c>
      <c r="I2049" s="700"/>
      <c r="J2049" s="700"/>
      <c r="K2049" s="695">
        <f>SUM(K2048)</f>
        <v>0</v>
      </c>
      <c r="L2049" s="707"/>
      <c r="M2049" s="726"/>
      <c r="N2049" s="726"/>
    </row>
    <row r="2050" spans="1:15" s="27" customFormat="1" ht="17.25" customHeight="1">
      <c r="A2050" s="704" t="s">
        <v>82</v>
      </c>
      <c r="B2050" s="848" t="s">
        <v>438</v>
      </c>
      <c r="C2050" s="705"/>
      <c r="D2050" s="705"/>
      <c r="E2050" s="705">
        <f>(E2038+E2039+E2040+E2041+E2042+E2043+E2044+E2045+E2046)-E2049</f>
        <v>0</v>
      </c>
      <c r="F2050" s="750"/>
      <c r="G2050" s="704" t="s">
        <v>82</v>
      </c>
      <c r="H2050" s="848" t="s">
        <v>438</v>
      </c>
      <c r="I2050" s="746"/>
      <c r="J2050" s="746"/>
      <c r="K2050" s="746" t="e">
        <f>(K2038+K2039+K2040+K2041)-K2049</f>
        <v>#REF!</v>
      </c>
      <c r="L2050" s="707">
        <f>E2050</f>
        <v>0</v>
      </c>
      <c r="M2050" s="726">
        <f>SUM(L1491:L2050)</f>
        <v>57507130.736000009</v>
      </c>
      <c r="N2050" s="726">
        <v>418349018</v>
      </c>
      <c r="O2050" s="736">
        <f>N2050-M2050</f>
        <v>360841887.264</v>
      </c>
    </row>
    <row r="2051" spans="1:15" s="27" customFormat="1" ht="17.25" customHeight="1">
      <c r="A2051" s="763"/>
      <c r="B2051" s="763"/>
      <c r="C2051" s="763"/>
      <c r="D2051" s="763"/>
      <c r="E2051" s="763"/>
      <c r="F2051" s="763"/>
      <c r="G2051" s="763"/>
      <c r="H2051" s="763"/>
      <c r="I2051" s="763"/>
      <c r="J2051" s="763"/>
      <c r="K2051" s="763"/>
      <c r="L2051" s="707"/>
      <c r="M2051" s="726"/>
      <c r="N2051" s="726"/>
    </row>
    <row r="2052" spans="1:15" s="27" customFormat="1" ht="17.25" customHeight="1">
      <c r="A2052" s="767" t="s">
        <v>121</v>
      </c>
      <c r="B2052" s="743"/>
      <c r="C2052" s="743"/>
      <c r="D2052" s="743"/>
      <c r="E2052" s="743"/>
      <c r="F2052" s="743"/>
      <c r="G2052" s="743"/>
      <c r="H2052" s="743"/>
      <c r="I2052" s="743"/>
      <c r="J2052" s="768"/>
      <c r="K2052" s="737"/>
      <c r="L2052" s="707"/>
      <c r="M2052" s="726">
        <f>M2047+M2048</f>
        <v>0</v>
      </c>
      <c r="N2052" s="726"/>
      <c r="O2052" s="703"/>
    </row>
    <row r="2053" spans="1:15" s="27" customFormat="1" ht="17.25" customHeight="1">
      <c r="A2053" s="759" t="str">
        <f>A2001</f>
        <v>LƯƠNG THÁNG 01/2025</v>
      </c>
      <c r="B2053" s="763"/>
      <c r="C2053" s="763"/>
      <c r="D2053" s="763"/>
      <c r="E2053" s="766" t="e">
        <f>VLOOKUP(B2054,'CNKT '!#REF!,26,0)</f>
        <v>#REF!</v>
      </c>
      <c r="F2053" s="750"/>
      <c r="G2053" s="759" t="str">
        <f>A2053</f>
        <v>LƯƠNG THÁNG 01/2025</v>
      </c>
      <c r="H2053" s="763"/>
      <c r="I2053" s="763"/>
      <c r="J2053" s="763"/>
      <c r="K2053" s="766" t="e">
        <f>VLOOKUP(H2054,'CNKT '!#REF!,26,0)</f>
        <v>#REF!</v>
      </c>
      <c r="L2053" s="690"/>
    </row>
    <row r="2054" spans="1:15" s="27" customFormat="1" ht="17.25" customHeight="1">
      <c r="A2054" s="709" t="s">
        <v>15</v>
      </c>
      <c r="B2054" s="840" t="e">
        <f>'CNKT '!#REF!</f>
        <v>#REF!</v>
      </c>
      <c r="C2054" s="694"/>
      <c r="D2054" s="840" t="s">
        <v>396</v>
      </c>
      <c r="E2054" s="840" t="s">
        <v>18</v>
      </c>
      <c r="F2054" s="750"/>
      <c r="G2054" s="709" t="s">
        <v>15</v>
      </c>
      <c r="H2054" s="840" t="e">
        <f>'CNKT '!#REF!</f>
        <v>#REF!</v>
      </c>
      <c r="I2054" s="694"/>
      <c r="J2054" s="840" t="s">
        <v>396</v>
      </c>
      <c r="K2054" s="840" t="s">
        <v>18</v>
      </c>
      <c r="L2054" s="690"/>
    </row>
    <row r="2055" spans="1:15" s="27" customFormat="1" ht="17.25" customHeight="1">
      <c r="A2055" s="693" t="s">
        <v>397</v>
      </c>
      <c r="B2055" s="842" t="s">
        <v>527</v>
      </c>
      <c r="C2055" s="694" t="e">
        <f>VLOOKUP(B2054,'BTH mủ tạp'!$D$161:$AN$161,36,0)</f>
        <v>#REF!</v>
      </c>
      <c r="D2055" s="695"/>
      <c r="E2055" s="695"/>
      <c r="F2055" s="750"/>
      <c r="G2055" s="693" t="s">
        <v>397</v>
      </c>
      <c r="H2055" s="842" t="s">
        <v>527</v>
      </c>
      <c r="I2055" s="694" t="e">
        <f>VLOOKUP(H2054,'BTH mủ tạp'!$D$161:$AN$161,36,0)</f>
        <v>#REF!</v>
      </c>
      <c r="J2055" s="695"/>
      <c r="K2055" s="695"/>
      <c r="L2055" s="690"/>
      <c r="M2055" s="703"/>
    </row>
    <row r="2056" spans="1:15" s="27" customFormat="1" ht="17.25" customHeight="1">
      <c r="A2056" s="693" t="s">
        <v>77</v>
      </c>
      <c r="B2056" s="843" t="s">
        <v>432</v>
      </c>
      <c r="C2056" s="696" t="e">
        <f>VLOOKUP(B2054,'CNKT '!#REF!,3,0)</f>
        <v>#REF!</v>
      </c>
      <c r="D2056" s="697">
        <v>25000</v>
      </c>
      <c r="E2056" s="695" t="e">
        <f t="shared" ref="E2056:E2061" si="239">C2056*D2056</f>
        <v>#REF!</v>
      </c>
      <c r="F2056" s="750"/>
      <c r="G2056" s="693" t="s">
        <v>77</v>
      </c>
      <c r="H2056" s="843" t="s">
        <v>432</v>
      </c>
      <c r="I2056" s="696" t="e">
        <f>VLOOKUP(H2054,'CNKT '!#REF!,3,0)</f>
        <v>#REF!</v>
      </c>
      <c r="J2056" s="697">
        <v>25000</v>
      </c>
      <c r="K2056" s="695" t="e">
        <f t="shared" ref="K2056:K2061" si="240">I2056*J2056</f>
        <v>#REF!</v>
      </c>
      <c r="L2056" s="690"/>
    </row>
    <row r="2057" spans="1:15" s="27" customFormat="1" ht="17.25" customHeight="1">
      <c r="A2057" s="693" t="s">
        <v>307</v>
      </c>
      <c r="B2057" s="844" t="s">
        <v>528</v>
      </c>
      <c r="C2057" s="747" t="e">
        <f>VLOOKUP(B2054,'CNKT '!#REF!,11,0)</f>
        <v>#REF!</v>
      </c>
      <c r="D2057" s="698">
        <f>46.1*$B$2</f>
        <v>30833.524000000001</v>
      </c>
      <c r="E2057" s="695" t="e">
        <f t="shared" si="239"/>
        <v>#REF!</v>
      </c>
      <c r="F2057" s="750"/>
      <c r="G2057" s="693" t="s">
        <v>307</v>
      </c>
      <c r="H2057" s="844" t="s">
        <v>528</v>
      </c>
      <c r="I2057" s="747" t="e">
        <f>VLOOKUP(H2054,'CNKT '!#REF!,11,0)</f>
        <v>#REF!</v>
      </c>
      <c r="J2057" s="698">
        <f>46.1*$B$2</f>
        <v>30833.524000000001</v>
      </c>
      <c r="K2057" s="695" t="e">
        <f t="shared" si="240"/>
        <v>#REF!</v>
      </c>
      <c r="L2057" s="690"/>
    </row>
    <row r="2058" spans="1:15" s="27" customFormat="1" ht="17.25" customHeight="1">
      <c r="A2058" s="693" t="s">
        <v>399</v>
      </c>
      <c r="B2058" s="844" t="s">
        <v>529</v>
      </c>
      <c r="C2058" s="747" t="e">
        <f>VLOOKUP(B2054,'CNKT '!#REF!,12,0)</f>
        <v>#REF!</v>
      </c>
      <c r="D2058" s="697">
        <f>76.9*$B$2</f>
        <v>51433.796000000009</v>
      </c>
      <c r="E2058" s="695" t="e">
        <f t="shared" si="239"/>
        <v>#REF!</v>
      </c>
      <c r="F2058" s="750"/>
      <c r="G2058" s="693" t="s">
        <v>399</v>
      </c>
      <c r="H2058" s="844" t="s">
        <v>529</v>
      </c>
      <c r="I2058" s="747" t="e">
        <f>VLOOKUP(H2054,'CNKT '!#REF!,12,0)</f>
        <v>#REF!</v>
      </c>
      <c r="J2058" s="697">
        <f>76.9*$B$2</f>
        <v>51433.796000000009</v>
      </c>
      <c r="K2058" s="695" t="e">
        <f t="shared" si="240"/>
        <v>#REF!</v>
      </c>
      <c r="L2058" s="690"/>
    </row>
    <row r="2059" spans="1:15" s="27" customFormat="1" ht="17.25" customHeight="1">
      <c r="A2059" s="693" t="s">
        <v>78</v>
      </c>
      <c r="B2059" s="844" t="s">
        <v>530</v>
      </c>
      <c r="C2059" s="747" t="e">
        <f>VLOOKUP(B2054,'CNKT '!#REF!,8,0)</f>
        <v>#REF!</v>
      </c>
      <c r="D2059" s="697" t="e">
        <f>IF(C2055="A",6.1,IF(C2055="B",5.8,IF(C2055="C",5.5,IF(C2055="C.",5.5,IF(C2055="D",5.2)))))*$B$2</f>
        <v>#REF!</v>
      </c>
      <c r="E2059" s="695" t="e">
        <f t="shared" si="239"/>
        <v>#REF!</v>
      </c>
      <c r="F2059" s="750"/>
      <c r="G2059" s="693" t="s">
        <v>78</v>
      </c>
      <c r="H2059" s="844" t="s">
        <v>530</v>
      </c>
      <c r="I2059" s="747" t="e">
        <f>VLOOKUP(H2054,'CNKT '!#REF!,8,0)</f>
        <v>#REF!</v>
      </c>
      <c r="J2059" s="697" t="e">
        <f>IF(I2055="A",6.1,IF(I2055="B",5.8,IF(I2055="C",5.5,IF(I2055="C.",5.5,IF(I2055="D",5.2)))))*$B$2</f>
        <v>#REF!</v>
      </c>
      <c r="K2059" s="695" t="e">
        <f t="shared" si="240"/>
        <v>#REF!</v>
      </c>
      <c r="L2059" s="690"/>
    </row>
    <row r="2060" spans="1:15" s="27" customFormat="1" ht="17.25" customHeight="1">
      <c r="A2060" s="693" t="s">
        <v>447</v>
      </c>
      <c r="B2060" s="844" t="s">
        <v>531</v>
      </c>
      <c r="C2060" s="747" t="e">
        <f>VLOOKUP(B2054,'CNKT '!#REF!,15,0)</f>
        <v>#REF!</v>
      </c>
      <c r="D2060" s="698">
        <f>92.2*$B$2</f>
        <v>61667.048000000003</v>
      </c>
      <c r="E2060" s="695" t="e">
        <f t="shared" si="239"/>
        <v>#REF!</v>
      </c>
      <c r="F2060" s="750"/>
      <c r="G2060" s="693" t="s">
        <v>447</v>
      </c>
      <c r="H2060" s="844" t="s">
        <v>531</v>
      </c>
      <c r="I2060" s="747" t="e">
        <f>VLOOKUP(H2054,'CNKT '!#REF!,15,0)</f>
        <v>#REF!</v>
      </c>
      <c r="J2060" s="698">
        <f>92.2*$B$2</f>
        <v>61667.048000000003</v>
      </c>
      <c r="K2060" s="695" t="e">
        <f t="shared" si="240"/>
        <v>#REF!</v>
      </c>
      <c r="L2060" s="690"/>
    </row>
    <row r="2061" spans="1:15" s="27" customFormat="1" ht="17.25" customHeight="1">
      <c r="A2061" s="693" t="s">
        <v>448</v>
      </c>
      <c r="B2061" s="844" t="s">
        <v>496</v>
      </c>
      <c r="C2061" s="747" t="e">
        <f>VLOOKUP(B2054,'CNKT '!#REF!,14,0)</f>
        <v>#REF!</v>
      </c>
      <c r="D2061" s="697">
        <f>153.6*$B$2</f>
        <v>102733.82400000001</v>
      </c>
      <c r="E2061" s="695" t="e">
        <f t="shared" si="239"/>
        <v>#REF!</v>
      </c>
      <c r="F2061" s="750"/>
      <c r="G2061" s="693" t="s">
        <v>448</v>
      </c>
      <c r="H2061" s="844" t="s">
        <v>496</v>
      </c>
      <c r="I2061" s="747" t="e">
        <f>VLOOKUP(H2054,'CNKT '!#REF!,14,0)</f>
        <v>#REF!</v>
      </c>
      <c r="J2061" s="697">
        <f>153.6*$B$2</f>
        <v>102733.82400000001</v>
      </c>
      <c r="K2061" s="695" t="e">
        <f t="shared" si="240"/>
        <v>#REF!</v>
      </c>
      <c r="L2061" s="690"/>
    </row>
    <row r="2062" spans="1:15" s="27" customFormat="1" ht="17.25" customHeight="1">
      <c r="A2062" s="693" t="s">
        <v>453</v>
      </c>
      <c r="B2062" s="844" t="s">
        <v>497</v>
      </c>
      <c r="C2062" s="747" t="e">
        <f>VLOOKUP(B2054,'CNKT '!#REF!,18,0)</f>
        <v>#REF!</v>
      </c>
      <c r="D2062" s="697">
        <v>10000</v>
      </c>
      <c r="E2062" s="695" t="e">
        <f>C2062*D2062</f>
        <v>#REF!</v>
      </c>
      <c r="F2062" s="750"/>
      <c r="G2062" s="693" t="s">
        <v>453</v>
      </c>
      <c r="H2062" s="844" t="s">
        <v>497</v>
      </c>
      <c r="I2062" s="747" t="e">
        <f>VLOOKUP(H2054,'CNKT '!#REF!,18,0)</f>
        <v>#REF!</v>
      </c>
      <c r="J2062" s="697">
        <v>10000</v>
      </c>
      <c r="K2062" s="695" t="e">
        <f>I2062*J2062</f>
        <v>#REF!</v>
      </c>
      <c r="L2062" s="690"/>
    </row>
    <row r="2063" spans="1:15" s="27" customFormat="1" ht="17.25" customHeight="1">
      <c r="A2063" s="693" t="s">
        <v>453</v>
      </c>
      <c r="B2063" s="844" t="s">
        <v>497</v>
      </c>
      <c r="C2063" s="747" t="e">
        <f>VLOOKUP(B2054,'CNKT '!#REF!,19,0)</f>
        <v>#REF!</v>
      </c>
      <c r="D2063" s="697">
        <v>20000</v>
      </c>
      <c r="E2063" s="695" t="e">
        <f>C2063*D2063</f>
        <v>#REF!</v>
      </c>
      <c r="F2063" s="750"/>
      <c r="G2063" s="693" t="s">
        <v>453</v>
      </c>
      <c r="H2063" s="844" t="s">
        <v>497</v>
      </c>
      <c r="I2063" s="747" t="e">
        <f>VLOOKUP(H2054,'CNKT '!#REF!,19,0)</f>
        <v>#REF!</v>
      </c>
      <c r="J2063" s="697">
        <v>20000</v>
      </c>
      <c r="K2063" s="695" t="e">
        <f>I2063*J2063</f>
        <v>#REF!</v>
      </c>
      <c r="L2063" s="690"/>
    </row>
    <row r="2064" spans="1:15" s="27" customFormat="1" ht="17.25" customHeight="1">
      <c r="A2064" s="699" t="s">
        <v>79</v>
      </c>
      <c r="B2064" s="845" t="s">
        <v>532</v>
      </c>
      <c r="C2064" s="700"/>
      <c r="D2064" s="701"/>
      <c r="E2064" s="700"/>
      <c r="F2064" s="750"/>
      <c r="G2064" s="699" t="s">
        <v>79</v>
      </c>
      <c r="H2064" s="845" t="s">
        <v>532</v>
      </c>
      <c r="I2064" s="700"/>
      <c r="J2064" s="701"/>
      <c r="K2064" s="700"/>
      <c r="L2064" s="690"/>
    </row>
    <row r="2065" spans="1:12" s="27" customFormat="1" ht="17.25" customHeight="1">
      <c r="A2065" s="702" t="s">
        <v>80</v>
      </c>
      <c r="B2065" s="846" t="s">
        <v>533</v>
      </c>
      <c r="C2065" s="700"/>
      <c r="D2065" s="700"/>
      <c r="E2065" s="700"/>
      <c r="F2065" s="750"/>
      <c r="G2065" s="702" t="s">
        <v>80</v>
      </c>
      <c r="H2065" s="846" t="s">
        <v>533</v>
      </c>
      <c r="I2065" s="700"/>
      <c r="J2065" s="700"/>
      <c r="K2065" s="700"/>
      <c r="L2065" s="690"/>
    </row>
    <row r="2066" spans="1:12" s="27" customFormat="1" ht="17.25" customHeight="1">
      <c r="A2066" s="702" t="s">
        <v>81</v>
      </c>
      <c r="B2066" s="847" t="s">
        <v>534</v>
      </c>
      <c r="C2066" s="700"/>
      <c r="D2066" s="700"/>
      <c r="E2066" s="695">
        <f>SUM(E2065)</f>
        <v>0</v>
      </c>
      <c r="F2066" s="750"/>
      <c r="G2066" s="702" t="s">
        <v>81</v>
      </c>
      <c r="H2066" s="847" t="s">
        <v>534</v>
      </c>
      <c r="I2066" s="700"/>
      <c r="J2066" s="700"/>
      <c r="K2066" s="695">
        <f>SUM(K2065)</f>
        <v>0</v>
      </c>
      <c r="L2066" s="690"/>
    </row>
    <row r="2067" spans="1:12" s="27" customFormat="1" ht="17.25" customHeight="1">
      <c r="A2067" s="704" t="s">
        <v>82</v>
      </c>
      <c r="B2067" s="848" t="s">
        <v>438</v>
      </c>
      <c r="C2067" s="705"/>
      <c r="D2067" s="705"/>
      <c r="E2067" s="705" t="e">
        <f>(E2056+E2057+E2058+E2059+E2060+E2061+E2062+E2063)-E2066</f>
        <v>#REF!</v>
      </c>
      <c r="F2067" s="750"/>
      <c r="G2067" s="704" t="s">
        <v>82</v>
      </c>
      <c r="H2067" s="848" t="s">
        <v>438</v>
      </c>
      <c r="I2067" s="705"/>
      <c r="J2067" s="705"/>
      <c r="K2067" s="705" t="e">
        <f>(K2056+K2057+K2058+K2059+K2060+K2061+K2062+K2063)-K2066</f>
        <v>#REF!</v>
      </c>
      <c r="L2067" s="707" t="e">
        <f>E2067+K2067</f>
        <v>#REF!</v>
      </c>
    </row>
    <row r="2068" spans="1:12" s="27" customFormat="1" ht="51.75" customHeight="1">
      <c r="A2068" s="763"/>
      <c r="B2068" s="763"/>
      <c r="C2068" s="763"/>
      <c r="D2068" s="763"/>
      <c r="E2068" s="763"/>
      <c r="F2068" s="763"/>
      <c r="G2068" s="763"/>
      <c r="H2068" s="763"/>
      <c r="I2068" s="763"/>
      <c r="J2068" s="763"/>
      <c r="K2068" s="763"/>
      <c r="L2068" s="690"/>
    </row>
    <row r="2069" spans="1:12" s="27" customFormat="1" ht="17.25" customHeight="1">
      <c r="A2069" s="759" t="str">
        <f>A2053</f>
        <v>LƯƠNG THÁNG 01/2025</v>
      </c>
      <c r="B2069" s="763"/>
      <c r="C2069" s="763"/>
      <c r="D2069" s="763"/>
      <c r="E2069" s="766" t="e">
        <f>VLOOKUP(B2070,'CNKT '!#REF!,26,0)</f>
        <v>#REF!</v>
      </c>
      <c r="F2069" s="750"/>
      <c r="G2069" s="759" t="s">
        <v>430</v>
      </c>
      <c r="H2069" s="763"/>
      <c r="I2069" s="763"/>
      <c r="J2069" s="763"/>
      <c r="K2069" s="766" t="e">
        <f>VLOOKUP(H2070,'CNKT '!#REF!,26,0)</f>
        <v>#REF!</v>
      </c>
      <c r="L2069" s="690"/>
    </row>
    <row r="2070" spans="1:12" s="27" customFormat="1" ht="17.25" customHeight="1">
      <c r="A2070" s="709" t="s">
        <v>15</v>
      </c>
      <c r="B2070" s="840" t="e">
        <f>'CNKT '!#REF!</f>
        <v>#REF!</v>
      </c>
      <c r="C2070" s="694"/>
      <c r="D2070" s="840" t="s">
        <v>396</v>
      </c>
      <c r="E2070" s="840" t="s">
        <v>18</v>
      </c>
      <c r="F2070" s="750"/>
      <c r="G2070" s="709" t="s">
        <v>15</v>
      </c>
      <c r="H2070" s="840" t="e">
        <f>'CNKT '!#REF!</f>
        <v>#REF!</v>
      </c>
      <c r="I2070" s="694"/>
      <c r="J2070" s="840" t="s">
        <v>396</v>
      </c>
      <c r="K2070" s="840" t="s">
        <v>18</v>
      </c>
      <c r="L2070" s="690"/>
    </row>
    <row r="2071" spans="1:12" s="27" customFormat="1" ht="17.25" customHeight="1">
      <c r="A2071" s="693" t="s">
        <v>397</v>
      </c>
      <c r="B2071" s="842" t="s">
        <v>527</v>
      </c>
      <c r="C2071" s="694" t="e">
        <f>VLOOKUP(B2070,'BTH mủ tạp'!$D$161:$AN$161,36,0)</f>
        <v>#REF!</v>
      </c>
      <c r="D2071" s="695"/>
      <c r="E2071" s="695"/>
      <c r="F2071" s="750"/>
      <c r="G2071" s="693" t="s">
        <v>397</v>
      </c>
      <c r="H2071" s="842" t="s">
        <v>527</v>
      </c>
      <c r="I2071" s="694" t="e">
        <f>VLOOKUP(H2070,'BTH mủ tạp'!$D$161:$AN$161,36,0)</f>
        <v>#REF!</v>
      </c>
      <c r="J2071" s="695"/>
      <c r="K2071" s="695"/>
      <c r="L2071" s="690"/>
    </row>
    <row r="2072" spans="1:12" s="27" customFormat="1" ht="17.25" customHeight="1">
      <c r="A2072" s="693" t="s">
        <v>77</v>
      </c>
      <c r="B2072" s="843" t="s">
        <v>432</v>
      </c>
      <c r="C2072" s="696" t="e">
        <f>VLOOKUP(B2070,'CNKT '!#REF!,3,0)</f>
        <v>#REF!</v>
      </c>
      <c r="D2072" s="697">
        <v>25000</v>
      </c>
      <c r="E2072" s="695" t="e">
        <f t="shared" ref="E2072:E2077" si="241">C2072*D2072</f>
        <v>#REF!</v>
      </c>
      <c r="F2072" s="750"/>
      <c r="G2072" s="693" t="s">
        <v>77</v>
      </c>
      <c r="H2072" s="843" t="s">
        <v>432</v>
      </c>
      <c r="I2072" s="696" t="e">
        <f>VLOOKUP(H2070,'CNKT '!#REF!,3,0)</f>
        <v>#REF!</v>
      </c>
      <c r="J2072" s="697">
        <v>25000</v>
      </c>
      <c r="K2072" s="695" t="e">
        <f t="shared" ref="K2072:K2077" si="242">I2072*J2072</f>
        <v>#REF!</v>
      </c>
      <c r="L2072" s="690"/>
    </row>
    <row r="2073" spans="1:12" s="27" customFormat="1" ht="17.25" customHeight="1">
      <c r="A2073" s="693" t="s">
        <v>307</v>
      </c>
      <c r="B2073" s="844" t="s">
        <v>528</v>
      </c>
      <c r="C2073" s="747" t="e">
        <f>VLOOKUP(B2070,'CNKT '!#REF!,11,0)</f>
        <v>#REF!</v>
      </c>
      <c r="D2073" s="698">
        <f>46.1*$B$2</f>
        <v>30833.524000000001</v>
      </c>
      <c r="E2073" s="695" t="e">
        <f t="shared" si="241"/>
        <v>#REF!</v>
      </c>
      <c r="F2073" s="750"/>
      <c r="G2073" s="693" t="s">
        <v>307</v>
      </c>
      <c r="H2073" s="844" t="s">
        <v>528</v>
      </c>
      <c r="I2073" s="747" t="e">
        <f>VLOOKUP(H2070,'CNKT '!#REF!,11,0)</f>
        <v>#REF!</v>
      </c>
      <c r="J2073" s="698">
        <f>46.1*$B$2</f>
        <v>30833.524000000001</v>
      </c>
      <c r="K2073" s="695" t="e">
        <f t="shared" si="242"/>
        <v>#REF!</v>
      </c>
      <c r="L2073" s="690"/>
    </row>
    <row r="2074" spans="1:12" s="27" customFormat="1" ht="17.25" customHeight="1">
      <c r="A2074" s="693" t="s">
        <v>399</v>
      </c>
      <c r="B2074" s="844" t="s">
        <v>529</v>
      </c>
      <c r="C2074" s="747" t="e">
        <f>VLOOKUP(B2070,'CNKT '!#REF!,12,0)</f>
        <v>#REF!</v>
      </c>
      <c r="D2074" s="697">
        <f>76.9*$B$2</f>
        <v>51433.796000000009</v>
      </c>
      <c r="E2074" s="695" t="e">
        <f t="shared" si="241"/>
        <v>#REF!</v>
      </c>
      <c r="F2074" s="750"/>
      <c r="G2074" s="693" t="s">
        <v>399</v>
      </c>
      <c r="H2074" s="844" t="s">
        <v>529</v>
      </c>
      <c r="I2074" s="747" t="e">
        <f>VLOOKUP(H2070,'CNKT '!#REF!,12,0)</f>
        <v>#REF!</v>
      </c>
      <c r="J2074" s="697">
        <f>76.9*$B$2</f>
        <v>51433.796000000009</v>
      </c>
      <c r="K2074" s="695" t="e">
        <f t="shared" si="242"/>
        <v>#REF!</v>
      </c>
      <c r="L2074" s="690"/>
    </row>
    <row r="2075" spans="1:12" s="27" customFormat="1" ht="17.25" customHeight="1">
      <c r="A2075" s="693" t="s">
        <v>78</v>
      </c>
      <c r="B2075" s="844" t="s">
        <v>530</v>
      </c>
      <c r="C2075" s="747" t="e">
        <f>VLOOKUP(B2070,'CNKT '!#REF!,8,0)</f>
        <v>#REF!</v>
      </c>
      <c r="D2075" s="697" t="e">
        <f>IF(C2071="A",6.1,IF(C2071="B",5.8,IF(C2071="C",5.5,IF(C2071="C.",5.5,IF(C2071="D",5.2)))))*$B$2</f>
        <v>#REF!</v>
      </c>
      <c r="E2075" s="695" t="e">
        <f t="shared" si="241"/>
        <v>#REF!</v>
      </c>
      <c r="F2075" s="750"/>
      <c r="G2075" s="693" t="s">
        <v>78</v>
      </c>
      <c r="H2075" s="844" t="s">
        <v>530</v>
      </c>
      <c r="I2075" s="747" t="e">
        <f>VLOOKUP(H2070,'CNKT '!#REF!,8,0)</f>
        <v>#REF!</v>
      </c>
      <c r="J2075" s="697" t="e">
        <f>IF(I2071="A",6.1,IF(I2071="B",5.8,IF(I2071="C",5.5,IF(I2071="C.",5.5,IF(I2071="D",5.2)))))*$B$2</f>
        <v>#REF!</v>
      </c>
      <c r="K2075" s="695" t="e">
        <f t="shared" si="242"/>
        <v>#REF!</v>
      </c>
      <c r="L2075" s="690"/>
    </row>
    <row r="2076" spans="1:12" s="27" customFormat="1" ht="17.25" customHeight="1">
      <c r="A2076" s="693" t="s">
        <v>447</v>
      </c>
      <c r="B2076" s="844" t="s">
        <v>531</v>
      </c>
      <c r="C2076" s="747" t="e">
        <f>VLOOKUP(B2070,'CNKT '!#REF!,15,0)</f>
        <v>#REF!</v>
      </c>
      <c r="D2076" s="698">
        <f>92.2*$B$2</f>
        <v>61667.048000000003</v>
      </c>
      <c r="E2076" s="695" t="e">
        <f t="shared" si="241"/>
        <v>#REF!</v>
      </c>
      <c r="F2076" s="750"/>
      <c r="G2076" s="693" t="s">
        <v>447</v>
      </c>
      <c r="H2076" s="844" t="s">
        <v>531</v>
      </c>
      <c r="I2076" s="747" t="e">
        <f>VLOOKUP(H2070,'CNKT '!#REF!,15,0)</f>
        <v>#REF!</v>
      </c>
      <c r="J2076" s="698">
        <f>92.2*$B$2</f>
        <v>61667.048000000003</v>
      </c>
      <c r="K2076" s="695" t="e">
        <f t="shared" si="242"/>
        <v>#REF!</v>
      </c>
      <c r="L2076" s="690"/>
    </row>
    <row r="2077" spans="1:12" s="27" customFormat="1" ht="17.25" customHeight="1">
      <c r="A2077" s="693" t="s">
        <v>448</v>
      </c>
      <c r="B2077" s="844" t="s">
        <v>496</v>
      </c>
      <c r="C2077" s="747" t="e">
        <f>VLOOKUP(B2070,'CNKT '!#REF!,14,0)</f>
        <v>#REF!</v>
      </c>
      <c r="D2077" s="697">
        <f>153.6*$B$2</f>
        <v>102733.82400000001</v>
      </c>
      <c r="E2077" s="695" t="e">
        <f t="shared" si="241"/>
        <v>#REF!</v>
      </c>
      <c r="F2077" s="750"/>
      <c r="G2077" s="693" t="s">
        <v>448</v>
      </c>
      <c r="H2077" s="844" t="s">
        <v>496</v>
      </c>
      <c r="I2077" s="747" t="e">
        <f>VLOOKUP(H2070,'CNKT '!#REF!,14,0)</f>
        <v>#REF!</v>
      </c>
      <c r="J2077" s="697">
        <f>153.6*$B$2</f>
        <v>102733.82400000001</v>
      </c>
      <c r="K2077" s="695" t="e">
        <f t="shared" si="242"/>
        <v>#REF!</v>
      </c>
      <c r="L2077" s="690"/>
    </row>
    <row r="2078" spans="1:12" s="27" customFormat="1" ht="17.25" customHeight="1">
      <c r="A2078" s="693" t="s">
        <v>453</v>
      </c>
      <c r="B2078" s="844" t="s">
        <v>497</v>
      </c>
      <c r="C2078" s="747" t="e">
        <f>VLOOKUP(B2070,'CNKT '!#REF!,18,0)</f>
        <v>#REF!</v>
      </c>
      <c r="D2078" s="697">
        <v>10000</v>
      </c>
      <c r="E2078" s="695" t="e">
        <f>C2078*D2078</f>
        <v>#REF!</v>
      </c>
      <c r="F2078" s="750"/>
      <c r="G2078" s="693" t="s">
        <v>453</v>
      </c>
      <c r="H2078" s="844" t="s">
        <v>497</v>
      </c>
      <c r="I2078" s="747" t="e">
        <f>VLOOKUP(H2070,'CNKT '!#REF!,18,0)</f>
        <v>#REF!</v>
      </c>
      <c r="J2078" s="697">
        <v>10000</v>
      </c>
      <c r="K2078" s="695" t="e">
        <f>I2078*J2078</f>
        <v>#REF!</v>
      </c>
      <c r="L2078" s="690"/>
    </row>
    <row r="2079" spans="1:12" s="27" customFormat="1" ht="17.25" customHeight="1">
      <c r="A2079" s="693" t="s">
        <v>453</v>
      </c>
      <c r="B2079" s="844" t="s">
        <v>497</v>
      </c>
      <c r="C2079" s="747" t="e">
        <f>VLOOKUP(B2070,'CNKT '!#REF!,19,0)</f>
        <v>#REF!</v>
      </c>
      <c r="D2079" s="697">
        <v>20000</v>
      </c>
      <c r="E2079" s="695" t="e">
        <f>C2079*D2079</f>
        <v>#REF!</v>
      </c>
      <c r="F2079" s="750"/>
      <c r="G2079" s="693" t="s">
        <v>453</v>
      </c>
      <c r="H2079" s="844" t="s">
        <v>497</v>
      </c>
      <c r="I2079" s="747" t="e">
        <f>VLOOKUP(H2070,'CNKT '!#REF!,19,0)</f>
        <v>#REF!</v>
      </c>
      <c r="J2079" s="697">
        <v>20000</v>
      </c>
      <c r="K2079" s="695" t="e">
        <f>I2079*J2079</f>
        <v>#REF!</v>
      </c>
      <c r="L2079" s="690"/>
    </row>
    <row r="2080" spans="1:12" s="27" customFormat="1" ht="17.25" customHeight="1">
      <c r="A2080" s="699" t="s">
        <v>79</v>
      </c>
      <c r="B2080" s="845" t="s">
        <v>532</v>
      </c>
      <c r="C2080" s="700"/>
      <c r="D2080" s="701"/>
      <c r="E2080" s="700"/>
      <c r="F2080" s="750"/>
      <c r="G2080" s="699" t="s">
        <v>79</v>
      </c>
      <c r="H2080" s="845" t="s">
        <v>532</v>
      </c>
      <c r="I2080" s="700"/>
      <c r="J2080" s="701"/>
      <c r="K2080" s="700"/>
      <c r="L2080" s="690"/>
    </row>
    <row r="2081" spans="1:12" s="27" customFormat="1" ht="17.25" customHeight="1">
      <c r="A2081" s="702" t="s">
        <v>80</v>
      </c>
      <c r="B2081" s="846" t="s">
        <v>533</v>
      </c>
      <c r="C2081" s="700"/>
      <c r="D2081" s="700"/>
      <c r="E2081" s="700"/>
      <c r="F2081" s="750"/>
      <c r="G2081" s="702" t="s">
        <v>80</v>
      </c>
      <c r="H2081" s="846" t="s">
        <v>533</v>
      </c>
      <c r="I2081" s="700"/>
      <c r="J2081" s="700"/>
      <c r="K2081" s="700"/>
      <c r="L2081" s="690"/>
    </row>
    <row r="2082" spans="1:12" s="27" customFormat="1" ht="17.25" customHeight="1">
      <c r="A2082" s="702" t="s">
        <v>81</v>
      </c>
      <c r="B2082" s="847" t="s">
        <v>534</v>
      </c>
      <c r="C2082" s="700"/>
      <c r="D2082" s="700"/>
      <c r="E2082" s="695">
        <f>SUM(E2081)</f>
        <v>0</v>
      </c>
      <c r="F2082" s="750"/>
      <c r="G2082" s="702" t="s">
        <v>81</v>
      </c>
      <c r="H2082" s="847" t="s">
        <v>534</v>
      </c>
      <c r="I2082" s="700"/>
      <c r="J2082" s="700"/>
      <c r="K2082" s="695">
        <f>SUM(K2081)</f>
        <v>0</v>
      </c>
      <c r="L2082" s="690"/>
    </row>
    <row r="2083" spans="1:12" s="27" customFormat="1" ht="17.25" customHeight="1">
      <c r="A2083" s="704" t="s">
        <v>82</v>
      </c>
      <c r="B2083" s="848" t="s">
        <v>438</v>
      </c>
      <c r="C2083" s="705"/>
      <c r="D2083" s="705"/>
      <c r="E2083" s="705" t="e">
        <f>(E2072+E2073+E2074+E2075+E2076+E2077+E2078+E2079)-E2082</f>
        <v>#REF!</v>
      </c>
      <c r="F2083" s="750"/>
      <c r="G2083" s="704" t="s">
        <v>82</v>
      </c>
      <c r="H2083" s="848" t="s">
        <v>438</v>
      </c>
      <c r="I2083" s="705"/>
      <c r="J2083" s="705"/>
      <c r="K2083" s="705" t="e">
        <f>(K2072+K2073+K2074+K2075+K2076+K2077+K2078+K2079)-K2082</f>
        <v>#REF!</v>
      </c>
      <c r="L2083" s="707" t="e">
        <f>E2083+K2083</f>
        <v>#REF!</v>
      </c>
    </row>
    <row r="2084" spans="1:12" s="27" customFormat="1" ht="17.25" customHeight="1">
      <c r="A2084" s="763"/>
      <c r="B2084" s="763"/>
      <c r="C2084" s="763"/>
      <c r="D2084" s="763"/>
      <c r="E2084" s="763"/>
      <c r="F2084" s="763"/>
      <c r="G2084" s="763"/>
      <c r="H2084" s="763"/>
      <c r="I2084" s="763"/>
      <c r="J2084" s="763"/>
      <c r="K2084" s="763"/>
      <c r="L2084" s="690"/>
    </row>
    <row r="2085" spans="1:12" s="27" customFormat="1" ht="17.25" customHeight="1">
      <c r="A2085" s="759" t="str">
        <f>A2069</f>
        <v>LƯƠNG THÁNG 01/2025</v>
      </c>
      <c r="B2085" s="763"/>
      <c r="C2085" s="763"/>
      <c r="D2085" s="763"/>
      <c r="E2085" s="766" t="e">
        <f>VLOOKUP(B2086,'CNKT '!#REF!,26,0)</f>
        <v>#REF!</v>
      </c>
      <c r="F2085" s="750"/>
      <c r="G2085" s="759" t="s">
        <v>430</v>
      </c>
      <c r="H2085" s="763"/>
      <c r="I2085" s="763"/>
      <c r="J2085" s="766"/>
      <c r="K2085" s="766" t="e">
        <f>VLOOKUP(H2086,'CNKT '!#REF!,26,0)</f>
        <v>#REF!</v>
      </c>
      <c r="L2085" s="690"/>
    </row>
    <row r="2086" spans="1:12" s="27" customFormat="1" ht="17.25" customHeight="1">
      <c r="A2086" s="709" t="s">
        <v>15</v>
      </c>
      <c r="B2086" s="840" t="e">
        <f>'CNKT '!#REF!</f>
        <v>#REF!</v>
      </c>
      <c r="C2086" s="694"/>
      <c r="D2086" s="840" t="s">
        <v>396</v>
      </c>
      <c r="E2086" s="840" t="s">
        <v>18</v>
      </c>
      <c r="F2086" s="750"/>
      <c r="G2086" s="709" t="s">
        <v>15</v>
      </c>
      <c r="H2086" s="840" t="e">
        <f>'CNKT '!#REF!</f>
        <v>#REF!</v>
      </c>
      <c r="I2086" s="694"/>
      <c r="J2086" s="840" t="s">
        <v>396</v>
      </c>
      <c r="K2086" s="840" t="s">
        <v>18</v>
      </c>
      <c r="L2086" s="690"/>
    </row>
    <row r="2087" spans="1:12" s="27" customFormat="1" ht="17.25" customHeight="1">
      <c r="A2087" s="693" t="s">
        <v>397</v>
      </c>
      <c r="B2087" s="842" t="s">
        <v>527</v>
      </c>
      <c r="C2087" s="694" t="e">
        <f>VLOOKUP(B2086,'BTH mủ tạp'!$D$161:$AN$161,36,0)</f>
        <v>#REF!</v>
      </c>
      <c r="D2087" s="695"/>
      <c r="E2087" s="695"/>
      <c r="F2087" s="750"/>
      <c r="G2087" s="693" t="s">
        <v>397</v>
      </c>
      <c r="H2087" s="842" t="s">
        <v>527</v>
      </c>
      <c r="I2087" s="694" t="e">
        <f>VLOOKUP(H2086,'BTH mủ tạp'!$D$161:$AN$161,36,0)</f>
        <v>#REF!</v>
      </c>
      <c r="J2087" s="695"/>
      <c r="K2087" s="695"/>
      <c r="L2087" s="690"/>
    </row>
    <row r="2088" spans="1:12" s="27" customFormat="1" ht="17.25" customHeight="1">
      <c r="A2088" s="693" t="s">
        <v>77</v>
      </c>
      <c r="B2088" s="843" t="s">
        <v>432</v>
      </c>
      <c r="C2088" s="696" t="e">
        <f>VLOOKUP(B2086,'CNKT '!#REF!,3,0)</f>
        <v>#REF!</v>
      </c>
      <c r="D2088" s="697">
        <v>25000</v>
      </c>
      <c r="E2088" s="695" t="e">
        <f t="shared" ref="E2088:E2093" si="243">C2088*D2088</f>
        <v>#REF!</v>
      </c>
      <c r="F2088" s="750"/>
      <c r="G2088" s="693" t="s">
        <v>77</v>
      </c>
      <c r="H2088" s="843" t="s">
        <v>432</v>
      </c>
      <c r="I2088" s="696" t="e">
        <f>VLOOKUP(H2086,'CNKT '!#REF!,3,0)</f>
        <v>#REF!</v>
      </c>
      <c r="J2088" s="697">
        <v>25000</v>
      </c>
      <c r="K2088" s="695" t="e">
        <f t="shared" ref="K2088:K2093" si="244">I2088*J2088</f>
        <v>#REF!</v>
      </c>
      <c r="L2088" s="690"/>
    </row>
    <row r="2089" spans="1:12" s="27" customFormat="1" ht="17.25" customHeight="1">
      <c r="A2089" s="693" t="s">
        <v>307</v>
      </c>
      <c r="B2089" s="844" t="s">
        <v>528</v>
      </c>
      <c r="C2089" s="747" t="e">
        <f>VLOOKUP(B2086,'CNKT '!#REF!,11,0)</f>
        <v>#REF!</v>
      </c>
      <c r="D2089" s="698">
        <f>46.1*$B$2</f>
        <v>30833.524000000001</v>
      </c>
      <c r="E2089" s="695" t="e">
        <f t="shared" si="243"/>
        <v>#REF!</v>
      </c>
      <c r="F2089" s="750"/>
      <c r="G2089" s="693" t="s">
        <v>307</v>
      </c>
      <c r="H2089" s="844" t="s">
        <v>528</v>
      </c>
      <c r="I2089" s="747" t="e">
        <f>VLOOKUP(H2086,'CNKT '!#REF!,11,0)</f>
        <v>#REF!</v>
      </c>
      <c r="J2089" s="698">
        <f>46.1*$B$2</f>
        <v>30833.524000000001</v>
      </c>
      <c r="K2089" s="695" t="e">
        <f t="shared" si="244"/>
        <v>#REF!</v>
      </c>
      <c r="L2089" s="690"/>
    </row>
    <row r="2090" spans="1:12" s="27" customFormat="1" ht="17.25" customHeight="1">
      <c r="A2090" s="693" t="s">
        <v>399</v>
      </c>
      <c r="B2090" s="844" t="s">
        <v>529</v>
      </c>
      <c r="C2090" s="747" t="e">
        <f>VLOOKUP(B2086,'CNKT '!#REF!,12,0)</f>
        <v>#REF!</v>
      </c>
      <c r="D2090" s="697">
        <f>76.9*$B$2</f>
        <v>51433.796000000009</v>
      </c>
      <c r="E2090" s="695" t="e">
        <f t="shared" si="243"/>
        <v>#REF!</v>
      </c>
      <c r="F2090" s="750"/>
      <c r="G2090" s="693" t="s">
        <v>399</v>
      </c>
      <c r="H2090" s="844" t="s">
        <v>529</v>
      </c>
      <c r="I2090" s="747" t="e">
        <f>VLOOKUP(H2086,'CNKT '!#REF!,12,0)</f>
        <v>#REF!</v>
      </c>
      <c r="J2090" s="697">
        <f>76.9*$B$2</f>
        <v>51433.796000000009</v>
      </c>
      <c r="K2090" s="695" t="e">
        <f t="shared" si="244"/>
        <v>#REF!</v>
      </c>
      <c r="L2090" s="690"/>
    </row>
    <row r="2091" spans="1:12" s="27" customFormat="1" ht="17.25" customHeight="1">
      <c r="A2091" s="693" t="s">
        <v>78</v>
      </c>
      <c r="B2091" s="844" t="s">
        <v>530</v>
      </c>
      <c r="C2091" s="747" t="e">
        <f>VLOOKUP(B2086,'CNKT '!#REF!,8,0)</f>
        <v>#REF!</v>
      </c>
      <c r="D2091" s="697" t="e">
        <f>IF(C2087="A",6.1,IF(C2087="B",5.8,IF(C2087="C",5.5,IF(C2087="C.",5.5,IF(C2087="D",5.2)))))*$B$2</f>
        <v>#REF!</v>
      </c>
      <c r="E2091" s="695" t="e">
        <f t="shared" si="243"/>
        <v>#REF!</v>
      </c>
      <c r="F2091" s="750"/>
      <c r="G2091" s="693" t="s">
        <v>78</v>
      </c>
      <c r="H2091" s="844" t="s">
        <v>530</v>
      </c>
      <c r="I2091" s="747" t="e">
        <f>VLOOKUP(H2086,'CNKT '!#REF!,8,0)</f>
        <v>#REF!</v>
      </c>
      <c r="J2091" s="697" t="e">
        <f>IF(I2087="A",6.1,IF(I2087="B",5.8,IF(I2087="C",5.5,IF(I2087="C.",5.5,IF(I2087="D",5.2)))))*$B$2</f>
        <v>#REF!</v>
      </c>
      <c r="K2091" s="695" t="e">
        <f t="shared" si="244"/>
        <v>#REF!</v>
      </c>
      <c r="L2091" s="690"/>
    </row>
    <row r="2092" spans="1:12" s="27" customFormat="1" ht="17.25" customHeight="1">
      <c r="A2092" s="693" t="s">
        <v>447</v>
      </c>
      <c r="B2092" s="844" t="s">
        <v>531</v>
      </c>
      <c r="C2092" s="747" t="e">
        <f>VLOOKUP(B2086,'CNKT '!#REF!,15,0)</f>
        <v>#REF!</v>
      </c>
      <c r="D2092" s="698">
        <f>92.2*$B$2</f>
        <v>61667.048000000003</v>
      </c>
      <c r="E2092" s="695" t="e">
        <f t="shared" si="243"/>
        <v>#REF!</v>
      </c>
      <c r="F2092" s="750"/>
      <c r="G2092" s="693" t="s">
        <v>447</v>
      </c>
      <c r="H2092" s="844" t="s">
        <v>531</v>
      </c>
      <c r="I2092" s="747" t="e">
        <f>VLOOKUP(H2086,'CNKT '!#REF!,15,0)</f>
        <v>#REF!</v>
      </c>
      <c r="J2092" s="698">
        <f>92.2*$B$2</f>
        <v>61667.048000000003</v>
      </c>
      <c r="K2092" s="695" t="e">
        <f t="shared" si="244"/>
        <v>#REF!</v>
      </c>
      <c r="L2092" s="690"/>
    </row>
    <row r="2093" spans="1:12" s="27" customFormat="1" ht="17.25" customHeight="1">
      <c r="A2093" s="693" t="s">
        <v>448</v>
      </c>
      <c r="B2093" s="844" t="s">
        <v>496</v>
      </c>
      <c r="C2093" s="747" t="e">
        <f>VLOOKUP(B2086,'CNKT '!#REF!,14,0)</f>
        <v>#REF!</v>
      </c>
      <c r="D2093" s="697">
        <f>153.6*$B$2</f>
        <v>102733.82400000001</v>
      </c>
      <c r="E2093" s="695" t="e">
        <f t="shared" si="243"/>
        <v>#REF!</v>
      </c>
      <c r="F2093" s="750"/>
      <c r="G2093" s="693" t="s">
        <v>448</v>
      </c>
      <c r="H2093" s="844" t="s">
        <v>496</v>
      </c>
      <c r="I2093" s="747" t="e">
        <f>VLOOKUP(H2086,'CNKT '!#REF!,14,0)</f>
        <v>#REF!</v>
      </c>
      <c r="J2093" s="697">
        <f>153.6*$B$2</f>
        <v>102733.82400000001</v>
      </c>
      <c r="K2093" s="695" t="e">
        <f t="shared" si="244"/>
        <v>#REF!</v>
      </c>
      <c r="L2093" s="690"/>
    </row>
    <row r="2094" spans="1:12" s="27" customFormat="1" ht="17.25" customHeight="1">
      <c r="A2094" s="693" t="s">
        <v>453</v>
      </c>
      <c r="B2094" s="844" t="s">
        <v>497</v>
      </c>
      <c r="C2094" s="747" t="e">
        <f>VLOOKUP(B2086,'CNKT '!#REF!,18,0)</f>
        <v>#REF!</v>
      </c>
      <c r="D2094" s="697">
        <v>10000</v>
      </c>
      <c r="E2094" s="695" t="e">
        <f>C2094*D2094</f>
        <v>#REF!</v>
      </c>
      <c r="F2094" s="750"/>
      <c r="G2094" s="693" t="s">
        <v>453</v>
      </c>
      <c r="H2094" s="844" t="s">
        <v>497</v>
      </c>
      <c r="I2094" s="747" t="e">
        <f>VLOOKUP(H2086,'CNKT '!#REF!,18,0)</f>
        <v>#REF!</v>
      </c>
      <c r="J2094" s="697">
        <v>10000</v>
      </c>
      <c r="K2094" s="695" t="e">
        <f>I2094*J2094</f>
        <v>#REF!</v>
      </c>
      <c r="L2094" s="690"/>
    </row>
    <row r="2095" spans="1:12" s="27" customFormat="1" ht="17.25" customHeight="1">
      <c r="A2095" s="693" t="s">
        <v>453</v>
      </c>
      <c r="B2095" s="844" t="s">
        <v>497</v>
      </c>
      <c r="C2095" s="747" t="e">
        <f>VLOOKUP(B2086,'CNKT '!#REF!,19,0)</f>
        <v>#REF!</v>
      </c>
      <c r="D2095" s="697">
        <v>20000</v>
      </c>
      <c r="E2095" s="695" t="e">
        <f>C2095*D2095</f>
        <v>#REF!</v>
      </c>
      <c r="F2095" s="750"/>
      <c r="G2095" s="693" t="s">
        <v>453</v>
      </c>
      <c r="H2095" s="844" t="s">
        <v>497</v>
      </c>
      <c r="I2095" s="747" t="e">
        <f>VLOOKUP(H2086,'CNKT '!#REF!,19,0)</f>
        <v>#REF!</v>
      </c>
      <c r="J2095" s="697">
        <v>20000</v>
      </c>
      <c r="K2095" s="695" t="e">
        <f>I2095*J2095</f>
        <v>#REF!</v>
      </c>
      <c r="L2095" s="690"/>
    </row>
    <row r="2096" spans="1:12" s="27" customFormat="1" ht="17.25" customHeight="1">
      <c r="A2096" s="699" t="s">
        <v>79</v>
      </c>
      <c r="B2096" s="845" t="s">
        <v>532</v>
      </c>
      <c r="C2096" s="700"/>
      <c r="D2096" s="701"/>
      <c r="E2096" s="700"/>
      <c r="F2096" s="750"/>
      <c r="G2096" s="699" t="s">
        <v>79</v>
      </c>
      <c r="H2096" s="845" t="s">
        <v>532</v>
      </c>
      <c r="I2096" s="700"/>
      <c r="J2096" s="701"/>
      <c r="K2096" s="700"/>
      <c r="L2096" s="690"/>
    </row>
    <row r="2097" spans="1:12" s="27" customFormat="1" ht="17.25" customHeight="1">
      <c r="A2097" s="702" t="s">
        <v>80</v>
      </c>
      <c r="B2097" s="846" t="s">
        <v>533</v>
      </c>
      <c r="C2097" s="700"/>
      <c r="D2097" s="700"/>
      <c r="E2097" s="700"/>
      <c r="F2097" s="750"/>
      <c r="G2097" s="702" t="s">
        <v>80</v>
      </c>
      <c r="H2097" s="846" t="s">
        <v>533</v>
      </c>
      <c r="I2097" s="700"/>
      <c r="J2097" s="700"/>
      <c r="K2097" s="700"/>
      <c r="L2097" s="690"/>
    </row>
    <row r="2098" spans="1:12" s="27" customFormat="1" ht="17.25" customHeight="1">
      <c r="A2098" s="702" t="s">
        <v>81</v>
      </c>
      <c r="B2098" s="847" t="s">
        <v>534</v>
      </c>
      <c r="C2098" s="700"/>
      <c r="D2098" s="700"/>
      <c r="E2098" s="695">
        <f>SUM(E2097)</f>
        <v>0</v>
      </c>
      <c r="F2098" s="750"/>
      <c r="G2098" s="702" t="s">
        <v>81</v>
      </c>
      <c r="H2098" s="847" t="s">
        <v>534</v>
      </c>
      <c r="I2098" s="700"/>
      <c r="J2098" s="700"/>
      <c r="K2098" s="695">
        <f>SUM(K2097)</f>
        <v>0</v>
      </c>
      <c r="L2098" s="690"/>
    </row>
    <row r="2099" spans="1:12" s="27" customFormat="1" ht="17.25" customHeight="1">
      <c r="A2099" s="704" t="s">
        <v>82</v>
      </c>
      <c r="B2099" s="848" t="s">
        <v>438</v>
      </c>
      <c r="C2099" s="705"/>
      <c r="D2099" s="705"/>
      <c r="E2099" s="705" t="e">
        <f>(E2088+E2089+E2090+E2091+E2092+E2093+E2094+E2095)-E2098</f>
        <v>#REF!</v>
      </c>
      <c r="F2099" s="750"/>
      <c r="G2099" s="704" t="s">
        <v>82</v>
      </c>
      <c r="H2099" s="848" t="s">
        <v>438</v>
      </c>
      <c r="I2099" s="705"/>
      <c r="J2099" s="705"/>
      <c r="K2099" s="705" t="e">
        <f>(K2088+K2089+K2090+K2091+K2092+K2093+K2094+K2095)-K2098</f>
        <v>#REF!</v>
      </c>
      <c r="L2099" s="707" t="e">
        <f>E2099+K2099</f>
        <v>#REF!</v>
      </c>
    </row>
    <row r="2100" spans="1:12" s="27" customFormat="1" ht="17.25" customHeight="1">
      <c r="A2100" s="763"/>
      <c r="B2100" s="763"/>
      <c r="C2100" s="763"/>
      <c r="D2100" s="763"/>
      <c r="E2100" s="763"/>
      <c r="F2100" s="763"/>
      <c r="G2100" s="763"/>
      <c r="H2100" s="763"/>
      <c r="I2100" s="763"/>
      <c r="J2100" s="763"/>
      <c r="K2100" s="763"/>
      <c r="L2100" s="690"/>
    </row>
    <row r="2101" spans="1:12" s="27" customFormat="1" ht="17.25" customHeight="1">
      <c r="A2101" s="759" t="str">
        <f>A2085</f>
        <v>LƯƠNG THÁNG 01/2025</v>
      </c>
      <c r="B2101" s="763"/>
      <c r="C2101" s="763"/>
      <c r="D2101" s="763"/>
      <c r="E2101" s="766" t="e">
        <f>VLOOKUP(B2102,'CNKT '!#REF!,26,0)</f>
        <v>#REF!</v>
      </c>
      <c r="F2101" s="750"/>
      <c r="G2101" s="759" t="str">
        <f>A2101</f>
        <v>LƯƠNG THÁNG 01/2025</v>
      </c>
      <c r="H2101" s="763"/>
      <c r="I2101" s="763"/>
      <c r="J2101" s="766"/>
      <c r="K2101" s="766" t="e">
        <f>VLOOKUP(H2102,'CNKT '!#REF!,26,0)</f>
        <v>#REF!</v>
      </c>
      <c r="L2101" s="690"/>
    </row>
    <row r="2102" spans="1:12" s="27" customFormat="1" ht="17.25" customHeight="1">
      <c r="A2102" s="709" t="s">
        <v>15</v>
      </c>
      <c r="B2102" s="840" t="e">
        <f>'CNKT '!#REF!</f>
        <v>#REF!</v>
      </c>
      <c r="C2102" s="694"/>
      <c r="D2102" s="840" t="s">
        <v>396</v>
      </c>
      <c r="E2102" s="840" t="s">
        <v>18</v>
      </c>
      <c r="F2102" s="750"/>
      <c r="G2102" s="709" t="s">
        <v>15</v>
      </c>
      <c r="H2102" s="840" t="e">
        <f>'CNKT '!#REF!</f>
        <v>#REF!</v>
      </c>
      <c r="I2102" s="694"/>
      <c r="J2102" s="840" t="s">
        <v>396</v>
      </c>
      <c r="K2102" s="840" t="s">
        <v>18</v>
      </c>
      <c r="L2102" s="690"/>
    </row>
    <row r="2103" spans="1:12" s="27" customFormat="1" ht="17.25" customHeight="1">
      <c r="A2103" s="693" t="s">
        <v>397</v>
      </c>
      <c r="B2103" s="842" t="s">
        <v>527</v>
      </c>
      <c r="C2103" s="694" t="e">
        <f>VLOOKUP(B2102,'BTH mủ tạp'!$D$161:$AN$161,36,0)</f>
        <v>#REF!</v>
      </c>
      <c r="D2103" s="695"/>
      <c r="E2103" s="695"/>
      <c r="F2103" s="750"/>
      <c r="G2103" s="693" t="s">
        <v>397</v>
      </c>
      <c r="H2103" s="842" t="s">
        <v>527</v>
      </c>
      <c r="I2103" s="694" t="e">
        <f>VLOOKUP(H2102,'BTH mủ tạp'!$D$161:$AN$161,36,0)</f>
        <v>#REF!</v>
      </c>
      <c r="J2103" s="695"/>
      <c r="K2103" s="695"/>
      <c r="L2103" s="690"/>
    </row>
    <row r="2104" spans="1:12" s="27" customFormat="1" ht="17.25" customHeight="1">
      <c r="A2104" s="693" t="s">
        <v>77</v>
      </c>
      <c r="B2104" s="843" t="s">
        <v>432</v>
      </c>
      <c r="C2104" s="696" t="e">
        <f>VLOOKUP(B2102,'CNKT '!#REF!,3,0)</f>
        <v>#REF!</v>
      </c>
      <c r="D2104" s="697">
        <v>25000</v>
      </c>
      <c r="E2104" s="695" t="e">
        <f t="shared" ref="E2104:E2109" si="245">C2104*D2104</f>
        <v>#REF!</v>
      </c>
      <c r="F2104" s="750"/>
      <c r="G2104" s="693" t="s">
        <v>77</v>
      </c>
      <c r="H2104" s="843" t="s">
        <v>432</v>
      </c>
      <c r="I2104" s="696" t="e">
        <f>VLOOKUP(H2102,'CNKT '!#REF!,3,0)</f>
        <v>#REF!</v>
      </c>
      <c r="J2104" s="697">
        <v>25000</v>
      </c>
      <c r="K2104" s="695" t="e">
        <f t="shared" ref="K2104:K2109" si="246">I2104*J2104</f>
        <v>#REF!</v>
      </c>
      <c r="L2104" s="690"/>
    </row>
    <row r="2105" spans="1:12" s="27" customFormat="1" ht="17.25" customHeight="1">
      <c r="A2105" s="693" t="s">
        <v>307</v>
      </c>
      <c r="B2105" s="844" t="s">
        <v>528</v>
      </c>
      <c r="C2105" s="747" t="e">
        <f>VLOOKUP(B2102,'CNKT '!#REF!,11,0)</f>
        <v>#REF!</v>
      </c>
      <c r="D2105" s="698">
        <f>46.1*$B$2</f>
        <v>30833.524000000001</v>
      </c>
      <c r="E2105" s="695" t="e">
        <f t="shared" si="245"/>
        <v>#REF!</v>
      </c>
      <c r="F2105" s="750"/>
      <c r="G2105" s="693" t="s">
        <v>307</v>
      </c>
      <c r="H2105" s="844" t="s">
        <v>528</v>
      </c>
      <c r="I2105" s="747" t="e">
        <f>VLOOKUP(H2102,'CNKT '!#REF!,11,0)</f>
        <v>#REF!</v>
      </c>
      <c r="J2105" s="698">
        <f>46.1*$B$2</f>
        <v>30833.524000000001</v>
      </c>
      <c r="K2105" s="695" t="e">
        <f t="shared" si="246"/>
        <v>#REF!</v>
      </c>
      <c r="L2105" s="690"/>
    </row>
    <row r="2106" spans="1:12" s="27" customFormat="1" ht="17.25" customHeight="1">
      <c r="A2106" s="693" t="s">
        <v>399</v>
      </c>
      <c r="B2106" s="844" t="s">
        <v>529</v>
      </c>
      <c r="C2106" s="747" t="e">
        <f>VLOOKUP(B2102,'CNKT '!#REF!,12,0)</f>
        <v>#REF!</v>
      </c>
      <c r="D2106" s="697">
        <f>76.9*$B$2</f>
        <v>51433.796000000009</v>
      </c>
      <c r="E2106" s="695" t="e">
        <f t="shared" si="245"/>
        <v>#REF!</v>
      </c>
      <c r="F2106" s="750"/>
      <c r="G2106" s="693" t="s">
        <v>399</v>
      </c>
      <c r="H2106" s="844" t="s">
        <v>529</v>
      </c>
      <c r="I2106" s="747" t="e">
        <f>VLOOKUP(H2102,'CNKT '!#REF!,12,0)</f>
        <v>#REF!</v>
      </c>
      <c r="J2106" s="697">
        <f>76.9*$B$2</f>
        <v>51433.796000000009</v>
      </c>
      <c r="K2106" s="695" t="e">
        <f t="shared" si="246"/>
        <v>#REF!</v>
      </c>
      <c r="L2106" s="690"/>
    </row>
    <row r="2107" spans="1:12" s="27" customFormat="1" ht="17.25" customHeight="1">
      <c r="A2107" s="693" t="s">
        <v>78</v>
      </c>
      <c r="B2107" s="844" t="s">
        <v>530</v>
      </c>
      <c r="C2107" s="747" t="e">
        <f>VLOOKUP(B2102,'CNKT '!#REF!,8,0)</f>
        <v>#REF!</v>
      </c>
      <c r="D2107" s="697" t="e">
        <f>IF(C2103="A",6.1,IF(C2103="B",5.8,IF(C2103="C",5.5,IF(C2103="C.",5.5,IF(C2103="D",5.2)))))*$B$2</f>
        <v>#REF!</v>
      </c>
      <c r="E2107" s="695" t="e">
        <f t="shared" si="245"/>
        <v>#REF!</v>
      </c>
      <c r="F2107" s="750"/>
      <c r="G2107" s="693" t="s">
        <v>78</v>
      </c>
      <c r="H2107" s="844" t="s">
        <v>530</v>
      </c>
      <c r="I2107" s="747" t="e">
        <f>VLOOKUP(H2102,'CNKT '!#REF!,8,0)</f>
        <v>#REF!</v>
      </c>
      <c r="J2107" s="697" t="e">
        <f>IF(I2103="A",6.1,IF(I2103="B",5.8,IF(I2103="C",5.5,IF(I2103="C.",5.5,IF(I2103="D",5.2)))))*$B$2</f>
        <v>#REF!</v>
      </c>
      <c r="K2107" s="695" t="e">
        <f t="shared" si="246"/>
        <v>#REF!</v>
      </c>
      <c r="L2107" s="690"/>
    </row>
    <row r="2108" spans="1:12" s="27" customFormat="1" ht="17.25" customHeight="1">
      <c r="A2108" s="693" t="s">
        <v>447</v>
      </c>
      <c r="B2108" s="844" t="s">
        <v>531</v>
      </c>
      <c r="C2108" s="747" t="e">
        <f>VLOOKUP(B2102,'CNKT '!#REF!,15,0)</f>
        <v>#REF!</v>
      </c>
      <c r="D2108" s="698">
        <f>92.2*$B$2</f>
        <v>61667.048000000003</v>
      </c>
      <c r="E2108" s="695" t="e">
        <f t="shared" si="245"/>
        <v>#REF!</v>
      </c>
      <c r="F2108" s="750"/>
      <c r="G2108" s="693" t="s">
        <v>447</v>
      </c>
      <c r="H2108" s="844" t="s">
        <v>531</v>
      </c>
      <c r="I2108" s="747" t="e">
        <f>VLOOKUP(H2102,'CNKT '!#REF!,15,0)</f>
        <v>#REF!</v>
      </c>
      <c r="J2108" s="698">
        <f>92.2*$B$2</f>
        <v>61667.048000000003</v>
      </c>
      <c r="K2108" s="695" t="e">
        <f t="shared" si="246"/>
        <v>#REF!</v>
      </c>
      <c r="L2108" s="690"/>
    </row>
    <row r="2109" spans="1:12" s="27" customFormat="1" ht="17.25" customHeight="1">
      <c r="A2109" s="693" t="s">
        <v>448</v>
      </c>
      <c r="B2109" s="844" t="s">
        <v>496</v>
      </c>
      <c r="C2109" s="747" t="e">
        <f>VLOOKUP(B2102,'CNKT '!#REF!,14,0)</f>
        <v>#REF!</v>
      </c>
      <c r="D2109" s="697">
        <f>153.6*$B$2</f>
        <v>102733.82400000001</v>
      </c>
      <c r="E2109" s="695" t="e">
        <f t="shared" si="245"/>
        <v>#REF!</v>
      </c>
      <c r="F2109" s="750"/>
      <c r="G2109" s="693" t="s">
        <v>448</v>
      </c>
      <c r="H2109" s="844" t="s">
        <v>496</v>
      </c>
      <c r="I2109" s="747" t="e">
        <f>VLOOKUP(H2102,'CNKT '!#REF!,14,0)</f>
        <v>#REF!</v>
      </c>
      <c r="J2109" s="697">
        <f>153.6*$B$2</f>
        <v>102733.82400000001</v>
      </c>
      <c r="K2109" s="695" t="e">
        <f t="shared" si="246"/>
        <v>#REF!</v>
      </c>
      <c r="L2109" s="690"/>
    </row>
    <row r="2110" spans="1:12" s="27" customFormat="1" ht="17.25" customHeight="1">
      <c r="A2110" s="693" t="s">
        <v>453</v>
      </c>
      <c r="B2110" s="844" t="s">
        <v>497</v>
      </c>
      <c r="C2110" s="747" t="e">
        <f>VLOOKUP(B2102,'CNKT '!#REF!,18,0)</f>
        <v>#REF!</v>
      </c>
      <c r="D2110" s="697">
        <v>10000</v>
      </c>
      <c r="E2110" s="695" t="e">
        <f>C2110*D2110</f>
        <v>#REF!</v>
      </c>
      <c r="F2110" s="750"/>
      <c r="G2110" s="693" t="s">
        <v>453</v>
      </c>
      <c r="H2110" s="844" t="s">
        <v>497</v>
      </c>
      <c r="I2110" s="747" t="e">
        <f>VLOOKUP(H2102,'CNKT '!#REF!,18,0)</f>
        <v>#REF!</v>
      </c>
      <c r="J2110" s="697">
        <v>10000</v>
      </c>
      <c r="K2110" s="695" t="e">
        <f>I2110*J2110</f>
        <v>#REF!</v>
      </c>
      <c r="L2110" s="690"/>
    </row>
    <row r="2111" spans="1:12" s="27" customFormat="1" ht="17.25" customHeight="1">
      <c r="A2111" s="693" t="s">
        <v>453</v>
      </c>
      <c r="B2111" s="844" t="s">
        <v>497</v>
      </c>
      <c r="C2111" s="747" t="e">
        <f>VLOOKUP(B2102,'CNKT '!#REF!,19,0)</f>
        <v>#REF!</v>
      </c>
      <c r="D2111" s="697">
        <v>20000</v>
      </c>
      <c r="E2111" s="695" t="e">
        <f>C2111*D2111</f>
        <v>#REF!</v>
      </c>
      <c r="F2111" s="750"/>
      <c r="G2111" s="693" t="s">
        <v>453</v>
      </c>
      <c r="H2111" s="844" t="s">
        <v>497</v>
      </c>
      <c r="I2111" s="747" t="e">
        <f>VLOOKUP(H2102,'CNKT '!#REF!,19,0)</f>
        <v>#REF!</v>
      </c>
      <c r="J2111" s="697">
        <v>20000</v>
      </c>
      <c r="K2111" s="695" t="e">
        <f>I2111*J2111</f>
        <v>#REF!</v>
      </c>
      <c r="L2111" s="690"/>
    </row>
    <row r="2112" spans="1:12" s="27" customFormat="1" ht="17.25" customHeight="1">
      <c r="A2112" s="699" t="s">
        <v>79</v>
      </c>
      <c r="B2112" s="845" t="s">
        <v>532</v>
      </c>
      <c r="C2112" s="700"/>
      <c r="D2112" s="701"/>
      <c r="E2112" s="700"/>
      <c r="F2112" s="750"/>
      <c r="G2112" s="699" t="s">
        <v>79</v>
      </c>
      <c r="H2112" s="845" t="s">
        <v>532</v>
      </c>
      <c r="I2112" s="700"/>
      <c r="J2112" s="701"/>
      <c r="K2112" s="700"/>
      <c r="L2112" s="690"/>
    </row>
    <row r="2113" spans="1:12" s="27" customFormat="1" ht="17.25" customHeight="1">
      <c r="A2113" s="702" t="s">
        <v>80</v>
      </c>
      <c r="B2113" s="846" t="s">
        <v>533</v>
      </c>
      <c r="C2113" s="700"/>
      <c r="D2113" s="700"/>
      <c r="E2113" s="700"/>
      <c r="F2113" s="750"/>
      <c r="G2113" s="702" t="s">
        <v>80</v>
      </c>
      <c r="H2113" s="846" t="s">
        <v>533</v>
      </c>
      <c r="I2113" s="700"/>
      <c r="J2113" s="700"/>
      <c r="K2113" s="700"/>
      <c r="L2113" s="690"/>
    </row>
    <row r="2114" spans="1:12" s="27" customFormat="1" ht="17.25" customHeight="1">
      <c r="A2114" s="702" t="s">
        <v>81</v>
      </c>
      <c r="B2114" s="847" t="s">
        <v>534</v>
      </c>
      <c r="C2114" s="700"/>
      <c r="D2114" s="700"/>
      <c r="E2114" s="695">
        <f>SUM(E2113)</f>
        <v>0</v>
      </c>
      <c r="F2114" s="750"/>
      <c r="G2114" s="702" t="s">
        <v>81</v>
      </c>
      <c r="H2114" s="847" t="s">
        <v>534</v>
      </c>
      <c r="I2114" s="700"/>
      <c r="J2114" s="700"/>
      <c r="K2114" s="695">
        <f>SUM(K2113)</f>
        <v>0</v>
      </c>
      <c r="L2114" s="690"/>
    </row>
    <row r="2115" spans="1:12" s="27" customFormat="1" ht="17.25" customHeight="1">
      <c r="A2115" s="704" t="s">
        <v>82</v>
      </c>
      <c r="B2115" s="848" t="s">
        <v>438</v>
      </c>
      <c r="C2115" s="705"/>
      <c r="D2115" s="705"/>
      <c r="E2115" s="705" t="e">
        <f>(E2104+E2105+E2106+E2107+E2108+E2109+E2110+E2111)-E2114</f>
        <v>#REF!</v>
      </c>
      <c r="F2115" s="750"/>
      <c r="G2115" s="704" t="s">
        <v>82</v>
      </c>
      <c r="H2115" s="848" t="s">
        <v>438</v>
      </c>
      <c r="I2115" s="705"/>
      <c r="J2115" s="705"/>
      <c r="K2115" s="705" t="e">
        <f>(K2104+K2105+K2106+K2107+K2108+K2109+K2110+K2111)-K2114</f>
        <v>#REF!</v>
      </c>
      <c r="L2115" s="707" t="e">
        <f>E2115+K2115</f>
        <v>#REF!</v>
      </c>
    </row>
    <row r="2116" spans="1:12" s="27" customFormat="1" ht="17.25" customHeight="1">
      <c r="A2116" s="763"/>
      <c r="B2116" s="763"/>
      <c r="C2116" s="763"/>
      <c r="D2116" s="763"/>
      <c r="E2116" s="763"/>
      <c r="F2116" s="763"/>
      <c r="G2116" s="763"/>
      <c r="H2116" s="763"/>
      <c r="I2116" s="763"/>
      <c r="J2116" s="763"/>
      <c r="K2116" s="763"/>
      <c r="L2116" s="690"/>
    </row>
    <row r="2117" spans="1:12" s="27" customFormat="1" ht="17.25" customHeight="1">
      <c r="A2117" s="759" t="str">
        <f>A2101</f>
        <v>LƯƠNG THÁNG 01/2025</v>
      </c>
      <c r="B2117" s="763"/>
      <c r="C2117" s="763"/>
      <c r="D2117" s="763"/>
      <c r="E2117" s="766" t="e">
        <f>VLOOKUP(B2118,'CNKT '!#REF!,26,0)</f>
        <v>#REF!</v>
      </c>
      <c r="F2117" s="750"/>
      <c r="G2117" s="759" t="str">
        <f>A2117</f>
        <v>LƯƠNG THÁNG 01/2025</v>
      </c>
      <c r="H2117" s="763"/>
      <c r="I2117" s="763"/>
      <c r="J2117" s="766"/>
      <c r="K2117" s="766" t="e">
        <f>VLOOKUP(H2118,'CNKT '!#REF!,26,0)</f>
        <v>#REF!</v>
      </c>
      <c r="L2117" s="690"/>
    </row>
    <row r="2118" spans="1:12" s="27" customFormat="1" ht="17.25" customHeight="1">
      <c r="A2118" s="709" t="s">
        <v>15</v>
      </c>
      <c r="B2118" s="840" t="e">
        <f>'CNKT '!#REF!</f>
        <v>#REF!</v>
      </c>
      <c r="C2118" s="694"/>
      <c r="D2118" s="840" t="s">
        <v>396</v>
      </c>
      <c r="E2118" s="840" t="s">
        <v>18</v>
      </c>
      <c r="F2118" s="750"/>
      <c r="G2118" s="709" t="s">
        <v>15</v>
      </c>
      <c r="H2118" s="840" t="e">
        <f>'CNKT '!#REF!</f>
        <v>#REF!</v>
      </c>
      <c r="I2118" s="694"/>
      <c r="J2118" s="840" t="s">
        <v>396</v>
      </c>
      <c r="K2118" s="840" t="s">
        <v>18</v>
      </c>
      <c r="L2118" s="690"/>
    </row>
    <row r="2119" spans="1:12" s="27" customFormat="1" ht="17.25" customHeight="1">
      <c r="A2119" s="693" t="s">
        <v>397</v>
      </c>
      <c r="B2119" s="842" t="s">
        <v>527</v>
      </c>
      <c r="C2119" s="694" t="e">
        <f>VLOOKUP(B2118,'BTH mủ tạp'!$D$161:$AN$161,36,0)</f>
        <v>#REF!</v>
      </c>
      <c r="D2119" s="695"/>
      <c r="E2119" s="695"/>
      <c r="F2119" s="750"/>
      <c r="G2119" s="693" t="s">
        <v>397</v>
      </c>
      <c r="H2119" s="842" t="s">
        <v>527</v>
      </c>
      <c r="I2119" s="694" t="e">
        <f>VLOOKUP(H2118,'BTH mủ tạp'!$D$161:$AN$161,36,0)</f>
        <v>#REF!</v>
      </c>
      <c r="J2119" s="695"/>
      <c r="K2119" s="695"/>
      <c r="L2119" s="690"/>
    </row>
    <row r="2120" spans="1:12" s="27" customFormat="1" ht="17.25" customHeight="1">
      <c r="A2120" s="693" t="s">
        <v>77</v>
      </c>
      <c r="B2120" s="843" t="s">
        <v>432</v>
      </c>
      <c r="C2120" s="696" t="e">
        <f>VLOOKUP(B2118,'CNKT '!#REF!,3,0)</f>
        <v>#REF!</v>
      </c>
      <c r="D2120" s="697">
        <v>25000</v>
      </c>
      <c r="E2120" s="695" t="e">
        <f t="shared" ref="E2120:E2125" si="247">C2120*D2120</f>
        <v>#REF!</v>
      </c>
      <c r="F2120" s="750"/>
      <c r="G2120" s="693" t="s">
        <v>77</v>
      </c>
      <c r="H2120" s="843" t="s">
        <v>432</v>
      </c>
      <c r="I2120" s="696" t="e">
        <f>VLOOKUP(H2118,'CNKT '!#REF!,3,0)</f>
        <v>#REF!</v>
      </c>
      <c r="J2120" s="697">
        <v>25000</v>
      </c>
      <c r="K2120" s="695" t="e">
        <f t="shared" ref="K2120:K2125" si="248">I2120*J2120</f>
        <v>#REF!</v>
      </c>
      <c r="L2120" s="690"/>
    </row>
    <row r="2121" spans="1:12" s="27" customFormat="1" ht="17.25" customHeight="1">
      <c r="A2121" s="693" t="s">
        <v>307</v>
      </c>
      <c r="B2121" s="844" t="s">
        <v>528</v>
      </c>
      <c r="C2121" s="747" t="e">
        <f>VLOOKUP(B2118,'CNKT '!#REF!,11,0)</f>
        <v>#REF!</v>
      </c>
      <c r="D2121" s="698">
        <f>46.1*$B$2</f>
        <v>30833.524000000001</v>
      </c>
      <c r="E2121" s="695" t="e">
        <f t="shared" si="247"/>
        <v>#REF!</v>
      </c>
      <c r="F2121" s="750"/>
      <c r="G2121" s="693" t="s">
        <v>307</v>
      </c>
      <c r="H2121" s="844" t="s">
        <v>528</v>
      </c>
      <c r="I2121" s="747" t="e">
        <f>VLOOKUP(H2118,'CNKT '!#REF!,11,0)</f>
        <v>#REF!</v>
      </c>
      <c r="J2121" s="698">
        <f>46.1*$B$2</f>
        <v>30833.524000000001</v>
      </c>
      <c r="K2121" s="695" t="e">
        <f t="shared" si="248"/>
        <v>#REF!</v>
      </c>
      <c r="L2121" s="690"/>
    </row>
    <row r="2122" spans="1:12" s="27" customFormat="1" ht="17.25" customHeight="1">
      <c r="A2122" s="693" t="s">
        <v>399</v>
      </c>
      <c r="B2122" s="844" t="s">
        <v>529</v>
      </c>
      <c r="C2122" s="747" t="e">
        <f>VLOOKUP(B2118,'CNKT '!#REF!,12,0)</f>
        <v>#REF!</v>
      </c>
      <c r="D2122" s="697">
        <f>76.9*$B$2</f>
        <v>51433.796000000009</v>
      </c>
      <c r="E2122" s="695" t="e">
        <f t="shared" si="247"/>
        <v>#REF!</v>
      </c>
      <c r="F2122" s="750"/>
      <c r="G2122" s="693" t="s">
        <v>399</v>
      </c>
      <c r="H2122" s="844" t="s">
        <v>529</v>
      </c>
      <c r="I2122" s="747" t="e">
        <f>VLOOKUP(H2118,'CNKT '!#REF!,12,0)</f>
        <v>#REF!</v>
      </c>
      <c r="J2122" s="697">
        <f>76.9*$B$2</f>
        <v>51433.796000000009</v>
      </c>
      <c r="K2122" s="695" t="e">
        <f t="shared" si="248"/>
        <v>#REF!</v>
      </c>
      <c r="L2122" s="690"/>
    </row>
    <row r="2123" spans="1:12" s="27" customFormat="1" ht="17.25" customHeight="1">
      <c r="A2123" s="693" t="s">
        <v>78</v>
      </c>
      <c r="B2123" s="844" t="s">
        <v>530</v>
      </c>
      <c r="C2123" s="747" t="e">
        <f>VLOOKUP(B2118,'CNKT '!#REF!,8,0)</f>
        <v>#REF!</v>
      </c>
      <c r="D2123" s="697" t="e">
        <f>IF(C2119="A",6.1,IF(C2119="B",5.8,IF(C2119="C",5.5,IF(C2119="C.",5.5,IF(C2119="D",5.2)))))*$B$2</f>
        <v>#REF!</v>
      </c>
      <c r="E2123" s="695" t="e">
        <f t="shared" si="247"/>
        <v>#REF!</v>
      </c>
      <c r="F2123" s="750"/>
      <c r="G2123" s="693" t="s">
        <v>78</v>
      </c>
      <c r="H2123" s="844" t="s">
        <v>530</v>
      </c>
      <c r="I2123" s="747" t="e">
        <f>VLOOKUP(H2118,'CNKT '!#REF!,8,0)</f>
        <v>#REF!</v>
      </c>
      <c r="J2123" s="697" t="e">
        <f>IF(I2119="A",6.1,IF(I2119="B",5.8,IF(I2119="C",5.5,IF(I2119="C.",5.5,IF(I2119="D",5.2)))))*$B$2</f>
        <v>#REF!</v>
      </c>
      <c r="K2123" s="695" t="e">
        <f t="shared" si="248"/>
        <v>#REF!</v>
      </c>
      <c r="L2123" s="690"/>
    </row>
    <row r="2124" spans="1:12" s="27" customFormat="1" ht="17.25" customHeight="1">
      <c r="A2124" s="693" t="s">
        <v>447</v>
      </c>
      <c r="B2124" s="844" t="s">
        <v>531</v>
      </c>
      <c r="C2124" s="747" t="e">
        <f>VLOOKUP(B2118,'CNKT '!#REF!,15,0)</f>
        <v>#REF!</v>
      </c>
      <c r="D2124" s="698">
        <f>92.2*$B$2</f>
        <v>61667.048000000003</v>
      </c>
      <c r="E2124" s="695" t="e">
        <f t="shared" si="247"/>
        <v>#REF!</v>
      </c>
      <c r="F2124" s="750"/>
      <c r="G2124" s="693" t="s">
        <v>447</v>
      </c>
      <c r="H2124" s="844" t="s">
        <v>531</v>
      </c>
      <c r="I2124" s="747" t="e">
        <f>VLOOKUP(H2118,'CNKT '!#REF!,15,0)</f>
        <v>#REF!</v>
      </c>
      <c r="J2124" s="698">
        <f>92.2*$B$2</f>
        <v>61667.048000000003</v>
      </c>
      <c r="K2124" s="695" t="e">
        <f t="shared" si="248"/>
        <v>#REF!</v>
      </c>
      <c r="L2124" s="690"/>
    </row>
    <row r="2125" spans="1:12" s="27" customFormat="1" ht="17.25" customHeight="1">
      <c r="A2125" s="693" t="s">
        <v>448</v>
      </c>
      <c r="B2125" s="844" t="s">
        <v>496</v>
      </c>
      <c r="C2125" s="747" t="e">
        <f>VLOOKUP(B2118,'CNKT '!#REF!,14,0)</f>
        <v>#REF!</v>
      </c>
      <c r="D2125" s="697">
        <f>153.6*$B$2</f>
        <v>102733.82400000001</v>
      </c>
      <c r="E2125" s="695" t="e">
        <f t="shared" si="247"/>
        <v>#REF!</v>
      </c>
      <c r="F2125" s="750"/>
      <c r="G2125" s="693" t="s">
        <v>448</v>
      </c>
      <c r="H2125" s="844" t="s">
        <v>496</v>
      </c>
      <c r="I2125" s="747" t="e">
        <f>VLOOKUP(H2118,'CNKT '!#REF!,14,0)</f>
        <v>#REF!</v>
      </c>
      <c r="J2125" s="697">
        <f>153.6*$B$2</f>
        <v>102733.82400000001</v>
      </c>
      <c r="K2125" s="695" t="e">
        <f t="shared" si="248"/>
        <v>#REF!</v>
      </c>
      <c r="L2125" s="690"/>
    </row>
    <row r="2126" spans="1:12" s="27" customFormat="1" ht="17.25" customHeight="1">
      <c r="A2126" s="693" t="s">
        <v>453</v>
      </c>
      <c r="B2126" s="844" t="s">
        <v>497</v>
      </c>
      <c r="C2126" s="747" t="e">
        <f>VLOOKUP(B2118,'CNKT '!#REF!,18,0)</f>
        <v>#REF!</v>
      </c>
      <c r="D2126" s="697">
        <v>10000</v>
      </c>
      <c r="E2126" s="695" t="e">
        <f>C2126*D2126</f>
        <v>#REF!</v>
      </c>
      <c r="F2126" s="750"/>
      <c r="G2126" s="693" t="s">
        <v>453</v>
      </c>
      <c r="H2126" s="844" t="s">
        <v>497</v>
      </c>
      <c r="I2126" s="747" t="e">
        <f>VLOOKUP(H2118,'CNKT '!#REF!,18,0)</f>
        <v>#REF!</v>
      </c>
      <c r="J2126" s="697">
        <v>10000</v>
      </c>
      <c r="K2126" s="695" t="e">
        <f>I2126*J2126</f>
        <v>#REF!</v>
      </c>
      <c r="L2126" s="690"/>
    </row>
    <row r="2127" spans="1:12" s="27" customFormat="1" ht="17.25" customHeight="1">
      <c r="A2127" s="693" t="s">
        <v>453</v>
      </c>
      <c r="B2127" s="844" t="s">
        <v>497</v>
      </c>
      <c r="C2127" s="747" t="e">
        <f>VLOOKUP(B2118,'CNKT '!#REF!,19,0)</f>
        <v>#REF!</v>
      </c>
      <c r="D2127" s="697">
        <v>20000</v>
      </c>
      <c r="E2127" s="695" t="e">
        <f>C2127*D2127</f>
        <v>#REF!</v>
      </c>
      <c r="F2127" s="750"/>
      <c r="G2127" s="693" t="s">
        <v>453</v>
      </c>
      <c r="H2127" s="844" t="s">
        <v>497</v>
      </c>
      <c r="I2127" s="747" t="e">
        <f>VLOOKUP(H2118,'CNKT '!#REF!,19,0)</f>
        <v>#REF!</v>
      </c>
      <c r="J2127" s="697">
        <v>20000</v>
      </c>
      <c r="K2127" s="695" t="e">
        <f>I2127*J2127</f>
        <v>#REF!</v>
      </c>
      <c r="L2127" s="690"/>
    </row>
    <row r="2128" spans="1:12" s="27" customFormat="1" ht="17.25" customHeight="1">
      <c r="A2128" s="699" t="s">
        <v>79</v>
      </c>
      <c r="B2128" s="845" t="s">
        <v>532</v>
      </c>
      <c r="C2128" s="700"/>
      <c r="D2128" s="701"/>
      <c r="E2128" s="700"/>
      <c r="F2128" s="750"/>
      <c r="G2128" s="699" t="s">
        <v>79</v>
      </c>
      <c r="H2128" s="845" t="s">
        <v>532</v>
      </c>
      <c r="I2128" s="700"/>
      <c r="J2128" s="701"/>
      <c r="K2128" s="700"/>
      <c r="L2128" s="690"/>
    </row>
    <row r="2129" spans="1:12" s="27" customFormat="1" ht="17.25" customHeight="1">
      <c r="A2129" s="702" t="s">
        <v>80</v>
      </c>
      <c r="B2129" s="846" t="s">
        <v>533</v>
      </c>
      <c r="C2129" s="700"/>
      <c r="D2129" s="700"/>
      <c r="E2129" s="700"/>
      <c r="F2129" s="750"/>
      <c r="G2129" s="702" t="s">
        <v>80</v>
      </c>
      <c r="H2129" s="846" t="s">
        <v>533</v>
      </c>
      <c r="I2129" s="700"/>
      <c r="J2129" s="700"/>
      <c r="K2129" s="700"/>
      <c r="L2129" s="690"/>
    </row>
    <row r="2130" spans="1:12" s="27" customFormat="1" ht="17.25" customHeight="1">
      <c r="A2130" s="702" t="s">
        <v>81</v>
      </c>
      <c r="B2130" s="847" t="s">
        <v>534</v>
      </c>
      <c r="C2130" s="700"/>
      <c r="D2130" s="700"/>
      <c r="E2130" s="695">
        <f>SUM(E2129)</f>
        <v>0</v>
      </c>
      <c r="F2130" s="747"/>
      <c r="G2130" s="702" t="s">
        <v>81</v>
      </c>
      <c r="H2130" s="847" t="s">
        <v>534</v>
      </c>
      <c r="I2130" s="700"/>
      <c r="J2130" s="700"/>
      <c r="K2130" s="695">
        <f>SUM(K2129)</f>
        <v>0</v>
      </c>
      <c r="L2130" s="690"/>
    </row>
    <row r="2131" spans="1:12" s="27" customFormat="1" ht="17.25" customHeight="1">
      <c r="A2131" s="704" t="s">
        <v>82</v>
      </c>
      <c r="B2131" s="848" t="s">
        <v>438</v>
      </c>
      <c r="C2131" s="705"/>
      <c r="D2131" s="705"/>
      <c r="E2131" s="705" t="e">
        <f>(E2120+E2121+E2122+E2123+E2124+E2125+E2126+E2127)-E2130</f>
        <v>#REF!</v>
      </c>
      <c r="F2131" s="747"/>
      <c r="G2131" s="704" t="s">
        <v>82</v>
      </c>
      <c r="H2131" s="848" t="s">
        <v>438</v>
      </c>
      <c r="I2131" s="705"/>
      <c r="J2131" s="705"/>
      <c r="K2131" s="705" t="e">
        <f>(K2120+K2121+K2122+K2123+K2124+K2125+K2126+K2127)-K2130</f>
        <v>#REF!</v>
      </c>
      <c r="L2131" s="707" t="e">
        <f>E2131+K2131</f>
        <v>#REF!</v>
      </c>
    </row>
    <row r="2132" spans="1:12" s="27" customFormat="1" ht="17.25" customHeight="1">
      <c r="A2132" s="763"/>
      <c r="B2132" s="763"/>
      <c r="C2132" s="763"/>
      <c r="D2132" s="763"/>
      <c r="E2132" s="763"/>
      <c r="F2132" s="763"/>
      <c r="G2132" s="763"/>
      <c r="H2132" s="763"/>
      <c r="I2132" s="763"/>
      <c r="J2132" s="763"/>
      <c r="K2132" s="763"/>
      <c r="L2132" s="690"/>
    </row>
    <row r="2133" spans="1:12" s="27" customFormat="1" ht="17.25" customHeight="1">
      <c r="A2133" s="759" t="str">
        <f>A2117</f>
        <v>LƯƠNG THÁNG 01/2025</v>
      </c>
      <c r="B2133" s="763"/>
      <c r="C2133" s="763"/>
      <c r="D2133" s="763"/>
      <c r="E2133" s="766" t="e">
        <f>VLOOKUP(B2134,'CNKT '!#REF!,26,0)</f>
        <v>#REF!</v>
      </c>
      <c r="F2133" s="750"/>
      <c r="G2133" s="759" t="str">
        <f>A2133</f>
        <v>LƯƠNG THÁNG 01/2025</v>
      </c>
      <c r="H2133" s="763"/>
      <c r="I2133" s="763"/>
      <c r="J2133" s="766"/>
      <c r="K2133" s="766" t="e">
        <f>VLOOKUP(H2134,'CNKT '!#REF!,26,0)</f>
        <v>#REF!</v>
      </c>
      <c r="L2133" s="690"/>
    </row>
    <row r="2134" spans="1:12" s="27" customFormat="1" ht="17.25" customHeight="1">
      <c r="A2134" s="709" t="s">
        <v>15</v>
      </c>
      <c r="B2134" s="840" t="e">
        <f>'CNKT '!#REF!</f>
        <v>#REF!</v>
      </c>
      <c r="C2134" s="694"/>
      <c r="D2134" s="840" t="s">
        <v>396</v>
      </c>
      <c r="E2134" s="840" t="s">
        <v>18</v>
      </c>
      <c r="F2134" s="750"/>
      <c r="G2134" s="709" t="s">
        <v>15</v>
      </c>
      <c r="H2134" s="840" t="e">
        <f>'CNKT '!#REF!</f>
        <v>#REF!</v>
      </c>
      <c r="I2134" s="694"/>
      <c r="J2134" s="840" t="s">
        <v>396</v>
      </c>
      <c r="K2134" s="840" t="s">
        <v>18</v>
      </c>
      <c r="L2134" s="690"/>
    </row>
    <row r="2135" spans="1:12" s="27" customFormat="1" ht="17.25" customHeight="1">
      <c r="A2135" s="693" t="s">
        <v>397</v>
      </c>
      <c r="B2135" s="842" t="s">
        <v>527</v>
      </c>
      <c r="C2135" s="694" t="e">
        <f>VLOOKUP(B2134,'BTH mủ tạp'!$D$161:$AN$161,36,0)</f>
        <v>#REF!</v>
      </c>
      <c r="D2135" s="695"/>
      <c r="E2135" s="695"/>
      <c r="F2135" s="750"/>
      <c r="G2135" s="693" t="s">
        <v>397</v>
      </c>
      <c r="H2135" s="842" t="s">
        <v>527</v>
      </c>
      <c r="I2135" s="694" t="e">
        <f>VLOOKUP(H2134,'BTH mủ tạp'!$D$161:$AN$161,36,0)</f>
        <v>#REF!</v>
      </c>
      <c r="J2135" s="695"/>
      <c r="K2135" s="695"/>
      <c r="L2135" s="690"/>
    </row>
    <row r="2136" spans="1:12" s="27" customFormat="1" ht="17.25" customHeight="1">
      <c r="A2136" s="693" t="s">
        <v>77</v>
      </c>
      <c r="B2136" s="843" t="s">
        <v>432</v>
      </c>
      <c r="C2136" s="696" t="e">
        <f>VLOOKUP(B2134,'CNKT '!#REF!,3,0)</f>
        <v>#REF!</v>
      </c>
      <c r="D2136" s="697">
        <v>25000</v>
      </c>
      <c r="E2136" s="695" t="e">
        <f t="shared" ref="E2136:E2141" si="249">C2136*D2136</f>
        <v>#REF!</v>
      </c>
      <c r="F2136" s="750"/>
      <c r="G2136" s="693" t="s">
        <v>77</v>
      </c>
      <c r="H2136" s="843" t="s">
        <v>432</v>
      </c>
      <c r="I2136" s="696" t="e">
        <f>VLOOKUP(H2134,'CNKT '!#REF!,3,0)</f>
        <v>#REF!</v>
      </c>
      <c r="J2136" s="697">
        <v>25000</v>
      </c>
      <c r="K2136" s="695" t="e">
        <f t="shared" ref="K2136:K2141" si="250">I2136*J2136</f>
        <v>#REF!</v>
      </c>
      <c r="L2136" s="690"/>
    </row>
    <row r="2137" spans="1:12" s="27" customFormat="1" ht="17.25" customHeight="1">
      <c r="A2137" s="693" t="s">
        <v>307</v>
      </c>
      <c r="B2137" s="844" t="s">
        <v>528</v>
      </c>
      <c r="C2137" s="747" t="e">
        <f>VLOOKUP(B2134,'CNKT '!#REF!,11,0)</f>
        <v>#REF!</v>
      </c>
      <c r="D2137" s="698">
        <f>46.1*$B$2</f>
        <v>30833.524000000001</v>
      </c>
      <c r="E2137" s="695" t="e">
        <f t="shared" si="249"/>
        <v>#REF!</v>
      </c>
      <c r="F2137" s="750"/>
      <c r="G2137" s="693" t="s">
        <v>307</v>
      </c>
      <c r="H2137" s="844" t="s">
        <v>528</v>
      </c>
      <c r="I2137" s="747" t="e">
        <f>VLOOKUP(H2134,'CNKT '!#REF!,11,0)</f>
        <v>#REF!</v>
      </c>
      <c r="J2137" s="698">
        <f>46.1*$B$2</f>
        <v>30833.524000000001</v>
      </c>
      <c r="K2137" s="695" t="e">
        <f t="shared" si="250"/>
        <v>#REF!</v>
      </c>
      <c r="L2137" s="690"/>
    </row>
    <row r="2138" spans="1:12" s="27" customFormat="1" ht="17.25" customHeight="1">
      <c r="A2138" s="693" t="s">
        <v>399</v>
      </c>
      <c r="B2138" s="844" t="s">
        <v>529</v>
      </c>
      <c r="C2138" s="747" t="e">
        <f>VLOOKUP(B2134,'CNKT '!#REF!,12,0)</f>
        <v>#REF!</v>
      </c>
      <c r="D2138" s="697">
        <f>76.9*$B$2</f>
        <v>51433.796000000009</v>
      </c>
      <c r="E2138" s="695" t="e">
        <f t="shared" si="249"/>
        <v>#REF!</v>
      </c>
      <c r="F2138" s="750"/>
      <c r="G2138" s="693" t="s">
        <v>399</v>
      </c>
      <c r="H2138" s="844" t="s">
        <v>529</v>
      </c>
      <c r="I2138" s="747" t="e">
        <f>VLOOKUP(H2134,'CNKT '!#REF!,12,0)</f>
        <v>#REF!</v>
      </c>
      <c r="J2138" s="697">
        <f>76.9*$B$2</f>
        <v>51433.796000000009</v>
      </c>
      <c r="K2138" s="695" t="e">
        <f t="shared" si="250"/>
        <v>#REF!</v>
      </c>
      <c r="L2138" s="690"/>
    </row>
    <row r="2139" spans="1:12" s="27" customFormat="1" ht="17.25" customHeight="1">
      <c r="A2139" s="693" t="s">
        <v>78</v>
      </c>
      <c r="B2139" s="844" t="s">
        <v>530</v>
      </c>
      <c r="C2139" s="747" t="e">
        <f>VLOOKUP(B2134,'CNKT '!#REF!,8,0)</f>
        <v>#REF!</v>
      </c>
      <c r="D2139" s="697" t="e">
        <f>IF(C2135="A",6.1,IF(C2135="B",5.8,IF(C2135="C",5.5,IF(C2135="C.",5.5,IF(C2135="D",5.2)))))*$B$2</f>
        <v>#REF!</v>
      </c>
      <c r="E2139" s="695" t="e">
        <f t="shared" si="249"/>
        <v>#REF!</v>
      </c>
      <c r="F2139" s="750"/>
      <c r="G2139" s="693" t="s">
        <v>78</v>
      </c>
      <c r="H2139" s="844" t="s">
        <v>530</v>
      </c>
      <c r="I2139" s="747" t="e">
        <f>VLOOKUP(H2134,'CNKT '!#REF!,8,0)</f>
        <v>#REF!</v>
      </c>
      <c r="J2139" s="697" t="e">
        <f>IF(I2135="A",6.1,IF(I2135="B",5.8,IF(I2135="C",5.5,IF(I2135="C.",5.5,IF(I2135="D",5.2)))))*$B$2</f>
        <v>#REF!</v>
      </c>
      <c r="K2139" s="695" t="e">
        <f t="shared" si="250"/>
        <v>#REF!</v>
      </c>
      <c r="L2139" s="690"/>
    </row>
    <row r="2140" spans="1:12" s="27" customFormat="1" ht="17.25" customHeight="1">
      <c r="A2140" s="693" t="s">
        <v>447</v>
      </c>
      <c r="B2140" s="844" t="s">
        <v>531</v>
      </c>
      <c r="C2140" s="747" t="e">
        <f>VLOOKUP(B2134,'CNKT '!#REF!,15,0)</f>
        <v>#REF!</v>
      </c>
      <c r="D2140" s="698">
        <f>92.2*$B$2</f>
        <v>61667.048000000003</v>
      </c>
      <c r="E2140" s="695" t="e">
        <f t="shared" si="249"/>
        <v>#REF!</v>
      </c>
      <c r="F2140" s="750"/>
      <c r="G2140" s="693" t="s">
        <v>447</v>
      </c>
      <c r="H2140" s="844" t="s">
        <v>531</v>
      </c>
      <c r="I2140" s="747" t="e">
        <f>VLOOKUP(H2134,'CNKT '!#REF!,15,0)</f>
        <v>#REF!</v>
      </c>
      <c r="J2140" s="698">
        <f>92.2*$B$2</f>
        <v>61667.048000000003</v>
      </c>
      <c r="K2140" s="695" t="e">
        <f t="shared" si="250"/>
        <v>#REF!</v>
      </c>
      <c r="L2140" s="690"/>
    </row>
    <row r="2141" spans="1:12" s="27" customFormat="1" ht="17.25" customHeight="1">
      <c r="A2141" s="693" t="s">
        <v>448</v>
      </c>
      <c r="B2141" s="844" t="s">
        <v>496</v>
      </c>
      <c r="C2141" s="747" t="e">
        <f>VLOOKUP(B2134,'CNKT '!#REF!,14,0)</f>
        <v>#REF!</v>
      </c>
      <c r="D2141" s="697">
        <f>153.6*$B$2</f>
        <v>102733.82400000001</v>
      </c>
      <c r="E2141" s="695" t="e">
        <f t="shared" si="249"/>
        <v>#REF!</v>
      </c>
      <c r="F2141" s="750"/>
      <c r="G2141" s="693" t="s">
        <v>448</v>
      </c>
      <c r="H2141" s="844" t="s">
        <v>496</v>
      </c>
      <c r="I2141" s="747" t="e">
        <f>VLOOKUP(H2134,'CNKT '!#REF!,14,0)</f>
        <v>#REF!</v>
      </c>
      <c r="J2141" s="697">
        <f>153.6*$B$2</f>
        <v>102733.82400000001</v>
      </c>
      <c r="K2141" s="695" t="e">
        <f t="shared" si="250"/>
        <v>#REF!</v>
      </c>
      <c r="L2141" s="690"/>
    </row>
    <row r="2142" spans="1:12" s="27" customFormat="1" ht="17.25" customHeight="1">
      <c r="A2142" s="693" t="s">
        <v>453</v>
      </c>
      <c r="B2142" s="844" t="s">
        <v>497</v>
      </c>
      <c r="C2142" s="747" t="e">
        <f>VLOOKUP(B2134,'CNKT '!#REF!,18,0)</f>
        <v>#REF!</v>
      </c>
      <c r="D2142" s="697">
        <v>10000</v>
      </c>
      <c r="E2142" s="695" t="e">
        <f>C2142*D2142</f>
        <v>#REF!</v>
      </c>
      <c r="F2142" s="750"/>
      <c r="G2142" s="693" t="s">
        <v>453</v>
      </c>
      <c r="H2142" s="844" t="s">
        <v>497</v>
      </c>
      <c r="I2142" s="747" t="e">
        <f>VLOOKUP(H2134,'CNKT '!#REF!,18,0)</f>
        <v>#REF!</v>
      </c>
      <c r="J2142" s="697">
        <v>10000</v>
      </c>
      <c r="K2142" s="695" t="e">
        <f>I2142*J2142</f>
        <v>#REF!</v>
      </c>
      <c r="L2142" s="690"/>
    </row>
    <row r="2143" spans="1:12" s="27" customFormat="1" ht="17.25" customHeight="1">
      <c r="A2143" s="693" t="s">
        <v>453</v>
      </c>
      <c r="B2143" s="844" t="s">
        <v>497</v>
      </c>
      <c r="C2143" s="747" t="e">
        <f>VLOOKUP(B2134,'CNKT '!#REF!,19,0)</f>
        <v>#REF!</v>
      </c>
      <c r="D2143" s="697">
        <v>20000</v>
      </c>
      <c r="E2143" s="695" t="e">
        <f>C2143*D2143</f>
        <v>#REF!</v>
      </c>
      <c r="F2143" s="750"/>
      <c r="G2143" s="693" t="s">
        <v>453</v>
      </c>
      <c r="H2143" s="844" t="s">
        <v>497</v>
      </c>
      <c r="I2143" s="747" t="e">
        <f>VLOOKUP(H2134,'CNKT '!#REF!,19,0)</f>
        <v>#REF!</v>
      </c>
      <c r="J2143" s="697">
        <v>20000</v>
      </c>
      <c r="K2143" s="695" t="e">
        <f>I2143*J2143</f>
        <v>#REF!</v>
      </c>
      <c r="L2143" s="690"/>
    </row>
    <row r="2144" spans="1:12" s="27" customFormat="1" ht="17.25" customHeight="1">
      <c r="A2144" s="699" t="s">
        <v>79</v>
      </c>
      <c r="B2144" s="845" t="s">
        <v>532</v>
      </c>
      <c r="C2144" s="700"/>
      <c r="D2144" s="701"/>
      <c r="E2144" s="700"/>
      <c r="F2144" s="750"/>
      <c r="G2144" s="699" t="s">
        <v>79</v>
      </c>
      <c r="H2144" s="845" t="s">
        <v>532</v>
      </c>
      <c r="I2144" s="700"/>
      <c r="J2144" s="701"/>
      <c r="K2144" s="700"/>
      <c r="L2144" s="690"/>
    </row>
    <row r="2145" spans="1:12" s="27" customFormat="1" ht="17.25" customHeight="1">
      <c r="A2145" s="702" t="s">
        <v>80</v>
      </c>
      <c r="B2145" s="846" t="s">
        <v>533</v>
      </c>
      <c r="C2145" s="700"/>
      <c r="D2145" s="700"/>
      <c r="E2145" s="700"/>
      <c r="F2145" s="750"/>
      <c r="G2145" s="702" t="s">
        <v>80</v>
      </c>
      <c r="H2145" s="846" t="s">
        <v>533</v>
      </c>
      <c r="I2145" s="700"/>
      <c r="J2145" s="700"/>
      <c r="K2145" s="700"/>
      <c r="L2145" s="690"/>
    </row>
    <row r="2146" spans="1:12" s="27" customFormat="1" ht="17.25" customHeight="1">
      <c r="A2146" s="702" t="s">
        <v>81</v>
      </c>
      <c r="B2146" s="847" t="s">
        <v>534</v>
      </c>
      <c r="C2146" s="700"/>
      <c r="D2146" s="700"/>
      <c r="E2146" s="695">
        <f>SUM(E2145)</f>
        <v>0</v>
      </c>
      <c r="F2146" s="749"/>
      <c r="G2146" s="702" t="s">
        <v>81</v>
      </c>
      <c r="H2146" s="847" t="s">
        <v>534</v>
      </c>
      <c r="I2146" s="700"/>
      <c r="J2146" s="700"/>
      <c r="K2146" s="695">
        <f>SUM(K2145)</f>
        <v>0</v>
      </c>
      <c r="L2146" s="690"/>
    </row>
    <row r="2147" spans="1:12" s="27" customFormat="1" ht="17.25" customHeight="1">
      <c r="A2147" s="704" t="s">
        <v>82</v>
      </c>
      <c r="B2147" s="848" t="s">
        <v>438</v>
      </c>
      <c r="C2147" s="705"/>
      <c r="D2147" s="705"/>
      <c r="E2147" s="705" t="e">
        <f>(E2136+E2137+E2138+E2139+E2140+E2141+E2142+E2143)-E2146</f>
        <v>#REF!</v>
      </c>
      <c r="F2147" s="749"/>
      <c r="G2147" s="704" t="s">
        <v>82</v>
      </c>
      <c r="H2147" s="848" t="s">
        <v>438</v>
      </c>
      <c r="I2147" s="705"/>
      <c r="J2147" s="705"/>
      <c r="K2147" s="705" t="e">
        <f>(K2136+K2137+K2138+K2139+K2140+K2141+K2142+K2143)-K2146</f>
        <v>#REF!</v>
      </c>
      <c r="L2147" s="707" t="e">
        <f>E2147+K2147</f>
        <v>#REF!</v>
      </c>
    </row>
    <row r="2148" spans="1:12" s="27" customFormat="1" ht="69" customHeight="1">
      <c r="A2148" s="763"/>
      <c r="B2148" s="763"/>
      <c r="C2148" s="763"/>
      <c r="D2148" s="763"/>
      <c r="E2148" s="763"/>
      <c r="F2148" s="763"/>
      <c r="G2148" s="763"/>
      <c r="H2148" s="763"/>
      <c r="I2148" s="763"/>
      <c r="J2148" s="763"/>
      <c r="K2148" s="763"/>
      <c r="L2148" s="690"/>
    </row>
    <row r="2149" spans="1:12" s="27" customFormat="1" ht="17.25" customHeight="1">
      <c r="A2149" s="759" t="str">
        <f>A2133</f>
        <v>LƯƠNG THÁNG 01/2025</v>
      </c>
      <c r="B2149" s="763"/>
      <c r="C2149" s="763"/>
      <c r="D2149" s="763"/>
      <c r="E2149" s="766" t="e">
        <f>VLOOKUP(B2150,'CNKT '!#REF!,26,0)</f>
        <v>#REF!</v>
      </c>
      <c r="F2149" s="750"/>
      <c r="G2149" s="759" t="str">
        <f>A2149</f>
        <v>LƯƠNG THÁNG 01/2025</v>
      </c>
      <c r="H2149" s="763"/>
      <c r="I2149" s="763"/>
      <c r="J2149" s="766"/>
      <c r="K2149" s="766" t="e">
        <f>VLOOKUP(H2150,'CNKT '!#REF!,26,0)</f>
        <v>#REF!</v>
      </c>
      <c r="L2149" s="690"/>
    </row>
    <row r="2150" spans="1:12" s="27" customFormat="1" ht="17.25" customHeight="1">
      <c r="A2150" s="709" t="s">
        <v>15</v>
      </c>
      <c r="B2150" s="840" t="e">
        <f>'CNKT '!#REF!</f>
        <v>#REF!</v>
      </c>
      <c r="C2150" s="694"/>
      <c r="D2150" s="840" t="s">
        <v>396</v>
      </c>
      <c r="E2150" s="840" t="s">
        <v>18</v>
      </c>
      <c r="F2150" s="750"/>
      <c r="G2150" s="709" t="s">
        <v>15</v>
      </c>
      <c r="H2150" s="840" t="e">
        <f>'CNKT '!#REF!</f>
        <v>#REF!</v>
      </c>
      <c r="I2150" s="694"/>
      <c r="J2150" s="840" t="s">
        <v>396</v>
      </c>
      <c r="K2150" s="840" t="s">
        <v>18</v>
      </c>
      <c r="L2150" s="690"/>
    </row>
    <row r="2151" spans="1:12" s="27" customFormat="1" ht="17.25" customHeight="1">
      <c r="A2151" s="693" t="s">
        <v>397</v>
      </c>
      <c r="B2151" s="842" t="s">
        <v>527</v>
      </c>
      <c r="C2151" s="694" t="e">
        <f>VLOOKUP(B2150,'BTH mủ tạp'!$D$161:$AN$161,36,0)</f>
        <v>#REF!</v>
      </c>
      <c r="D2151" s="695"/>
      <c r="E2151" s="695"/>
      <c r="F2151" s="750"/>
      <c r="G2151" s="693" t="s">
        <v>397</v>
      </c>
      <c r="H2151" s="842" t="s">
        <v>527</v>
      </c>
      <c r="I2151" s="694" t="e">
        <f>VLOOKUP(H2150,'BTH mủ tạp'!$D$161:$AN$161,36,0)</f>
        <v>#REF!</v>
      </c>
      <c r="J2151" s="695"/>
      <c r="K2151" s="695"/>
      <c r="L2151" s="690"/>
    </row>
    <row r="2152" spans="1:12" s="27" customFormat="1" ht="17.25" customHeight="1">
      <c r="A2152" s="693" t="s">
        <v>77</v>
      </c>
      <c r="B2152" s="843" t="s">
        <v>432</v>
      </c>
      <c r="C2152" s="696" t="e">
        <f>VLOOKUP(B2150,'CNKT '!#REF!,3,0)</f>
        <v>#REF!</v>
      </c>
      <c r="D2152" s="697">
        <v>25000</v>
      </c>
      <c r="E2152" s="695" t="e">
        <f t="shared" ref="E2152:E2157" si="251">C2152*D2152</f>
        <v>#REF!</v>
      </c>
      <c r="F2152" s="750"/>
      <c r="G2152" s="693" t="s">
        <v>77</v>
      </c>
      <c r="H2152" s="843" t="s">
        <v>432</v>
      </c>
      <c r="I2152" s="696" t="e">
        <f>VLOOKUP(H2150,'CNKT '!#REF!,3,0)</f>
        <v>#REF!</v>
      </c>
      <c r="J2152" s="697">
        <v>25000</v>
      </c>
      <c r="K2152" s="695" t="e">
        <f t="shared" ref="K2152:K2157" si="252">I2152*J2152</f>
        <v>#REF!</v>
      </c>
      <c r="L2152" s="690"/>
    </row>
    <row r="2153" spans="1:12" s="27" customFormat="1" ht="17.25" customHeight="1">
      <c r="A2153" s="693" t="s">
        <v>307</v>
      </c>
      <c r="B2153" s="844" t="s">
        <v>528</v>
      </c>
      <c r="C2153" s="747" t="e">
        <f>VLOOKUP(B2150,'CNKT '!#REF!,11,0)</f>
        <v>#REF!</v>
      </c>
      <c r="D2153" s="698">
        <f>46.1*$B$2</f>
        <v>30833.524000000001</v>
      </c>
      <c r="E2153" s="695" t="e">
        <f t="shared" si="251"/>
        <v>#REF!</v>
      </c>
      <c r="F2153" s="750"/>
      <c r="G2153" s="693" t="s">
        <v>307</v>
      </c>
      <c r="H2153" s="844" t="s">
        <v>528</v>
      </c>
      <c r="I2153" s="747" t="e">
        <f>VLOOKUP(H2150,'CNKT '!#REF!,11,0)</f>
        <v>#REF!</v>
      </c>
      <c r="J2153" s="698">
        <f>46.1*$B$2</f>
        <v>30833.524000000001</v>
      </c>
      <c r="K2153" s="695" t="e">
        <f t="shared" si="252"/>
        <v>#REF!</v>
      </c>
      <c r="L2153" s="690"/>
    </row>
    <row r="2154" spans="1:12" s="27" customFormat="1" ht="17.25" customHeight="1">
      <c r="A2154" s="693" t="s">
        <v>399</v>
      </c>
      <c r="B2154" s="844" t="s">
        <v>529</v>
      </c>
      <c r="C2154" s="747" t="e">
        <f>VLOOKUP(B2150,'CNKT '!#REF!,12,0)</f>
        <v>#REF!</v>
      </c>
      <c r="D2154" s="697">
        <f>76.9*$B$2</f>
        <v>51433.796000000009</v>
      </c>
      <c r="E2154" s="695" t="e">
        <f t="shared" si="251"/>
        <v>#REF!</v>
      </c>
      <c r="F2154" s="750"/>
      <c r="G2154" s="693" t="s">
        <v>399</v>
      </c>
      <c r="H2154" s="844" t="s">
        <v>529</v>
      </c>
      <c r="I2154" s="747" t="e">
        <f>VLOOKUP(H2150,'CNKT '!#REF!,12,0)</f>
        <v>#REF!</v>
      </c>
      <c r="J2154" s="697">
        <f>76.9*$B$2</f>
        <v>51433.796000000009</v>
      </c>
      <c r="K2154" s="695" t="e">
        <f t="shared" si="252"/>
        <v>#REF!</v>
      </c>
      <c r="L2154" s="690"/>
    </row>
    <row r="2155" spans="1:12" s="27" customFormat="1" ht="17.25" customHeight="1">
      <c r="A2155" s="693" t="s">
        <v>78</v>
      </c>
      <c r="B2155" s="844" t="s">
        <v>530</v>
      </c>
      <c r="C2155" s="747" t="e">
        <f>VLOOKUP(B2150,'CNKT '!#REF!,8,0)</f>
        <v>#REF!</v>
      </c>
      <c r="D2155" s="697" t="e">
        <f>IF(C2151="A",6.1,IF(C2151="B",5.8,IF(C2151="C",5.5,IF(C2151="C.",5.5,IF(C2151="D",5.2)))))*$B$2</f>
        <v>#REF!</v>
      </c>
      <c r="E2155" s="695" t="e">
        <f t="shared" si="251"/>
        <v>#REF!</v>
      </c>
      <c r="F2155" s="750"/>
      <c r="G2155" s="693" t="s">
        <v>78</v>
      </c>
      <c r="H2155" s="844" t="s">
        <v>530</v>
      </c>
      <c r="I2155" s="747" t="e">
        <f>VLOOKUP(H2150,'CNKT '!#REF!,8,0)</f>
        <v>#REF!</v>
      </c>
      <c r="J2155" s="697" t="e">
        <f>IF(I2151="A",6.1,IF(I2151="B",5.8,IF(I2151="C",5.5,IF(I2151="C.",5.5,IF(I2151="D",5.2)))))*$B$2</f>
        <v>#REF!</v>
      </c>
      <c r="K2155" s="695" t="e">
        <f t="shared" si="252"/>
        <v>#REF!</v>
      </c>
      <c r="L2155" s="690"/>
    </row>
    <row r="2156" spans="1:12" s="27" customFormat="1" ht="17.25" customHeight="1">
      <c r="A2156" s="693" t="s">
        <v>447</v>
      </c>
      <c r="B2156" s="844" t="s">
        <v>531</v>
      </c>
      <c r="C2156" s="747" t="e">
        <f>VLOOKUP(B2150,'CNKT '!#REF!,15,0)</f>
        <v>#REF!</v>
      </c>
      <c r="D2156" s="698">
        <f>92.2*$B$2</f>
        <v>61667.048000000003</v>
      </c>
      <c r="E2156" s="695" t="e">
        <f t="shared" si="251"/>
        <v>#REF!</v>
      </c>
      <c r="F2156" s="750"/>
      <c r="G2156" s="693" t="s">
        <v>447</v>
      </c>
      <c r="H2156" s="844" t="s">
        <v>531</v>
      </c>
      <c r="I2156" s="747" t="e">
        <f>VLOOKUP(H2150,'CNKT '!#REF!,15,0)</f>
        <v>#REF!</v>
      </c>
      <c r="J2156" s="698">
        <f>92.2*$B$2</f>
        <v>61667.048000000003</v>
      </c>
      <c r="K2156" s="695" t="e">
        <f t="shared" si="252"/>
        <v>#REF!</v>
      </c>
      <c r="L2156" s="690"/>
    </row>
    <row r="2157" spans="1:12" s="27" customFormat="1" ht="17.25" customHeight="1">
      <c r="A2157" s="693" t="s">
        <v>448</v>
      </c>
      <c r="B2157" s="844" t="s">
        <v>496</v>
      </c>
      <c r="C2157" s="747" t="e">
        <f>VLOOKUP(B2150,'CNKT '!#REF!,14,0)</f>
        <v>#REF!</v>
      </c>
      <c r="D2157" s="697">
        <f>153.6*$B$2</f>
        <v>102733.82400000001</v>
      </c>
      <c r="E2157" s="695" t="e">
        <f t="shared" si="251"/>
        <v>#REF!</v>
      </c>
      <c r="F2157" s="750"/>
      <c r="G2157" s="693" t="s">
        <v>448</v>
      </c>
      <c r="H2157" s="844" t="s">
        <v>496</v>
      </c>
      <c r="I2157" s="747" t="e">
        <f>VLOOKUP(H2150,'CNKT '!#REF!,14,0)</f>
        <v>#REF!</v>
      </c>
      <c r="J2157" s="697">
        <f>153.6*$B$2</f>
        <v>102733.82400000001</v>
      </c>
      <c r="K2157" s="695" t="e">
        <f t="shared" si="252"/>
        <v>#REF!</v>
      </c>
      <c r="L2157" s="690"/>
    </row>
    <row r="2158" spans="1:12" s="27" customFormat="1" ht="17.25" customHeight="1">
      <c r="A2158" s="693" t="s">
        <v>453</v>
      </c>
      <c r="B2158" s="844" t="s">
        <v>497</v>
      </c>
      <c r="C2158" s="747" t="e">
        <f>VLOOKUP(B2150,'CNKT '!#REF!,18,0)</f>
        <v>#REF!</v>
      </c>
      <c r="D2158" s="697">
        <v>10000</v>
      </c>
      <c r="E2158" s="695" t="e">
        <f>C2158*D2158</f>
        <v>#REF!</v>
      </c>
      <c r="F2158" s="750"/>
      <c r="G2158" s="693" t="s">
        <v>453</v>
      </c>
      <c r="H2158" s="844" t="s">
        <v>497</v>
      </c>
      <c r="I2158" s="747" t="e">
        <f>VLOOKUP(H2150,'CNKT '!#REF!,18,0)</f>
        <v>#REF!</v>
      </c>
      <c r="J2158" s="697">
        <v>10000</v>
      </c>
      <c r="K2158" s="695" t="e">
        <f>I2158*J2158</f>
        <v>#REF!</v>
      </c>
      <c r="L2158" s="690"/>
    </row>
    <row r="2159" spans="1:12" s="27" customFormat="1" ht="17.25" customHeight="1">
      <c r="A2159" s="693" t="s">
        <v>453</v>
      </c>
      <c r="B2159" s="844" t="s">
        <v>497</v>
      </c>
      <c r="C2159" s="747" t="e">
        <f>VLOOKUP(B2150,'CNKT '!#REF!,19,0)</f>
        <v>#REF!</v>
      </c>
      <c r="D2159" s="697">
        <v>20000</v>
      </c>
      <c r="E2159" s="695" t="e">
        <f>C2159*D2159</f>
        <v>#REF!</v>
      </c>
      <c r="F2159" s="750"/>
      <c r="G2159" s="693" t="s">
        <v>453</v>
      </c>
      <c r="H2159" s="844" t="s">
        <v>497</v>
      </c>
      <c r="I2159" s="747" t="e">
        <f>VLOOKUP(H2150,'CNKT '!#REF!,19,0)</f>
        <v>#REF!</v>
      </c>
      <c r="J2159" s="697">
        <v>20000</v>
      </c>
      <c r="K2159" s="695" t="e">
        <f>I2159*J2159</f>
        <v>#REF!</v>
      </c>
      <c r="L2159" s="690"/>
    </row>
    <row r="2160" spans="1:12" s="27" customFormat="1" ht="17.25" customHeight="1">
      <c r="A2160" s="699" t="s">
        <v>79</v>
      </c>
      <c r="B2160" s="845" t="s">
        <v>532</v>
      </c>
      <c r="C2160" s="700"/>
      <c r="D2160" s="701"/>
      <c r="E2160" s="700"/>
      <c r="F2160" s="750"/>
      <c r="G2160" s="699" t="s">
        <v>79</v>
      </c>
      <c r="H2160" s="845" t="s">
        <v>532</v>
      </c>
      <c r="I2160" s="700"/>
      <c r="J2160" s="701"/>
      <c r="K2160" s="700"/>
      <c r="L2160" s="690"/>
    </row>
    <row r="2161" spans="1:12" s="27" customFormat="1" ht="17.25" customHeight="1">
      <c r="A2161" s="702" t="s">
        <v>80</v>
      </c>
      <c r="B2161" s="846" t="s">
        <v>533</v>
      </c>
      <c r="C2161" s="700"/>
      <c r="D2161" s="700"/>
      <c r="E2161" s="700"/>
      <c r="F2161" s="750"/>
      <c r="G2161" s="702" t="s">
        <v>80</v>
      </c>
      <c r="H2161" s="846" t="s">
        <v>533</v>
      </c>
      <c r="I2161" s="700"/>
      <c r="J2161" s="700"/>
      <c r="K2161" s="700"/>
      <c r="L2161" s="690"/>
    </row>
    <row r="2162" spans="1:12" s="27" customFormat="1" ht="17.25" customHeight="1">
      <c r="A2162" s="702" t="s">
        <v>81</v>
      </c>
      <c r="B2162" s="847" t="s">
        <v>534</v>
      </c>
      <c r="C2162" s="700"/>
      <c r="D2162" s="700"/>
      <c r="E2162" s="695">
        <f>SUM(E2161)</f>
        <v>0</v>
      </c>
      <c r="F2162" s="738"/>
      <c r="G2162" s="702" t="s">
        <v>81</v>
      </c>
      <c r="H2162" s="847" t="s">
        <v>534</v>
      </c>
      <c r="I2162" s="700"/>
      <c r="J2162" s="700"/>
      <c r="K2162" s="695">
        <f>SUM(K2161)</f>
        <v>0</v>
      </c>
      <c r="L2162" s="690"/>
    </row>
    <row r="2163" spans="1:12" s="27" customFormat="1" ht="17.25" customHeight="1">
      <c r="A2163" s="704" t="s">
        <v>82</v>
      </c>
      <c r="B2163" s="848" t="s">
        <v>438</v>
      </c>
      <c r="C2163" s="705"/>
      <c r="D2163" s="705"/>
      <c r="E2163" s="705" t="e">
        <f>(E2152+E2153+E2154+E2155+E2156+E2157+E2158+E2159)-E2162</f>
        <v>#REF!</v>
      </c>
      <c r="F2163" s="738"/>
      <c r="G2163" s="704" t="s">
        <v>82</v>
      </c>
      <c r="H2163" s="848" t="s">
        <v>438</v>
      </c>
      <c r="I2163" s="705"/>
      <c r="J2163" s="705"/>
      <c r="K2163" s="705" t="e">
        <f>(K2152+K2153+K2154+K2155+K2156+K2157+K2158+K2159)-K2162</f>
        <v>#REF!</v>
      </c>
      <c r="L2163" s="707" t="e">
        <f>E2163+K2163</f>
        <v>#REF!</v>
      </c>
    </row>
    <row r="2164" spans="1:12" s="27" customFormat="1" ht="17.25" customHeight="1">
      <c r="A2164" s="763"/>
      <c r="B2164" s="763"/>
      <c r="C2164" s="763"/>
      <c r="D2164" s="763"/>
      <c r="E2164" s="763"/>
      <c r="F2164" s="763"/>
      <c r="G2164" s="763"/>
      <c r="H2164" s="763"/>
      <c r="I2164" s="763"/>
      <c r="J2164" s="763"/>
      <c r="K2164" s="763"/>
      <c r="L2164" s="690"/>
    </row>
    <row r="2165" spans="1:12" s="27" customFormat="1" ht="17.25" customHeight="1">
      <c r="A2165" s="759" t="str">
        <f>A2149</f>
        <v>LƯƠNG THÁNG 01/2025</v>
      </c>
      <c r="B2165" s="763"/>
      <c r="C2165" s="763"/>
      <c r="D2165" s="763"/>
      <c r="E2165" s="766" t="e">
        <f>VLOOKUP(B2166,'CNKT '!#REF!,26,0)</f>
        <v>#REF!</v>
      </c>
      <c r="F2165" s="750"/>
      <c r="G2165" s="759" t="str">
        <f>A2165</f>
        <v>LƯƠNG THÁNG 01/2025</v>
      </c>
      <c r="H2165" s="763"/>
      <c r="I2165" s="763"/>
      <c r="J2165" s="766"/>
      <c r="K2165" s="766" t="e">
        <f>VLOOKUP(H2166,'CNKT '!#REF!,26,0)</f>
        <v>#REF!</v>
      </c>
      <c r="L2165" s="690"/>
    </row>
    <row r="2166" spans="1:12" s="27" customFormat="1" ht="17.25" customHeight="1">
      <c r="A2166" s="709" t="s">
        <v>15</v>
      </c>
      <c r="B2166" s="840" t="e">
        <f>'CNKT '!#REF!</f>
        <v>#REF!</v>
      </c>
      <c r="C2166" s="694"/>
      <c r="D2166" s="840" t="s">
        <v>396</v>
      </c>
      <c r="E2166" s="840" t="s">
        <v>18</v>
      </c>
      <c r="F2166" s="750"/>
      <c r="G2166" s="709" t="s">
        <v>15</v>
      </c>
      <c r="H2166" s="840" t="e">
        <f>'CNKT '!#REF!</f>
        <v>#REF!</v>
      </c>
      <c r="I2166" s="694"/>
      <c r="J2166" s="840" t="s">
        <v>396</v>
      </c>
      <c r="K2166" s="840" t="s">
        <v>18</v>
      </c>
      <c r="L2166" s="690"/>
    </row>
    <row r="2167" spans="1:12" s="27" customFormat="1" ht="17.25" customHeight="1">
      <c r="A2167" s="693" t="s">
        <v>397</v>
      </c>
      <c r="B2167" s="842" t="s">
        <v>527</v>
      </c>
      <c r="C2167" s="694" t="e">
        <f>VLOOKUP(B2166,'BTH mủ tạp'!$D$161:$AN$161,36,0)</f>
        <v>#REF!</v>
      </c>
      <c r="D2167" s="695"/>
      <c r="E2167" s="695"/>
      <c r="F2167" s="750"/>
      <c r="G2167" s="693" t="s">
        <v>397</v>
      </c>
      <c r="H2167" s="842" t="s">
        <v>527</v>
      </c>
      <c r="I2167" s="694" t="e">
        <f>VLOOKUP(H2166,'BTH mủ tạp'!$D$161:$AN$161,36,0)</f>
        <v>#REF!</v>
      </c>
      <c r="J2167" s="695"/>
      <c r="K2167" s="695"/>
      <c r="L2167" s="690"/>
    </row>
    <row r="2168" spans="1:12" s="27" customFormat="1" ht="17.25" customHeight="1">
      <c r="A2168" s="693" t="s">
        <v>77</v>
      </c>
      <c r="B2168" s="843" t="s">
        <v>432</v>
      </c>
      <c r="C2168" s="696" t="e">
        <f>VLOOKUP(B2166,'CNKT '!#REF!,3,0)</f>
        <v>#REF!</v>
      </c>
      <c r="D2168" s="697">
        <v>25000</v>
      </c>
      <c r="E2168" s="695" t="e">
        <f t="shared" ref="E2168:E2173" si="253">C2168*D2168</f>
        <v>#REF!</v>
      </c>
      <c r="F2168" s="750"/>
      <c r="G2168" s="693" t="s">
        <v>77</v>
      </c>
      <c r="H2168" s="843" t="s">
        <v>432</v>
      </c>
      <c r="I2168" s="696" t="e">
        <f>VLOOKUP(H2166,'CNKT '!#REF!,3,0)</f>
        <v>#REF!</v>
      </c>
      <c r="J2168" s="697">
        <v>25000</v>
      </c>
      <c r="K2168" s="695" t="e">
        <f t="shared" ref="K2168:K2173" si="254">I2168*J2168</f>
        <v>#REF!</v>
      </c>
      <c r="L2168" s="690"/>
    </row>
    <row r="2169" spans="1:12" s="27" customFormat="1" ht="17.25" customHeight="1">
      <c r="A2169" s="693" t="s">
        <v>307</v>
      </c>
      <c r="B2169" s="844" t="s">
        <v>528</v>
      </c>
      <c r="C2169" s="747" t="e">
        <f>VLOOKUP(B2166,'CNKT '!#REF!,11,0)</f>
        <v>#REF!</v>
      </c>
      <c r="D2169" s="698">
        <f>46.1*$B$2</f>
        <v>30833.524000000001</v>
      </c>
      <c r="E2169" s="695" t="e">
        <f t="shared" si="253"/>
        <v>#REF!</v>
      </c>
      <c r="F2169" s="750"/>
      <c r="G2169" s="693" t="s">
        <v>307</v>
      </c>
      <c r="H2169" s="844" t="s">
        <v>528</v>
      </c>
      <c r="I2169" s="747" t="e">
        <f>VLOOKUP(H2166,'CNKT '!#REF!,11,0)</f>
        <v>#REF!</v>
      </c>
      <c r="J2169" s="698">
        <f>46.1*$B$2</f>
        <v>30833.524000000001</v>
      </c>
      <c r="K2169" s="695" t="e">
        <f t="shared" si="254"/>
        <v>#REF!</v>
      </c>
      <c r="L2169" s="690"/>
    </row>
    <row r="2170" spans="1:12" s="27" customFormat="1" ht="17.25" customHeight="1">
      <c r="A2170" s="693" t="s">
        <v>399</v>
      </c>
      <c r="B2170" s="844" t="s">
        <v>529</v>
      </c>
      <c r="C2170" s="747" t="e">
        <f>VLOOKUP(B2166,'CNKT '!#REF!,12,0)</f>
        <v>#REF!</v>
      </c>
      <c r="D2170" s="697">
        <f>76.9*$B$2</f>
        <v>51433.796000000009</v>
      </c>
      <c r="E2170" s="695" t="e">
        <f t="shared" si="253"/>
        <v>#REF!</v>
      </c>
      <c r="F2170" s="750"/>
      <c r="G2170" s="693" t="s">
        <v>399</v>
      </c>
      <c r="H2170" s="844" t="s">
        <v>529</v>
      </c>
      <c r="I2170" s="747" t="e">
        <f>VLOOKUP(H2166,'CNKT '!#REF!,12,0)</f>
        <v>#REF!</v>
      </c>
      <c r="J2170" s="697">
        <f>76.9*$B$2</f>
        <v>51433.796000000009</v>
      </c>
      <c r="K2170" s="695" t="e">
        <f t="shared" si="254"/>
        <v>#REF!</v>
      </c>
      <c r="L2170" s="690"/>
    </row>
    <row r="2171" spans="1:12" s="27" customFormat="1" ht="17.25" customHeight="1">
      <c r="A2171" s="693" t="s">
        <v>78</v>
      </c>
      <c r="B2171" s="844" t="s">
        <v>530</v>
      </c>
      <c r="C2171" s="747" t="e">
        <f>VLOOKUP(B2166,'CNKT '!#REF!,8,0)</f>
        <v>#REF!</v>
      </c>
      <c r="D2171" s="697" t="e">
        <f>IF(C2167="A",6.1,IF(C2167="B",5.8,IF(C2167="C",5.5,IF(C2167="C.",5.5,IF(C2167="D",5.2)))))*$B$2</f>
        <v>#REF!</v>
      </c>
      <c r="E2171" s="695" t="e">
        <f t="shared" si="253"/>
        <v>#REF!</v>
      </c>
      <c r="F2171" s="750"/>
      <c r="G2171" s="693" t="s">
        <v>78</v>
      </c>
      <c r="H2171" s="844" t="s">
        <v>530</v>
      </c>
      <c r="I2171" s="747" t="e">
        <f>VLOOKUP(H2166,'CNKT '!#REF!,8,0)</f>
        <v>#REF!</v>
      </c>
      <c r="J2171" s="697" t="e">
        <f>IF(I2167="A",6.1,IF(I2167="B",5.8,IF(I2167="C",5.5,IF(I2167="C.",5.5,IF(I2167="D",5.2)))))*$B$2</f>
        <v>#REF!</v>
      </c>
      <c r="K2171" s="695" t="e">
        <f t="shared" si="254"/>
        <v>#REF!</v>
      </c>
      <c r="L2171" s="690"/>
    </row>
    <row r="2172" spans="1:12" s="27" customFormat="1" ht="17.25" customHeight="1">
      <c r="A2172" s="693" t="s">
        <v>447</v>
      </c>
      <c r="B2172" s="844" t="s">
        <v>531</v>
      </c>
      <c r="C2172" s="747" t="e">
        <f>VLOOKUP(B2166,'CNKT '!#REF!,15,0)</f>
        <v>#REF!</v>
      </c>
      <c r="D2172" s="698">
        <f>92.2*$B$2</f>
        <v>61667.048000000003</v>
      </c>
      <c r="E2172" s="695" t="e">
        <f t="shared" si="253"/>
        <v>#REF!</v>
      </c>
      <c r="F2172" s="750"/>
      <c r="G2172" s="693" t="s">
        <v>447</v>
      </c>
      <c r="H2172" s="844" t="s">
        <v>531</v>
      </c>
      <c r="I2172" s="747" t="e">
        <f>VLOOKUP(H2166,'CNKT '!#REF!,15,0)</f>
        <v>#REF!</v>
      </c>
      <c r="J2172" s="698">
        <f>92.2*$B$2</f>
        <v>61667.048000000003</v>
      </c>
      <c r="K2172" s="695" t="e">
        <f t="shared" si="254"/>
        <v>#REF!</v>
      </c>
      <c r="L2172" s="690"/>
    </row>
    <row r="2173" spans="1:12" s="27" customFormat="1" ht="17.25" customHeight="1">
      <c r="A2173" s="693" t="s">
        <v>448</v>
      </c>
      <c r="B2173" s="844" t="s">
        <v>496</v>
      </c>
      <c r="C2173" s="747" t="e">
        <f>VLOOKUP(B2166,'CNKT '!#REF!,14,0)</f>
        <v>#REF!</v>
      </c>
      <c r="D2173" s="697">
        <f>153.6*$B$2</f>
        <v>102733.82400000001</v>
      </c>
      <c r="E2173" s="695" t="e">
        <f t="shared" si="253"/>
        <v>#REF!</v>
      </c>
      <c r="F2173" s="750"/>
      <c r="G2173" s="693" t="s">
        <v>448</v>
      </c>
      <c r="H2173" s="844" t="s">
        <v>496</v>
      </c>
      <c r="I2173" s="747" t="e">
        <f>VLOOKUP(H2166,'CNKT '!#REF!,14,0)</f>
        <v>#REF!</v>
      </c>
      <c r="J2173" s="697">
        <f>153.6*$B$2</f>
        <v>102733.82400000001</v>
      </c>
      <c r="K2173" s="695" t="e">
        <f t="shared" si="254"/>
        <v>#REF!</v>
      </c>
      <c r="L2173" s="690"/>
    </row>
    <row r="2174" spans="1:12" s="27" customFormat="1" ht="17.25" customHeight="1">
      <c r="A2174" s="693" t="s">
        <v>453</v>
      </c>
      <c r="B2174" s="844" t="s">
        <v>497</v>
      </c>
      <c r="C2174" s="747" t="e">
        <f>VLOOKUP(B2166,'CNKT '!#REF!,18,0)</f>
        <v>#REF!</v>
      </c>
      <c r="D2174" s="697">
        <v>10000</v>
      </c>
      <c r="E2174" s="695" t="e">
        <f>C2174*D2174</f>
        <v>#REF!</v>
      </c>
      <c r="F2174" s="750"/>
      <c r="G2174" s="693" t="s">
        <v>453</v>
      </c>
      <c r="H2174" s="844" t="s">
        <v>497</v>
      </c>
      <c r="I2174" s="747" t="e">
        <f>VLOOKUP(H2166,'CNKT '!#REF!,18,0)</f>
        <v>#REF!</v>
      </c>
      <c r="J2174" s="697">
        <v>10000</v>
      </c>
      <c r="K2174" s="695" t="e">
        <f>I2174*J2174</f>
        <v>#REF!</v>
      </c>
      <c r="L2174" s="690"/>
    </row>
    <row r="2175" spans="1:12" s="27" customFormat="1" ht="17.25" customHeight="1">
      <c r="A2175" s="693" t="s">
        <v>453</v>
      </c>
      <c r="B2175" s="844" t="s">
        <v>497</v>
      </c>
      <c r="C2175" s="747" t="e">
        <f>VLOOKUP(B2166,'CNKT '!#REF!,19,0)</f>
        <v>#REF!</v>
      </c>
      <c r="D2175" s="697">
        <v>20000</v>
      </c>
      <c r="E2175" s="695" t="e">
        <f>C2175*D2175</f>
        <v>#REF!</v>
      </c>
      <c r="F2175" s="750"/>
      <c r="G2175" s="693" t="s">
        <v>453</v>
      </c>
      <c r="H2175" s="844" t="s">
        <v>497</v>
      </c>
      <c r="I2175" s="747" t="e">
        <f>VLOOKUP(H2166,'CNKT '!#REF!,19,0)</f>
        <v>#REF!</v>
      </c>
      <c r="J2175" s="697">
        <v>20000</v>
      </c>
      <c r="K2175" s="695" t="e">
        <f>I2175*J2175</f>
        <v>#REF!</v>
      </c>
      <c r="L2175" s="690"/>
    </row>
    <row r="2176" spans="1:12" s="27" customFormat="1" ht="17.25" customHeight="1">
      <c r="A2176" s="699" t="s">
        <v>79</v>
      </c>
      <c r="B2176" s="845" t="s">
        <v>532</v>
      </c>
      <c r="C2176" s="700"/>
      <c r="D2176" s="701"/>
      <c r="E2176" s="700"/>
      <c r="F2176" s="750"/>
      <c r="G2176" s="699" t="s">
        <v>79</v>
      </c>
      <c r="H2176" s="845" t="s">
        <v>532</v>
      </c>
      <c r="I2176" s="700"/>
      <c r="J2176" s="701"/>
      <c r="K2176" s="700"/>
      <c r="L2176" s="690"/>
    </row>
    <row r="2177" spans="1:12" s="27" customFormat="1" ht="17.25" customHeight="1">
      <c r="A2177" s="702" t="s">
        <v>80</v>
      </c>
      <c r="B2177" s="846" t="s">
        <v>533</v>
      </c>
      <c r="C2177" s="700"/>
      <c r="D2177" s="700"/>
      <c r="E2177" s="700"/>
      <c r="F2177" s="750"/>
      <c r="G2177" s="702" t="s">
        <v>80</v>
      </c>
      <c r="H2177" s="846" t="s">
        <v>533</v>
      </c>
      <c r="I2177" s="700"/>
      <c r="J2177" s="700"/>
      <c r="K2177" s="700"/>
      <c r="L2177" s="690"/>
    </row>
    <row r="2178" spans="1:12" s="27" customFormat="1" ht="17.25" customHeight="1">
      <c r="A2178" s="702" t="s">
        <v>81</v>
      </c>
      <c r="B2178" s="847" t="s">
        <v>534</v>
      </c>
      <c r="C2178" s="700"/>
      <c r="D2178" s="700"/>
      <c r="E2178" s="695">
        <f>SUM(E2177)</f>
        <v>0</v>
      </c>
      <c r="F2178" s="747"/>
      <c r="G2178" s="702" t="s">
        <v>81</v>
      </c>
      <c r="H2178" s="847" t="s">
        <v>534</v>
      </c>
      <c r="I2178" s="700"/>
      <c r="J2178" s="700"/>
      <c r="K2178" s="695">
        <f>SUM(K2177)</f>
        <v>0</v>
      </c>
      <c r="L2178" s="690"/>
    </row>
    <row r="2179" spans="1:12" s="27" customFormat="1" ht="17.25" customHeight="1">
      <c r="A2179" s="704" t="s">
        <v>82</v>
      </c>
      <c r="B2179" s="848" t="s">
        <v>438</v>
      </c>
      <c r="C2179" s="705"/>
      <c r="D2179" s="705"/>
      <c r="E2179" s="705" t="e">
        <f>(E2168+E2169+E2170+E2171+E2172+E2173+E2174+E2175)-E2178</f>
        <v>#REF!</v>
      </c>
      <c r="F2179" s="747"/>
      <c r="G2179" s="704" t="s">
        <v>82</v>
      </c>
      <c r="H2179" s="848" t="s">
        <v>438</v>
      </c>
      <c r="I2179" s="705"/>
      <c r="J2179" s="705"/>
      <c r="K2179" s="705" t="e">
        <f>(K2168+K2169+K2170+K2171+K2172+K2173+K2174+K2175)-K2178</f>
        <v>#REF!</v>
      </c>
      <c r="L2179" s="707" t="e">
        <f>E2179+K2179</f>
        <v>#REF!</v>
      </c>
    </row>
    <row r="2180" spans="1:12" s="27" customFormat="1" ht="17.25" customHeight="1">
      <c r="A2180" s="763"/>
      <c r="B2180" s="763"/>
      <c r="C2180" s="763"/>
      <c r="D2180" s="763"/>
      <c r="E2180" s="763"/>
      <c r="F2180" s="763"/>
      <c r="G2180" s="763"/>
      <c r="H2180" s="763"/>
      <c r="I2180" s="763"/>
      <c r="J2180" s="763"/>
      <c r="K2180" s="763"/>
      <c r="L2180" s="690"/>
    </row>
    <row r="2181" spans="1:12" s="27" customFormat="1" ht="17.25" customHeight="1">
      <c r="A2181" s="759" t="str">
        <f>A2165</f>
        <v>LƯƠNG THÁNG 01/2025</v>
      </c>
      <c r="B2181" s="763"/>
      <c r="C2181" s="763"/>
      <c r="D2181" s="763"/>
      <c r="E2181" s="766" t="e">
        <f>VLOOKUP(B2182,'CNKT '!#REF!,26,0)</f>
        <v>#REF!</v>
      </c>
      <c r="F2181" s="750"/>
      <c r="G2181" s="759" t="str">
        <f>A2181</f>
        <v>LƯƠNG THÁNG 01/2025</v>
      </c>
      <c r="H2181" s="763"/>
      <c r="I2181" s="763"/>
      <c r="J2181" s="766"/>
      <c r="K2181" s="766" t="e">
        <f>VLOOKUP(H2182,'CNKT '!#REF!,26,0)</f>
        <v>#REF!</v>
      </c>
      <c r="L2181" s="690"/>
    </row>
    <row r="2182" spans="1:12" s="27" customFormat="1" ht="17.25" customHeight="1">
      <c r="A2182" s="709" t="s">
        <v>15</v>
      </c>
      <c r="B2182" s="840" t="e">
        <f>'CNKT '!#REF!</f>
        <v>#REF!</v>
      </c>
      <c r="C2182" s="694"/>
      <c r="D2182" s="840" t="s">
        <v>396</v>
      </c>
      <c r="E2182" s="840" t="s">
        <v>18</v>
      </c>
      <c r="F2182" s="750"/>
      <c r="G2182" s="709" t="s">
        <v>15</v>
      </c>
      <c r="H2182" s="840" t="e">
        <f>'CNKT '!#REF!</f>
        <v>#REF!</v>
      </c>
      <c r="I2182" s="694"/>
      <c r="J2182" s="840" t="s">
        <v>396</v>
      </c>
      <c r="K2182" s="840" t="s">
        <v>18</v>
      </c>
      <c r="L2182" s="690"/>
    </row>
    <row r="2183" spans="1:12" s="27" customFormat="1" ht="17.25" customHeight="1">
      <c r="A2183" s="693" t="s">
        <v>397</v>
      </c>
      <c r="B2183" s="842" t="s">
        <v>527</v>
      </c>
      <c r="C2183" s="694" t="e">
        <f>VLOOKUP(B2182,'BTH mủ tạp'!$D$161:$AN$161,36,0)</f>
        <v>#REF!</v>
      </c>
      <c r="D2183" s="695"/>
      <c r="E2183" s="695"/>
      <c r="F2183" s="750"/>
      <c r="G2183" s="693" t="s">
        <v>397</v>
      </c>
      <c r="H2183" s="842" t="s">
        <v>527</v>
      </c>
      <c r="I2183" s="694" t="e">
        <f>VLOOKUP(H2182,'BTH mủ tạp'!$D$161:$AN$161,36,0)</f>
        <v>#REF!</v>
      </c>
      <c r="J2183" s="695"/>
      <c r="K2183" s="695"/>
      <c r="L2183" s="690"/>
    </row>
    <row r="2184" spans="1:12" s="27" customFormat="1" ht="17.25" customHeight="1">
      <c r="A2184" s="693" t="s">
        <v>77</v>
      </c>
      <c r="B2184" s="843" t="s">
        <v>432</v>
      </c>
      <c r="C2184" s="696" t="e">
        <f>VLOOKUP(B2182,'CNKT '!#REF!,3,0)</f>
        <v>#REF!</v>
      </c>
      <c r="D2184" s="697">
        <v>25000</v>
      </c>
      <c r="E2184" s="695" t="e">
        <f t="shared" ref="E2184:E2189" si="255">C2184*D2184</f>
        <v>#REF!</v>
      </c>
      <c r="F2184" s="750"/>
      <c r="G2184" s="693" t="s">
        <v>77</v>
      </c>
      <c r="H2184" s="843" t="s">
        <v>432</v>
      </c>
      <c r="I2184" s="696" t="e">
        <f>VLOOKUP(H2182,'CNKT '!#REF!,3,0)</f>
        <v>#REF!</v>
      </c>
      <c r="J2184" s="697">
        <v>25000</v>
      </c>
      <c r="K2184" s="695" t="e">
        <f t="shared" ref="K2184:K2189" si="256">I2184*J2184</f>
        <v>#REF!</v>
      </c>
      <c r="L2184" s="690"/>
    </row>
    <row r="2185" spans="1:12" s="27" customFormat="1" ht="17.25" customHeight="1">
      <c r="A2185" s="693" t="s">
        <v>307</v>
      </c>
      <c r="B2185" s="844" t="s">
        <v>528</v>
      </c>
      <c r="C2185" s="747" t="e">
        <f>VLOOKUP(B2182,'CNKT '!#REF!,11,0)</f>
        <v>#REF!</v>
      </c>
      <c r="D2185" s="698">
        <f>46.1*$B$2</f>
        <v>30833.524000000001</v>
      </c>
      <c r="E2185" s="695" t="e">
        <f t="shared" si="255"/>
        <v>#REF!</v>
      </c>
      <c r="F2185" s="750"/>
      <c r="G2185" s="693" t="s">
        <v>307</v>
      </c>
      <c r="H2185" s="844" t="s">
        <v>528</v>
      </c>
      <c r="I2185" s="747" t="e">
        <f>VLOOKUP(H2182,'CNKT '!#REF!,11,0)</f>
        <v>#REF!</v>
      </c>
      <c r="J2185" s="698">
        <f>46.1*$B$2</f>
        <v>30833.524000000001</v>
      </c>
      <c r="K2185" s="695" t="e">
        <f t="shared" si="256"/>
        <v>#REF!</v>
      </c>
      <c r="L2185" s="690"/>
    </row>
    <row r="2186" spans="1:12" s="27" customFormat="1" ht="17.25" customHeight="1">
      <c r="A2186" s="693" t="s">
        <v>399</v>
      </c>
      <c r="B2186" s="844" t="s">
        <v>529</v>
      </c>
      <c r="C2186" s="747" t="e">
        <f>VLOOKUP(B2182,'CNKT '!#REF!,12,0)</f>
        <v>#REF!</v>
      </c>
      <c r="D2186" s="697">
        <f>76.9*$B$2</f>
        <v>51433.796000000009</v>
      </c>
      <c r="E2186" s="695" t="e">
        <f t="shared" si="255"/>
        <v>#REF!</v>
      </c>
      <c r="F2186" s="750"/>
      <c r="G2186" s="693" t="s">
        <v>399</v>
      </c>
      <c r="H2186" s="844" t="s">
        <v>529</v>
      </c>
      <c r="I2186" s="747" t="e">
        <f>VLOOKUP(H2182,'CNKT '!#REF!,12,0)</f>
        <v>#REF!</v>
      </c>
      <c r="J2186" s="697">
        <f>76.9*$B$2</f>
        <v>51433.796000000009</v>
      </c>
      <c r="K2186" s="695" t="e">
        <f t="shared" si="256"/>
        <v>#REF!</v>
      </c>
      <c r="L2186" s="690"/>
    </row>
    <row r="2187" spans="1:12" s="27" customFormat="1" ht="17.25" customHeight="1">
      <c r="A2187" s="693" t="s">
        <v>78</v>
      </c>
      <c r="B2187" s="844" t="s">
        <v>530</v>
      </c>
      <c r="C2187" s="747" t="e">
        <f>VLOOKUP(B2182,'CNKT '!#REF!,8,0)</f>
        <v>#REF!</v>
      </c>
      <c r="D2187" s="697" t="e">
        <f>IF(C2183="A",6.1,IF(C2183="B",5.8,IF(C2183="C",5.5,IF(C2183="C.",5.5,IF(C2183="D",5.2)))))*$B$2</f>
        <v>#REF!</v>
      </c>
      <c r="E2187" s="695" t="e">
        <f t="shared" si="255"/>
        <v>#REF!</v>
      </c>
      <c r="F2187" s="750"/>
      <c r="G2187" s="693" t="s">
        <v>78</v>
      </c>
      <c r="H2187" s="844" t="s">
        <v>530</v>
      </c>
      <c r="I2187" s="747" t="e">
        <f>VLOOKUP(H2182,'CNKT '!#REF!,8,0)</f>
        <v>#REF!</v>
      </c>
      <c r="J2187" s="697" t="e">
        <f>IF(I2183="A",6.1,IF(I2183="B",5.8,IF(I2183="C",5.5,IF(I2183="C.",5.5,IF(I2183="D",5.2)))))*$B$2</f>
        <v>#REF!</v>
      </c>
      <c r="K2187" s="695" t="e">
        <f t="shared" si="256"/>
        <v>#REF!</v>
      </c>
      <c r="L2187" s="690"/>
    </row>
    <row r="2188" spans="1:12" s="27" customFormat="1" ht="17.25" customHeight="1">
      <c r="A2188" s="693" t="s">
        <v>447</v>
      </c>
      <c r="B2188" s="844" t="s">
        <v>531</v>
      </c>
      <c r="C2188" s="747" t="e">
        <f>VLOOKUP(B2182,'CNKT '!#REF!,15,0)</f>
        <v>#REF!</v>
      </c>
      <c r="D2188" s="698">
        <f>92.2*$B$2</f>
        <v>61667.048000000003</v>
      </c>
      <c r="E2188" s="695" t="e">
        <f t="shared" si="255"/>
        <v>#REF!</v>
      </c>
      <c r="F2188" s="750"/>
      <c r="G2188" s="693" t="s">
        <v>447</v>
      </c>
      <c r="H2188" s="844" t="s">
        <v>531</v>
      </c>
      <c r="I2188" s="747" t="e">
        <f>VLOOKUP(H2182,'CNKT '!#REF!,15,0)</f>
        <v>#REF!</v>
      </c>
      <c r="J2188" s="698">
        <f>92.2*$B$2</f>
        <v>61667.048000000003</v>
      </c>
      <c r="K2188" s="695" t="e">
        <f t="shared" si="256"/>
        <v>#REF!</v>
      </c>
      <c r="L2188" s="690"/>
    </row>
    <row r="2189" spans="1:12" s="27" customFormat="1" ht="17.25" customHeight="1">
      <c r="A2189" s="693" t="s">
        <v>448</v>
      </c>
      <c r="B2189" s="844" t="s">
        <v>496</v>
      </c>
      <c r="C2189" s="747" t="e">
        <f>VLOOKUP(B2182,'CNKT '!#REF!,14,0)</f>
        <v>#REF!</v>
      </c>
      <c r="D2189" s="697">
        <f>153.6*$B$2</f>
        <v>102733.82400000001</v>
      </c>
      <c r="E2189" s="695" t="e">
        <f t="shared" si="255"/>
        <v>#REF!</v>
      </c>
      <c r="F2189" s="750"/>
      <c r="G2189" s="693" t="s">
        <v>448</v>
      </c>
      <c r="H2189" s="844" t="s">
        <v>496</v>
      </c>
      <c r="I2189" s="747" t="e">
        <f>VLOOKUP(H2182,'CNKT '!#REF!,14,0)</f>
        <v>#REF!</v>
      </c>
      <c r="J2189" s="697">
        <f>153.6*$B$2</f>
        <v>102733.82400000001</v>
      </c>
      <c r="K2189" s="695" t="e">
        <f t="shared" si="256"/>
        <v>#REF!</v>
      </c>
      <c r="L2189" s="690"/>
    </row>
    <row r="2190" spans="1:12" s="27" customFormat="1" ht="17.25" customHeight="1">
      <c r="A2190" s="693" t="s">
        <v>453</v>
      </c>
      <c r="B2190" s="844" t="s">
        <v>497</v>
      </c>
      <c r="C2190" s="747" t="e">
        <f>VLOOKUP(B2182,'CNKT '!#REF!,18,0)</f>
        <v>#REF!</v>
      </c>
      <c r="D2190" s="697">
        <v>10000</v>
      </c>
      <c r="E2190" s="695" t="e">
        <f>C2190*D2190</f>
        <v>#REF!</v>
      </c>
      <c r="F2190" s="750"/>
      <c r="G2190" s="693" t="s">
        <v>453</v>
      </c>
      <c r="H2190" s="844" t="s">
        <v>497</v>
      </c>
      <c r="I2190" s="747" t="e">
        <f>VLOOKUP(H2182,'CNKT '!#REF!,18,0)</f>
        <v>#REF!</v>
      </c>
      <c r="J2190" s="697">
        <v>10000</v>
      </c>
      <c r="K2190" s="695" t="e">
        <f>I2190*J2190</f>
        <v>#REF!</v>
      </c>
      <c r="L2190" s="690"/>
    </row>
    <row r="2191" spans="1:12" s="27" customFormat="1" ht="17.25" customHeight="1">
      <c r="A2191" s="693" t="s">
        <v>453</v>
      </c>
      <c r="B2191" s="844" t="s">
        <v>497</v>
      </c>
      <c r="C2191" s="747" t="e">
        <f>VLOOKUP(B2182,'CNKT '!#REF!,19,0)</f>
        <v>#REF!</v>
      </c>
      <c r="D2191" s="697">
        <v>20000</v>
      </c>
      <c r="E2191" s="695" t="e">
        <f>C2191*D2191</f>
        <v>#REF!</v>
      </c>
      <c r="F2191" s="750"/>
      <c r="G2191" s="693" t="s">
        <v>453</v>
      </c>
      <c r="H2191" s="844" t="s">
        <v>497</v>
      </c>
      <c r="I2191" s="747" t="e">
        <f>VLOOKUP(H2182,'CNKT '!#REF!,19,0)</f>
        <v>#REF!</v>
      </c>
      <c r="J2191" s="697">
        <v>20000</v>
      </c>
      <c r="K2191" s="695" t="e">
        <f>I2191*J2191</f>
        <v>#REF!</v>
      </c>
      <c r="L2191" s="690"/>
    </row>
    <row r="2192" spans="1:12" s="27" customFormat="1" ht="17.25" customHeight="1">
      <c r="A2192" s="699" t="s">
        <v>79</v>
      </c>
      <c r="B2192" s="845" t="s">
        <v>532</v>
      </c>
      <c r="C2192" s="700"/>
      <c r="D2192" s="701"/>
      <c r="E2192" s="700"/>
      <c r="F2192" s="750"/>
      <c r="G2192" s="699" t="s">
        <v>79</v>
      </c>
      <c r="H2192" s="845" t="s">
        <v>532</v>
      </c>
      <c r="I2192" s="700"/>
      <c r="J2192" s="701"/>
      <c r="K2192" s="700"/>
      <c r="L2192" s="690"/>
    </row>
    <row r="2193" spans="1:12" s="27" customFormat="1" ht="17.25" customHeight="1">
      <c r="A2193" s="702" t="s">
        <v>80</v>
      </c>
      <c r="B2193" s="846" t="s">
        <v>533</v>
      </c>
      <c r="C2193" s="700"/>
      <c r="D2193" s="700"/>
      <c r="E2193" s="700"/>
      <c r="F2193" s="750"/>
      <c r="G2193" s="702" t="s">
        <v>80</v>
      </c>
      <c r="H2193" s="846" t="s">
        <v>533</v>
      </c>
      <c r="I2193" s="700"/>
      <c r="J2193" s="700"/>
      <c r="K2193" s="700"/>
      <c r="L2193" s="690"/>
    </row>
    <row r="2194" spans="1:12" s="27" customFormat="1" ht="17.25" customHeight="1">
      <c r="A2194" s="702" t="s">
        <v>81</v>
      </c>
      <c r="B2194" s="847" t="s">
        <v>534</v>
      </c>
      <c r="C2194" s="700"/>
      <c r="D2194" s="700"/>
      <c r="E2194" s="695">
        <f>SUM(E2193)</f>
        <v>0</v>
      </c>
      <c r="F2194" s="749"/>
      <c r="G2194" s="702" t="s">
        <v>81</v>
      </c>
      <c r="H2194" s="847" t="s">
        <v>534</v>
      </c>
      <c r="I2194" s="700"/>
      <c r="J2194" s="700"/>
      <c r="K2194" s="695">
        <f>SUM(K2193)</f>
        <v>0</v>
      </c>
      <c r="L2194" s="690"/>
    </row>
    <row r="2195" spans="1:12" s="27" customFormat="1" ht="17.25" customHeight="1">
      <c r="A2195" s="704" t="s">
        <v>82</v>
      </c>
      <c r="B2195" s="848" t="s">
        <v>438</v>
      </c>
      <c r="C2195" s="705"/>
      <c r="D2195" s="705"/>
      <c r="E2195" s="705" t="e">
        <f>(E2184+E2185+E2186+E2187+E2188+E2189+E2190+E2191)-E2194</f>
        <v>#REF!</v>
      </c>
      <c r="F2195" s="749"/>
      <c r="G2195" s="704" t="s">
        <v>82</v>
      </c>
      <c r="H2195" s="848" t="s">
        <v>438</v>
      </c>
      <c r="I2195" s="705"/>
      <c r="J2195" s="705"/>
      <c r="K2195" s="705" t="e">
        <f>(K2184+K2185+K2186+K2187+K2188+K2189+K2190+K2191)-K2194</f>
        <v>#REF!</v>
      </c>
      <c r="L2195" s="707" t="e">
        <f>E2195+K2195</f>
        <v>#REF!</v>
      </c>
    </row>
    <row r="2196" spans="1:12" s="27" customFormat="1" ht="17.25" customHeight="1">
      <c r="A2196" s="763"/>
      <c r="B2196" s="763"/>
      <c r="C2196" s="763"/>
      <c r="D2196" s="763"/>
      <c r="E2196" s="763"/>
      <c r="F2196" s="763"/>
      <c r="G2196" s="763"/>
      <c r="H2196" s="763"/>
      <c r="I2196" s="763"/>
      <c r="J2196" s="763"/>
      <c r="K2196" s="763"/>
      <c r="L2196" s="690"/>
    </row>
    <row r="2197" spans="1:12" s="27" customFormat="1" ht="17.25" customHeight="1">
      <c r="A2197" s="759" t="str">
        <f>A2181</f>
        <v>LƯƠNG THÁNG 01/2025</v>
      </c>
      <c r="B2197" s="763"/>
      <c r="C2197" s="763"/>
      <c r="D2197" s="763"/>
      <c r="E2197" s="766" t="e">
        <f>VLOOKUP(B2198,'CNKT '!#REF!,26,0)</f>
        <v>#REF!</v>
      </c>
      <c r="F2197" s="750"/>
      <c r="G2197" s="759" t="str">
        <f>A2197</f>
        <v>LƯƠNG THÁNG 01/2025</v>
      </c>
      <c r="H2197" s="763"/>
      <c r="I2197" s="763"/>
      <c r="J2197" s="766"/>
      <c r="K2197" s="766" t="e">
        <f>VLOOKUP(H2198,'CNKT '!#REF!,26,0)</f>
        <v>#REF!</v>
      </c>
      <c r="L2197" s="690"/>
    </row>
    <row r="2198" spans="1:12" s="27" customFormat="1" ht="17.25" customHeight="1">
      <c r="A2198" s="709" t="s">
        <v>15</v>
      </c>
      <c r="B2198" s="840" t="e">
        <f>'CNKT '!#REF!</f>
        <v>#REF!</v>
      </c>
      <c r="C2198" s="694"/>
      <c r="D2198" s="840" t="s">
        <v>396</v>
      </c>
      <c r="E2198" s="840" t="s">
        <v>18</v>
      </c>
      <c r="F2198" s="750"/>
      <c r="G2198" s="709" t="s">
        <v>15</v>
      </c>
      <c r="H2198" s="840" t="e">
        <f>'CNKT '!#REF!</f>
        <v>#REF!</v>
      </c>
      <c r="I2198" s="694"/>
      <c r="J2198" s="840" t="s">
        <v>396</v>
      </c>
      <c r="K2198" s="840" t="s">
        <v>18</v>
      </c>
      <c r="L2198" s="690"/>
    </row>
    <row r="2199" spans="1:12" s="27" customFormat="1" ht="17.25" customHeight="1">
      <c r="A2199" s="693" t="s">
        <v>397</v>
      </c>
      <c r="B2199" s="842" t="s">
        <v>527</v>
      </c>
      <c r="C2199" s="694" t="e">
        <f>VLOOKUP(B2198,'BTH mủ tạp'!$D$161:$AN$161,36,0)</f>
        <v>#REF!</v>
      </c>
      <c r="D2199" s="695"/>
      <c r="E2199" s="695"/>
      <c r="F2199" s="750"/>
      <c r="G2199" s="693" t="s">
        <v>397</v>
      </c>
      <c r="H2199" s="842" t="s">
        <v>527</v>
      </c>
      <c r="I2199" s="694" t="e">
        <f>VLOOKUP(H2198,'BTH mủ tạp'!$D$161:$AN$161,36,0)</f>
        <v>#REF!</v>
      </c>
      <c r="J2199" s="695"/>
      <c r="K2199" s="695"/>
      <c r="L2199" s="690"/>
    </row>
    <row r="2200" spans="1:12" s="27" customFormat="1" ht="17.25" customHeight="1">
      <c r="A2200" s="693" t="s">
        <v>77</v>
      </c>
      <c r="B2200" s="843" t="s">
        <v>432</v>
      </c>
      <c r="C2200" s="696" t="e">
        <f>VLOOKUP(B2198,'CNKT '!#REF!,3,0)</f>
        <v>#REF!</v>
      </c>
      <c r="D2200" s="697">
        <v>25000</v>
      </c>
      <c r="E2200" s="695" t="e">
        <f t="shared" ref="E2200:E2205" si="257">C2200*D2200</f>
        <v>#REF!</v>
      </c>
      <c r="F2200" s="750"/>
      <c r="G2200" s="693" t="s">
        <v>77</v>
      </c>
      <c r="H2200" s="843" t="s">
        <v>432</v>
      </c>
      <c r="I2200" s="696" t="e">
        <f>VLOOKUP(H2198,'CNKT '!#REF!,3,0)</f>
        <v>#REF!</v>
      </c>
      <c r="J2200" s="697">
        <v>25000</v>
      </c>
      <c r="K2200" s="695" t="e">
        <f t="shared" ref="K2200:K2205" si="258">I2200*J2200</f>
        <v>#REF!</v>
      </c>
      <c r="L2200" s="690"/>
    </row>
    <row r="2201" spans="1:12" s="27" customFormat="1" ht="17.25" customHeight="1">
      <c r="A2201" s="693" t="s">
        <v>307</v>
      </c>
      <c r="B2201" s="844" t="s">
        <v>528</v>
      </c>
      <c r="C2201" s="747" t="e">
        <f>VLOOKUP(B2198,'CNKT '!#REF!,11,0)</f>
        <v>#REF!</v>
      </c>
      <c r="D2201" s="698">
        <f>46.1*$B$2</f>
        <v>30833.524000000001</v>
      </c>
      <c r="E2201" s="695" t="e">
        <f t="shared" si="257"/>
        <v>#REF!</v>
      </c>
      <c r="F2201" s="750"/>
      <c r="G2201" s="693" t="s">
        <v>307</v>
      </c>
      <c r="H2201" s="844" t="s">
        <v>528</v>
      </c>
      <c r="I2201" s="747" t="e">
        <f>VLOOKUP(H2198,'CNKT '!#REF!,11,0)</f>
        <v>#REF!</v>
      </c>
      <c r="J2201" s="698">
        <f>46.1*$B$2</f>
        <v>30833.524000000001</v>
      </c>
      <c r="K2201" s="695" t="e">
        <f t="shared" si="258"/>
        <v>#REF!</v>
      </c>
      <c r="L2201" s="690"/>
    </row>
    <row r="2202" spans="1:12" s="27" customFormat="1" ht="17.25" customHeight="1">
      <c r="A2202" s="693" t="s">
        <v>399</v>
      </c>
      <c r="B2202" s="844" t="s">
        <v>529</v>
      </c>
      <c r="C2202" s="747" t="e">
        <f>VLOOKUP(B2198,'CNKT '!#REF!,12,0)</f>
        <v>#REF!</v>
      </c>
      <c r="D2202" s="697">
        <f>76.9*$B$2</f>
        <v>51433.796000000009</v>
      </c>
      <c r="E2202" s="695" t="e">
        <f t="shared" si="257"/>
        <v>#REF!</v>
      </c>
      <c r="F2202" s="750"/>
      <c r="G2202" s="693" t="s">
        <v>399</v>
      </c>
      <c r="H2202" s="844" t="s">
        <v>529</v>
      </c>
      <c r="I2202" s="747" t="e">
        <f>VLOOKUP(H2198,'CNKT '!#REF!,12,0)</f>
        <v>#REF!</v>
      </c>
      <c r="J2202" s="697">
        <f>76.9*$B$2</f>
        <v>51433.796000000009</v>
      </c>
      <c r="K2202" s="695" t="e">
        <f t="shared" si="258"/>
        <v>#REF!</v>
      </c>
      <c r="L2202" s="690"/>
    </row>
    <row r="2203" spans="1:12" s="27" customFormat="1" ht="17.25" customHeight="1">
      <c r="A2203" s="693" t="s">
        <v>78</v>
      </c>
      <c r="B2203" s="844" t="s">
        <v>530</v>
      </c>
      <c r="C2203" s="747" t="e">
        <f>VLOOKUP(B2198,'CNKT '!#REF!,8,0)</f>
        <v>#REF!</v>
      </c>
      <c r="D2203" s="697" t="e">
        <f>IF(C2199="A",6.1,IF(C2199="B",5.8,IF(C2199="C",5.5,IF(C2199="C.",5.5,IF(C2199="D",5.2)))))*$B$2</f>
        <v>#REF!</v>
      </c>
      <c r="E2203" s="695" t="e">
        <f t="shared" si="257"/>
        <v>#REF!</v>
      </c>
      <c r="F2203" s="750"/>
      <c r="G2203" s="693" t="s">
        <v>78</v>
      </c>
      <c r="H2203" s="844" t="s">
        <v>530</v>
      </c>
      <c r="I2203" s="747" t="e">
        <f>VLOOKUP(H2198,'CNKT '!#REF!,8,0)</f>
        <v>#REF!</v>
      </c>
      <c r="J2203" s="697" t="e">
        <f>IF(I2199="A",6.1,IF(I2199="B",5.8,IF(I2199="C",5.5,IF(I2199="C.",5.5,IF(I2199="D",5.2)))))*$B$2</f>
        <v>#REF!</v>
      </c>
      <c r="K2203" s="695" t="e">
        <f t="shared" si="258"/>
        <v>#REF!</v>
      </c>
      <c r="L2203" s="690"/>
    </row>
    <row r="2204" spans="1:12" s="27" customFormat="1" ht="17.25" customHeight="1">
      <c r="A2204" s="693" t="s">
        <v>447</v>
      </c>
      <c r="B2204" s="844" t="s">
        <v>531</v>
      </c>
      <c r="C2204" s="747" t="e">
        <f>VLOOKUP(B2198,'CNKT '!#REF!,15,0)</f>
        <v>#REF!</v>
      </c>
      <c r="D2204" s="698">
        <f>92.2*$B$2</f>
        <v>61667.048000000003</v>
      </c>
      <c r="E2204" s="695" t="e">
        <f t="shared" si="257"/>
        <v>#REF!</v>
      </c>
      <c r="F2204" s="750"/>
      <c r="G2204" s="693" t="s">
        <v>447</v>
      </c>
      <c r="H2204" s="844" t="s">
        <v>531</v>
      </c>
      <c r="I2204" s="747" t="e">
        <f>VLOOKUP(H2198,'CNKT '!#REF!,15,0)</f>
        <v>#REF!</v>
      </c>
      <c r="J2204" s="698">
        <f>92.2*$B$2</f>
        <v>61667.048000000003</v>
      </c>
      <c r="K2204" s="695" t="e">
        <f t="shared" si="258"/>
        <v>#REF!</v>
      </c>
      <c r="L2204" s="690"/>
    </row>
    <row r="2205" spans="1:12" s="27" customFormat="1" ht="17.25" customHeight="1">
      <c r="A2205" s="693" t="s">
        <v>448</v>
      </c>
      <c r="B2205" s="844" t="s">
        <v>496</v>
      </c>
      <c r="C2205" s="747" t="e">
        <f>VLOOKUP(B2198,'CNKT '!#REF!,14,0)</f>
        <v>#REF!</v>
      </c>
      <c r="D2205" s="697">
        <f>153.6*$B$2</f>
        <v>102733.82400000001</v>
      </c>
      <c r="E2205" s="695" t="e">
        <f t="shared" si="257"/>
        <v>#REF!</v>
      </c>
      <c r="F2205" s="750"/>
      <c r="G2205" s="693" t="s">
        <v>448</v>
      </c>
      <c r="H2205" s="844" t="s">
        <v>496</v>
      </c>
      <c r="I2205" s="747" t="e">
        <f>VLOOKUP(H2198,'CNKT '!#REF!,14,0)</f>
        <v>#REF!</v>
      </c>
      <c r="J2205" s="697">
        <f>153.6*$B$2</f>
        <v>102733.82400000001</v>
      </c>
      <c r="K2205" s="695" t="e">
        <f t="shared" si="258"/>
        <v>#REF!</v>
      </c>
      <c r="L2205" s="690"/>
    </row>
    <row r="2206" spans="1:12" s="27" customFormat="1" ht="17.25" customHeight="1">
      <c r="A2206" s="693" t="s">
        <v>453</v>
      </c>
      <c r="B2206" s="844" t="s">
        <v>497</v>
      </c>
      <c r="C2206" s="747" t="e">
        <f>VLOOKUP(B2198,'CNKT '!#REF!,18,0)</f>
        <v>#REF!</v>
      </c>
      <c r="D2206" s="697">
        <v>10000</v>
      </c>
      <c r="E2206" s="695" t="e">
        <f>C2206*D2206</f>
        <v>#REF!</v>
      </c>
      <c r="F2206" s="750"/>
      <c r="G2206" s="693" t="s">
        <v>453</v>
      </c>
      <c r="H2206" s="844" t="s">
        <v>497</v>
      </c>
      <c r="I2206" s="747" t="e">
        <f>VLOOKUP(H2198,'CNKT '!#REF!,18,0)</f>
        <v>#REF!</v>
      </c>
      <c r="J2206" s="697">
        <v>10000</v>
      </c>
      <c r="K2206" s="695" t="e">
        <f>I2206*J2206</f>
        <v>#REF!</v>
      </c>
      <c r="L2206" s="690"/>
    </row>
    <row r="2207" spans="1:12" s="27" customFormat="1" ht="17.25" customHeight="1">
      <c r="A2207" s="693" t="s">
        <v>453</v>
      </c>
      <c r="B2207" s="844" t="s">
        <v>497</v>
      </c>
      <c r="C2207" s="747" t="e">
        <f>VLOOKUP(B2198,'CNKT '!#REF!,19,0)</f>
        <v>#REF!</v>
      </c>
      <c r="D2207" s="697">
        <v>20000</v>
      </c>
      <c r="E2207" s="695" t="e">
        <f>C2207*D2207</f>
        <v>#REF!</v>
      </c>
      <c r="F2207" s="750"/>
      <c r="G2207" s="693" t="s">
        <v>453</v>
      </c>
      <c r="H2207" s="844" t="s">
        <v>497</v>
      </c>
      <c r="I2207" s="747" t="e">
        <f>VLOOKUP(H2198,'CNKT '!#REF!,19,0)</f>
        <v>#REF!</v>
      </c>
      <c r="J2207" s="697">
        <v>20000</v>
      </c>
      <c r="K2207" s="695" t="e">
        <f>I2207*J2207</f>
        <v>#REF!</v>
      </c>
      <c r="L2207" s="690"/>
    </row>
    <row r="2208" spans="1:12" s="27" customFormat="1" ht="17.25" customHeight="1">
      <c r="A2208" s="699" t="s">
        <v>79</v>
      </c>
      <c r="B2208" s="845" t="s">
        <v>532</v>
      </c>
      <c r="C2208" s="700"/>
      <c r="D2208" s="701"/>
      <c r="E2208" s="700"/>
      <c r="F2208" s="750"/>
      <c r="G2208" s="699" t="s">
        <v>79</v>
      </c>
      <c r="H2208" s="845" t="s">
        <v>532</v>
      </c>
      <c r="I2208" s="700"/>
      <c r="J2208" s="701"/>
      <c r="K2208" s="700"/>
      <c r="L2208" s="690"/>
    </row>
    <row r="2209" spans="1:12" s="27" customFormat="1" ht="17.25" customHeight="1">
      <c r="A2209" s="702" t="s">
        <v>80</v>
      </c>
      <c r="B2209" s="846" t="s">
        <v>533</v>
      </c>
      <c r="C2209" s="700"/>
      <c r="D2209" s="700"/>
      <c r="E2209" s="700"/>
      <c r="F2209" s="750"/>
      <c r="G2209" s="702" t="s">
        <v>80</v>
      </c>
      <c r="H2209" s="846" t="s">
        <v>533</v>
      </c>
      <c r="I2209" s="700"/>
      <c r="J2209" s="700"/>
      <c r="K2209" s="700"/>
      <c r="L2209" s="690"/>
    </row>
    <row r="2210" spans="1:12" s="27" customFormat="1" ht="17.25" customHeight="1">
      <c r="A2210" s="702" t="s">
        <v>81</v>
      </c>
      <c r="B2210" s="847" t="s">
        <v>534</v>
      </c>
      <c r="C2210" s="700"/>
      <c r="D2210" s="700"/>
      <c r="E2210" s="695">
        <f>SUM(E2209)</f>
        <v>0</v>
      </c>
      <c r="F2210" s="738"/>
      <c r="G2210" s="702" t="s">
        <v>81</v>
      </c>
      <c r="H2210" s="847" t="s">
        <v>534</v>
      </c>
      <c r="I2210" s="700"/>
      <c r="J2210" s="700"/>
      <c r="K2210" s="695">
        <f>SUM(K2209)</f>
        <v>0</v>
      </c>
      <c r="L2210" s="690"/>
    </row>
    <row r="2211" spans="1:12" s="27" customFormat="1" ht="17.25" customHeight="1">
      <c r="A2211" s="704" t="s">
        <v>82</v>
      </c>
      <c r="B2211" s="848" t="s">
        <v>438</v>
      </c>
      <c r="C2211" s="705"/>
      <c r="D2211" s="705"/>
      <c r="E2211" s="705" t="e">
        <f>(E2200+E2201+E2202+E2203+E2204+E2205+E2206+E2207)-E2210</f>
        <v>#REF!</v>
      </c>
      <c r="F2211" s="738"/>
      <c r="G2211" s="704" t="s">
        <v>82</v>
      </c>
      <c r="H2211" s="848" t="s">
        <v>438</v>
      </c>
      <c r="I2211" s="705"/>
      <c r="J2211" s="705"/>
      <c r="K2211" s="705" t="e">
        <f>(K2200+K2201+K2202+K2203+K2204+K2205+K2206+K2207)-K2210</f>
        <v>#REF!</v>
      </c>
      <c r="L2211" s="707" t="e">
        <f>E2211+K2211</f>
        <v>#REF!</v>
      </c>
    </row>
    <row r="2212" spans="1:12" s="27" customFormat="1" ht="17.25" customHeight="1">
      <c r="A2212" s="763"/>
      <c r="B2212" s="763"/>
      <c r="C2212" s="763"/>
      <c r="D2212" s="763"/>
      <c r="E2212" s="763"/>
      <c r="F2212" s="763"/>
      <c r="G2212" s="763"/>
      <c r="H2212" s="763"/>
      <c r="I2212" s="763"/>
      <c r="J2212" s="763"/>
      <c r="K2212" s="763"/>
      <c r="L2212" s="690"/>
    </row>
    <row r="2213" spans="1:12" s="27" customFormat="1" ht="17.25" customHeight="1">
      <c r="A2213" s="759" t="str">
        <f>A2197</f>
        <v>LƯƠNG THÁNG 01/2025</v>
      </c>
      <c r="B2213" s="763"/>
      <c r="C2213" s="763"/>
      <c r="D2213" s="763"/>
      <c r="E2213" s="766" t="e">
        <f>VLOOKUP(B2214,'CNKT '!#REF!,26,0)</f>
        <v>#REF!</v>
      </c>
      <c r="F2213" s="750"/>
      <c r="G2213" s="759" t="str">
        <f>A2213</f>
        <v>LƯƠNG THÁNG 01/2025</v>
      </c>
      <c r="H2213" s="763"/>
      <c r="I2213" s="763"/>
      <c r="J2213" s="766"/>
      <c r="K2213" s="766" t="e">
        <f>VLOOKUP(H2214,'CNKT '!#REF!,26,0)</f>
        <v>#REF!</v>
      </c>
      <c r="L2213" s="690"/>
    </row>
    <row r="2214" spans="1:12" s="27" customFormat="1" ht="17.25" customHeight="1">
      <c r="A2214" s="709" t="s">
        <v>15</v>
      </c>
      <c r="B2214" s="840" t="e">
        <f>'CNKT '!#REF!</f>
        <v>#REF!</v>
      </c>
      <c r="C2214" s="694"/>
      <c r="D2214" s="840" t="s">
        <v>396</v>
      </c>
      <c r="E2214" s="840" t="s">
        <v>18</v>
      </c>
      <c r="F2214" s="750"/>
      <c r="G2214" s="709" t="s">
        <v>15</v>
      </c>
      <c r="H2214" s="840" t="e">
        <f>'CNKT '!#REF!</f>
        <v>#REF!</v>
      </c>
      <c r="I2214" s="694"/>
      <c r="J2214" s="840" t="s">
        <v>396</v>
      </c>
      <c r="K2214" s="840" t="s">
        <v>18</v>
      </c>
      <c r="L2214" s="690"/>
    </row>
    <row r="2215" spans="1:12" s="27" customFormat="1" ht="17.25" customHeight="1">
      <c r="A2215" s="693" t="s">
        <v>397</v>
      </c>
      <c r="B2215" s="842" t="s">
        <v>527</v>
      </c>
      <c r="C2215" s="694" t="e">
        <f>VLOOKUP(B2214,'BTH mủ tạp'!$D$161:$AN$161,36,0)</f>
        <v>#REF!</v>
      </c>
      <c r="D2215" s="695"/>
      <c r="E2215" s="695"/>
      <c r="F2215" s="750"/>
      <c r="G2215" s="693" t="s">
        <v>397</v>
      </c>
      <c r="H2215" s="842" t="s">
        <v>527</v>
      </c>
      <c r="I2215" s="694" t="e">
        <f>VLOOKUP(H2214,'BTH mủ tạp'!$D$161:$AN$161,36,0)</f>
        <v>#REF!</v>
      </c>
      <c r="J2215" s="695"/>
      <c r="K2215" s="695"/>
      <c r="L2215" s="690"/>
    </row>
    <row r="2216" spans="1:12" s="27" customFormat="1" ht="17.25" customHeight="1">
      <c r="A2216" s="693" t="s">
        <v>77</v>
      </c>
      <c r="B2216" s="843" t="s">
        <v>432</v>
      </c>
      <c r="C2216" s="696" t="e">
        <f>VLOOKUP(B2214,'CNKT '!#REF!,3,0)</f>
        <v>#REF!</v>
      </c>
      <c r="D2216" s="697">
        <v>25000</v>
      </c>
      <c r="E2216" s="695" t="e">
        <f t="shared" ref="E2216:E2221" si="259">C2216*D2216</f>
        <v>#REF!</v>
      </c>
      <c r="F2216" s="750"/>
      <c r="G2216" s="693" t="s">
        <v>77</v>
      </c>
      <c r="H2216" s="843" t="s">
        <v>432</v>
      </c>
      <c r="I2216" s="696" t="e">
        <f>VLOOKUP(H2214,'CNKT '!#REF!,3,0)</f>
        <v>#REF!</v>
      </c>
      <c r="J2216" s="697">
        <v>25000</v>
      </c>
      <c r="K2216" s="695" t="e">
        <f t="shared" ref="K2216:K2221" si="260">I2216*J2216</f>
        <v>#REF!</v>
      </c>
      <c r="L2216" s="690"/>
    </row>
    <row r="2217" spans="1:12" s="27" customFormat="1" ht="17.25" customHeight="1">
      <c r="A2217" s="693" t="s">
        <v>307</v>
      </c>
      <c r="B2217" s="844" t="s">
        <v>528</v>
      </c>
      <c r="C2217" s="747" t="e">
        <f>VLOOKUP(B2214,'CNKT '!#REF!,11,0)</f>
        <v>#REF!</v>
      </c>
      <c r="D2217" s="698">
        <f>46.1*$B$2</f>
        <v>30833.524000000001</v>
      </c>
      <c r="E2217" s="695" t="e">
        <f t="shared" si="259"/>
        <v>#REF!</v>
      </c>
      <c r="F2217" s="750"/>
      <c r="G2217" s="693" t="s">
        <v>307</v>
      </c>
      <c r="H2217" s="844" t="s">
        <v>528</v>
      </c>
      <c r="I2217" s="747" t="e">
        <f>VLOOKUP(H2214,'CNKT '!#REF!,11,0)</f>
        <v>#REF!</v>
      </c>
      <c r="J2217" s="698">
        <f>46.1*$B$2</f>
        <v>30833.524000000001</v>
      </c>
      <c r="K2217" s="695" t="e">
        <f t="shared" si="260"/>
        <v>#REF!</v>
      </c>
      <c r="L2217" s="690"/>
    </row>
    <row r="2218" spans="1:12" s="27" customFormat="1" ht="17.25" customHeight="1">
      <c r="A2218" s="693" t="s">
        <v>399</v>
      </c>
      <c r="B2218" s="844" t="s">
        <v>529</v>
      </c>
      <c r="C2218" s="747" t="e">
        <f>VLOOKUP(B2214,'CNKT '!#REF!,12,0)</f>
        <v>#REF!</v>
      </c>
      <c r="D2218" s="697">
        <f>76.9*$B$2</f>
        <v>51433.796000000009</v>
      </c>
      <c r="E2218" s="695" t="e">
        <f t="shared" si="259"/>
        <v>#REF!</v>
      </c>
      <c r="F2218" s="750"/>
      <c r="G2218" s="693" t="s">
        <v>399</v>
      </c>
      <c r="H2218" s="844" t="s">
        <v>529</v>
      </c>
      <c r="I2218" s="747" t="e">
        <f>VLOOKUP(H2214,'CNKT '!#REF!,12,0)</f>
        <v>#REF!</v>
      </c>
      <c r="J2218" s="697">
        <f>76.9*$B$2</f>
        <v>51433.796000000009</v>
      </c>
      <c r="K2218" s="695" t="e">
        <f t="shared" si="260"/>
        <v>#REF!</v>
      </c>
      <c r="L2218" s="690"/>
    </row>
    <row r="2219" spans="1:12" s="27" customFormat="1" ht="17.25" customHeight="1">
      <c r="A2219" s="693" t="s">
        <v>78</v>
      </c>
      <c r="B2219" s="844" t="s">
        <v>530</v>
      </c>
      <c r="C2219" s="747" t="e">
        <f>VLOOKUP(B2214,'CNKT '!#REF!,8,0)</f>
        <v>#REF!</v>
      </c>
      <c r="D2219" s="697" t="e">
        <f>IF(C2215="A",6.1,IF(C2215="B",5.8,IF(C2215="C",5.5,IF(C2215="C.",5.5,IF(C2215="D",5.2)))))*$B$2</f>
        <v>#REF!</v>
      </c>
      <c r="E2219" s="695" t="e">
        <f t="shared" si="259"/>
        <v>#REF!</v>
      </c>
      <c r="F2219" s="750"/>
      <c r="G2219" s="693" t="s">
        <v>78</v>
      </c>
      <c r="H2219" s="844" t="s">
        <v>530</v>
      </c>
      <c r="I2219" s="747" t="e">
        <f>VLOOKUP(H2214,'CNKT '!#REF!,8,0)</f>
        <v>#REF!</v>
      </c>
      <c r="J2219" s="697" t="e">
        <f>IF(I2215="A",6.1,IF(I2215="B",5.8,IF(I2215="C",5.5,IF(I2215="C.",5.5,IF(I2215="D",5.2)))))*$B$2</f>
        <v>#REF!</v>
      </c>
      <c r="K2219" s="695" t="e">
        <f t="shared" si="260"/>
        <v>#REF!</v>
      </c>
      <c r="L2219" s="690"/>
    </row>
    <row r="2220" spans="1:12" s="27" customFormat="1" ht="17.25" customHeight="1">
      <c r="A2220" s="693" t="s">
        <v>447</v>
      </c>
      <c r="B2220" s="844" t="s">
        <v>531</v>
      </c>
      <c r="C2220" s="747" t="e">
        <f>VLOOKUP(B2214,'CNKT '!#REF!,15,0)</f>
        <v>#REF!</v>
      </c>
      <c r="D2220" s="698">
        <f>92.2*$B$2</f>
        <v>61667.048000000003</v>
      </c>
      <c r="E2220" s="695" t="e">
        <f t="shared" si="259"/>
        <v>#REF!</v>
      </c>
      <c r="F2220" s="750"/>
      <c r="G2220" s="693" t="s">
        <v>447</v>
      </c>
      <c r="H2220" s="844" t="s">
        <v>531</v>
      </c>
      <c r="I2220" s="747" t="e">
        <f>VLOOKUP(H2214,'CNKT '!#REF!,15,0)</f>
        <v>#REF!</v>
      </c>
      <c r="J2220" s="698">
        <f>92.2*$B$2</f>
        <v>61667.048000000003</v>
      </c>
      <c r="K2220" s="695" t="e">
        <f t="shared" si="260"/>
        <v>#REF!</v>
      </c>
      <c r="L2220" s="690"/>
    </row>
    <row r="2221" spans="1:12" s="27" customFormat="1" ht="17.25" customHeight="1">
      <c r="A2221" s="693" t="s">
        <v>448</v>
      </c>
      <c r="B2221" s="844" t="s">
        <v>496</v>
      </c>
      <c r="C2221" s="747" t="e">
        <f>VLOOKUP(B2214,'CNKT '!#REF!,14,0)</f>
        <v>#REF!</v>
      </c>
      <c r="D2221" s="697">
        <f>153.6*$B$2</f>
        <v>102733.82400000001</v>
      </c>
      <c r="E2221" s="695" t="e">
        <f t="shared" si="259"/>
        <v>#REF!</v>
      </c>
      <c r="F2221" s="750"/>
      <c r="G2221" s="693" t="s">
        <v>448</v>
      </c>
      <c r="H2221" s="844" t="s">
        <v>496</v>
      </c>
      <c r="I2221" s="747" t="e">
        <f>VLOOKUP(H2214,'CNKT '!#REF!,14,0)</f>
        <v>#REF!</v>
      </c>
      <c r="J2221" s="697">
        <f>153.6*$B$2</f>
        <v>102733.82400000001</v>
      </c>
      <c r="K2221" s="695" t="e">
        <f t="shared" si="260"/>
        <v>#REF!</v>
      </c>
      <c r="L2221" s="690"/>
    </row>
    <row r="2222" spans="1:12" s="27" customFormat="1" ht="17.25" customHeight="1">
      <c r="A2222" s="693" t="s">
        <v>453</v>
      </c>
      <c r="B2222" s="844" t="s">
        <v>497</v>
      </c>
      <c r="C2222" s="747" t="e">
        <f>VLOOKUP(B2214,'CNKT '!#REF!,18,0)</f>
        <v>#REF!</v>
      </c>
      <c r="D2222" s="697">
        <v>10000</v>
      </c>
      <c r="E2222" s="695" t="e">
        <f>C2222*D2222</f>
        <v>#REF!</v>
      </c>
      <c r="F2222" s="750"/>
      <c r="G2222" s="693" t="s">
        <v>453</v>
      </c>
      <c r="H2222" s="844" t="s">
        <v>497</v>
      </c>
      <c r="I2222" s="747" t="e">
        <f>VLOOKUP(H2214,'CNKT '!#REF!,18,0)</f>
        <v>#REF!</v>
      </c>
      <c r="J2222" s="697">
        <v>10000</v>
      </c>
      <c r="K2222" s="695" t="e">
        <f>I2222*J2222</f>
        <v>#REF!</v>
      </c>
      <c r="L2222" s="690"/>
    </row>
    <row r="2223" spans="1:12" s="27" customFormat="1" ht="17.25" customHeight="1">
      <c r="A2223" s="693" t="s">
        <v>453</v>
      </c>
      <c r="B2223" s="844" t="s">
        <v>497</v>
      </c>
      <c r="C2223" s="747" t="e">
        <f>VLOOKUP(B2214,'CNKT '!#REF!,19,0)</f>
        <v>#REF!</v>
      </c>
      <c r="D2223" s="697">
        <v>20000</v>
      </c>
      <c r="E2223" s="695" t="e">
        <f>C2223*D2223</f>
        <v>#REF!</v>
      </c>
      <c r="F2223" s="750"/>
      <c r="G2223" s="693" t="s">
        <v>453</v>
      </c>
      <c r="H2223" s="844" t="s">
        <v>497</v>
      </c>
      <c r="I2223" s="747" t="e">
        <f>VLOOKUP(H2214,'CNKT '!#REF!,19,0)</f>
        <v>#REF!</v>
      </c>
      <c r="J2223" s="697">
        <v>20000</v>
      </c>
      <c r="K2223" s="695" t="e">
        <f>I2223*J2223</f>
        <v>#REF!</v>
      </c>
      <c r="L2223" s="690"/>
    </row>
    <row r="2224" spans="1:12" s="27" customFormat="1" ht="17.25" customHeight="1">
      <c r="A2224" s="699" t="s">
        <v>79</v>
      </c>
      <c r="B2224" s="845" t="s">
        <v>532</v>
      </c>
      <c r="C2224" s="700"/>
      <c r="D2224" s="701"/>
      <c r="E2224" s="700"/>
      <c r="F2224" s="750"/>
      <c r="G2224" s="699" t="s">
        <v>79</v>
      </c>
      <c r="H2224" s="845" t="s">
        <v>532</v>
      </c>
      <c r="I2224" s="700"/>
      <c r="J2224" s="701"/>
      <c r="K2224" s="700"/>
      <c r="L2224" s="690"/>
    </row>
    <row r="2225" spans="1:12" s="27" customFormat="1" ht="17.25" customHeight="1">
      <c r="A2225" s="702" t="s">
        <v>80</v>
      </c>
      <c r="B2225" s="846" t="s">
        <v>533</v>
      </c>
      <c r="C2225" s="700"/>
      <c r="D2225" s="700"/>
      <c r="E2225" s="700"/>
      <c r="F2225" s="750"/>
      <c r="G2225" s="702" t="s">
        <v>80</v>
      </c>
      <c r="H2225" s="846" t="s">
        <v>533</v>
      </c>
      <c r="I2225" s="700"/>
      <c r="J2225" s="700"/>
      <c r="K2225" s="700"/>
      <c r="L2225" s="690"/>
    </row>
    <row r="2226" spans="1:12" s="27" customFormat="1" ht="17.25" customHeight="1">
      <c r="A2226" s="702" t="s">
        <v>81</v>
      </c>
      <c r="B2226" s="847" t="s">
        <v>534</v>
      </c>
      <c r="C2226" s="700"/>
      <c r="D2226" s="700"/>
      <c r="E2226" s="695">
        <f>SUM(E2225)</f>
        <v>0</v>
      </c>
      <c r="F2226" s="747"/>
      <c r="G2226" s="702" t="s">
        <v>81</v>
      </c>
      <c r="H2226" s="847" t="s">
        <v>534</v>
      </c>
      <c r="I2226" s="700"/>
      <c r="J2226" s="700"/>
      <c r="K2226" s="695">
        <f>SUM(K2225)</f>
        <v>0</v>
      </c>
      <c r="L2226" s="690"/>
    </row>
    <row r="2227" spans="1:12" s="27" customFormat="1" ht="17.25" customHeight="1">
      <c r="A2227" s="704" t="s">
        <v>82</v>
      </c>
      <c r="B2227" s="848" t="s">
        <v>438</v>
      </c>
      <c r="C2227" s="705"/>
      <c r="D2227" s="705"/>
      <c r="E2227" s="705" t="e">
        <f>(E2216+E2217+E2218+E2219+E2220+E2221+E2222+E2223)-E2226</f>
        <v>#REF!</v>
      </c>
      <c r="F2227" s="747"/>
      <c r="G2227" s="704" t="s">
        <v>82</v>
      </c>
      <c r="H2227" s="848" t="s">
        <v>438</v>
      </c>
      <c r="I2227" s="705"/>
      <c r="J2227" s="705"/>
      <c r="K2227" s="705" t="e">
        <f>(K2216+K2217+K2218+K2219+K2220+K2221+K2222+K2223)-K2226</f>
        <v>#REF!</v>
      </c>
      <c r="L2227" s="707" t="e">
        <f>E2227+K2227</f>
        <v>#REF!</v>
      </c>
    </row>
    <row r="2228" spans="1:12" s="27" customFormat="1" ht="64.5" customHeight="1">
      <c r="A2228" s="763"/>
      <c r="B2228" s="763"/>
      <c r="C2228" s="763"/>
      <c r="D2228" s="763"/>
      <c r="E2228" s="763"/>
      <c r="F2228" s="763"/>
      <c r="G2228" s="763"/>
      <c r="H2228" s="763"/>
      <c r="I2228" s="763"/>
      <c r="J2228" s="763"/>
      <c r="K2228" s="763"/>
      <c r="L2228" s="690"/>
    </row>
    <row r="2229" spans="1:12" s="27" customFormat="1" ht="17.25" customHeight="1">
      <c r="A2229" s="759" t="str">
        <f>A2213</f>
        <v>LƯƠNG THÁNG 01/2025</v>
      </c>
      <c r="B2229" s="763"/>
      <c r="C2229" s="763"/>
      <c r="D2229" s="763"/>
      <c r="E2229" s="766" t="e">
        <f>VLOOKUP(B2230,'CNKT '!#REF!,26,0)</f>
        <v>#REF!</v>
      </c>
      <c r="F2229" s="750"/>
      <c r="G2229" s="759" t="str">
        <f>A2229</f>
        <v>LƯƠNG THÁNG 01/2025</v>
      </c>
      <c r="H2229" s="763"/>
      <c r="I2229" s="763"/>
      <c r="J2229" s="766"/>
      <c r="K2229" s="766" t="e">
        <f>VLOOKUP(H2230,'CNKT '!#REF!,26,0)</f>
        <v>#REF!</v>
      </c>
      <c r="L2229" s="690"/>
    </row>
    <row r="2230" spans="1:12" s="27" customFormat="1" ht="17.25" customHeight="1">
      <c r="A2230" s="709" t="s">
        <v>15</v>
      </c>
      <c r="B2230" s="840" t="e">
        <f>'CNKT '!#REF!</f>
        <v>#REF!</v>
      </c>
      <c r="C2230" s="694"/>
      <c r="D2230" s="840" t="s">
        <v>396</v>
      </c>
      <c r="E2230" s="840" t="s">
        <v>18</v>
      </c>
      <c r="F2230" s="750"/>
      <c r="G2230" s="709" t="s">
        <v>15</v>
      </c>
      <c r="H2230" s="840" t="e">
        <f>'CNKT '!#REF!</f>
        <v>#REF!</v>
      </c>
      <c r="I2230" s="694"/>
      <c r="J2230" s="840" t="s">
        <v>396</v>
      </c>
      <c r="K2230" s="840" t="s">
        <v>18</v>
      </c>
      <c r="L2230" s="690"/>
    </row>
    <row r="2231" spans="1:12" s="27" customFormat="1" ht="17.25" customHeight="1">
      <c r="A2231" s="693" t="s">
        <v>397</v>
      </c>
      <c r="B2231" s="842" t="s">
        <v>527</v>
      </c>
      <c r="C2231" s="694" t="e">
        <f>VLOOKUP(B2230,'BTH mủ tạp'!$D$161:$AN$161,36,0)</f>
        <v>#REF!</v>
      </c>
      <c r="D2231" s="695"/>
      <c r="E2231" s="695"/>
      <c r="F2231" s="750"/>
      <c r="G2231" s="693" t="s">
        <v>397</v>
      </c>
      <c r="H2231" s="842" t="s">
        <v>527</v>
      </c>
      <c r="I2231" s="694" t="e">
        <f>VLOOKUP(H2230,'BTH mủ tạp'!$D$161:$AN$161,36,0)</f>
        <v>#REF!</v>
      </c>
      <c r="J2231" s="695"/>
      <c r="K2231" s="695"/>
      <c r="L2231" s="690"/>
    </row>
    <row r="2232" spans="1:12" s="27" customFormat="1" ht="17.25" customHeight="1">
      <c r="A2232" s="693" t="s">
        <v>77</v>
      </c>
      <c r="B2232" s="843" t="s">
        <v>432</v>
      </c>
      <c r="C2232" s="696" t="e">
        <f>VLOOKUP(B2230,'CNKT '!#REF!,3,0)</f>
        <v>#REF!</v>
      </c>
      <c r="D2232" s="697">
        <v>25000</v>
      </c>
      <c r="E2232" s="695" t="e">
        <f t="shared" ref="E2232:E2237" si="261">C2232*D2232</f>
        <v>#REF!</v>
      </c>
      <c r="F2232" s="750"/>
      <c r="G2232" s="693" t="s">
        <v>77</v>
      </c>
      <c r="H2232" s="843" t="s">
        <v>432</v>
      </c>
      <c r="I2232" s="696" t="e">
        <f>VLOOKUP(H2230,'CNKT '!#REF!,3,0)</f>
        <v>#REF!</v>
      </c>
      <c r="J2232" s="697">
        <v>25000</v>
      </c>
      <c r="K2232" s="695" t="e">
        <f t="shared" ref="K2232:K2237" si="262">I2232*J2232</f>
        <v>#REF!</v>
      </c>
      <c r="L2232" s="690"/>
    </row>
    <row r="2233" spans="1:12" s="27" customFormat="1" ht="17.25" customHeight="1">
      <c r="A2233" s="693" t="s">
        <v>307</v>
      </c>
      <c r="B2233" s="844" t="s">
        <v>528</v>
      </c>
      <c r="C2233" s="747" t="e">
        <f>VLOOKUP(B2230,'CNKT '!#REF!,11,0)</f>
        <v>#REF!</v>
      </c>
      <c r="D2233" s="698">
        <f>46.1*$B$2</f>
        <v>30833.524000000001</v>
      </c>
      <c r="E2233" s="695" t="e">
        <f t="shared" si="261"/>
        <v>#REF!</v>
      </c>
      <c r="F2233" s="750"/>
      <c r="G2233" s="693" t="s">
        <v>307</v>
      </c>
      <c r="H2233" s="844" t="s">
        <v>528</v>
      </c>
      <c r="I2233" s="747" t="e">
        <f>VLOOKUP(H2230,'CNKT '!#REF!,11,0)</f>
        <v>#REF!</v>
      </c>
      <c r="J2233" s="698">
        <f>46.1*$B$2</f>
        <v>30833.524000000001</v>
      </c>
      <c r="K2233" s="695" t="e">
        <f t="shared" si="262"/>
        <v>#REF!</v>
      </c>
      <c r="L2233" s="690"/>
    </row>
    <row r="2234" spans="1:12" s="27" customFormat="1" ht="17.25" customHeight="1">
      <c r="A2234" s="693" t="s">
        <v>399</v>
      </c>
      <c r="B2234" s="844" t="s">
        <v>529</v>
      </c>
      <c r="C2234" s="747" t="e">
        <f>VLOOKUP(B2230,'CNKT '!#REF!,12,0)</f>
        <v>#REF!</v>
      </c>
      <c r="D2234" s="697">
        <f>76.9*$B$2</f>
        <v>51433.796000000009</v>
      </c>
      <c r="E2234" s="695" t="e">
        <f t="shared" si="261"/>
        <v>#REF!</v>
      </c>
      <c r="F2234" s="750"/>
      <c r="G2234" s="693" t="s">
        <v>399</v>
      </c>
      <c r="H2234" s="844" t="s">
        <v>529</v>
      </c>
      <c r="I2234" s="747" t="e">
        <f>VLOOKUP(H2230,'CNKT '!#REF!,12,0)</f>
        <v>#REF!</v>
      </c>
      <c r="J2234" s="697">
        <f>76.9*$B$2</f>
        <v>51433.796000000009</v>
      </c>
      <c r="K2234" s="695" t="e">
        <f t="shared" si="262"/>
        <v>#REF!</v>
      </c>
      <c r="L2234" s="690"/>
    </row>
    <row r="2235" spans="1:12" s="27" customFormat="1" ht="17.25" customHeight="1">
      <c r="A2235" s="693" t="s">
        <v>78</v>
      </c>
      <c r="B2235" s="844" t="s">
        <v>530</v>
      </c>
      <c r="C2235" s="747" t="e">
        <f>VLOOKUP(B2230,'CNKT '!#REF!,8,0)</f>
        <v>#REF!</v>
      </c>
      <c r="D2235" s="697" t="e">
        <f>IF(C2231="A",6.1,IF(C2231="B",5.8,IF(C2231="C",5.5,IF(C2231="C.",5.5,IF(C2231="D",5.2)))))*$B$2</f>
        <v>#REF!</v>
      </c>
      <c r="E2235" s="695" t="e">
        <f t="shared" si="261"/>
        <v>#REF!</v>
      </c>
      <c r="F2235" s="750"/>
      <c r="G2235" s="693" t="s">
        <v>78</v>
      </c>
      <c r="H2235" s="844" t="s">
        <v>530</v>
      </c>
      <c r="I2235" s="747" t="e">
        <f>VLOOKUP(H2230,'CNKT '!#REF!,8,0)</f>
        <v>#REF!</v>
      </c>
      <c r="J2235" s="697" t="e">
        <f>IF(I2231="A",6.1,IF(I2231="B",5.8,IF(I2231="C",5.5,IF(I2231="C.",5.5,IF(I2231="D",5.2)))))*$B$2</f>
        <v>#REF!</v>
      </c>
      <c r="K2235" s="695" t="e">
        <f t="shared" si="262"/>
        <v>#REF!</v>
      </c>
      <c r="L2235" s="690"/>
    </row>
    <row r="2236" spans="1:12" s="27" customFormat="1" ht="17.25" customHeight="1">
      <c r="A2236" s="693" t="s">
        <v>447</v>
      </c>
      <c r="B2236" s="844" t="s">
        <v>531</v>
      </c>
      <c r="C2236" s="747" t="e">
        <f>VLOOKUP(B2230,'CNKT '!#REF!,15,0)</f>
        <v>#REF!</v>
      </c>
      <c r="D2236" s="698">
        <f>92.2*$B$2</f>
        <v>61667.048000000003</v>
      </c>
      <c r="E2236" s="695" t="e">
        <f t="shared" si="261"/>
        <v>#REF!</v>
      </c>
      <c r="F2236" s="750"/>
      <c r="G2236" s="693" t="s">
        <v>447</v>
      </c>
      <c r="H2236" s="844" t="s">
        <v>531</v>
      </c>
      <c r="I2236" s="747" t="e">
        <f>VLOOKUP(H2230,'CNKT '!#REF!,15,0)</f>
        <v>#REF!</v>
      </c>
      <c r="J2236" s="698">
        <f>92.2*$B$2</f>
        <v>61667.048000000003</v>
      </c>
      <c r="K2236" s="695" t="e">
        <f t="shared" si="262"/>
        <v>#REF!</v>
      </c>
      <c r="L2236" s="690"/>
    </row>
    <row r="2237" spans="1:12" s="27" customFormat="1" ht="17.25" customHeight="1">
      <c r="A2237" s="693" t="s">
        <v>448</v>
      </c>
      <c r="B2237" s="844" t="s">
        <v>496</v>
      </c>
      <c r="C2237" s="747" t="e">
        <f>VLOOKUP(B2230,'CNKT '!#REF!,14,0)</f>
        <v>#REF!</v>
      </c>
      <c r="D2237" s="697">
        <f>153.6*$B$2</f>
        <v>102733.82400000001</v>
      </c>
      <c r="E2237" s="695" t="e">
        <f t="shared" si="261"/>
        <v>#REF!</v>
      </c>
      <c r="F2237" s="750"/>
      <c r="G2237" s="693" t="s">
        <v>448</v>
      </c>
      <c r="H2237" s="844" t="s">
        <v>496</v>
      </c>
      <c r="I2237" s="747" t="e">
        <f>VLOOKUP(H2230,'CNKT '!#REF!,14,0)</f>
        <v>#REF!</v>
      </c>
      <c r="J2237" s="697">
        <f>153.6*$B$2</f>
        <v>102733.82400000001</v>
      </c>
      <c r="K2237" s="695" t="e">
        <f t="shared" si="262"/>
        <v>#REF!</v>
      </c>
      <c r="L2237" s="690"/>
    </row>
    <row r="2238" spans="1:12" s="27" customFormat="1" ht="17.25" customHeight="1">
      <c r="A2238" s="693" t="s">
        <v>453</v>
      </c>
      <c r="B2238" s="844" t="s">
        <v>497</v>
      </c>
      <c r="C2238" s="747" t="e">
        <f>VLOOKUP(B2230,'CNKT '!#REF!,18,0)</f>
        <v>#REF!</v>
      </c>
      <c r="D2238" s="697">
        <v>10000</v>
      </c>
      <c r="E2238" s="695" t="e">
        <f>C2238*D2238</f>
        <v>#REF!</v>
      </c>
      <c r="F2238" s="750"/>
      <c r="G2238" s="693" t="s">
        <v>453</v>
      </c>
      <c r="H2238" s="844" t="s">
        <v>497</v>
      </c>
      <c r="I2238" s="747" t="e">
        <f>VLOOKUP(H2230,'CNKT '!#REF!,18,0)</f>
        <v>#REF!</v>
      </c>
      <c r="J2238" s="697">
        <v>10000</v>
      </c>
      <c r="K2238" s="695" t="e">
        <f>I2238*J2238</f>
        <v>#REF!</v>
      </c>
      <c r="L2238" s="690"/>
    </row>
    <row r="2239" spans="1:12" s="27" customFormat="1" ht="17.25" customHeight="1">
      <c r="A2239" s="693" t="s">
        <v>453</v>
      </c>
      <c r="B2239" s="844" t="s">
        <v>497</v>
      </c>
      <c r="C2239" s="747" t="e">
        <f>VLOOKUP(B2230,'CNKT '!#REF!,19,0)</f>
        <v>#REF!</v>
      </c>
      <c r="D2239" s="697">
        <v>20000</v>
      </c>
      <c r="E2239" s="695" t="e">
        <f>C2239*D2239</f>
        <v>#REF!</v>
      </c>
      <c r="F2239" s="750"/>
      <c r="G2239" s="693" t="s">
        <v>453</v>
      </c>
      <c r="H2239" s="844" t="s">
        <v>497</v>
      </c>
      <c r="I2239" s="747" t="e">
        <f>VLOOKUP(H2230,'CNKT '!#REF!,19,0)</f>
        <v>#REF!</v>
      </c>
      <c r="J2239" s="697">
        <v>20000</v>
      </c>
      <c r="K2239" s="695" t="e">
        <f>I2239*J2239</f>
        <v>#REF!</v>
      </c>
      <c r="L2239" s="690"/>
    </row>
    <row r="2240" spans="1:12" s="27" customFormat="1" ht="17.25" customHeight="1">
      <c r="A2240" s="699" t="s">
        <v>79</v>
      </c>
      <c r="B2240" s="845" t="s">
        <v>532</v>
      </c>
      <c r="C2240" s="700"/>
      <c r="D2240" s="701"/>
      <c r="E2240" s="700"/>
      <c r="F2240" s="750"/>
      <c r="G2240" s="699" t="s">
        <v>79</v>
      </c>
      <c r="H2240" s="845" t="s">
        <v>532</v>
      </c>
      <c r="I2240" s="700"/>
      <c r="J2240" s="701"/>
      <c r="K2240" s="700"/>
      <c r="L2240" s="690"/>
    </row>
    <row r="2241" spans="1:12" s="27" customFormat="1" ht="17.25" customHeight="1">
      <c r="A2241" s="702" t="s">
        <v>80</v>
      </c>
      <c r="B2241" s="846" t="s">
        <v>533</v>
      </c>
      <c r="C2241" s="700"/>
      <c r="D2241" s="700"/>
      <c r="E2241" s="700"/>
      <c r="F2241" s="750"/>
      <c r="G2241" s="702" t="s">
        <v>80</v>
      </c>
      <c r="H2241" s="846" t="s">
        <v>533</v>
      </c>
      <c r="I2241" s="700"/>
      <c r="J2241" s="700"/>
      <c r="K2241" s="700"/>
      <c r="L2241" s="690"/>
    </row>
    <row r="2242" spans="1:12" s="27" customFormat="1" ht="17.25" customHeight="1">
      <c r="A2242" s="702" t="s">
        <v>81</v>
      </c>
      <c r="B2242" s="847" t="s">
        <v>534</v>
      </c>
      <c r="C2242" s="700"/>
      <c r="D2242" s="700"/>
      <c r="E2242" s="695">
        <f>SUM(E2241)</f>
        <v>0</v>
      </c>
      <c r="F2242" s="749"/>
      <c r="G2242" s="702" t="s">
        <v>81</v>
      </c>
      <c r="H2242" s="847" t="s">
        <v>534</v>
      </c>
      <c r="I2242" s="700"/>
      <c r="J2242" s="700"/>
      <c r="K2242" s="695">
        <f>SUM(K2241)</f>
        <v>0</v>
      </c>
      <c r="L2242" s="690"/>
    </row>
    <row r="2243" spans="1:12" s="27" customFormat="1" ht="17.25" customHeight="1">
      <c r="A2243" s="704" t="s">
        <v>82</v>
      </c>
      <c r="B2243" s="848" t="s">
        <v>438</v>
      </c>
      <c r="C2243" s="705"/>
      <c r="D2243" s="705"/>
      <c r="E2243" s="705" t="e">
        <f>(E2232+E2233+E2234+E2235+E2236+E2237+E2238+E2239)-E2242</f>
        <v>#REF!</v>
      </c>
      <c r="F2243" s="749"/>
      <c r="G2243" s="704" t="s">
        <v>82</v>
      </c>
      <c r="H2243" s="848" t="s">
        <v>438</v>
      </c>
      <c r="I2243" s="705"/>
      <c r="J2243" s="705"/>
      <c r="K2243" s="705" t="e">
        <f>(K2232+K2233+K2234+K2235+K2236+K2237+K2238+K2239)-K2242</f>
        <v>#REF!</v>
      </c>
      <c r="L2243" s="707" t="e">
        <f>E2243+K2243</f>
        <v>#REF!</v>
      </c>
    </row>
    <row r="2244" spans="1:12" s="27" customFormat="1" ht="17.25" customHeight="1">
      <c r="A2244" s="763"/>
      <c r="B2244" s="763"/>
      <c r="C2244" s="763"/>
      <c r="D2244" s="763"/>
      <c r="E2244" s="763"/>
      <c r="F2244" s="763"/>
      <c r="G2244" s="763"/>
      <c r="H2244" s="763"/>
      <c r="I2244" s="763"/>
      <c r="J2244" s="763"/>
      <c r="K2244" s="763"/>
      <c r="L2244" s="690"/>
    </row>
    <row r="2245" spans="1:12" s="27" customFormat="1" ht="17.25" customHeight="1">
      <c r="A2245" s="759" t="str">
        <f>A2229</f>
        <v>LƯƠNG THÁNG 01/2025</v>
      </c>
      <c r="B2245" s="763"/>
      <c r="C2245" s="763"/>
      <c r="D2245" s="763"/>
      <c r="E2245" s="766" t="e">
        <f>VLOOKUP(B2246,'CNKT '!#REF!,26,0)</f>
        <v>#REF!</v>
      </c>
      <c r="F2245" s="750"/>
      <c r="G2245" s="759" t="str">
        <f>A2245</f>
        <v>LƯƠNG THÁNG 01/2025</v>
      </c>
      <c r="H2245" s="763"/>
      <c r="I2245" s="763"/>
      <c r="J2245" s="766"/>
      <c r="K2245" s="766" t="e">
        <f>VLOOKUP(H2246,'CNKT '!#REF!,26,0)</f>
        <v>#REF!</v>
      </c>
      <c r="L2245" s="690"/>
    </row>
    <row r="2246" spans="1:12" s="27" customFormat="1" ht="17.25" customHeight="1">
      <c r="A2246" s="709" t="s">
        <v>15</v>
      </c>
      <c r="B2246" s="840" t="e">
        <f>'CNKT '!#REF!</f>
        <v>#REF!</v>
      </c>
      <c r="C2246" s="694"/>
      <c r="D2246" s="840" t="s">
        <v>396</v>
      </c>
      <c r="E2246" s="840" t="s">
        <v>18</v>
      </c>
      <c r="F2246" s="750"/>
      <c r="G2246" s="709" t="s">
        <v>15</v>
      </c>
      <c r="H2246" s="840" t="e">
        <f>'CNKT '!#REF!</f>
        <v>#REF!</v>
      </c>
      <c r="I2246" s="694"/>
      <c r="J2246" s="840" t="s">
        <v>396</v>
      </c>
      <c r="K2246" s="840" t="s">
        <v>18</v>
      </c>
      <c r="L2246" s="690"/>
    </row>
    <row r="2247" spans="1:12" s="27" customFormat="1" ht="17.25" customHeight="1">
      <c r="A2247" s="693" t="s">
        <v>397</v>
      </c>
      <c r="B2247" s="842" t="s">
        <v>527</v>
      </c>
      <c r="C2247" s="694" t="e">
        <f>VLOOKUP(B2246,'BTH mủ tạp'!$D$161:$AN$161,36,0)</f>
        <v>#REF!</v>
      </c>
      <c r="D2247" s="695"/>
      <c r="E2247" s="695"/>
      <c r="F2247" s="750"/>
      <c r="G2247" s="693" t="s">
        <v>397</v>
      </c>
      <c r="H2247" s="842" t="s">
        <v>527</v>
      </c>
      <c r="I2247" s="694" t="e">
        <f>VLOOKUP(H2246,'BTH mủ tạp'!$D$161:$AN$161,36,0)</f>
        <v>#REF!</v>
      </c>
      <c r="J2247" s="695"/>
      <c r="K2247" s="695"/>
      <c r="L2247" s="690"/>
    </row>
    <row r="2248" spans="1:12" s="27" customFormat="1" ht="17.25" customHeight="1">
      <c r="A2248" s="693" t="s">
        <v>77</v>
      </c>
      <c r="B2248" s="843" t="s">
        <v>432</v>
      </c>
      <c r="C2248" s="696" t="e">
        <f>VLOOKUP(B2246,'CNKT '!#REF!,3,0)</f>
        <v>#REF!</v>
      </c>
      <c r="D2248" s="697">
        <v>25000</v>
      </c>
      <c r="E2248" s="695" t="e">
        <f t="shared" ref="E2248:E2253" si="263">C2248*D2248</f>
        <v>#REF!</v>
      </c>
      <c r="F2248" s="750"/>
      <c r="G2248" s="693" t="s">
        <v>77</v>
      </c>
      <c r="H2248" s="843" t="s">
        <v>432</v>
      </c>
      <c r="I2248" s="696" t="e">
        <f>VLOOKUP(H2246,'CNKT '!#REF!,3,0)</f>
        <v>#REF!</v>
      </c>
      <c r="J2248" s="697">
        <v>25000</v>
      </c>
      <c r="K2248" s="695" t="e">
        <f t="shared" ref="K2248:K2253" si="264">I2248*J2248</f>
        <v>#REF!</v>
      </c>
      <c r="L2248" s="690"/>
    </row>
    <row r="2249" spans="1:12" s="27" customFormat="1" ht="17.25" customHeight="1">
      <c r="A2249" s="693" t="s">
        <v>307</v>
      </c>
      <c r="B2249" s="844" t="s">
        <v>528</v>
      </c>
      <c r="C2249" s="747" t="e">
        <f>VLOOKUP(B2246,'CNKT '!#REF!,11,0)</f>
        <v>#REF!</v>
      </c>
      <c r="D2249" s="698">
        <f>46.1*$B$2</f>
        <v>30833.524000000001</v>
      </c>
      <c r="E2249" s="695" t="e">
        <f t="shared" si="263"/>
        <v>#REF!</v>
      </c>
      <c r="F2249" s="750"/>
      <c r="G2249" s="693" t="s">
        <v>307</v>
      </c>
      <c r="H2249" s="844" t="s">
        <v>528</v>
      </c>
      <c r="I2249" s="747" t="e">
        <f>VLOOKUP(H2246,'CNKT '!#REF!,11,0)</f>
        <v>#REF!</v>
      </c>
      <c r="J2249" s="698">
        <f>46.1*$B$2</f>
        <v>30833.524000000001</v>
      </c>
      <c r="K2249" s="695" t="e">
        <f t="shared" si="264"/>
        <v>#REF!</v>
      </c>
      <c r="L2249" s="690"/>
    </row>
    <row r="2250" spans="1:12" s="27" customFormat="1" ht="17.25" customHeight="1">
      <c r="A2250" s="693" t="s">
        <v>399</v>
      </c>
      <c r="B2250" s="844" t="s">
        <v>529</v>
      </c>
      <c r="C2250" s="747" t="e">
        <f>VLOOKUP(B2246,'CNKT '!#REF!,12,0)</f>
        <v>#REF!</v>
      </c>
      <c r="D2250" s="697">
        <f>76.9*$B$2</f>
        <v>51433.796000000009</v>
      </c>
      <c r="E2250" s="695" t="e">
        <f t="shared" si="263"/>
        <v>#REF!</v>
      </c>
      <c r="F2250" s="750"/>
      <c r="G2250" s="693" t="s">
        <v>399</v>
      </c>
      <c r="H2250" s="844" t="s">
        <v>529</v>
      </c>
      <c r="I2250" s="747" t="e">
        <f>VLOOKUP(H2246,'CNKT '!#REF!,12,0)</f>
        <v>#REF!</v>
      </c>
      <c r="J2250" s="697">
        <f>76.9*$B$2</f>
        <v>51433.796000000009</v>
      </c>
      <c r="K2250" s="695" t="e">
        <f t="shared" si="264"/>
        <v>#REF!</v>
      </c>
      <c r="L2250" s="690"/>
    </row>
    <row r="2251" spans="1:12" s="27" customFormat="1" ht="17.25" customHeight="1">
      <c r="A2251" s="693" t="s">
        <v>78</v>
      </c>
      <c r="B2251" s="844" t="s">
        <v>530</v>
      </c>
      <c r="C2251" s="747" t="e">
        <f>VLOOKUP(B2246,'CNKT '!#REF!,8,0)</f>
        <v>#REF!</v>
      </c>
      <c r="D2251" s="697" t="e">
        <f>IF(C2247="A",6.1,IF(C2247="B",5.8,IF(C2247="C",5.5,IF(C2247="C.",5.5,IF(C2247="D",5.2)))))*$B$2</f>
        <v>#REF!</v>
      </c>
      <c r="E2251" s="695" t="e">
        <f t="shared" si="263"/>
        <v>#REF!</v>
      </c>
      <c r="F2251" s="750"/>
      <c r="G2251" s="693" t="s">
        <v>78</v>
      </c>
      <c r="H2251" s="844" t="s">
        <v>530</v>
      </c>
      <c r="I2251" s="747" t="e">
        <f>VLOOKUP(H2246,'CNKT '!#REF!,8,0)</f>
        <v>#REF!</v>
      </c>
      <c r="J2251" s="697" t="e">
        <f>IF(I2247="A",6.1,IF(I2247="B",5.8,IF(I2247="C",5.5,IF(I2247="C.",5.5,IF(I2247="D",5.2)))))*$B$2</f>
        <v>#REF!</v>
      </c>
      <c r="K2251" s="695" t="e">
        <f t="shared" si="264"/>
        <v>#REF!</v>
      </c>
      <c r="L2251" s="690"/>
    </row>
    <row r="2252" spans="1:12" s="27" customFormat="1" ht="17.25" customHeight="1">
      <c r="A2252" s="693" t="s">
        <v>447</v>
      </c>
      <c r="B2252" s="844" t="s">
        <v>531</v>
      </c>
      <c r="C2252" s="747" t="e">
        <f>VLOOKUP(B2246,'CNKT '!#REF!,15,0)</f>
        <v>#REF!</v>
      </c>
      <c r="D2252" s="698">
        <f>92.2*$B$2</f>
        <v>61667.048000000003</v>
      </c>
      <c r="E2252" s="695" t="e">
        <f t="shared" si="263"/>
        <v>#REF!</v>
      </c>
      <c r="F2252" s="750"/>
      <c r="G2252" s="693" t="s">
        <v>447</v>
      </c>
      <c r="H2252" s="844" t="s">
        <v>531</v>
      </c>
      <c r="I2252" s="747" t="e">
        <f>VLOOKUP(H2246,'CNKT '!#REF!,15,0)</f>
        <v>#REF!</v>
      </c>
      <c r="J2252" s="698">
        <f>92.2*$B$2</f>
        <v>61667.048000000003</v>
      </c>
      <c r="K2252" s="695" t="e">
        <f t="shared" si="264"/>
        <v>#REF!</v>
      </c>
      <c r="L2252" s="690"/>
    </row>
    <row r="2253" spans="1:12" s="27" customFormat="1" ht="17.25" customHeight="1">
      <c r="A2253" s="693" t="s">
        <v>448</v>
      </c>
      <c r="B2253" s="844" t="s">
        <v>496</v>
      </c>
      <c r="C2253" s="747" t="e">
        <f>VLOOKUP(B2246,'CNKT '!#REF!,14,0)</f>
        <v>#REF!</v>
      </c>
      <c r="D2253" s="697">
        <f>153.6*$B$2</f>
        <v>102733.82400000001</v>
      </c>
      <c r="E2253" s="695" t="e">
        <f t="shared" si="263"/>
        <v>#REF!</v>
      </c>
      <c r="F2253" s="750"/>
      <c r="G2253" s="693" t="s">
        <v>448</v>
      </c>
      <c r="H2253" s="844" t="s">
        <v>496</v>
      </c>
      <c r="I2253" s="747" t="e">
        <f>VLOOKUP(H2246,'CNKT '!#REF!,14,0)</f>
        <v>#REF!</v>
      </c>
      <c r="J2253" s="697">
        <f>153.6*$B$2</f>
        <v>102733.82400000001</v>
      </c>
      <c r="K2253" s="695" t="e">
        <f t="shared" si="264"/>
        <v>#REF!</v>
      </c>
      <c r="L2253" s="690"/>
    </row>
    <row r="2254" spans="1:12" s="27" customFormat="1" ht="17.25" customHeight="1">
      <c r="A2254" s="693" t="s">
        <v>453</v>
      </c>
      <c r="B2254" s="844" t="s">
        <v>497</v>
      </c>
      <c r="C2254" s="747" t="e">
        <f>VLOOKUP(B2246,'CNKT '!#REF!,18,0)</f>
        <v>#REF!</v>
      </c>
      <c r="D2254" s="697">
        <v>10000</v>
      </c>
      <c r="E2254" s="695" t="e">
        <f>C2254*D2254</f>
        <v>#REF!</v>
      </c>
      <c r="F2254" s="750"/>
      <c r="G2254" s="693" t="s">
        <v>453</v>
      </c>
      <c r="H2254" s="844" t="s">
        <v>497</v>
      </c>
      <c r="I2254" s="747" t="e">
        <f>VLOOKUP(H2246,'CNKT '!#REF!,18,0)</f>
        <v>#REF!</v>
      </c>
      <c r="J2254" s="697">
        <v>10000</v>
      </c>
      <c r="K2254" s="695" t="e">
        <f>I2254*J2254</f>
        <v>#REF!</v>
      </c>
      <c r="L2254" s="690"/>
    </row>
    <row r="2255" spans="1:12" s="27" customFormat="1" ht="17.25" customHeight="1">
      <c r="A2255" s="693" t="s">
        <v>453</v>
      </c>
      <c r="B2255" s="844" t="s">
        <v>497</v>
      </c>
      <c r="C2255" s="747" t="e">
        <f>VLOOKUP(B2246,'CNKT '!#REF!,19,0)</f>
        <v>#REF!</v>
      </c>
      <c r="D2255" s="697">
        <v>20000</v>
      </c>
      <c r="E2255" s="695" t="e">
        <f>C2255*D2255</f>
        <v>#REF!</v>
      </c>
      <c r="F2255" s="750"/>
      <c r="G2255" s="693" t="s">
        <v>453</v>
      </c>
      <c r="H2255" s="844" t="s">
        <v>497</v>
      </c>
      <c r="I2255" s="747" t="e">
        <f>VLOOKUP(H2246,'CNKT '!#REF!,19,0)</f>
        <v>#REF!</v>
      </c>
      <c r="J2255" s="697">
        <v>20000</v>
      </c>
      <c r="K2255" s="695" t="e">
        <f>I2255*J2255</f>
        <v>#REF!</v>
      </c>
      <c r="L2255" s="690"/>
    </row>
    <row r="2256" spans="1:12" s="27" customFormat="1" ht="17.25" customHeight="1">
      <c r="A2256" s="699" t="s">
        <v>79</v>
      </c>
      <c r="B2256" s="845" t="s">
        <v>532</v>
      </c>
      <c r="C2256" s="700"/>
      <c r="D2256" s="701"/>
      <c r="E2256" s="700"/>
      <c r="F2256" s="750"/>
      <c r="G2256" s="699" t="s">
        <v>79</v>
      </c>
      <c r="H2256" s="845" t="s">
        <v>532</v>
      </c>
      <c r="I2256" s="700"/>
      <c r="J2256" s="701"/>
      <c r="K2256" s="700"/>
      <c r="L2256" s="690"/>
    </row>
    <row r="2257" spans="1:12" s="27" customFormat="1" ht="17.25" customHeight="1">
      <c r="A2257" s="702" t="s">
        <v>80</v>
      </c>
      <c r="B2257" s="846" t="s">
        <v>533</v>
      </c>
      <c r="C2257" s="700"/>
      <c r="D2257" s="700"/>
      <c r="E2257" s="700"/>
      <c r="F2257" s="750"/>
      <c r="G2257" s="702" t="s">
        <v>80</v>
      </c>
      <c r="H2257" s="846" t="s">
        <v>533</v>
      </c>
      <c r="I2257" s="700"/>
      <c r="J2257" s="700"/>
      <c r="K2257" s="700"/>
      <c r="L2257" s="690"/>
    </row>
    <row r="2258" spans="1:12" s="27" customFormat="1" ht="17.25" customHeight="1">
      <c r="A2258" s="702" t="s">
        <v>81</v>
      </c>
      <c r="B2258" s="847" t="s">
        <v>534</v>
      </c>
      <c r="C2258" s="700"/>
      <c r="D2258" s="700"/>
      <c r="E2258" s="695">
        <f>SUM(E2257)</f>
        <v>0</v>
      </c>
      <c r="F2258" s="738"/>
      <c r="G2258" s="702" t="s">
        <v>81</v>
      </c>
      <c r="H2258" s="847" t="s">
        <v>534</v>
      </c>
      <c r="I2258" s="700"/>
      <c r="J2258" s="700"/>
      <c r="K2258" s="695">
        <f>SUM(K2257)</f>
        <v>0</v>
      </c>
      <c r="L2258" s="690"/>
    </row>
    <row r="2259" spans="1:12" s="27" customFormat="1" ht="17.25" customHeight="1">
      <c r="A2259" s="704" t="s">
        <v>82</v>
      </c>
      <c r="B2259" s="848" t="s">
        <v>438</v>
      </c>
      <c r="C2259" s="705"/>
      <c r="D2259" s="705"/>
      <c r="E2259" s="705" t="e">
        <f>(E2248+E2249+E2250+E2251+E2252+E2253+E2254+E2255)-E2258</f>
        <v>#REF!</v>
      </c>
      <c r="F2259" s="738"/>
      <c r="G2259" s="704" t="s">
        <v>82</v>
      </c>
      <c r="H2259" s="848" t="s">
        <v>438</v>
      </c>
      <c r="I2259" s="705"/>
      <c r="J2259" s="705"/>
      <c r="K2259" s="705" t="e">
        <f>(K2248+K2249+K2250+K2251+K2252+K2253+K2254+K2255)-K2258</f>
        <v>#REF!</v>
      </c>
      <c r="L2259" s="707" t="e">
        <f>E2259+K2259</f>
        <v>#REF!</v>
      </c>
    </row>
    <row r="2260" spans="1:12" s="27" customFormat="1" ht="17.25" customHeight="1">
      <c r="A2260" s="763"/>
      <c r="B2260" s="763"/>
      <c r="C2260" s="763"/>
      <c r="D2260" s="763"/>
      <c r="E2260" s="763"/>
      <c r="F2260" s="763"/>
      <c r="G2260" s="763"/>
      <c r="H2260" s="763"/>
      <c r="I2260" s="763"/>
      <c r="J2260" s="763"/>
      <c r="K2260" s="763"/>
      <c r="L2260" s="690"/>
    </row>
    <row r="2261" spans="1:12" s="27" customFormat="1" ht="17.25" customHeight="1">
      <c r="A2261" s="759" t="str">
        <f>A2245</f>
        <v>LƯƠNG THÁNG 01/2025</v>
      </c>
      <c r="B2261" s="763"/>
      <c r="C2261" s="763"/>
      <c r="D2261" s="763"/>
      <c r="E2261" s="766" t="e">
        <f>VLOOKUP(B2262,'CNKT '!#REF!,26,0)</f>
        <v>#REF!</v>
      </c>
      <c r="F2261" s="750"/>
      <c r="G2261" s="759" t="str">
        <f>A2261</f>
        <v>LƯƠNG THÁNG 01/2025</v>
      </c>
      <c r="H2261" s="763"/>
      <c r="I2261" s="763"/>
      <c r="J2261" s="766"/>
      <c r="K2261" s="766" t="e">
        <f>VLOOKUP(H2262,'CNKT '!#REF!,26,0)</f>
        <v>#REF!</v>
      </c>
      <c r="L2261" s="690"/>
    </row>
    <row r="2262" spans="1:12" s="27" customFormat="1" ht="17.25" customHeight="1">
      <c r="A2262" s="709" t="s">
        <v>15</v>
      </c>
      <c r="B2262" s="840" t="e">
        <f>'CNKT '!#REF!</f>
        <v>#REF!</v>
      </c>
      <c r="C2262" s="694"/>
      <c r="D2262" s="840" t="s">
        <v>396</v>
      </c>
      <c r="E2262" s="840" t="s">
        <v>18</v>
      </c>
      <c r="F2262" s="750"/>
      <c r="G2262" s="709" t="s">
        <v>15</v>
      </c>
      <c r="H2262" s="840" t="e">
        <f>'CNKT '!#REF!</f>
        <v>#REF!</v>
      </c>
      <c r="I2262" s="694"/>
      <c r="J2262" s="840" t="s">
        <v>396</v>
      </c>
      <c r="K2262" s="840" t="s">
        <v>18</v>
      </c>
      <c r="L2262" s="690"/>
    </row>
    <row r="2263" spans="1:12" s="27" customFormat="1" ht="17.25" customHeight="1">
      <c r="A2263" s="693" t="s">
        <v>397</v>
      </c>
      <c r="B2263" s="842" t="s">
        <v>527</v>
      </c>
      <c r="C2263" s="694" t="e">
        <f>VLOOKUP(B2262,'BTH mủ tạp'!$D$161:$AN$161,36,0)</f>
        <v>#REF!</v>
      </c>
      <c r="D2263" s="695"/>
      <c r="E2263" s="695"/>
      <c r="F2263" s="750"/>
      <c r="G2263" s="693" t="s">
        <v>397</v>
      </c>
      <c r="H2263" s="842" t="s">
        <v>527</v>
      </c>
      <c r="I2263" s="694" t="e">
        <f>VLOOKUP(H2262,'BTH mủ tạp'!$D$161:$AN$161,36,0)</f>
        <v>#REF!</v>
      </c>
      <c r="J2263" s="695"/>
      <c r="K2263" s="695"/>
      <c r="L2263" s="690"/>
    </row>
    <row r="2264" spans="1:12" s="27" customFormat="1" ht="17.25" customHeight="1">
      <c r="A2264" s="693" t="s">
        <v>77</v>
      </c>
      <c r="B2264" s="843" t="s">
        <v>432</v>
      </c>
      <c r="C2264" s="696" t="e">
        <f>VLOOKUP(B2262,'CNKT '!#REF!,3,0)</f>
        <v>#REF!</v>
      </c>
      <c r="D2264" s="697">
        <v>25000</v>
      </c>
      <c r="E2264" s="695" t="e">
        <f t="shared" ref="E2264:E2269" si="265">C2264*D2264</f>
        <v>#REF!</v>
      </c>
      <c r="F2264" s="750"/>
      <c r="G2264" s="693" t="s">
        <v>77</v>
      </c>
      <c r="H2264" s="843" t="s">
        <v>432</v>
      </c>
      <c r="I2264" s="696" t="e">
        <f>VLOOKUP(H2262,'CNKT '!#REF!,3,0)</f>
        <v>#REF!</v>
      </c>
      <c r="J2264" s="697">
        <v>25000</v>
      </c>
      <c r="K2264" s="695" t="e">
        <f t="shared" ref="K2264:K2269" si="266">I2264*J2264</f>
        <v>#REF!</v>
      </c>
      <c r="L2264" s="690"/>
    </row>
    <row r="2265" spans="1:12" s="27" customFormat="1" ht="17.25" customHeight="1">
      <c r="A2265" s="693" t="s">
        <v>307</v>
      </c>
      <c r="B2265" s="844" t="s">
        <v>528</v>
      </c>
      <c r="C2265" s="747" t="e">
        <f>VLOOKUP(B2262,'CNKT '!#REF!,11,0)</f>
        <v>#REF!</v>
      </c>
      <c r="D2265" s="698">
        <f>46.1*$B$2</f>
        <v>30833.524000000001</v>
      </c>
      <c r="E2265" s="695" t="e">
        <f t="shared" si="265"/>
        <v>#REF!</v>
      </c>
      <c r="F2265" s="750"/>
      <c r="G2265" s="693" t="s">
        <v>307</v>
      </c>
      <c r="H2265" s="844" t="s">
        <v>528</v>
      </c>
      <c r="I2265" s="747" t="e">
        <f>VLOOKUP(H2262,'CNKT '!#REF!,11,0)</f>
        <v>#REF!</v>
      </c>
      <c r="J2265" s="698">
        <f>46.1*$B$2</f>
        <v>30833.524000000001</v>
      </c>
      <c r="K2265" s="695" t="e">
        <f t="shared" si="266"/>
        <v>#REF!</v>
      </c>
      <c r="L2265" s="690"/>
    </row>
    <row r="2266" spans="1:12" s="27" customFormat="1" ht="17.25" customHeight="1">
      <c r="A2266" s="693" t="s">
        <v>399</v>
      </c>
      <c r="B2266" s="844" t="s">
        <v>529</v>
      </c>
      <c r="C2266" s="747" t="e">
        <f>VLOOKUP(B2262,'CNKT '!#REF!,12,0)</f>
        <v>#REF!</v>
      </c>
      <c r="D2266" s="697">
        <f>76.9*$B$2</f>
        <v>51433.796000000009</v>
      </c>
      <c r="E2266" s="695" t="e">
        <f t="shared" si="265"/>
        <v>#REF!</v>
      </c>
      <c r="F2266" s="750"/>
      <c r="G2266" s="693" t="s">
        <v>399</v>
      </c>
      <c r="H2266" s="844" t="s">
        <v>529</v>
      </c>
      <c r="I2266" s="747" t="e">
        <f>VLOOKUP(H2262,'CNKT '!#REF!,12,0)</f>
        <v>#REF!</v>
      </c>
      <c r="J2266" s="697">
        <f>76.9*$B$2</f>
        <v>51433.796000000009</v>
      </c>
      <c r="K2266" s="695" t="e">
        <f t="shared" si="266"/>
        <v>#REF!</v>
      </c>
      <c r="L2266" s="690"/>
    </row>
    <row r="2267" spans="1:12" s="27" customFormat="1" ht="17.25" customHeight="1">
      <c r="A2267" s="693" t="s">
        <v>78</v>
      </c>
      <c r="B2267" s="844" t="s">
        <v>530</v>
      </c>
      <c r="C2267" s="747" t="e">
        <f>VLOOKUP(B2262,'CNKT '!#REF!,8,0)</f>
        <v>#REF!</v>
      </c>
      <c r="D2267" s="697" t="e">
        <f>IF(C2263="A",6.1,IF(C2263="B",5.8,IF(C2263="C",5.5,IF(C2263="C.",5.5,IF(C2263="D",5.2)))))*$B$2</f>
        <v>#REF!</v>
      </c>
      <c r="E2267" s="695" t="e">
        <f t="shared" si="265"/>
        <v>#REF!</v>
      </c>
      <c r="F2267" s="750"/>
      <c r="G2267" s="693" t="s">
        <v>78</v>
      </c>
      <c r="H2267" s="844" t="s">
        <v>530</v>
      </c>
      <c r="I2267" s="747" t="e">
        <f>VLOOKUP(H2262,'CNKT '!#REF!,8,0)</f>
        <v>#REF!</v>
      </c>
      <c r="J2267" s="697" t="e">
        <f>IF(I2263="A",6.1,IF(I2263="B",5.8,IF(I2263="C",5.5,IF(I2263="C.",5.5,IF(I2263="D",5.2)))))*$B$2</f>
        <v>#REF!</v>
      </c>
      <c r="K2267" s="695" t="e">
        <f t="shared" si="266"/>
        <v>#REF!</v>
      </c>
      <c r="L2267" s="690"/>
    </row>
    <row r="2268" spans="1:12" s="27" customFormat="1" ht="17.25" customHeight="1">
      <c r="A2268" s="693" t="s">
        <v>447</v>
      </c>
      <c r="B2268" s="844" t="s">
        <v>531</v>
      </c>
      <c r="C2268" s="747" t="e">
        <f>VLOOKUP(B2262,'CNKT '!#REF!,15,0)</f>
        <v>#REF!</v>
      </c>
      <c r="D2268" s="698">
        <f>92.2*$B$2</f>
        <v>61667.048000000003</v>
      </c>
      <c r="E2268" s="695" t="e">
        <f t="shared" si="265"/>
        <v>#REF!</v>
      </c>
      <c r="F2268" s="750"/>
      <c r="G2268" s="693" t="s">
        <v>447</v>
      </c>
      <c r="H2268" s="844" t="s">
        <v>531</v>
      </c>
      <c r="I2268" s="747" t="e">
        <f>VLOOKUP(H2262,'CNKT '!#REF!,15,0)</f>
        <v>#REF!</v>
      </c>
      <c r="J2268" s="698">
        <f>92.2*$B$2</f>
        <v>61667.048000000003</v>
      </c>
      <c r="K2268" s="695" t="e">
        <f t="shared" si="266"/>
        <v>#REF!</v>
      </c>
      <c r="L2268" s="690"/>
    </row>
    <row r="2269" spans="1:12" s="27" customFormat="1" ht="17.25" customHeight="1">
      <c r="A2269" s="693" t="s">
        <v>448</v>
      </c>
      <c r="B2269" s="844" t="s">
        <v>496</v>
      </c>
      <c r="C2269" s="747" t="e">
        <f>VLOOKUP(B2262,'CNKT '!#REF!,14,0)</f>
        <v>#REF!</v>
      </c>
      <c r="D2269" s="697">
        <f>153.6*$B$2</f>
        <v>102733.82400000001</v>
      </c>
      <c r="E2269" s="695" t="e">
        <f t="shared" si="265"/>
        <v>#REF!</v>
      </c>
      <c r="F2269" s="750"/>
      <c r="G2269" s="693" t="s">
        <v>448</v>
      </c>
      <c r="H2269" s="844" t="s">
        <v>496</v>
      </c>
      <c r="I2269" s="747" t="e">
        <f>VLOOKUP(H2262,'CNKT '!#REF!,14,0)</f>
        <v>#REF!</v>
      </c>
      <c r="J2269" s="697">
        <f>153.6*$B$2</f>
        <v>102733.82400000001</v>
      </c>
      <c r="K2269" s="695" t="e">
        <f t="shared" si="266"/>
        <v>#REF!</v>
      </c>
      <c r="L2269" s="690"/>
    </row>
    <row r="2270" spans="1:12" s="27" customFormat="1" ht="17.25" customHeight="1">
      <c r="A2270" s="693" t="s">
        <v>453</v>
      </c>
      <c r="B2270" s="844" t="s">
        <v>497</v>
      </c>
      <c r="C2270" s="747" t="e">
        <f>VLOOKUP(B2262,'CNKT '!#REF!,18,0)</f>
        <v>#REF!</v>
      </c>
      <c r="D2270" s="697">
        <v>10000</v>
      </c>
      <c r="E2270" s="695" t="e">
        <f>C2270*D2270</f>
        <v>#REF!</v>
      </c>
      <c r="F2270" s="750"/>
      <c r="G2270" s="693" t="s">
        <v>453</v>
      </c>
      <c r="H2270" s="844" t="s">
        <v>497</v>
      </c>
      <c r="I2270" s="747" t="e">
        <f>VLOOKUP(H2262,'CNKT '!#REF!,18,0)</f>
        <v>#REF!</v>
      </c>
      <c r="J2270" s="697">
        <v>10000</v>
      </c>
      <c r="K2270" s="695" t="e">
        <f>I2270*J2270</f>
        <v>#REF!</v>
      </c>
      <c r="L2270" s="690"/>
    </row>
    <row r="2271" spans="1:12" s="27" customFormat="1" ht="17.25" customHeight="1">
      <c r="A2271" s="693" t="s">
        <v>453</v>
      </c>
      <c r="B2271" s="844" t="s">
        <v>497</v>
      </c>
      <c r="C2271" s="747" t="e">
        <f>VLOOKUP(B2262,'CNKT '!#REF!,19,0)</f>
        <v>#REF!</v>
      </c>
      <c r="D2271" s="697">
        <v>20000</v>
      </c>
      <c r="E2271" s="695" t="e">
        <f>C2271*D2271</f>
        <v>#REF!</v>
      </c>
      <c r="F2271" s="750"/>
      <c r="G2271" s="693" t="s">
        <v>453</v>
      </c>
      <c r="H2271" s="844" t="s">
        <v>497</v>
      </c>
      <c r="I2271" s="747" t="e">
        <f>VLOOKUP(H2262,'CNKT '!#REF!,19,0)</f>
        <v>#REF!</v>
      </c>
      <c r="J2271" s="697">
        <v>20000</v>
      </c>
      <c r="K2271" s="695" t="e">
        <f>I2271*J2271</f>
        <v>#REF!</v>
      </c>
      <c r="L2271" s="690"/>
    </row>
    <row r="2272" spans="1:12" s="27" customFormat="1" ht="17.25" customHeight="1">
      <c r="A2272" s="699" t="s">
        <v>79</v>
      </c>
      <c r="B2272" s="845" t="s">
        <v>532</v>
      </c>
      <c r="C2272" s="700"/>
      <c r="D2272" s="701"/>
      <c r="E2272" s="700"/>
      <c r="F2272" s="750"/>
      <c r="G2272" s="699" t="s">
        <v>79</v>
      </c>
      <c r="H2272" s="845" t="s">
        <v>532</v>
      </c>
      <c r="I2272" s="700"/>
      <c r="J2272" s="701"/>
      <c r="K2272" s="700"/>
      <c r="L2272" s="690"/>
    </row>
    <row r="2273" spans="1:12" s="27" customFormat="1" ht="17.25" customHeight="1">
      <c r="A2273" s="702" t="s">
        <v>80</v>
      </c>
      <c r="B2273" s="846" t="s">
        <v>533</v>
      </c>
      <c r="C2273" s="700"/>
      <c r="D2273" s="700"/>
      <c r="E2273" s="700"/>
      <c r="F2273" s="750"/>
      <c r="G2273" s="702" t="s">
        <v>80</v>
      </c>
      <c r="H2273" s="846" t="s">
        <v>533</v>
      </c>
      <c r="I2273" s="700"/>
      <c r="J2273" s="700"/>
      <c r="K2273" s="700"/>
      <c r="L2273" s="690"/>
    </row>
    <row r="2274" spans="1:12" s="27" customFormat="1" ht="17.25" customHeight="1">
      <c r="A2274" s="702" t="s">
        <v>81</v>
      </c>
      <c r="B2274" s="847" t="s">
        <v>534</v>
      </c>
      <c r="C2274" s="700"/>
      <c r="D2274" s="700"/>
      <c r="E2274" s="695">
        <f>SUM(E2273)</f>
        <v>0</v>
      </c>
      <c r="F2274" s="738"/>
      <c r="G2274" s="702" t="s">
        <v>81</v>
      </c>
      <c r="H2274" s="847" t="s">
        <v>534</v>
      </c>
      <c r="I2274" s="700"/>
      <c r="J2274" s="700"/>
      <c r="K2274" s="695">
        <f>SUM(K2273)</f>
        <v>0</v>
      </c>
      <c r="L2274" s="690"/>
    </row>
    <row r="2275" spans="1:12" s="27" customFormat="1" ht="17.25" customHeight="1">
      <c r="A2275" s="704" t="s">
        <v>82</v>
      </c>
      <c r="B2275" s="848" t="s">
        <v>438</v>
      </c>
      <c r="C2275" s="705"/>
      <c r="D2275" s="705"/>
      <c r="E2275" s="705" t="e">
        <f>(E2264+E2265+E2266+E2267+E2268+E2269+E2270+E2271)-E2274</f>
        <v>#REF!</v>
      </c>
      <c r="F2275" s="738"/>
      <c r="G2275" s="704" t="s">
        <v>82</v>
      </c>
      <c r="H2275" s="848" t="s">
        <v>438</v>
      </c>
      <c r="I2275" s="705"/>
      <c r="J2275" s="705"/>
      <c r="K2275" s="705" t="e">
        <f>(K2264+K2265+K2266+K2267+K2268+K2269+K2270+K2271)-K2274</f>
        <v>#REF!</v>
      </c>
      <c r="L2275" s="707" t="e">
        <f>E2275+K2275</f>
        <v>#REF!</v>
      </c>
    </row>
    <row r="2276" spans="1:12" s="27" customFormat="1" ht="17.25" customHeight="1">
      <c r="A2276" s="763"/>
      <c r="B2276" s="763"/>
      <c r="C2276" s="763"/>
      <c r="D2276" s="763"/>
      <c r="E2276" s="763"/>
      <c r="F2276" s="763"/>
      <c r="G2276" s="763"/>
      <c r="H2276" s="763"/>
      <c r="I2276" s="763"/>
      <c r="J2276" s="763"/>
      <c r="K2276" s="763"/>
      <c r="L2276" s="690"/>
    </row>
    <row r="2277" spans="1:12" s="27" customFormat="1" ht="17.25" customHeight="1">
      <c r="A2277" s="759" t="str">
        <f>A2261</f>
        <v>LƯƠNG THÁNG 01/2025</v>
      </c>
      <c r="B2277" s="763"/>
      <c r="C2277" s="763"/>
      <c r="D2277" s="763"/>
      <c r="E2277" s="766" t="e">
        <f>VLOOKUP(B2278,'CNKT '!#REF!,26,0)</f>
        <v>#REF!</v>
      </c>
      <c r="F2277" s="750"/>
      <c r="G2277" s="759" t="str">
        <f>A2277</f>
        <v>LƯƠNG THÁNG 01/2025</v>
      </c>
      <c r="H2277" s="763"/>
      <c r="I2277" s="763"/>
      <c r="J2277" s="766"/>
      <c r="K2277" s="766" t="e">
        <f>VLOOKUP(H2278,'CNKT '!#REF!,26,0)</f>
        <v>#REF!</v>
      </c>
      <c r="L2277" s="690"/>
    </row>
    <row r="2278" spans="1:12" s="27" customFormat="1" ht="17.25" customHeight="1">
      <c r="A2278" s="709" t="s">
        <v>15</v>
      </c>
      <c r="B2278" s="840" t="e">
        <f>'CNKT '!#REF!</f>
        <v>#REF!</v>
      </c>
      <c r="C2278" s="694"/>
      <c r="D2278" s="840" t="s">
        <v>396</v>
      </c>
      <c r="E2278" s="840" t="s">
        <v>18</v>
      </c>
      <c r="F2278" s="750"/>
      <c r="G2278" s="709" t="s">
        <v>15</v>
      </c>
      <c r="H2278" s="840" t="e">
        <f>'CNKT '!#REF!</f>
        <v>#REF!</v>
      </c>
      <c r="I2278" s="694"/>
      <c r="J2278" s="840" t="s">
        <v>396</v>
      </c>
      <c r="K2278" s="840" t="s">
        <v>18</v>
      </c>
      <c r="L2278" s="690"/>
    </row>
    <row r="2279" spans="1:12" s="27" customFormat="1" ht="17.25" customHeight="1">
      <c r="A2279" s="693" t="s">
        <v>397</v>
      </c>
      <c r="B2279" s="842" t="s">
        <v>527</v>
      </c>
      <c r="C2279" s="694" t="e">
        <f>VLOOKUP(B2278,'BTH mủ tạp'!$D$161:$AN$161,36,0)</f>
        <v>#REF!</v>
      </c>
      <c r="D2279" s="695"/>
      <c r="E2279" s="695"/>
      <c r="F2279" s="750"/>
      <c r="G2279" s="693" t="s">
        <v>397</v>
      </c>
      <c r="H2279" s="842" t="s">
        <v>527</v>
      </c>
      <c r="I2279" s="694" t="e">
        <f>VLOOKUP(H2278,'BTH mủ tạp'!$D$161:$AN$161,36,0)</f>
        <v>#REF!</v>
      </c>
      <c r="J2279" s="695"/>
      <c r="K2279" s="695"/>
      <c r="L2279" s="690"/>
    </row>
    <row r="2280" spans="1:12" s="27" customFormat="1" ht="17.25" customHeight="1">
      <c r="A2280" s="693" t="s">
        <v>77</v>
      </c>
      <c r="B2280" s="843" t="s">
        <v>432</v>
      </c>
      <c r="C2280" s="696" t="e">
        <f>VLOOKUP(B2278,'CNKT '!#REF!,3,0)</f>
        <v>#REF!</v>
      </c>
      <c r="D2280" s="697">
        <v>25000</v>
      </c>
      <c r="E2280" s="695" t="e">
        <f t="shared" ref="E2280:E2285" si="267">C2280*D2280</f>
        <v>#REF!</v>
      </c>
      <c r="F2280" s="750"/>
      <c r="G2280" s="693" t="s">
        <v>77</v>
      </c>
      <c r="H2280" s="843" t="s">
        <v>432</v>
      </c>
      <c r="I2280" s="696" t="e">
        <f>VLOOKUP(H2278,'CNKT '!#REF!,3,0)</f>
        <v>#REF!</v>
      </c>
      <c r="J2280" s="697">
        <v>25000</v>
      </c>
      <c r="K2280" s="695" t="e">
        <f t="shared" ref="K2280:K2285" si="268">I2280*J2280</f>
        <v>#REF!</v>
      </c>
      <c r="L2280" s="690"/>
    </row>
    <row r="2281" spans="1:12" s="27" customFormat="1" ht="17.25" customHeight="1">
      <c r="A2281" s="693" t="s">
        <v>307</v>
      </c>
      <c r="B2281" s="844" t="s">
        <v>528</v>
      </c>
      <c r="C2281" s="747" t="e">
        <f>VLOOKUP(B2278,'CNKT '!#REF!,11,0)</f>
        <v>#REF!</v>
      </c>
      <c r="D2281" s="698">
        <f>46.1*$B$2</f>
        <v>30833.524000000001</v>
      </c>
      <c r="E2281" s="695" t="e">
        <f t="shared" si="267"/>
        <v>#REF!</v>
      </c>
      <c r="F2281" s="750"/>
      <c r="G2281" s="693" t="s">
        <v>307</v>
      </c>
      <c r="H2281" s="844" t="s">
        <v>528</v>
      </c>
      <c r="I2281" s="747" t="e">
        <f>VLOOKUP(H2278,'CNKT '!#REF!,11,0)</f>
        <v>#REF!</v>
      </c>
      <c r="J2281" s="698">
        <f>46.1*$B$2</f>
        <v>30833.524000000001</v>
      </c>
      <c r="K2281" s="695" t="e">
        <f t="shared" si="268"/>
        <v>#REF!</v>
      </c>
      <c r="L2281" s="690"/>
    </row>
    <row r="2282" spans="1:12" s="27" customFormat="1" ht="17.25" customHeight="1">
      <c r="A2282" s="693" t="s">
        <v>399</v>
      </c>
      <c r="B2282" s="844" t="s">
        <v>529</v>
      </c>
      <c r="C2282" s="747" t="e">
        <f>VLOOKUP(B2278,'CNKT '!#REF!,12,0)</f>
        <v>#REF!</v>
      </c>
      <c r="D2282" s="697">
        <f>76.9*$B$2</f>
        <v>51433.796000000009</v>
      </c>
      <c r="E2282" s="695" t="e">
        <f t="shared" si="267"/>
        <v>#REF!</v>
      </c>
      <c r="F2282" s="750"/>
      <c r="G2282" s="693" t="s">
        <v>399</v>
      </c>
      <c r="H2282" s="844" t="s">
        <v>529</v>
      </c>
      <c r="I2282" s="747" t="e">
        <f>VLOOKUP(H2278,'CNKT '!#REF!,12,0)</f>
        <v>#REF!</v>
      </c>
      <c r="J2282" s="697">
        <f>76.9*$B$2</f>
        <v>51433.796000000009</v>
      </c>
      <c r="K2282" s="695" t="e">
        <f t="shared" si="268"/>
        <v>#REF!</v>
      </c>
      <c r="L2282" s="690"/>
    </row>
    <row r="2283" spans="1:12" s="27" customFormat="1" ht="17.25" customHeight="1">
      <c r="A2283" s="693" t="s">
        <v>78</v>
      </c>
      <c r="B2283" s="844" t="s">
        <v>530</v>
      </c>
      <c r="C2283" s="747" t="e">
        <f>VLOOKUP(B2278,'CNKT '!#REF!,8,0)</f>
        <v>#REF!</v>
      </c>
      <c r="D2283" s="697" t="e">
        <f>IF(C2279="A",6.1,IF(C2279="B",5.8,IF(C2279="C",5.5,IF(C2279="C.",5.5,IF(C2279="D",5.2)))))*$B$2</f>
        <v>#REF!</v>
      </c>
      <c r="E2283" s="695" t="e">
        <f t="shared" si="267"/>
        <v>#REF!</v>
      </c>
      <c r="F2283" s="750"/>
      <c r="G2283" s="693" t="s">
        <v>78</v>
      </c>
      <c r="H2283" s="844" t="s">
        <v>530</v>
      </c>
      <c r="I2283" s="747" t="e">
        <f>VLOOKUP(H2278,'CNKT '!#REF!,8,0)</f>
        <v>#REF!</v>
      </c>
      <c r="J2283" s="697" t="e">
        <f>IF(I2279="A",6.1,IF(I2279="B",5.8,IF(I2279="C",5.5,IF(I2279="C.",5.5,IF(I2279="D",5.2)))))*$B$2</f>
        <v>#REF!</v>
      </c>
      <c r="K2283" s="695" t="e">
        <f t="shared" si="268"/>
        <v>#REF!</v>
      </c>
      <c r="L2283" s="690"/>
    </row>
    <row r="2284" spans="1:12" s="27" customFormat="1" ht="17.25" customHeight="1">
      <c r="A2284" s="693" t="s">
        <v>447</v>
      </c>
      <c r="B2284" s="844" t="s">
        <v>531</v>
      </c>
      <c r="C2284" s="747" t="e">
        <f>VLOOKUP(B2278,'CNKT '!#REF!,15,0)</f>
        <v>#REF!</v>
      </c>
      <c r="D2284" s="698">
        <f>92.2*$B$2</f>
        <v>61667.048000000003</v>
      </c>
      <c r="E2284" s="695" t="e">
        <f t="shared" si="267"/>
        <v>#REF!</v>
      </c>
      <c r="F2284" s="750"/>
      <c r="G2284" s="693" t="s">
        <v>447</v>
      </c>
      <c r="H2284" s="844" t="s">
        <v>531</v>
      </c>
      <c r="I2284" s="747" t="e">
        <f>VLOOKUP(H2278,'CNKT '!#REF!,15,0)</f>
        <v>#REF!</v>
      </c>
      <c r="J2284" s="698">
        <f>92.2*$B$2</f>
        <v>61667.048000000003</v>
      </c>
      <c r="K2284" s="695" t="e">
        <f t="shared" si="268"/>
        <v>#REF!</v>
      </c>
      <c r="L2284" s="690"/>
    </row>
    <row r="2285" spans="1:12" s="27" customFormat="1" ht="17.25" customHeight="1">
      <c r="A2285" s="693" t="s">
        <v>448</v>
      </c>
      <c r="B2285" s="844" t="s">
        <v>496</v>
      </c>
      <c r="C2285" s="747" t="e">
        <f>VLOOKUP(B2278,'CNKT '!#REF!,14,0)</f>
        <v>#REF!</v>
      </c>
      <c r="D2285" s="697">
        <f>153.6*$B$2</f>
        <v>102733.82400000001</v>
      </c>
      <c r="E2285" s="695" t="e">
        <f t="shared" si="267"/>
        <v>#REF!</v>
      </c>
      <c r="F2285" s="750"/>
      <c r="G2285" s="693" t="s">
        <v>448</v>
      </c>
      <c r="H2285" s="844" t="s">
        <v>496</v>
      </c>
      <c r="I2285" s="747" t="e">
        <f>VLOOKUP(H2278,'CNKT '!#REF!,14,0)</f>
        <v>#REF!</v>
      </c>
      <c r="J2285" s="697">
        <f>153.6*$B$2</f>
        <v>102733.82400000001</v>
      </c>
      <c r="K2285" s="695" t="e">
        <f t="shared" si="268"/>
        <v>#REF!</v>
      </c>
      <c r="L2285" s="690"/>
    </row>
    <row r="2286" spans="1:12" s="27" customFormat="1" ht="17.25" customHeight="1">
      <c r="A2286" s="693" t="s">
        <v>453</v>
      </c>
      <c r="B2286" s="844" t="s">
        <v>497</v>
      </c>
      <c r="C2286" s="747" t="e">
        <f>VLOOKUP(B2278,'CNKT '!#REF!,18,0)</f>
        <v>#REF!</v>
      </c>
      <c r="D2286" s="697">
        <v>10000</v>
      </c>
      <c r="E2286" s="695" t="e">
        <f>C2286*D2286</f>
        <v>#REF!</v>
      </c>
      <c r="F2286" s="750"/>
      <c r="G2286" s="693" t="s">
        <v>453</v>
      </c>
      <c r="H2286" s="844" t="s">
        <v>497</v>
      </c>
      <c r="I2286" s="747" t="e">
        <f>VLOOKUP(H2278,'CNKT '!#REF!,18,0)</f>
        <v>#REF!</v>
      </c>
      <c r="J2286" s="697">
        <v>10000</v>
      </c>
      <c r="K2286" s="695" t="e">
        <f>I2286*J2286</f>
        <v>#REF!</v>
      </c>
      <c r="L2286" s="690"/>
    </row>
    <row r="2287" spans="1:12" s="27" customFormat="1" ht="17.25" customHeight="1">
      <c r="A2287" s="693" t="s">
        <v>453</v>
      </c>
      <c r="B2287" s="844" t="s">
        <v>497</v>
      </c>
      <c r="C2287" s="747" t="e">
        <f>VLOOKUP(B2278,'CNKT '!#REF!,19,0)</f>
        <v>#REF!</v>
      </c>
      <c r="D2287" s="697">
        <v>20000</v>
      </c>
      <c r="E2287" s="695" t="e">
        <f>C2287*D2287</f>
        <v>#REF!</v>
      </c>
      <c r="F2287" s="750"/>
      <c r="G2287" s="693" t="s">
        <v>453</v>
      </c>
      <c r="H2287" s="844" t="s">
        <v>497</v>
      </c>
      <c r="I2287" s="747" t="e">
        <f>VLOOKUP(H2278,'CNKT '!#REF!,19,0)</f>
        <v>#REF!</v>
      </c>
      <c r="J2287" s="697">
        <v>20000</v>
      </c>
      <c r="K2287" s="695" t="e">
        <f>I2287*J2287</f>
        <v>#REF!</v>
      </c>
      <c r="L2287" s="690"/>
    </row>
    <row r="2288" spans="1:12" s="27" customFormat="1" ht="17.25" customHeight="1">
      <c r="A2288" s="699" t="s">
        <v>79</v>
      </c>
      <c r="B2288" s="845" t="s">
        <v>532</v>
      </c>
      <c r="C2288" s="700"/>
      <c r="D2288" s="701"/>
      <c r="E2288" s="700"/>
      <c r="F2288" s="750"/>
      <c r="G2288" s="699" t="s">
        <v>79</v>
      </c>
      <c r="H2288" s="845" t="s">
        <v>532</v>
      </c>
      <c r="I2288" s="700"/>
      <c r="J2288" s="701"/>
      <c r="K2288" s="700"/>
      <c r="L2288" s="690"/>
    </row>
    <row r="2289" spans="1:12" s="27" customFormat="1" ht="17.25" customHeight="1">
      <c r="A2289" s="702" t="s">
        <v>80</v>
      </c>
      <c r="B2289" s="846" t="s">
        <v>533</v>
      </c>
      <c r="C2289" s="700"/>
      <c r="D2289" s="700"/>
      <c r="E2289" s="700"/>
      <c r="F2289" s="750"/>
      <c r="G2289" s="702" t="s">
        <v>80</v>
      </c>
      <c r="H2289" s="846" t="s">
        <v>533</v>
      </c>
      <c r="I2289" s="700"/>
      <c r="J2289" s="700"/>
      <c r="K2289" s="700"/>
      <c r="L2289" s="690"/>
    </row>
    <row r="2290" spans="1:12" s="27" customFormat="1" ht="17.25" customHeight="1">
      <c r="A2290" s="702" t="s">
        <v>81</v>
      </c>
      <c r="B2290" s="847" t="s">
        <v>534</v>
      </c>
      <c r="C2290" s="700"/>
      <c r="D2290" s="700"/>
      <c r="E2290" s="695">
        <f>SUM(E2289)</f>
        <v>0</v>
      </c>
      <c r="F2290" s="746"/>
      <c r="G2290" s="702" t="s">
        <v>81</v>
      </c>
      <c r="H2290" s="847" t="s">
        <v>534</v>
      </c>
      <c r="I2290" s="700"/>
      <c r="J2290" s="700"/>
      <c r="K2290" s="695">
        <f>SUM(K2289)</f>
        <v>0</v>
      </c>
      <c r="L2290" s="690"/>
    </row>
    <row r="2291" spans="1:12" s="27" customFormat="1" ht="17.25" customHeight="1">
      <c r="A2291" s="704" t="s">
        <v>82</v>
      </c>
      <c r="B2291" s="848" t="s">
        <v>438</v>
      </c>
      <c r="C2291" s="705"/>
      <c r="D2291" s="705"/>
      <c r="E2291" s="705" t="e">
        <f>(E2280+E2281+E2282+E2283+E2284+E2285+E2286+E2287)-E2290</f>
        <v>#REF!</v>
      </c>
      <c r="F2291" s="746"/>
      <c r="G2291" s="704" t="s">
        <v>82</v>
      </c>
      <c r="H2291" s="848" t="s">
        <v>438</v>
      </c>
      <c r="I2291" s="705"/>
      <c r="J2291" s="705"/>
      <c r="K2291" s="705" t="e">
        <f>(K2280+K2281+K2282+K2283+K2284+K2285+K2286+K2287)-K2290</f>
        <v>#REF!</v>
      </c>
      <c r="L2291" s="707" t="e">
        <f>E2291+K2291</f>
        <v>#REF!</v>
      </c>
    </row>
    <row r="2292" spans="1:12" s="27" customFormat="1" ht="17.25" customHeight="1">
      <c r="A2292" s="763"/>
      <c r="B2292" s="763"/>
      <c r="C2292" s="763"/>
      <c r="D2292" s="763"/>
      <c r="E2292" s="763"/>
      <c r="F2292" s="763"/>
      <c r="G2292" s="763"/>
      <c r="H2292" s="763"/>
      <c r="I2292" s="763"/>
      <c r="J2292" s="763"/>
      <c r="K2292" s="763"/>
      <c r="L2292" s="690"/>
    </row>
    <row r="2293" spans="1:12" s="27" customFormat="1" ht="17.25" customHeight="1">
      <c r="A2293" s="759" t="str">
        <f>A2277</f>
        <v>LƯƠNG THÁNG 01/2025</v>
      </c>
      <c r="B2293" s="763"/>
      <c r="C2293" s="763"/>
      <c r="D2293" s="763"/>
      <c r="E2293" s="766" t="e">
        <f>VLOOKUP(B2294,'CNKT '!#REF!,26,0)</f>
        <v>#REF!</v>
      </c>
      <c r="F2293" s="750"/>
      <c r="G2293" s="759" t="str">
        <f>A2293</f>
        <v>LƯƠNG THÁNG 01/2025</v>
      </c>
      <c r="H2293" s="763"/>
      <c r="I2293" s="763"/>
      <c r="J2293" s="766"/>
      <c r="K2293" s="766" t="e">
        <f>VLOOKUP(H2294,'CNKT '!#REF!,26,0)</f>
        <v>#REF!</v>
      </c>
      <c r="L2293" s="690"/>
    </row>
    <row r="2294" spans="1:12" s="27" customFormat="1" ht="17.25" customHeight="1">
      <c r="A2294" s="709" t="s">
        <v>15</v>
      </c>
      <c r="B2294" s="840" t="e">
        <f>'CNKT '!#REF!</f>
        <v>#REF!</v>
      </c>
      <c r="C2294" s="694"/>
      <c r="D2294" s="840" t="s">
        <v>396</v>
      </c>
      <c r="E2294" s="840" t="s">
        <v>18</v>
      </c>
      <c r="F2294" s="750"/>
      <c r="G2294" s="709" t="s">
        <v>15</v>
      </c>
      <c r="H2294" s="840" t="e">
        <f>'CNKT '!#REF!</f>
        <v>#REF!</v>
      </c>
      <c r="I2294" s="694"/>
      <c r="J2294" s="840" t="s">
        <v>396</v>
      </c>
      <c r="K2294" s="840" t="s">
        <v>18</v>
      </c>
      <c r="L2294" s="690"/>
    </row>
    <row r="2295" spans="1:12" s="27" customFormat="1" ht="17.25" customHeight="1">
      <c r="A2295" s="693" t="s">
        <v>397</v>
      </c>
      <c r="B2295" s="842" t="s">
        <v>527</v>
      </c>
      <c r="C2295" s="694" t="e">
        <f>VLOOKUP(B2294,'BTH mủ tạp'!$D$161:$AN$161,36,0)</f>
        <v>#REF!</v>
      </c>
      <c r="D2295" s="695"/>
      <c r="E2295" s="695"/>
      <c r="F2295" s="750"/>
      <c r="G2295" s="693" t="s">
        <v>397</v>
      </c>
      <c r="H2295" s="842" t="s">
        <v>527</v>
      </c>
      <c r="I2295" s="694" t="e">
        <f>VLOOKUP(H2294,'BTH mủ tạp'!$D$161:$AN$161,36,0)</f>
        <v>#REF!</v>
      </c>
      <c r="J2295" s="695"/>
      <c r="K2295" s="695"/>
      <c r="L2295" s="690"/>
    </row>
    <row r="2296" spans="1:12" s="27" customFormat="1" ht="17.25" customHeight="1">
      <c r="A2296" s="693" t="s">
        <v>77</v>
      </c>
      <c r="B2296" s="843" t="s">
        <v>432</v>
      </c>
      <c r="C2296" s="696" t="e">
        <f>VLOOKUP(B2294,'CNKT '!#REF!,3,0)</f>
        <v>#REF!</v>
      </c>
      <c r="D2296" s="697">
        <v>25000</v>
      </c>
      <c r="E2296" s="695" t="e">
        <f t="shared" ref="E2296:E2301" si="269">C2296*D2296</f>
        <v>#REF!</v>
      </c>
      <c r="F2296" s="750"/>
      <c r="G2296" s="693" t="s">
        <v>77</v>
      </c>
      <c r="H2296" s="843" t="s">
        <v>432</v>
      </c>
      <c r="I2296" s="696" t="e">
        <f>VLOOKUP(H2294,'CNKT '!#REF!,3,0)</f>
        <v>#REF!</v>
      </c>
      <c r="J2296" s="697">
        <v>25000</v>
      </c>
      <c r="K2296" s="695" t="e">
        <f t="shared" ref="K2296:K2301" si="270">I2296*J2296</f>
        <v>#REF!</v>
      </c>
      <c r="L2296" s="690"/>
    </row>
    <row r="2297" spans="1:12" s="27" customFormat="1" ht="17.25" customHeight="1">
      <c r="A2297" s="693" t="s">
        <v>307</v>
      </c>
      <c r="B2297" s="844" t="s">
        <v>528</v>
      </c>
      <c r="C2297" s="747" t="e">
        <f>VLOOKUP(B2294,'CNKT '!#REF!,11,0)</f>
        <v>#REF!</v>
      </c>
      <c r="D2297" s="698">
        <f>46.1*$B$2</f>
        <v>30833.524000000001</v>
      </c>
      <c r="E2297" s="695" t="e">
        <f t="shared" si="269"/>
        <v>#REF!</v>
      </c>
      <c r="F2297" s="750"/>
      <c r="G2297" s="693" t="s">
        <v>307</v>
      </c>
      <c r="H2297" s="844" t="s">
        <v>528</v>
      </c>
      <c r="I2297" s="747" t="e">
        <f>VLOOKUP(H2294,'CNKT '!#REF!,11,0)</f>
        <v>#REF!</v>
      </c>
      <c r="J2297" s="698">
        <f>46.1*$B$2</f>
        <v>30833.524000000001</v>
      </c>
      <c r="K2297" s="695" t="e">
        <f t="shared" si="270"/>
        <v>#REF!</v>
      </c>
      <c r="L2297" s="690"/>
    </row>
    <row r="2298" spans="1:12" s="27" customFormat="1" ht="17.25" customHeight="1">
      <c r="A2298" s="693" t="s">
        <v>399</v>
      </c>
      <c r="B2298" s="844" t="s">
        <v>529</v>
      </c>
      <c r="C2298" s="747" t="e">
        <f>VLOOKUP(B2294,'CNKT '!#REF!,12,0)</f>
        <v>#REF!</v>
      </c>
      <c r="D2298" s="697">
        <f>76.9*$B$2</f>
        <v>51433.796000000009</v>
      </c>
      <c r="E2298" s="695" t="e">
        <f t="shared" si="269"/>
        <v>#REF!</v>
      </c>
      <c r="F2298" s="750"/>
      <c r="G2298" s="693" t="s">
        <v>399</v>
      </c>
      <c r="H2298" s="844" t="s">
        <v>529</v>
      </c>
      <c r="I2298" s="747" t="e">
        <f>VLOOKUP(H2294,'CNKT '!#REF!,12,0)</f>
        <v>#REF!</v>
      </c>
      <c r="J2298" s="697">
        <f>76.9*$B$2</f>
        <v>51433.796000000009</v>
      </c>
      <c r="K2298" s="695" t="e">
        <f t="shared" si="270"/>
        <v>#REF!</v>
      </c>
      <c r="L2298" s="690"/>
    </row>
    <row r="2299" spans="1:12" s="27" customFormat="1" ht="17.25" customHeight="1">
      <c r="A2299" s="693" t="s">
        <v>78</v>
      </c>
      <c r="B2299" s="844" t="s">
        <v>530</v>
      </c>
      <c r="C2299" s="747" t="e">
        <f>VLOOKUP(B2294,'CNKT '!#REF!,8,0)</f>
        <v>#REF!</v>
      </c>
      <c r="D2299" s="697" t="e">
        <f>IF(C2295="A",6.1,IF(C2295="B",5.8,IF(C2295="C",5.5,IF(C2295="C.",5.5,IF(C2295="D",5.2)))))*$B$2</f>
        <v>#REF!</v>
      </c>
      <c r="E2299" s="695" t="e">
        <f t="shared" si="269"/>
        <v>#REF!</v>
      </c>
      <c r="F2299" s="750"/>
      <c r="G2299" s="693" t="s">
        <v>78</v>
      </c>
      <c r="H2299" s="844" t="s">
        <v>530</v>
      </c>
      <c r="I2299" s="747" t="e">
        <f>VLOOKUP(H2294,'CNKT '!#REF!,8,0)</f>
        <v>#REF!</v>
      </c>
      <c r="J2299" s="697" t="e">
        <f>IF(I2295="A",6.1,IF(I2295="B",5.8,IF(I2295="C",5.5,IF(I2295="C.",5.5,IF(I2295="D",5.2)))))*$B$2</f>
        <v>#REF!</v>
      </c>
      <c r="K2299" s="695" t="e">
        <f t="shared" si="270"/>
        <v>#REF!</v>
      </c>
      <c r="L2299" s="690"/>
    </row>
    <row r="2300" spans="1:12" s="27" customFormat="1" ht="17.25" customHeight="1">
      <c r="A2300" s="693" t="s">
        <v>447</v>
      </c>
      <c r="B2300" s="844" t="s">
        <v>531</v>
      </c>
      <c r="C2300" s="747" t="e">
        <f>VLOOKUP(B2294,'CNKT '!#REF!,15,0)</f>
        <v>#REF!</v>
      </c>
      <c r="D2300" s="698">
        <f>92.2*$B$2</f>
        <v>61667.048000000003</v>
      </c>
      <c r="E2300" s="695" t="e">
        <f t="shared" si="269"/>
        <v>#REF!</v>
      </c>
      <c r="F2300" s="750"/>
      <c r="G2300" s="693" t="s">
        <v>447</v>
      </c>
      <c r="H2300" s="844" t="s">
        <v>531</v>
      </c>
      <c r="I2300" s="747" t="e">
        <f>VLOOKUP(H2294,'CNKT '!#REF!,15,0)</f>
        <v>#REF!</v>
      </c>
      <c r="J2300" s="698">
        <f>92.2*$B$2</f>
        <v>61667.048000000003</v>
      </c>
      <c r="K2300" s="695" t="e">
        <f t="shared" si="270"/>
        <v>#REF!</v>
      </c>
      <c r="L2300" s="690"/>
    </row>
    <row r="2301" spans="1:12" s="27" customFormat="1" ht="17.25" customHeight="1">
      <c r="A2301" s="693" t="s">
        <v>448</v>
      </c>
      <c r="B2301" s="844" t="s">
        <v>496</v>
      </c>
      <c r="C2301" s="747" t="e">
        <f>VLOOKUP(B2294,'CNKT '!#REF!,14,0)</f>
        <v>#REF!</v>
      </c>
      <c r="D2301" s="697">
        <f>153.6*$B$2</f>
        <v>102733.82400000001</v>
      </c>
      <c r="E2301" s="695" t="e">
        <f t="shared" si="269"/>
        <v>#REF!</v>
      </c>
      <c r="F2301" s="750"/>
      <c r="G2301" s="693" t="s">
        <v>448</v>
      </c>
      <c r="H2301" s="844" t="s">
        <v>496</v>
      </c>
      <c r="I2301" s="747" t="e">
        <f>VLOOKUP(H2294,'CNKT '!#REF!,14,0)</f>
        <v>#REF!</v>
      </c>
      <c r="J2301" s="697">
        <f>153.6*$B$2</f>
        <v>102733.82400000001</v>
      </c>
      <c r="K2301" s="695" t="e">
        <f t="shared" si="270"/>
        <v>#REF!</v>
      </c>
      <c r="L2301" s="690"/>
    </row>
    <row r="2302" spans="1:12" s="27" customFormat="1" ht="17.25" customHeight="1">
      <c r="A2302" s="693" t="s">
        <v>453</v>
      </c>
      <c r="B2302" s="844" t="s">
        <v>497</v>
      </c>
      <c r="C2302" s="747" t="e">
        <f>VLOOKUP(B2294,'CNKT '!#REF!,18,0)</f>
        <v>#REF!</v>
      </c>
      <c r="D2302" s="697">
        <v>10000</v>
      </c>
      <c r="E2302" s="695" t="e">
        <f>C2302*D2302</f>
        <v>#REF!</v>
      </c>
      <c r="F2302" s="750"/>
      <c r="G2302" s="693" t="s">
        <v>453</v>
      </c>
      <c r="H2302" s="844" t="s">
        <v>497</v>
      </c>
      <c r="I2302" s="747" t="e">
        <f>VLOOKUP(H2294,'CNKT '!#REF!,18,0)</f>
        <v>#REF!</v>
      </c>
      <c r="J2302" s="697">
        <v>10000</v>
      </c>
      <c r="K2302" s="695" t="e">
        <f>I2302*J2302</f>
        <v>#REF!</v>
      </c>
      <c r="L2302" s="690"/>
    </row>
    <row r="2303" spans="1:12" s="27" customFormat="1" ht="17.25" customHeight="1">
      <c r="A2303" s="693" t="s">
        <v>453</v>
      </c>
      <c r="B2303" s="844" t="s">
        <v>497</v>
      </c>
      <c r="C2303" s="747" t="e">
        <f>VLOOKUP(B2294,'CNKT '!#REF!,19,0)</f>
        <v>#REF!</v>
      </c>
      <c r="D2303" s="697">
        <v>20000</v>
      </c>
      <c r="E2303" s="695" t="e">
        <f>C2303*D2303</f>
        <v>#REF!</v>
      </c>
      <c r="F2303" s="750"/>
      <c r="G2303" s="693" t="s">
        <v>453</v>
      </c>
      <c r="H2303" s="844" t="s">
        <v>497</v>
      </c>
      <c r="I2303" s="747" t="e">
        <f>VLOOKUP(H2294,'CNKT '!#REF!,19,0)</f>
        <v>#REF!</v>
      </c>
      <c r="J2303" s="697">
        <v>20000</v>
      </c>
      <c r="K2303" s="695" t="e">
        <f>I2303*J2303</f>
        <v>#REF!</v>
      </c>
      <c r="L2303" s="690"/>
    </row>
    <row r="2304" spans="1:12" s="27" customFormat="1" ht="17.25" customHeight="1">
      <c r="A2304" s="699" t="s">
        <v>79</v>
      </c>
      <c r="B2304" s="845" t="s">
        <v>532</v>
      </c>
      <c r="C2304" s="700"/>
      <c r="D2304" s="701"/>
      <c r="E2304" s="700"/>
      <c r="F2304" s="750"/>
      <c r="G2304" s="699" t="s">
        <v>79</v>
      </c>
      <c r="H2304" s="845" t="s">
        <v>532</v>
      </c>
      <c r="I2304" s="700"/>
      <c r="J2304" s="701"/>
      <c r="K2304" s="700"/>
      <c r="L2304" s="690"/>
    </row>
    <row r="2305" spans="1:12" s="27" customFormat="1" ht="17.25" customHeight="1">
      <c r="A2305" s="702" t="s">
        <v>80</v>
      </c>
      <c r="B2305" s="846" t="s">
        <v>533</v>
      </c>
      <c r="C2305" s="700"/>
      <c r="D2305" s="700"/>
      <c r="E2305" s="700"/>
      <c r="F2305" s="750"/>
      <c r="G2305" s="702" t="s">
        <v>80</v>
      </c>
      <c r="H2305" s="846" t="s">
        <v>533</v>
      </c>
      <c r="I2305" s="700"/>
      <c r="J2305" s="700"/>
      <c r="K2305" s="700"/>
      <c r="L2305" s="690"/>
    </row>
    <row r="2306" spans="1:12" s="27" customFormat="1" ht="17.25" customHeight="1">
      <c r="A2306" s="702" t="s">
        <v>81</v>
      </c>
      <c r="B2306" s="847" t="s">
        <v>534</v>
      </c>
      <c r="C2306" s="700"/>
      <c r="D2306" s="700"/>
      <c r="E2306" s="695">
        <f>SUM(E2305)</f>
        <v>0</v>
      </c>
      <c r="F2306" s="738"/>
      <c r="G2306" s="702" t="s">
        <v>81</v>
      </c>
      <c r="H2306" s="847" t="s">
        <v>534</v>
      </c>
      <c r="I2306" s="700"/>
      <c r="J2306" s="700"/>
      <c r="K2306" s="695">
        <f>SUM(K2305)</f>
        <v>0</v>
      </c>
      <c r="L2306" s="690"/>
    </row>
    <row r="2307" spans="1:12" s="27" customFormat="1" ht="17.25" customHeight="1">
      <c r="A2307" s="704" t="s">
        <v>82</v>
      </c>
      <c r="B2307" s="848" t="s">
        <v>438</v>
      </c>
      <c r="C2307" s="705"/>
      <c r="D2307" s="705"/>
      <c r="E2307" s="705" t="e">
        <f>(E2296+E2297+E2298+E2299+E2300+E2301+E2302+E2303)-E2306</f>
        <v>#REF!</v>
      </c>
      <c r="F2307" s="738"/>
      <c r="G2307" s="704" t="s">
        <v>82</v>
      </c>
      <c r="H2307" s="848" t="s">
        <v>438</v>
      </c>
      <c r="I2307" s="705"/>
      <c r="J2307" s="705"/>
      <c r="K2307" s="705" t="e">
        <f>(K2296+K2297+K2298+K2299+K2300+K2301+K2302+K2303)-K2306</f>
        <v>#REF!</v>
      </c>
      <c r="L2307" s="707" t="e">
        <f>E2307+K2307</f>
        <v>#REF!</v>
      </c>
    </row>
    <row r="2308" spans="1:12" s="27" customFormat="1" ht="67.5" customHeight="1">
      <c r="A2308" s="763"/>
      <c r="B2308" s="763"/>
      <c r="C2308" s="763"/>
      <c r="D2308" s="763"/>
      <c r="E2308" s="763"/>
      <c r="F2308" s="763"/>
      <c r="G2308" s="763"/>
      <c r="H2308" s="763"/>
      <c r="I2308" s="763"/>
      <c r="J2308" s="763"/>
      <c r="K2308" s="763"/>
      <c r="L2308" s="690"/>
    </row>
    <row r="2309" spans="1:12" s="27" customFormat="1" ht="17.25" customHeight="1">
      <c r="A2309" s="759" t="str">
        <f>A2293</f>
        <v>LƯƠNG THÁNG 01/2025</v>
      </c>
      <c r="B2309" s="763"/>
      <c r="C2309" s="763"/>
      <c r="D2309" s="763"/>
      <c r="E2309" s="766" t="e">
        <f>VLOOKUP(B2310,'CNKT '!#REF!,26,0)</f>
        <v>#REF!</v>
      </c>
      <c r="F2309" s="750"/>
      <c r="G2309" s="759" t="str">
        <f>A2309</f>
        <v>LƯƠNG THÁNG 01/2025</v>
      </c>
      <c r="H2309" s="763"/>
      <c r="I2309" s="763"/>
      <c r="J2309" s="766"/>
      <c r="K2309" s="766" t="e">
        <f>VLOOKUP(H2310,'CNKT '!#REF!,26,0)</f>
        <v>#REF!</v>
      </c>
      <c r="L2309" s="690"/>
    </row>
    <row r="2310" spans="1:12" s="27" customFormat="1" ht="17.25" customHeight="1">
      <c r="A2310" s="709" t="s">
        <v>15</v>
      </c>
      <c r="B2310" s="840" t="e">
        <f>'CNKT '!#REF!</f>
        <v>#REF!</v>
      </c>
      <c r="C2310" s="694"/>
      <c r="D2310" s="840" t="s">
        <v>396</v>
      </c>
      <c r="E2310" s="840" t="s">
        <v>18</v>
      </c>
      <c r="F2310" s="750"/>
      <c r="G2310" s="709" t="s">
        <v>15</v>
      </c>
      <c r="H2310" s="840" t="e">
        <f>'CNKT '!#REF!</f>
        <v>#REF!</v>
      </c>
      <c r="I2310" s="694"/>
      <c r="J2310" s="840" t="s">
        <v>396</v>
      </c>
      <c r="K2310" s="840" t="s">
        <v>18</v>
      </c>
      <c r="L2310" s="690"/>
    </row>
    <row r="2311" spans="1:12" s="27" customFormat="1" ht="17.25" customHeight="1">
      <c r="A2311" s="693" t="s">
        <v>397</v>
      </c>
      <c r="B2311" s="842" t="s">
        <v>527</v>
      </c>
      <c r="C2311" s="694" t="e">
        <f>VLOOKUP(B2310,'BTH mủ tạp'!$D$161:$AN$161,36,0)</f>
        <v>#REF!</v>
      </c>
      <c r="D2311" s="695"/>
      <c r="E2311" s="695"/>
      <c r="F2311" s="750"/>
      <c r="G2311" s="693" t="s">
        <v>397</v>
      </c>
      <c r="H2311" s="842" t="s">
        <v>527</v>
      </c>
      <c r="I2311" s="694" t="e">
        <f>VLOOKUP(H2310,'BTH mủ tạp'!$D$161:$AN$161,36,0)</f>
        <v>#REF!</v>
      </c>
      <c r="J2311" s="695"/>
      <c r="K2311" s="695"/>
      <c r="L2311" s="690"/>
    </row>
    <row r="2312" spans="1:12" s="27" customFormat="1" ht="17.25" customHeight="1">
      <c r="A2312" s="693" t="s">
        <v>77</v>
      </c>
      <c r="B2312" s="843" t="s">
        <v>432</v>
      </c>
      <c r="C2312" s="696" t="e">
        <f>VLOOKUP(B2310,'CNKT '!#REF!,3,0)</f>
        <v>#REF!</v>
      </c>
      <c r="D2312" s="697">
        <v>25000</v>
      </c>
      <c r="E2312" s="695" t="e">
        <f t="shared" ref="E2312:E2317" si="271">C2312*D2312</f>
        <v>#REF!</v>
      </c>
      <c r="F2312" s="750"/>
      <c r="G2312" s="693" t="s">
        <v>77</v>
      </c>
      <c r="H2312" s="843" t="s">
        <v>432</v>
      </c>
      <c r="I2312" s="696" t="e">
        <f>VLOOKUP(H2310,'CNKT '!#REF!,3,0)</f>
        <v>#REF!</v>
      </c>
      <c r="J2312" s="697">
        <v>25000</v>
      </c>
      <c r="K2312" s="695" t="e">
        <f t="shared" ref="K2312:K2317" si="272">I2312*J2312</f>
        <v>#REF!</v>
      </c>
      <c r="L2312" s="690"/>
    </row>
    <row r="2313" spans="1:12" s="27" customFormat="1" ht="17.25" customHeight="1">
      <c r="A2313" s="693" t="s">
        <v>307</v>
      </c>
      <c r="B2313" s="844" t="s">
        <v>528</v>
      </c>
      <c r="C2313" s="747" t="e">
        <f>VLOOKUP(B2310,'CNKT '!#REF!,11,0)</f>
        <v>#REF!</v>
      </c>
      <c r="D2313" s="698">
        <f>46.1*$B$2</f>
        <v>30833.524000000001</v>
      </c>
      <c r="E2313" s="695" t="e">
        <f t="shared" si="271"/>
        <v>#REF!</v>
      </c>
      <c r="F2313" s="750"/>
      <c r="G2313" s="693" t="s">
        <v>307</v>
      </c>
      <c r="H2313" s="844" t="s">
        <v>528</v>
      </c>
      <c r="I2313" s="747" t="e">
        <f>VLOOKUP(H2310,'CNKT '!#REF!,11,0)</f>
        <v>#REF!</v>
      </c>
      <c r="J2313" s="698">
        <f>46.1*$B$2</f>
        <v>30833.524000000001</v>
      </c>
      <c r="K2313" s="695" t="e">
        <f t="shared" si="272"/>
        <v>#REF!</v>
      </c>
      <c r="L2313" s="690"/>
    </row>
    <row r="2314" spans="1:12" s="27" customFormat="1" ht="17.25" customHeight="1">
      <c r="A2314" s="693" t="s">
        <v>399</v>
      </c>
      <c r="B2314" s="844" t="s">
        <v>529</v>
      </c>
      <c r="C2314" s="747" t="e">
        <f>VLOOKUP(B2310,'CNKT '!#REF!,12,0)</f>
        <v>#REF!</v>
      </c>
      <c r="D2314" s="697">
        <f>76.9*$B$2</f>
        <v>51433.796000000009</v>
      </c>
      <c r="E2314" s="695" t="e">
        <f t="shared" si="271"/>
        <v>#REF!</v>
      </c>
      <c r="F2314" s="750"/>
      <c r="G2314" s="693" t="s">
        <v>399</v>
      </c>
      <c r="H2314" s="844" t="s">
        <v>529</v>
      </c>
      <c r="I2314" s="747" t="e">
        <f>VLOOKUP(H2310,'CNKT '!#REF!,12,0)</f>
        <v>#REF!</v>
      </c>
      <c r="J2314" s="697">
        <f>76.9*$B$2</f>
        <v>51433.796000000009</v>
      </c>
      <c r="K2314" s="695" t="e">
        <f t="shared" si="272"/>
        <v>#REF!</v>
      </c>
      <c r="L2314" s="690"/>
    </row>
    <row r="2315" spans="1:12" s="27" customFormat="1" ht="17.25" customHeight="1">
      <c r="A2315" s="693" t="s">
        <v>78</v>
      </c>
      <c r="B2315" s="844" t="s">
        <v>530</v>
      </c>
      <c r="C2315" s="747" t="e">
        <f>VLOOKUP(B2310,'CNKT '!#REF!,8,0)</f>
        <v>#REF!</v>
      </c>
      <c r="D2315" s="697" t="e">
        <f>IF(C2311="A",6.1,IF(C2311="B",5.8,IF(C2311="C",5.5,IF(C2311="C.",5.5,IF(C2311="D",5.2)))))*$B$2</f>
        <v>#REF!</v>
      </c>
      <c r="E2315" s="695" t="e">
        <f t="shared" si="271"/>
        <v>#REF!</v>
      </c>
      <c r="F2315" s="750"/>
      <c r="G2315" s="693" t="s">
        <v>78</v>
      </c>
      <c r="H2315" s="844" t="s">
        <v>530</v>
      </c>
      <c r="I2315" s="747" t="e">
        <f>VLOOKUP(H2310,'CNKT '!#REF!,8,0)</f>
        <v>#REF!</v>
      </c>
      <c r="J2315" s="697" t="e">
        <f>IF(I2311="A",6.1,IF(I2311="B",5.8,IF(I2311="C",5.5,IF(I2311="C.",5.5,IF(I2311="D",5.2)))))*$B$2</f>
        <v>#REF!</v>
      </c>
      <c r="K2315" s="695" t="e">
        <f t="shared" si="272"/>
        <v>#REF!</v>
      </c>
      <c r="L2315" s="690"/>
    </row>
    <row r="2316" spans="1:12" s="27" customFormat="1" ht="17.25" customHeight="1">
      <c r="A2316" s="693" t="s">
        <v>447</v>
      </c>
      <c r="B2316" s="844" t="s">
        <v>531</v>
      </c>
      <c r="C2316" s="747" t="e">
        <f>VLOOKUP(B2310,'CNKT '!#REF!,15,0)</f>
        <v>#REF!</v>
      </c>
      <c r="D2316" s="698">
        <f>92.2*$B$2</f>
        <v>61667.048000000003</v>
      </c>
      <c r="E2316" s="695" t="e">
        <f t="shared" si="271"/>
        <v>#REF!</v>
      </c>
      <c r="F2316" s="750"/>
      <c r="G2316" s="693" t="s">
        <v>447</v>
      </c>
      <c r="H2316" s="844" t="s">
        <v>531</v>
      </c>
      <c r="I2316" s="747" t="e">
        <f>VLOOKUP(H2310,'CNKT '!#REF!,15,0)</f>
        <v>#REF!</v>
      </c>
      <c r="J2316" s="698">
        <f>92.2*$B$2</f>
        <v>61667.048000000003</v>
      </c>
      <c r="K2316" s="695" t="e">
        <f t="shared" si="272"/>
        <v>#REF!</v>
      </c>
      <c r="L2316" s="690"/>
    </row>
    <row r="2317" spans="1:12" s="27" customFormat="1" ht="17.25" customHeight="1">
      <c r="A2317" s="693" t="s">
        <v>448</v>
      </c>
      <c r="B2317" s="844" t="s">
        <v>496</v>
      </c>
      <c r="C2317" s="747" t="e">
        <f>VLOOKUP(B2310,'CNKT '!#REF!,14,0)</f>
        <v>#REF!</v>
      </c>
      <c r="D2317" s="697">
        <f>153.6*$B$2</f>
        <v>102733.82400000001</v>
      </c>
      <c r="E2317" s="695" t="e">
        <f t="shared" si="271"/>
        <v>#REF!</v>
      </c>
      <c r="F2317" s="750"/>
      <c r="G2317" s="693" t="s">
        <v>448</v>
      </c>
      <c r="H2317" s="844" t="s">
        <v>496</v>
      </c>
      <c r="I2317" s="747" t="e">
        <f>VLOOKUP(H2310,'CNKT '!#REF!,14,0)</f>
        <v>#REF!</v>
      </c>
      <c r="J2317" s="697">
        <f>153.6*$B$2</f>
        <v>102733.82400000001</v>
      </c>
      <c r="K2317" s="695" t="e">
        <f t="shared" si="272"/>
        <v>#REF!</v>
      </c>
      <c r="L2317" s="690"/>
    </row>
    <row r="2318" spans="1:12" s="27" customFormat="1" ht="17.25" customHeight="1">
      <c r="A2318" s="693" t="s">
        <v>453</v>
      </c>
      <c r="B2318" s="844" t="s">
        <v>497</v>
      </c>
      <c r="C2318" s="747" t="e">
        <f>VLOOKUP(B2310,'CNKT '!#REF!,18,0)</f>
        <v>#REF!</v>
      </c>
      <c r="D2318" s="697">
        <v>10000</v>
      </c>
      <c r="E2318" s="695" t="e">
        <f>C2318*D2318</f>
        <v>#REF!</v>
      </c>
      <c r="F2318" s="750"/>
      <c r="G2318" s="693" t="s">
        <v>453</v>
      </c>
      <c r="H2318" s="844" t="s">
        <v>497</v>
      </c>
      <c r="I2318" s="747" t="e">
        <f>VLOOKUP(H2310,'CNKT '!#REF!,18,0)</f>
        <v>#REF!</v>
      </c>
      <c r="J2318" s="697">
        <v>10000</v>
      </c>
      <c r="K2318" s="695" t="e">
        <f>I2318*J2318</f>
        <v>#REF!</v>
      </c>
      <c r="L2318" s="690"/>
    </row>
    <row r="2319" spans="1:12" s="27" customFormat="1" ht="17.25" customHeight="1">
      <c r="A2319" s="693" t="s">
        <v>453</v>
      </c>
      <c r="B2319" s="844" t="s">
        <v>497</v>
      </c>
      <c r="C2319" s="747" t="e">
        <f>VLOOKUP(B2310,'CNKT '!#REF!,19,0)</f>
        <v>#REF!</v>
      </c>
      <c r="D2319" s="697">
        <v>20000</v>
      </c>
      <c r="E2319" s="695" t="e">
        <f>C2319*D2319</f>
        <v>#REF!</v>
      </c>
      <c r="F2319" s="750"/>
      <c r="G2319" s="693" t="s">
        <v>453</v>
      </c>
      <c r="H2319" s="844" t="s">
        <v>497</v>
      </c>
      <c r="I2319" s="747" t="e">
        <f>VLOOKUP(H2310,'CNKT '!#REF!,19,0)</f>
        <v>#REF!</v>
      </c>
      <c r="J2319" s="697">
        <v>20000</v>
      </c>
      <c r="K2319" s="695" t="e">
        <f>I2319*J2319</f>
        <v>#REF!</v>
      </c>
      <c r="L2319" s="690"/>
    </row>
    <row r="2320" spans="1:12" s="27" customFormat="1" ht="17.25" customHeight="1">
      <c r="A2320" s="699" t="s">
        <v>79</v>
      </c>
      <c r="B2320" s="845" t="s">
        <v>532</v>
      </c>
      <c r="C2320" s="700"/>
      <c r="D2320" s="701"/>
      <c r="E2320" s="700"/>
      <c r="F2320" s="750"/>
      <c r="G2320" s="699" t="s">
        <v>79</v>
      </c>
      <c r="H2320" s="845" t="s">
        <v>532</v>
      </c>
      <c r="I2320" s="700"/>
      <c r="J2320" s="701"/>
      <c r="K2320" s="700"/>
      <c r="L2320" s="690"/>
    </row>
    <row r="2321" spans="1:12" s="27" customFormat="1" ht="17.25" customHeight="1">
      <c r="A2321" s="702" t="s">
        <v>80</v>
      </c>
      <c r="B2321" s="846" t="s">
        <v>533</v>
      </c>
      <c r="C2321" s="700"/>
      <c r="D2321" s="700"/>
      <c r="E2321" s="700"/>
      <c r="F2321" s="750"/>
      <c r="G2321" s="702" t="s">
        <v>80</v>
      </c>
      <c r="H2321" s="846" t="s">
        <v>533</v>
      </c>
      <c r="I2321" s="700"/>
      <c r="J2321" s="700"/>
      <c r="K2321" s="700"/>
      <c r="L2321" s="690"/>
    </row>
    <row r="2322" spans="1:12" s="27" customFormat="1" ht="17.25" customHeight="1">
      <c r="A2322" s="702" t="s">
        <v>81</v>
      </c>
      <c r="B2322" s="847" t="s">
        <v>534</v>
      </c>
      <c r="C2322" s="700"/>
      <c r="D2322" s="700"/>
      <c r="E2322" s="695">
        <f>SUM(E2321)</f>
        <v>0</v>
      </c>
      <c r="F2322" s="738"/>
      <c r="G2322" s="702" t="s">
        <v>81</v>
      </c>
      <c r="H2322" s="847" t="s">
        <v>534</v>
      </c>
      <c r="I2322" s="700"/>
      <c r="J2322" s="700"/>
      <c r="K2322" s="695">
        <f>SUM(K2321)</f>
        <v>0</v>
      </c>
      <c r="L2322" s="690"/>
    </row>
    <row r="2323" spans="1:12" s="27" customFormat="1" ht="17.25" customHeight="1">
      <c r="A2323" s="704" t="s">
        <v>82</v>
      </c>
      <c r="B2323" s="848" t="s">
        <v>438</v>
      </c>
      <c r="C2323" s="705"/>
      <c r="D2323" s="705"/>
      <c r="E2323" s="705" t="e">
        <f>(E2312+E2313+E2314+E2315+E2316+E2317+E2318+E2319)-E2322</f>
        <v>#REF!</v>
      </c>
      <c r="F2323" s="738"/>
      <c r="G2323" s="704" t="s">
        <v>82</v>
      </c>
      <c r="H2323" s="848" t="s">
        <v>438</v>
      </c>
      <c r="I2323" s="705"/>
      <c r="J2323" s="705"/>
      <c r="K2323" s="705" t="e">
        <f>(K2312+K2313+K2314+K2315+K2316+K2317+K2318+K2319)-K2322</f>
        <v>#REF!</v>
      </c>
      <c r="L2323" s="707" t="e">
        <f>E2323+K2323</f>
        <v>#REF!</v>
      </c>
    </row>
    <row r="2324" spans="1:12" s="27" customFormat="1" ht="17.25" customHeight="1">
      <c r="A2324" s="763"/>
      <c r="B2324" s="763"/>
      <c r="C2324" s="763"/>
      <c r="D2324" s="763"/>
      <c r="E2324" s="763"/>
      <c r="F2324" s="763"/>
      <c r="G2324" s="763"/>
      <c r="H2324" s="763"/>
      <c r="I2324" s="763"/>
      <c r="J2324" s="763"/>
      <c r="K2324" s="763"/>
      <c r="L2324" s="690"/>
    </row>
    <row r="2325" spans="1:12" s="27" customFormat="1" ht="17.25" customHeight="1">
      <c r="A2325" s="759" t="str">
        <f>A2309</f>
        <v>LƯƠNG THÁNG 01/2025</v>
      </c>
      <c r="B2325" s="763"/>
      <c r="C2325" s="763"/>
      <c r="D2325" s="763"/>
      <c r="E2325" s="766" t="e">
        <f>VLOOKUP(B2326,'CNKT '!#REF!,26,0)</f>
        <v>#REF!</v>
      </c>
      <c r="F2325" s="750"/>
      <c r="G2325" s="759" t="str">
        <f>A2325</f>
        <v>LƯƠNG THÁNG 01/2025</v>
      </c>
      <c r="H2325" s="763"/>
      <c r="I2325" s="763"/>
      <c r="J2325" s="766"/>
      <c r="K2325" s="766" t="e">
        <f>VLOOKUP(H2326,'CNKT '!#REF!,26,0)</f>
        <v>#REF!</v>
      </c>
      <c r="L2325" s="690"/>
    </row>
    <row r="2326" spans="1:12" s="27" customFormat="1" ht="17.25" customHeight="1">
      <c r="A2326" s="709" t="s">
        <v>15</v>
      </c>
      <c r="B2326" s="840" t="e">
        <f>'CNKT '!#REF!</f>
        <v>#REF!</v>
      </c>
      <c r="C2326" s="694"/>
      <c r="D2326" s="840" t="s">
        <v>396</v>
      </c>
      <c r="E2326" s="840" t="s">
        <v>18</v>
      </c>
      <c r="F2326" s="750"/>
      <c r="G2326" s="709" t="s">
        <v>15</v>
      </c>
      <c r="H2326" s="840" t="e">
        <f>'CNKT '!#REF!</f>
        <v>#REF!</v>
      </c>
      <c r="I2326" s="694"/>
      <c r="J2326" s="840" t="s">
        <v>396</v>
      </c>
      <c r="K2326" s="840" t="s">
        <v>18</v>
      </c>
      <c r="L2326" s="690"/>
    </row>
    <row r="2327" spans="1:12" s="27" customFormat="1" ht="17.25" customHeight="1">
      <c r="A2327" s="693" t="s">
        <v>397</v>
      </c>
      <c r="B2327" s="842" t="s">
        <v>527</v>
      </c>
      <c r="C2327" s="694" t="e">
        <f>VLOOKUP(B2326,'BTH mủ tạp'!$D$161:$AN$161,36,0)</f>
        <v>#REF!</v>
      </c>
      <c r="D2327" s="695"/>
      <c r="E2327" s="695"/>
      <c r="F2327" s="750"/>
      <c r="G2327" s="693" t="s">
        <v>397</v>
      </c>
      <c r="H2327" s="842" t="s">
        <v>527</v>
      </c>
      <c r="I2327" s="694" t="e">
        <f>VLOOKUP(H2326,'BTH mủ tạp'!$D$161:$AN$161,36,0)</f>
        <v>#REF!</v>
      </c>
      <c r="J2327" s="695"/>
      <c r="K2327" s="695"/>
      <c r="L2327" s="690"/>
    </row>
    <row r="2328" spans="1:12" s="27" customFormat="1" ht="17.25" customHeight="1">
      <c r="A2328" s="693" t="s">
        <v>77</v>
      </c>
      <c r="B2328" s="843" t="s">
        <v>432</v>
      </c>
      <c r="C2328" s="696" t="e">
        <f>VLOOKUP(B2326,'CNKT '!#REF!,3,0)</f>
        <v>#REF!</v>
      </c>
      <c r="D2328" s="697">
        <v>25000</v>
      </c>
      <c r="E2328" s="695" t="e">
        <f t="shared" ref="E2328:E2333" si="273">C2328*D2328</f>
        <v>#REF!</v>
      </c>
      <c r="F2328" s="750"/>
      <c r="G2328" s="693" t="s">
        <v>77</v>
      </c>
      <c r="H2328" s="843" t="s">
        <v>432</v>
      </c>
      <c r="I2328" s="696" t="e">
        <f>VLOOKUP(H2326,'CNKT '!#REF!,3,0)</f>
        <v>#REF!</v>
      </c>
      <c r="J2328" s="697">
        <v>25000</v>
      </c>
      <c r="K2328" s="695" t="e">
        <f t="shared" ref="K2328:K2333" si="274">I2328*J2328</f>
        <v>#REF!</v>
      </c>
      <c r="L2328" s="690"/>
    </row>
    <row r="2329" spans="1:12" s="27" customFormat="1" ht="17.25" customHeight="1">
      <c r="A2329" s="693" t="s">
        <v>307</v>
      </c>
      <c r="B2329" s="844" t="s">
        <v>528</v>
      </c>
      <c r="C2329" s="747" t="e">
        <f>VLOOKUP(B2326,'CNKT '!#REF!,11,0)</f>
        <v>#REF!</v>
      </c>
      <c r="D2329" s="698">
        <f>46.1*$B$2</f>
        <v>30833.524000000001</v>
      </c>
      <c r="E2329" s="695" t="e">
        <f t="shared" si="273"/>
        <v>#REF!</v>
      </c>
      <c r="F2329" s="750"/>
      <c r="G2329" s="693" t="s">
        <v>307</v>
      </c>
      <c r="H2329" s="844" t="s">
        <v>528</v>
      </c>
      <c r="I2329" s="747" t="e">
        <f>VLOOKUP(H2326,'CNKT '!#REF!,11,0)</f>
        <v>#REF!</v>
      </c>
      <c r="J2329" s="698">
        <f>46.1*$B$2</f>
        <v>30833.524000000001</v>
      </c>
      <c r="K2329" s="695" t="e">
        <f t="shared" si="274"/>
        <v>#REF!</v>
      </c>
      <c r="L2329" s="690"/>
    </row>
    <row r="2330" spans="1:12" s="27" customFormat="1" ht="17.25" customHeight="1">
      <c r="A2330" s="693" t="s">
        <v>399</v>
      </c>
      <c r="B2330" s="844" t="s">
        <v>529</v>
      </c>
      <c r="C2330" s="747" t="e">
        <f>VLOOKUP(B2326,'CNKT '!#REF!,12,0)</f>
        <v>#REF!</v>
      </c>
      <c r="D2330" s="697">
        <f>76.9*$B$2</f>
        <v>51433.796000000009</v>
      </c>
      <c r="E2330" s="695" t="e">
        <f t="shared" si="273"/>
        <v>#REF!</v>
      </c>
      <c r="F2330" s="750"/>
      <c r="G2330" s="693" t="s">
        <v>399</v>
      </c>
      <c r="H2330" s="844" t="s">
        <v>529</v>
      </c>
      <c r="I2330" s="747" t="e">
        <f>VLOOKUP(H2326,'CNKT '!#REF!,12,0)</f>
        <v>#REF!</v>
      </c>
      <c r="J2330" s="697">
        <f>76.9*$B$2</f>
        <v>51433.796000000009</v>
      </c>
      <c r="K2330" s="695" t="e">
        <f t="shared" si="274"/>
        <v>#REF!</v>
      </c>
      <c r="L2330" s="690"/>
    </row>
    <row r="2331" spans="1:12" s="27" customFormat="1" ht="17.25" customHeight="1">
      <c r="A2331" s="693" t="s">
        <v>78</v>
      </c>
      <c r="B2331" s="844" t="s">
        <v>530</v>
      </c>
      <c r="C2331" s="747" t="e">
        <f>VLOOKUP(B2326,'CNKT '!#REF!,8,0)</f>
        <v>#REF!</v>
      </c>
      <c r="D2331" s="697" t="e">
        <f>IF(C2327="A",6.1,IF(C2327="B",5.8,IF(C2327="C",5.5,IF(C2327="C.",5.5,IF(C2327="D",5.2)))))*$B$2</f>
        <v>#REF!</v>
      </c>
      <c r="E2331" s="695" t="e">
        <f t="shared" si="273"/>
        <v>#REF!</v>
      </c>
      <c r="F2331" s="750"/>
      <c r="G2331" s="693" t="s">
        <v>78</v>
      </c>
      <c r="H2331" s="844" t="s">
        <v>530</v>
      </c>
      <c r="I2331" s="747" t="e">
        <f>VLOOKUP(H2326,'CNKT '!#REF!,8,0)</f>
        <v>#REF!</v>
      </c>
      <c r="J2331" s="697" t="e">
        <f>IF(I2327="A",6.1,IF(I2327="B",5.8,IF(I2327="C",5.5,IF(I2327="C.",5.5,IF(I2327="D",5.2)))))*$B$2</f>
        <v>#REF!</v>
      </c>
      <c r="K2331" s="695" t="e">
        <f t="shared" si="274"/>
        <v>#REF!</v>
      </c>
      <c r="L2331" s="690"/>
    </row>
    <row r="2332" spans="1:12" s="27" customFormat="1" ht="17.25" customHeight="1">
      <c r="A2332" s="693" t="s">
        <v>447</v>
      </c>
      <c r="B2332" s="844" t="s">
        <v>531</v>
      </c>
      <c r="C2332" s="747" t="e">
        <f>VLOOKUP(B2326,'CNKT '!#REF!,15,0)</f>
        <v>#REF!</v>
      </c>
      <c r="D2332" s="698">
        <f>92.2*$B$2</f>
        <v>61667.048000000003</v>
      </c>
      <c r="E2332" s="695" t="e">
        <f t="shared" si="273"/>
        <v>#REF!</v>
      </c>
      <c r="F2332" s="750"/>
      <c r="G2332" s="693" t="s">
        <v>447</v>
      </c>
      <c r="H2332" s="844" t="s">
        <v>531</v>
      </c>
      <c r="I2332" s="747" t="e">
        <f>VLOOKUP(H2326,'CNKT '!#REF!,15,0)</f>
        <v>#REF!</v>
      </c>
      <c r="J2332" s="698">
        <f>92.2*$B$2</f>
        <v>61667.048000000003</v>
      </c>
      <c r="K2332" s="695" t="e">
        <f t="shared" si="274"/>
        <v>#REF!</v>
      </c>
      <c r="L2332" s="690"/>
    </row>
    <row r="2333" spans="1:12" s="27" customFormat="1" ht="17.25" customHeight="1">
      <c r="A2333" s="693" t="s">
        <v>448</v>
      </c>
      <c r="B2333" s="844" t="s">
        <v>496</v>
      </c>
      <c r="C2333" s="747" t="e">
        <f>VLOOKUP(B2326,'CNKT '!#REF!,14,0)</f>
        <v>#REF!</v>
      </c>
      <c r="D2333" s="697">
        <f>153.6*$B$2</f>
        <v>102733.82400000001</v>
      </c>
      <c r="E2333" s="695" t="e">
        <f t="shared" si="273"/>
        <v>#REF!</v>
      </c>
      <c r="F2333" s="750"/>
      <c r="G2333" s="693" t="s">
        <v>448</v>
      </c>
      <c r="H2333" s="844" t="s">
        <v>496</v>
      </c>
      <c r="I2333" s="747" t="e">
        <f>VLOOKUP(H2326,'CNKT '!#REF!,14,0)</f>
        <v>#REF!</v>
      </c>
      <c r="J2333" s="697">
        <f>153.6*$B$2</f>
        <v>102733.82400000001</v>
      </c>
      <c r="K2333" s="695" t="e">
        <f t="shared" si="274"/>
        <v>#REF!</v>
      </c>
      <c r="L2333" s="690"/>
    </row>
    <row r="2334" spans="1:12" s="27" customFormat="1" ht="17.25" customHeight="1">
      <c r="A2334" s="693" t="s">
        <v>453</v>
      </c>
      <c r="B2334" s="844" t="s">
        <v>497</v>
      </c>
      <c r="C2334" s="747" t="e">
        <f>VLOOKUP(B2326,'CNKT '!#REF!,18,0)</f>
        <v>#REF!</v>
      </c>
      <c r="D2334" s="697">
        <v>10000</v>
      </c>
      <c r="E2334" s="695" t="e">
        <f>C2334*D2334</f>
        <v>#REF!</v>
      </c>
      <c r="F2334" s="750"/>
      <c r="G2334" s="693" t="s">
        <v>453</v>
      </c>
      <c r="H2334" s="844" t="s">
        <v>497</v>
      </c>
      <c r="I2334" s="747" t="e">
        <f>VLOOKUP(H2326,'CNKT '!#REF!,18,0)</f>
        <v>#REF!</v>
      </c>
      <c r="J2334" s="697">
        <v>10000</v>
      </c>
      <c r="K2334" s="695" t="e">
        <f>I2334*J2334</f>
        <v>#REF!</v>
      </c>
      <c r="L2334" s="690"/>
    </row>
    <row r="2335" spans="1:12" s="27" customFormat="1" ht="17.25" customHeight="1">
      <c r="A2335" s="693" t="s">
        <v>453</v>
      </c>
      <c r="B2335" s="844" t="s">
        <v>497</v>
      </c>
      <c r="C2335" s="747" t="e">
        <f>VLOOKUP(B2326,'CNKT '!#REF!,19,0)</f>
        <v>#REF!</v>
      </c>
      <c r="D2335" s="697">
        <v>20000</v>
      </c>
      <c r="E2335" s="695" t="e">
        <f>C2335*D2335</f>
        <v>#REF!</v>
      </c>
      <c r="F2335" s="750"/>
      <c r="G2335" s="693" t="s">
        <v>453</v>
      </c>
      <c r="H2335" s="844" t="s">
        <v>497</v>
      </c>
      <c r="I2335" s="747" t="e">
        <f>VLOOKUP(H2326,'CNKT '!#REF!,19,0)</f>
        <v>#REF!</v>
      </c>
      <c r="J2335" s="697">
        <v>20000</v>
      </c>
      <c r="K2335" s="695" t="e">
        <f>I2335*J2335</f>
        <v>#REF!</v>
      </c>
      <c r="L2335" s="690"/>
    </row>
    <row r="2336" spans="1:12" s="27" customFormat="1" ht="17.25" customHeight="1">
      <c r="A2336" s="699" t="s">
        <v>79</v>
      </c>
      <c r="B2336" s="845" t="s">
        <v>532</v>
      </c>
      <c r="C2336" s="700"/>
      <c r="D2336" s="701"/>
      <c r="E2336" s="700"/>
      <c r="F2336" s="750"/>
      <c r="G2336" s="699" t="s">
        <v>79</v>
      </c>
      <c r="H2336" s="845" t="s">
        <v>532</v>
      </c>
      <c r="I2336" s="700"/>
      <c r="J2336" s="701"/>
      <c r="K2336" s="700"/>
      <c r="L2336" s="690"/>
    </row>
    <row r="2337" spans="1:12" s="27" customFormat="1" ht="17.25" customHeight="1">
      <c r="A2337" s="702" t="s">
        <v>80</v>
      </c>
      <c r="B2337" s="846" t="s">
        <v>533</v>
      </c>
      <c r="C2337" s="700"/>
      <c r="D2337" s="700"/>
      <c r="E2337" s="700"/>
      <c r="F2337" s="750"/>
      <c r="G2337" s="702" t="s">
        <v>80</v>
      </c>
      <c r="H2337" s="846" t="s">
        <v>533</v>
      </c>
      <c r="I2337" s="700"/>
      <c r="J2337" s="700"/>
      <c r="K2337" s="700"/>
      <c r="L2337" s="690"/>
    </row>
    <row r="2338" spans="1:12" s="27" customFormat="1" ht="17.25" customHeight="1">
      <c r="A2338" s="702" t="s">
        <v>81</v>
      </c>
      <c r="B2338" s="847" t="s">
        <v>534</v>
      </c>
      <c r="C2338" s="700"/>
      <c r="D2338" s="700"/>
      <c r="E2338" s="695">
        <f>SUM(E2337)</f>
        <v>0</v>
      </c>
      <c r="F2338" s="746"/>
      <c r="G2338" s="702" t="s">
        <v>81</v>
      </c>
      <c r="H2338" s="847" t="s">
        <v>534</v>
      </c>
      <c r="I2338" s="700"/>
      <c r="J2338" s="700"/>
      <c r="K2338" s="695">
        <f>SUM(K2337)</f>
        <v>0</v>
      </c>
      <c r="L2338" s="690"/>
    </row>
    <row r="2339" spans="1:12" s="27" customFormat="1" ht="17.25" customHeight="1">
      <c r="A2339" s="704" t="s">
        <v>82</v>
      </c>
      <c r="B2339" s="848" t="s">
        <v>438</v>
      </c>
      <c r="C2339" s="705"/>
      <c r="D2339" s="705"/>
      <c r="E2339" s="705" t="e">
        <f>(E2328+E2329+E2330+E2331+E2332+E2333+E2334+E2335)-E2338</f>
        <v>#REF!</v>
      </c>
      <c r="F2339" s="746"/>
      <c r="G2339" s="704" t="s">
        <v>82</v>
      </c>
      <c r="H2339" s="848" t="s">
        <v>438</v>
      </c>
      <c r="I2339" s="705"/>
      <c r="J2339" s="705"/>
      <c r="K2339" s="705" t="e">
        <f>(K2328+K2329+K2330+K2331+K2332+K2333+K2334+K2335)-K2338</f>
        <v>#REF!</v>
      </c>
      <c r="L2339" s="707" t="e">
        <f>E2339+K2339</f>
        <v>#REF!</v>
      </c>
    </row>
    <row r="2340" spans="1:12" s="27" customFormat="1" ht="17.25" customHeight="1">
      <c r="A2340" s="763"/>
      <c r="B2340" s="763"/>
      <c r="C2340" s="763"/>
      <c r="D2340" s="763"/>
      <c r="E2340" s="763"/>
      <c r="F2340" s="763"/>
      <c r="G2340" s="763"/>
      <c r="H2340" s="763"/>
      <c r="I2340" s="763"/>
      <c r="J2340" s="763"/>
      <c r="K2340" s="763"/>
      <c r="L2340" s="690"/>
    </row>
    <row r="2341" spans="1:12" s="27" customFormat="1" ht="17.25" customHeight="1">
      <c r="A2341" s="759" t="str">
        <f>A2325</f>
        <v>LƯƠNG THÁNG 01/2025</v>
      </c>
      <c r="B2341" s="763"/>
      <c r="C2341" s="763"/>
      <c r="D2341" s="763"/>
      <c r="E2341" s="766" t="e">
        <f>VLOOKUP(B2342,'CNKT '!#REF!,26,0)</f>
        <v>#REF!</v>
      </c>
      <c r="F2341" s="750"/>
      <c r="G2341" s="759" t="str">
        <f>A2341</f>
        <v>LƯƠNG THÁNG 01/2025</v>
      </c>
      <c r="H2341" s="763"/>
      <c r="I2341" s="763"/>
      <c r="J2341" s="766"/>
      <c r="K2341" s="766" t="e">
        <f>VLOOKUP(H2342,'CNKT '!#REF!,26,0)</f>
        <v>#REF!</v>
      </c>
      <c r="L2341" s="690"/>
    </row>
    <row r="2342" spans="1:12" s="27" customFormat="1" ht="17.25" customHeight="1">
      <c r="A2342" s="709" t="s">
        <v>15</v>
      </c>
      <c r="B2342" s="840" t="e">
        <f>'CNKT '!#REF!</f>
        <v>#REF!</v>
      </c>
      <c r="C2342" s="694"/>
      <c r="D2342" s="840" t="s">
        <v>396</v>
      </c>
      <c r="E2342" s="840" t="s">
        <v>18</v>
      </c>
      <c r="F2342" s="750"/>
      <c r="G2342" s="709" t="s">
        <v>15</v>
      </c>
      <c r="H2342" s="840" t="e">
        <f>'CNKT '!#REF!</f>
        <v>#REF!</v>
      </c>
      <c r="I2342" s="694"/>
      <c r="J2342" s="840" t="s">
        <v>396</v>
      </c>
      <c r="K2342" s="840" t="s">
        <v>18</v>
      </c>
      <c r="L2342" s="690"/>
    </row>
    <row r="2343" spans="1:12" s="27" customFormat="1" ht="17.25" customHeight="1">
      <c r="A2343" s="693" t="s">
        <v>397</v>
      </c>
      <c r="B2343" s="842" t="s">
        <v>527</v>
      </c>
      <c r="C2343" s="694" t="e">
        <f>VLOOKUP(B2342,'BTH mủ tạp'!$D$161:$AN$161,36,0)</f>
        <v>#REF!</v>
      </c>
      <c r="D2343" s="695"/>
      <c r="E2343" s="695"/>
      <c r="F2343" s="750"/>
      <c r="G2343" s="693" t="s">
        <v>397</v>
      </c>
      <c r="H2343" s="842" t="s">
        <v>527</v>
      </c>
      <c r="I2343" s="694" t="e">
        <f>VLOOKUP(H2342,'BTH mủ tạp'!$D$161:$AN$161,36,0)</f>
        <v>#REF!</v>
      </c>
      <c r="J2343" s="695"/>
      <c r="K2343" s="695"/>
      <c r="L2343" s="690"/>
    </row>
    <row r="2344" spans="1:12" s="27" customFormat="1" ht="17.25" customHeight="1">
      <c r="A2344" s="693" t="s">
        <v>77</v>
      </c>
      <c r="B2344" s="843" t="s">
        <v>432</v>
      </c>
      <c r="C2344" s="696" t="e">
        <f>VLOOKUP(B2342,'CNKT '!#REF!,3,0)</f>
        <v>#REF!</v>
      </c>
      <c r="D2344" s="697">
        <v>25000</v>
      </c>
      <c r="E2344" s="695" t="e">
        <f t="shared" ref="E2344:E2349" si="275">C2344*D2344</f>
        <v>#REF!</v>
      </c>
      <c r="F2344" s="750"/>
      <c r="G2344" s="693" t="s">
        <v>77</v>
      </c>
      <c r="H2344" s="843" t="s">
        <v>432</v>
      </c>
      <c r="I2344" s="696" t="e">
        <f>VLOOKUP(H2342,'CNKT '!#REF!,3,0)</f>
        <v>#REF!</v>
      </c>
      <c r="J2344" s="697">
        <v>25000</v>
      </c>
      <c r="K2344" s="695" t="e">
        <f t="shared" ref="K2344:K2349" si="276">I2344*J2344</f>
        <v>#REF!</v>
      </c>
      <c r="L2344" s="690"/>
    </row>
    <row r="2345" spans="1:12" s="27" customFormat="1" ht="17.25" customHeight="1">
      <c r="A2345" s="693" t="s">
        <v>307</v>
      </c>
      <c r="B2345" s="844" t="s">
        <v>528</v>
      </c>
      <c r="C2345" s="747" t="e">
        <f>VLOOKUP(B2342,'CNKT '!#REF!,11,0)</f>
        <v>#REF!</v>
      </c>
      <c r="D2345" s="698">
        <f>46.1*$B$2</f>
        <v>30833.524000000001</v>
      </c>
      <c r="E2345" s="695" t="e">
        <f t="shared" si="275"/>
        <v>#REF!</v>
      </c>
      <c r="F2345" s="750"/>
      <c r="G2345" s="693" t="s">
        <v>307</v>
      </c>
      <c r="H2345" s="844" t="s">
        <v>528</v>
      </c>
      <c r="I2345" s="747" t="e">
        <f>VLOOKUP(H2342,'CNKT '!#REF!,11,0)</f>
        <v>#REF!</v>
      </c>
      <c r="J2345" s="698">
        <f>46.1*$B$2</f>
        <v>30833.524000000001</v>
      </c>
      <c r="K2345" s="695" t="e">
        <f t="shared" si="276"/>
        <v>#REF!</v>
      </c>
      <c r="L2345" s="690"/>
    </row>
    <row r="2346" spans="1:12" s="27" customFormat="1" ht="17.25" customHeight="1">
      <c r="A2346" s="693" t="s">
        <v>399</v>
      </c>
      <c r="B2346" s="844" t="s">
        <v>529</v>
      </c>
      <c r="C2346" s="747" t="e">
        <f>VLOOKUP(B2342,'CNKT '!#REF!,12,0)</f>
        <v>#REF!</v>
      </c>
      <c r="D2346" s="697">
        <f>76.9*$B$2</f>
        <v>51433.796000000009</v>
      </c>
      <c r="E2346" s="695" t="e">
        <f t="shared" si="275"/>
        <v>#REF!</v>
      </c>
      <c r="F2346" s="750"/>
      <c r="G2346" s="693" t="s">
        <v>399</v>
      </c>
      <c r="H2346" s="844" t="s">
        <v>529</v>
      </c>
      <c r="I2346" s="747" t="e">
        <f>VLOOKUP(H2342,'CNKT '!#REF!,12,0)</f>
        <v>#REF!</v>
      </c>
      <c r="J2346" s="697">
        <f>76.9*$B$2</f>
        <v>51433.796000000009</v>
      </c>
      <c r="K2346" s="695" t="e">
        <f t="shared" si="276"/>
        <v>#REF!</v>
      </c>
      <c r="L2346" s="690"/>
    </row>
    <row r="2347" spans="1:12" s="27" customFormat="1" ht="17.25" customHeight="1">
      <c r="A2347" s="693" t="s">
        <v>78</v>
      </c>
      <c r="B2347" s="844" t="s">
        <v>530</v>
      </c>
      <c r="C2347" s="747" t="e">
        <f>VLOOKUP(B2342,'CNKT '!#REF!,8,0)</f>
        <v>#REF!</v>
      </c>
      <c r="D2347" s="697" t="e">
        <f>IF(C2343="A",6.1,IF(C2343="B",5.8,IF(C2343="C",5.5,IF(C2343="C.",5.5,IF(C2343="D",5.2)))))*$B$2</f>
        <v>#REF!</v>
      </c>
      <c r="E2347" s="695" t="e">
        <f t="shared" si="275"/>
        <v>#REF!</v>
      </c>
      <c r="F2347" s="750"/>
      <c r="G2347" s="693" t="s">
        <v>78</v>
      </c>
      <c r="H2347" s="844" t="s">
        <v>530</v>
      </c>
      <c r="I2347" s="747" t="e">
        <f>VLOOKUP(H2342,'CNKT '!#REF!,8,0)</f>
        <v>#REF!</v>
      </c>
      <c r="J2347" s="697" t="e">
        <f>IF(I2343="A",6.1,IF(I2343="B",5.8,IF(I2343="C",5.5,IF(I2343="C.",5.5,IF(I2343="D",5.2)))))*$B$2</f>
        <v>#REF!</v>
      </c>
      <c r="K2347" s="695" t="e">
        <f t="shared" si="276"/>
        <v>#REF!</v>
      </c>
      <c r="L2347" s="690"/>
    </row>
    <row r="2348" spans="1:12" s="27" customFormat="1" ht="17.25" customHeight="1">
      <c r="A2348" s="693" t="s">
        <v>447</v>
      </c>
      <c r="B2348" s="844" t="s">
        <v>531</v>
      </c>
      <c r="C2348" s="747" t="e">
        <f>VLOOKUP(B2342,'CNKT '!#REF!,15,0)</f>
        <v>#REF!</v>
      </c>
      <c r="D2348" s="698">
        <f>92.2*$B$2</f>
        <v>61667.048000000003</v>
      </c>
      <c r="E2348" s="695" t="e">
        <f t="shared" si="275"/>
        <v>#REF!</v>
      </c>
      <c r="F2348" s="750"/>
      <c r="G2348" s="693" t="s">
        <v>447</v>
      </c>
      <c r="H2348" s="844" t="s">
        <v>531</v>
      </c>
      <c r="I2348" s="747" t="e">
        <f>VLOOKUP(H2342,'CNKT '!#REF!,15,0)</f>
        <v>#REF!</v>
      </c>
      <c r="J2348" s="698">
        <f>92.2*$B$2</f>
        <v>61667.048000000003</v>
      </c>
      <c r="K2348" s="695" t="e">
        <f t="shared" si="276"/>
        <v>#REF!</v>
      </c>
      <c r="L2348" s="690"/>
    </row>
    <row r="2349" spans="1:12" s="27" customFormat="1" ht="17.25" customHeight="1">
      <c r="A2349" s="693" t="s">
        <v>448</v>
      </c>
      <c r="B2349" s="844" t="s">
        <v>496</v>
      </c>
      <c r="C2349" s="747" t="e">
        <f>VLOOKUP(B2342,'CNKT '!#REF!,14,0)</f>
        <v>#REF!</v>
      </c>
      <c r="D2349" s="697">
        <f>153.6*$B$2</f>
        <v>102733.82400000001</v>
      </c>
      <c r="E2349" s="695" t="e">
        <f t="shared" si="275"/>
        <v>#REF!</v>
      </c>
      <c r="F2349" s="750"/>
      <c r="G2349" s="693" t="s">
        <v>448</v>
      </c>
      <c r="H2349" s="844" t="s">
        <v>496</v>
      </c>
      <c r="I2349" s="747" t="e">
        <f>VLOOKUP(H2342,'CNKT '!#REF!,14,0)</f>
        <v>#REF!</v>
      </c>
      <c r="J2349" s="697">
        <f>153.6*$B$2</f>
        <v>102733.82400000001</v>
      </c>
      <c r="K2349" s="695" t="e">
        <f t="shared" si="276"/>
        <v>#REF!</v>
      </c>
      <c r="L2349" s="690"/>
    </row>
    <row r="2350" spans="1:12" s="27" customFormat="1" ht="17.25" customHeight="1">
      <c r="A2350" s="693" t="s">
        <v>453</v>
      </c>
      <c r="B2350" s="844" t="s">
        <v>497</v>
      </c>
      <c r="C2350" s="747" t="e">
        <f>VLOOKUP(B2342,'CNKT '!#REF!,18,0)</f>
        <v>#REF!</v>
      </c>
      <c r="D2350" s="697">
        <v>10000</v>
      </c>
      <c r="E2350" s="695" t="e">
        <f>C2350*D2350</f>
        <v>#REF!</v>
      </c>
      <c r="F2350" s="750"/>
      <c r="G2350" s="693" t="s">
        <v>453</v>
      </c>
      <c r="H2350" s="844" t="s">
        <v>497</v>
      </c>
      <c r="I2350" s="747" t="e">
        <f>VLOOKUP(H2342,'CNKT '!#REF!,18,0)</f>
        <v>#REF!</v>
      </c>
      <c r="J2350" s="697">
        <v>10000</v>
      </c>
      <c r="K2350" s="695" t="e">
        <f>I2350*J2350</f>
        <v>#REF!</v>
      </c>
      <c r="L2350" s="690"/>
    </row>
    <row r="2351" spans="1:12" s="27" customFormat="1" ht="17.25" customHeight="1">
      <c r="A2351" s="693" t="s">
        <v>453</v>
      </c>
      <c r="B2351" s="844" t="s">
        <v>497</v>
      </c>
      <c r="C2351" s="747" t="e">
        <f>VLOOKUP(B2342,'CNKT '!#REF!,19,0)</f>
        <v>#REF!</v>
      </c>
      <c r="D2351" s="697">
        <v>20000</v>
      </c>
      <c r="E2351" s="695" t="e">
        <f>C2351*D2351</f>
        <v>#REF!</v>
      </c>
      <c r="F2351" s="750"/>
      <c r="G2351" s="693" t="s">
        <v>453</v>
      </c>
      <c r="H2351" s="844" t="s">
        <v>497</v>
      </c>
      <c r="I2351" s="747" t="e">
        <f>VLOOKUP(H2342,'CNKT '!#REF!,19,0)</f>
        <v>#REF!</v>
      </c>
      <c r="J2351" s="697">
        <v>20000</v>
      </c>
      <c r="K2351" s="695" t="e">
        <f>I2351*J2351</f>
        <v>#REF!</v>
      </c>
      <c r="L2351" s="690"/>
    </row>
    <row r="2352" spans="1:12" s="27" customFormat="1" ht="17.25" customHeight="1">
      <c r="A2352" s="699" t="s">
        <v>79</v>
      </c>
      <c r="B2352" s="845" t="s">
        <v>532</v>
      </c>
      <c r="C2352" s="700"/>
      <c r="D2352" s="701"/>
      <c r="E2352" s="700"/>
      <c r="F2352" s="750"/>
      <c r="G2352" s="699" t="s">
        <v>79</v>
      </c>
      <c r="H2352" s="845" t="s">
        <v>532</v>
      </c>
      <c r="I2352" s="700"/>
      <c r="J2352" s="701"/>
      <c r="K2352" s="700"/>
      <c r="L2352" s="690"/>
    </row>
    <row r="2353" spans="1:12" s="27" customFormat="1" ht="17.25" customHeight="1">
      <c r="A2353" s="702" t="s">
        <v>80</v>
      </c>
      <c r="B2353" s="846" t="s">
        <v>533</v>
      </c>
      <c r="C2353" s="700"/>
      <c r="D2353" s="700"/>
      <c r="E2353" s="700"/>
      <c r="F2353" s="750"/>
      <c r="G2353" s="702" t="s">
        <v>80</v>
      </c>
      <c r="H2353" s="846" t="s">
        <v>533</v>
      </c>
      <c r="I2353" s="700"/>
      <c r="J2353" s="700"/>
      <c r="K2353" s="700"/>
      <c r="L2353" s="690"/>
    </row>
    <row r="2354" spans="1:12" s="27" customFormat="1" ht="17.25" customHeight="1">
      <c r="A2354" s="702" t="s">
        <v>81</v>
      </c>
      <c r="B2354" s="847" t="s">
        <v>534</v>
      </c>
      <c r="C2354" s="700"/>
      <c r="D2354" s="700"/>
      <c r="E2354" s="695">
        <f>SUM(E2353)</f>
        <v>0</v>
      </c>
      <c r="F2354" s="738"/>
      <c r="G2354" s="702" t="s">
        <v>81</v>
      </c>
      <c r="H2354" s="847" t="s">
        <v>534</v>
      </c>
      <c r="I2354" s="700"/>
      <c r="J2354" s="700"/>
      <c r="K2354" s="695">
        <f>SUM(K2353)</f>
        <v>0</v>
      </c>
      <c r="L2354" s="690"/>
    </row>
    <row r="2355" spans="1:12" s="27" customFormat="1" ht="17.25" customHeight="1">
      <c r="A2355" s="704" t="s">
        <v>82</v>
      </c>
      <c r="B2355" s="848" t="s">
        <v>438</v>
      </c>
      <c r="C2355" s="705"/>
      <c r="D2355" s="705"/>
      <c r="E2355" s="705" t="e">
        <f>(E2344+E2345+E2346+E2347+E2348+E2349+E2350+E2351)-E2354</f>
        <v>#REF!</v>
      </c>
      <c r="F2355" s="738"/>
      <c r="G2355" s="704" t="s">
        <v>82</v>
      </c>
      <c r="H2355" s="848" t="s">
        <v>438</v>
      </c>
      <c r="I2355" s="705"/>
      <c r="J2355" s="705"/>
      <c r="K2355" s="705" t="e">
        <f>(K2344+K2345+K2346+K2347+K2348+K2349+K2350+K2351)-K2354</f>
        <v>#REF!</v>
      </c>
      <c r="L2355" s="707" t="e">
        <f>E2355+K2355</f>
        <v>#REF!</v>
      </c>
    </row>
    <row r="2356" spans="1:12" s="27" customFormat="1" ht="17.25" customHeight="1">
      <c r="A2356" s="763"/>
      <c r="B2356" s="763"/>
      <c r="C2356" s="763"/>
      <c r="D2356" s="763"/>
      <c r="E2356" s="763"/>
      <c r="F2356" s="763"/>
      <c r="G2356" s="763"/>
      <c r="H2356" s="763"/>
      <c r="I2356" s="763"/>
      <c r="J2356" s="763"/>
      <c r="K2356" s="763"/>
      <c r="L2356" s="690"/>
    </row>
    <row r="2357" spans="1:12" s="27" customFormat="1" ht="17.25" customHeight="1">
      <c r="A2357" s="759" t="str">
        <f>A2341</f>
        <v>LƯƠNG THÁNG 01/2025</v>
      </c>
      <c r="B2357" s="763"/>
      <c r="C2357" s="763"/>
      <c r="D2357" s="763"/>
      <c r="E2357" s="766" t="e">
        <f>VLOOKUP(B2358,'CNKT '!#REF!,26,0)</f>
        <v>#REF!</v>
      </c>
      <c r="F2357" s="750"/>
      <c r="G2357" s="759" t="str">
        <f>A2357</f>
        <v>LƯƠNG THÁNG 01/2025</v>
      </c>
      <c r="H2357" s="763"/>
      <c r="I2357" s="763"/>
      <c r="J2357" s="766"/>
      <c r="K2357" s="766" t="e">
        <f>VLOOKUP(H2358,'CNKT '!#REF!,26,0)</f>
        <v>#REF!</v>
      </c>
      <c r="L2357" s="690"/>
    </row>
    <row r="2358" spans="1:12" s="27" customFormat="1" ht="17.25" customHeight="1">
      <c r="A2358" s="709" t="s">
        <v>15</v>
      </c>
      <c r="B2358" s="840" t="e">
        <f>'CNKT '!#REF!</f>
        <v>#REF!</v>
      </c>
      <c r="C2358" s="694"/>
      <c r="D2358" s="840" t="s">
        <v>396</v>
      </c>
      <c r="E2358" s="840" t="s">
        <v>18</v>
      </c>
      <c r="F2358" s="750"/>
      <c r="G2358" s="709" t="s">
        <v>15</v>
      </c>
      <c r="H2358" s="840" t="e">
        <f>'CNKT '!#REF!</f>
        <v>#REF!</v>
      </c>
      <c r="I2358" s="694"/>
      <c r="J2358" s="840" t="s">
        <v>396</v>
      </c>
      <c r="K2358" s="840" t="s">
        <v>18</v>
      </c>
      <c r="L2358" s="690"/>
    </row>
    <row r="2359" spans="1:12" s="27" customFormat="1" ht="17.25" customHeight="1">
      <c r="A2359" s="693" t="s">
        <v>397</v>
      </c>
      <c r="B2359" s="842" t="s">
        <v>527</v>
      </c>
      <c r="C2359" s="694" t="e">
        <f>VLOOKUP(B2358,'BTH mủ tạp'!$D$161:$AN$161,36,0)</f>
        <v>#REF!</v>
      </c>
      <c r="D2359" s="695"/>
      <c r="E2359" s="695"/>
      <c r="F2359" s="750"/>
      <c r="G2359" s="693" t="s">
        <v>397</v>
      </c>
      <c r="H2359" s="842" t="s">
        <v>527</v>
      </c>
      <c r="I2359" s="694" t="e">
        <f>VLOOKUP(H2358,'BTH mủ tạp'!$D$161:$AN$161,36,0)</f>
        <v>#REF!</v>
      </c>
      <c r="J2359" s="695"/>
      <c r="K2359" s="695"/>
      <c r="L2359" s="690"/>
    </row>
    <row r="2360" spans="1:12" s="27" customFormat="1" ht="17.25" customHeight="1">
      <c r="A2360" s="693" t="s">
        <v>77</v>
      </c>
      <c r="B2360" s="843" t="s">
        <v>432</v>
      </c>
      <c r="C2360" s="696" t="e">
        <f>VLOOKUP(B2358,'CNKT '!#REF!,3,0)</f>
        <v>#REF!</v>
      </c>
      <c r="D2360" s="697">
        <v>25000</v>
      </c>
      <c r="E2360" s="695" t="e">
        <f t="shared" ref="E2360:E2365" si="277">C2360*D2360</f>
        <v>#REF!</v>
      </c>
      <c r="F2360" s="750"/>
      <c r="G2360" s="693" t="s">
        <v>77</v>
      </c>
      <c r="H2360" s="843" t="s">
        <v>432</v>
      </c>
      <c r="I2360" s="696" t="e">
        <f>VLOOKUP(H2358,'CNKT '!#REF!,3,0)</f>
        <v>#REF!</v>
      </c>
      <c r="J2360" s="697">
        <v>25000</v>
      </c>
      <c r="K2360" s="695" t="e">
        <f t="shared" ref="K2360:K2365" si="278">I2360*J2360</f>
        <v>#REF!</v>
      </c>
      <c r="L2360" s="690"/>
    </row>
    <row r="2361" spans="1:12" s="27" customFormat="1" ht="17.25" customHeight="1">
      <c r="A2361" s="693" t="s">
        <v>307</v>
      </c>
      <c r="B2361" s="844" t="s">
        <v>528</v>
      </c>
      <c r="C2361" s="747" t="e">
        <f>VLOOKUP(B2358,'CNKT '!#REF!,11,0)</f>
        <v>#REF!</v>
      </c>
      <c r="D2361" s="698">
        <f>46.1*$B$2</f>
        <v>30833.524000000001</v>
      </c>
      <c r="E2361" s="695" t="e">
        <f t="shared" si="277"/>
        <v>#REF!</v>
      </c>
      <c r="F2361" s="750"/>
      <c r="G2361" s="693" t="s">
        <v>307</v>
      </c>
      <c r="H2361" s="844" t="s">
        <v>528</v>
      </c>
      <c r="I2361" s="747" t="e">
        <f>VLOOKUP(H2358,'CNKT '!#REF!,11,0)</f>
        <v>#REF!</v>
      </c>
      <c r="J2361" s="698">
        <f>46.1*$B$2</f>
        <v>30833.524000000001</v>
      </c>
      <c r="K2361" s="695" t="e">
        <f t="shared" si="278"/>
        <v>#REF!</v>
      </c>
      <c r="L2361" s="690"/>
    </row>
    <row r="2362" spans="1:12" s="27" customFormat="1" ht="17.25" customHeight="1">
      <c r="A2362" s="693" t="s">
        <v>399</v>
      </c>
      <c r="B2362" s="844" t="s">
        <v>529</v>
      </c>
      <c r="C2362" s="747" t="e">
        <f>VLOOKUP(B2358,'CNKT '!#REF!,12,0)</f>
        <v>#REF!</v>
      </c>
      <c r="D2362" s="697">
        <f>76.9*$B$2</f>
        <v>51433.796000000009</v>
      </c>
      <c r="E2362" s="695" t="e">
        <f t="shared" si="277"/>
        <v>#REF!</v>
      </c>
      <c r="F2362" s="750"/>
      <c r="G2362" s="693" t="s">
        <v>399</v>
      </c>
      <c r="H2362" s="844" t="s">
        <v>529</v>
      </c>
      <c r="I2362" s="747" t="e">
        <f>VLOOKUP(H2358,'CNKT '!#REF!,12,0)</f>
        <v>#REF!</v>
      </c>
      <c r="J2362" s="697">
        <f>76.9*$B$2</f>
        <v>51433.796000000009</v>
      </c>
      <c r="K2362" s="695" t="e">
        <f t="shared" si="278"/>
        <v>#REF!</v>
      </c>
      <c r="L2362" s="690"/>
    </row>
    <row r="2363" spans="1:12" s="27" customFormat="1" ht="17.25" customHeight="1">
      <c r="A2363" s="693" t="s">
        <v>78</v>
      </c>
      <c r="B2363" s="844" t="s">
        <v>530</v>
      </c>
      <c r="C2363" s="747" t="e">
        <f>VLOOKUP(B2358,'CNKT '!#REF!,8,0)</f>
        <v>#REF!</v>
      </c>
      <c r="D2363" s="697" t="e">
        <f>IF(C2359="A",6.1,IF(C2359="B",5.8,IF(C2359="C",5.5,IF(C2359="C.",5.5,IF(C2359="D",5.2)))))*$B$2</f>
        <v>#REF!</v>
      </c>
      <c r="E2363" s="695" t="e">
        <f t="shared" si="277"/>
        <v>#REF!</v>
      </c>
      <c r="F2363" s="750"/>
      <c r="G2363" s="693" t="s">
        <v>78</v>
      </c>
      <c r="H2363" s="844" t="s">
        <v>530</v>
      </c>
      <c r="I2363" s="747" t="e">
        <f>VLOOKUP(H2358,'CNKT '!#REF!,8,0)</f>
        <v>#REF!</v>
      </c>
      <c r="J2363" s="697" t="e">
        <f>IF(I2359="A",6.1,IF(I2359="B",5.8,IF(I2359="C",5.5,IF(I2359="C.",5.5,IF(I2359="D",5.2)))))*$B$2</f>
        <v>#REF!</v>
      </c>
      <c r="K2363" s="695" t="e">
        <f t="shared" si="278"/>
        <v>#REF!</v>
      </c>
      <c r="L2363" s="690"/>
    </row>
    <row r="2364" spans="1:12" s="27" customFormat="1" ht="17.25" customHeight="1">
      <c r="A2364" s="693" t="s">
        <v>447</v>
      </c>
      <c r="B2364" s="844" t="s">
        <v>531</v>
      </c>
      <c r="C2364" s="747" t="e">
        <f>VLOOKUP(B2358,'CNKT '!#REF!,15,0)</f>
        <v>#REF!</v>
      </c>
      <c r="D2364" s="698">
        <f>92.2*$B$2</f>
        <v>61667.048000000003</v>
      </c>
      <c r="E2364" s="695" t="e">
        <f t="shared" si="277"/>
        <v>#REF!</v>
      </c>
      <c r="F2364" s="750"/>
      <c r="G2364" s="693" t="s">
        <v>447</v>
      </c>
      <c r="H2364" s="844" t="s">
        <v>531</v>
      </c>
      <c r="I2364" s="747" t="e">
        <f>VLOOKUP(H2358,'CNKT '!#REF!,15,0)</f>
        <v>#REF!</v>
      </c>
      <c r="J2364" s="698">
        <f>92.2*$B$2</f>
        <v>61667.048000000003</v>
      </c>
      <c r="K2364" s="695" t="e">
        <f t="shared" si="278"/>
        <v>#REF!</v>
      </c>
      <c r="L2364" s="690"/>
    </row>
    <row r="2365" spans="1:12" s="27" customFormat="1" ht="17.25" customHeight="1">
      <c r="A2365" s="693" t="s">
        <v>448</v>
      </c>
      <c r="B2365" s="844" t="s">
        <v>496</v>
      </c>
      <c r="C2365" s="747" t="e">
        <f>VLOOKUP(B2358,'CNKT '!#REF!,14,0)</f>
        <v>#REF!</v>
      </c>
      <c r="D2365" s="697">
        <f>153.6*$B$2</f>
        <v>102733.82400000001</v>
      </c>
      <c r="E2365" s="695" t="e">
        <f t="shared" si="277"/>
        <v>#REF!</v>
      </c>
      <c r="F2365" s="750"/>
      <c r="G2365" s="693" t="s">
        <v>448</v>
      </c>
      <c r="H2365" s="844" t="s">
        <v>496</v>
      </c>
      <c r="I2365" s="747" t="e">
        <f>VLOOKUP(H2358,'CNKT '!#REF!,14,0)</f>
        <v>#REF!</v>
      </c>
      <c r="J2365" s="697">
        <f>153.6*$B$2</f>
        <v>102733.82400000001</v>
      </c>
      <c r="K2365" s="695" t="e">
        <f t="shared" si="278"/>
        <v>#REF!</v>
      </c>
      <c r="L2365" s="690"/>
    </row>
    <row r="2366" spans="1:12" s="27" customFormat="1" ht="17.25" customHeight="1">
      <c r="A2366" s="693" t="s">
        <v>453</v>
      </c>
      <c r="B2366" s="844" t="s">
        <v>497</v>
      </c>
      <c r="C2366" s="747" t="e">
        <f>VLOOKUP(B2358,'CNKT '!#REF!,18,0)</f>
        <v>#REF!</v>
      </c>
      <c r="D2366" s="697">
        <v>10000</v>
      </c>
      <c r="E2366" s="695" t="e">
        <f>C2366*D2366</f>
        <v>#REF!</v>
      </c>
      <c r="F2366" s="750"/>
      <c r="G2366" s="693" t="s">
        <v>453</v>
      </c>
      <c r="H2366" s="844" t="s">
        <v>497</v>
      </c>
      <c r="I2366" s="747" t="e">
        <f>VLOOKUP(H2358,'CNKT '!#REF!,18,0)</f>
        <v>#REF!</v>
      </c>
      <c r="J2366" s="697">
        <v>10000</v>
      </c>
      <c r="K2366" s="695" t="e">
        <f>I2366*J2366</f>
        <v>#REF!</v>
      </c>
      <c r="L2366" s="690"/>
    </row>
    <row r="2367" spans="1:12" s="27" customFormat="1" ht="17.25" customHeight="1">
      <c r="A2367" s="693" t="s">
        <v>453</v>
      </c>
      <c r="B2367" s="844" t="s">
        <v>497</v>
      </c>
      <c r="C2367" s="747" t="e">
        <f>VLOOKUP(B2358,'CNKT '!#REF!,19,0)</f>
        <v>#REF!</v>
      </c>
      <c r="D2367" s="697">
        <v>20000</v>
      </c>
      <c r="E2367" s="695" t="e">
        <f>C2367*D2367</f>
        <v>#REF!</v>
      </c>
      <c r="F2367" s="750"/>
      <c r="G2367" s="693" t="s">
        <v>453</v>
      </c>
      <c r="H2367" s="844" t="s">
        <v>497</v>
      </c>
      <c r="I2367" s="747" t="e">
        <f>VLOOKUP(H2358,'CNKT '!#REF!,19,0)</f>
        <v>#REF!</v>
      </c>
      <c r="J2367" s="697">
        <v>20000</v>
      </c>
      <c r="K2367" s="695" t="e">
        <f>I2367*J2367</f>
        <v>#REF!</v>
      </c>
      <c r="L2367" s="690"/>
    </row>
    <row r="2368" spans="1:12" s="27" customFormat="1" ht="17.25" customHeight="1">
      <c r="A2368" s="699" t="s">
        <v>79</v>
      </c>
      <c r="B2368" s="845" t="s">
        <v>532</v>
      </c>
      <c r="C2368" s="700"/>
      <c r="D2368" s="701"/>
      <c r="E2368" s="700"/>
      <c r="F2368" s="750"/>
      <c r="G2368" s="699" t="s">
        <v>79</v>
      </c>
      <c r="H2368" s="845" t="s">
        <v>532</v>
      </c>
      <c r="I2368" s="700"/>
      <c r="J2368" s="701"/>
      <c r="K2368" s="700"/>
      <c r="L2368" s="690"/>
    </row>
    <row r="2369" spans="1:12" s="27" customFormat="1" ht="17.25" customHeight="1">
      <c r="A2369" s="702" t="s">
        <v>80</v>
      </c>
      <c r="B2369" s="846" t="s">
        <v>533</v>
      </c>
      <c r="C2369" s="700"/>
      <c r="D2369" s="700"/>
      <c r="E2369" s="700"/>
      <c r="F2369" s="750"/>
      <c r="G2369" s="702" t="s">
        <v>80</v>
      </c>
      <c r="H2369" s="846" t="s">
        <v>533</v>
      </c>
      <c r="I2369" s="700"/>
      <c r="J2369" s="700"/>
      <c r="K2369" s="700"/>
      <c r="L2369" s="690"/>
    </row>
    <row r="2370" spans="1:12" s="27" customFormat="1" ht="17.25" customHeight="1">
      <c r="A2370" s="702" t="s">
        <v>81</v>
      </c>
      <c r="B2370" s="847" t="s">
        <v>534</v>
      </c>
      <c r="C2370" s="700"/>
      <c r="D2370" s="700"/>
      <c r="E2370" s="695">
        <f>SUM(E2369)</f>
        <v>0</v>
      </c>
      <c r="F2370" s="738"/>
      <c r="G2370" s="702" t="s">
        <v>81</v>
      </c>
      <c r="H2370" s="847" t="s">
        <v>534</v>
      </c>
      <c r="I2370" s="700"/>
      <c r="J2370" s="700"/>
      <c r="K2370" s="695">
        <f>SUM(K2369)</f>
        <v>0</v>
      </c>
      <c r="L2370" s="690"/>
    </row>
    <row r="2371" spans="1:12" s="27" customFormat="1" ht="17.25" customHeight="1">
      <c r="A2371" s="704" t="s">
        <v>82</v>
      </c>
      <c r="B2371" s="848" t="s">
        <v>438</v>
      </c>
      <c r="C2371" s="705"/>
      <c r="D2371" s="705"/>
      <c r="E2371" s="705" t="e">
        <f>(E2360+E2361+E2362+E2363+E2364+E2365+E2366+E2367)-E2370</f>
        <v>#REF!</v>
      </c>
      <c r="F2371" s="738"/>
      <c r="G2371" s="704" t="s">
        <v>82</v>
      </c>
      <c r="H2371" s="848" t="s">
        <v>438</v>
      </c>
      <c r="I2371" s="705"/>
      <c r="J2371" s="705"/>
      <c r="K2371" s="705" t="e">
        <f>(K2360+K2361+K2362+K2363+K2364+K2365+K2366+K2367)-K2370</f>
        <v>#REF!</v>
      </c>
      <c r="L2371" s="707" t="e">
        <f>E2371+K2371</f>
        <v>#REF!</v>
      </c>
    </row>
    <row r="2372" spans="1:12" s="27" customFormat="1" ht="17.25" customHeight="1">
      <c r="A2372" s="763"/>
      <c r="B2372" s="763"/>
      <c r="C2372" s="763"/>
      <c r="D2372" s="763"/>
      <c r="E2372" s="763"/>
      <c r="F2372" s="763"/>
      <c r="G2372" s="763"/>
      <c r="H2372" s="763"/>
      <c r="I2372" s="763"/>
      <c r="J2372" s="763"/>
      <c r="K2372" s="763"/>
      <c r="L2372" s="690"/>
    </row>
    <row r="2373" spans="1:12" s="27" customFormat="1" ht="17.25" customHeight="1">
      <c r="A2373" s="759" t="str">
        <f>A2357</f>
        <v>LƯƠNG THÁNG 01/2025</v>
      </c>
      <c r="B2373" s="763"/>
      <c r="C2373" s="763"/>
      <c r="D2373" s="763"/>
      <c r="E2373" s="766" t="e">
        <f>VLOOKUP(B2374,'CNKT '!#REF!,26,0)</f>
        <v>#REF!</v>
      </c>
      <c r="F2373" s="750"/>
      <c r="G2373" s="759" t="str">
        <f>A2373</f>
        <v>LƯƠNG THÁNG 01/2025</v>
      </c>
      <c r="H2373" s="763"/>
      <c r="I2373" s="763"/>
      <c r="J2373" s="766"/>
      <c r="K2373" s="766" t="e">
        <f>VLOOKUP(H2374,'CNKT '!#REF!,26,0)</f>
        <v>#REF!</v>
      </c>
      <c r="L2373" s="690"/>
    </row>
    <row r="2374" spans="1:12" s="27" customFormat="1" ht="17.25" customHeight="1">
      <c r="A2374" s="709" t="s">
        <v>15</v>
      </c>
      <c r="B2374" s="840" t="e">
        <f>'CNKT '!#REF!</f>
        <v>#REF!</v>
      </c>
      <c r="C2374" s="694"/>
      <c r="D2374" s="840" t="s">
        <v>396</v>
      </c>
      <c r="E2374" s="840" t="s">
        <v>18</v>
      </c>
      <c r="F2374" s="750"/>
      <c r="G2374" s="709" t="s">
        <v>15</v>
      </c>
      <c r="H2374" s="840" t="e">
        <f>'CNKT '!#REF!</f>
        <v>#REF!</v>
      </c>
      <c r="I2374" s="694"/>
      <c r="J2374" s="840" t="s">
        <v>396</v>
      </c>
      <c r="K2374" s="840" t="s">
        <v>18</v>
      </c>
      <c r="L2374" s="690"/>
    </row>
    <row r="2375" spans="1:12" s="27" customFormat="1" ht="17.25" customHeight="1">
      <c r="A2375" s="693" t="s">
        <v>397</v>
      </c>
      <c r="B2375" s="842" t="s">
        <v>527</v>
      </c>
      <c r="C2375" s="694" t="e">
        <f>VLOOKUP(B2374,'BTH mủ tạp'!$D$161:$AN$161,36,0)</f>
        <v>#REF!</v>
      </c>
      <c r="D2375" s="695"/>
      <c r="E2375" s="695"/>
      <c r="F2375" s="750"/>
      <c r="G2375" s="693" t="s">
        <v>397</v>
      </c>
      <c r="H2375" s="842" t="s">
        <v>527</v>
      </c>
      <c r="I2375" s="694" t="e">
        <f>VLOOKUP(H2374,'BTH mủ tạp'!$D$161:$AN$161,36,0)</f>
        <v>#REF!</v>
      </c>
      <c r="J2375" s="695"/>
      <c r="K2375" s="695"/>
      <c r="L2375" s="690"/>
    </row>
    <row r="2376" spans="1:12" s="27" customFormat="1" ht="17.25" customHeight="1">
      <c r="A2376" s="693" t="s">
        <v>77</v>
      </c>
      <c r="B2376" s="843" t="s">
        <v>432</v>
      </c>
      <c r="C2376" s="696" t="e">
        <f>VLOOKUP(B2374,'CNKT '!#REF!,3,0)</f>
        <v>#REF!</v>
      </c>
      <c r="D2376" s="697">
        <v>25000</v>
      </c>
      <c r="E2376" s="695" t="e">
        <f t="shared" ref="E2376:E2381" si="279">C2376*D2376</f>
        <v>#REF!</v>
      </c>
      <c r="F2376" s="750"/>
      <c r="G2376" s="693" t="s">
        <v>77</v>
      </c>
      <c r="H2376" s="843" t="s">
        <v>432</v>
      </c>
      <c r="I2376" s="696" t="e">
        <f>VLOOKUP(H2374,'CNKT '!#REF!,3,0)</f>
        <v>#REF!</v>
      </c>
      <c r="J2376" s="697">
        <v>25000</v>
      </c>
      <c r="K2376" s="695" t="e">
        <f t="shared" ref="K2376:K2381" si="280">I2376*J2376</f>
        <v>#REF!</v>
      </c>
      <c r="L2376" s="690"/>
    </row>
    <row r="2377" spans="1:12" s="27" customFormat="1" ht="17.25" customHeight="1">
      <c r="A2377" s="693" t="s">
        <v>307</v>
      </c>
      <c r="B2377" s="844" t="s">
        <v>528</v>
      </c>
      <c r="C2377" s="747" t="e">
        <f>VLOOKUP(B2374,'CNKT '!#REF!,11,0)</f>
        <v>#REF!</v>
      </c>
      <c r="D2377" s="698">
        <f>46.1*$B$2</f>
        <v>30833.524000000001</v>
      </c>
      <c r="E2377" s="695" t="e">
        <f t="shared" si="279"/>
        <v>#REF!</v>
      </c>
      <c r="F2377" s="750"/>
      <c r="G2377" s="693" t="s">
        <v>307</v>
      </c>
      <c r="H2377" s="844" t="s">
        <v>528</v>
      </c>
      <c r="I2377" s="747" t="e">
        <f>VLOOKUP(H2374,'CNKT '!#REF!,11,0)</f>
        <v>#REF!</v>
      </c>
      <c r="J2377" s="698">
        <f>46.1*$B$2</f>
        <v>30833.524000000001</v>
      </c>
      <c r="K2377" s="695" t="e">
        <f t="shared" si="280"/>
        <v>#REF!</v>
      </c>
      <c r="L2377" s="690"/>
    </row>
    <row r="2378" spans="1:12" s="27" customFormat="1" ht="17.25" customHeight="1">
      <c r="A2378" s="693" t="s">
        <v>399</v>
      </c>
      <c r="B2378" s="844" t="s">
        <v>529</v>
      </c>
      <c r="C2378" s="747" t="e">
        <f>VLOOKUP(B2374,'CNKT '!#REF!,12,0)</f>
        <v>#REF!</v>
      </c>
      <c r="D2378" s="697">
        <f>76.9*$B$2</f>
        <v>51433.796000000009</v>
      </c>
      <c r="E2378" s="695" t="e">
        <f t="shared" si="279"/>
        <v>#REF!</v>
      </c>
      <c r="F2378" s="750"/>
      <c r="G2378" s="693" t="s">
        <v>399</v>
      </c>
      <c r="H2378" s="844" t="s">
        <v>529</v>
      </c>
      <c r="I2378" s="747" t="e">
        <f>VLOOKUP(H2374,'CNKT '!#REF!,12,0)</f>
        <v>#REF!</v>
      </c>
      <c r="J2378" s="697">
        <f>76.9*$B$2</f>
        <v>51433.796000000009</v>
      </c>
      <c r="K2378" s="695" t="e">
        <f t="shared" si="280"/>
        <v>#REF!</v>
      </c>
      <c r="L2378" s="690"/>
    </row>
    <row r="2379" spans="1:12" s="27" customFormat="1" ht="17.25" customHeight="1">
      <c r="A2379" s="693" t="s">
        <v>78</v>
      </c>
      <c r="B2379" s="844" t="s">
        <v>530</v>
      </c>
      <c r="C2379" s="747" t="e">
        <f>VLOOKUP(B2374,'CNKT '!#REF!,8,0)</f>
        <v>#REF!</v>
      </c>
      <c r="D2379" s="697" t="e">
        <f>IF(C2375="A",6.1,IF(C2375="B",5.8,IF(C2375="C",5.5,IF(C2375="C.",5.5,IF(C2375="D",5.2)))))*$B$2</f>
        <v>#REF!</v>
      </c>
      <c r="E2379" s="695" t="e">
        <f t="shared" si="279"/>
        <v>#REF!</v>
      </c>
      <c r="F2379" s="750"/>
      <c r="G2379" s="693" t="s">
        <v>78</v>
      </c>
      <c r="H2379" s="844" t="s">
        <v>530</v>
      </c>
      <c r="I2379" s="747" t="e">
        <f>VLOOKUP(H2374,'CNKT '!#REF!,8,0)</f>
        <v>#REF!</v>
      </c>
      <c r="J2379" s="697" t="e">
        <f>IF(I2375="A",6.1,IF(I2375="B",5.8,IF(I2375="C",5.5,IF(I2375="C.",5.5,IF(I2375="D",5.2)))))*$B$2</f>
        <v>#REF!</v>
      </c>
      <c r="K2379" s="695" t="e">
        <f t="shared" si="280"/>
        <v>#REF!</v>
      </c>
      <c r="L2379" s="690"/>
    </row>
    <row r="2380" spans="1:12" s="27" customFormat="1" ht="17.25" customHeight="1">
      <c r="A2380" s="693" t="s">
        <v>447</v>
      </c>
      <c r="B2380" s="844" t="s">
        <v>531</v>
      </c>
      <c r="C2380" s="747" t="e">
        <f>VLOOKUP(B2374,'CNKT '!#REF!,15,0)</f>
        <v>#REF!</v>
      </c>
      <c r="D2380" s="698">
        <f>92.2*$B$2</f>
        <v>61667.048000000003</v>
      </c>
      <c r="E2380" s="695" t="e">
        <f t="shared" si="279"/>
        <v>#REF!</v>
      </c>
      <c r="F2380" s="750"/>
      <c r="G2380" s="693" t="s">
        <v>447</v>
      </c>
      <c r="H2380" s="844" t="s">
        <v>531</v>
      </c>
      <c r="I2380" s="747" t="e">
        <f>VLOOKUP(H2374,'CNKT '!#REF!,15,0)</f>
        <v>#REF!</v>
      </c>
      <c r="J2380" s="698">
        <f>92.2*$B$2</f>
        <v>61667.048000000003</v>
      </c>
      <c r="K2380" s="695" t="e">
        <f t="shared" si="280"/>
        <v>#REF!</v>
      </c>
      <c r="L2380" s="690"/>
    </row>
    <row r="2381" spans="1:12" s="27" customFormat="1" ht="17.25" customHeight="1">
      <c r="A2381" s="693" t="s">
        <v>448</v>
      </c>
      <c r="B2381" s="844" t="s">
        <v>496</v>
      </c>
      <c r="C2381" s="747" t="e">
        <f>VLOOKUP(B2374,'CNKT '!#REF!,14,0)</f>
        <v>#REF!</v>
      </c>
      <c r="D2381" s="697">
        <f>153.6*$B$2</f>
        <v>102733.82400000001</v>
      </c>
      <c r="E2381" s="695" t="e">
        <f t="shared" si="279"/>
        <v>#REF!</v>
      </c>
      <c r="F2381" s="750"/>
      <c r="G2381" s="693" t="s">
        <v>448</v>
      </c>
      <c r="H2381" s="844" t="s">
        <v>496</v>
      </c>
      <c r="I2381" s="747" t="e">
        <f>VLOOKUP(H2374,'CNKT '!#REF!,14,0)</f>
        <v>#REF!</v>
      </c>
      <c r="J2381" s="697">
        <f>153.6*$B$2</f>
        <v>102733.82400000001</v>
      </c>
      <c r="K2381" s="695" t="e">
        <f t="shared" si="280"/>
        <v>#REF!</v>
      </c>
      <c r="L2381" s="690"/>
    </row>
    <row r="2382" spans="1:12" s="27" customFormat="1" ht="17.25" customHeight="1">
      <c r="A2382" s="693" t="s">
        <v>453</v>
      </c>
      <c r="B2382" s="844" t="s">
        <v>497</v>
      </c>
      <c r="C2382" s="747" t="e">
        <f>VLOOKUP(B2374,'CNKT '!#REF!,18,0)</f>
        <v>#REF!</v>
      </c>
      <c r="D2382" s="697">
        <v>10000</v>
      </c>
      <c r="E2382" s="695" t="e">
        <f>C2382*D2382</f>
        <v>#REF!</v>
      </c>
      <c r="F2382" s="750"/>
      <c r="G2382" s="693" t="s">
        <v>453</v>
      </c>
      <c r="H2382" s="844" t="s">
        <v>497</v>
      </c>
      <c r="I2382" s="747" t="e">
        <f>VLOOKUP(H2374,'CNKT '!#REF!,18,0)</f>
        <v>#REF!</v>
      </c>
      <c r="J2382" s="697">
        <v>10000</v>
      </c>
      <c r="K2382" s="695" t="e">
        <f>I2382*J2382</f>
        <v>#REF!</v>
      </c>
      <c r="L2382" s="690"/>
    </row>
    <row r="2383" spans="1:12" s="27" customFormat="1" ht="17.25" customHeight="1">
      <c r="A2383" s="693" t="s">
        <v>453</v>
      </c>
      <c r="B2383" s="844" t="s">
        <v>497</v>
      </c>
      <c r="C2383" s="747" t="e">
        <f>VLOOKUP(B2374,'CNKT '!#REF!,19,0)</f>
        <v>#REF!</v>
      </c>
      <c r="D2383" s="697">
        <v>20000</v>
      </c>
      <c r="E2383" s="695" t="e">
        <f>C2383*D2383</f>
        <v>#REF!</v>
      </c>
      <c r="F2383" s="750"/>
      <c r="G2383" s="693" t="s">
        <v>453</v>
      </c>
      <c r="H2383" s="844" t="s">
        <v>497</v>
      </c>
      <c r="I2383" s="747" t="e">
        <f>VLOOKUP(H2374,'CNKT '!#REF!,19,0)</f>
        <v>#REF!</v>
      </c>
      <c r="J2383" s="697">
        <v>20000</v>
      </c>
      <c r="K2383" s="695" t="e">
        <f>I2383*J2383</f>
        <v>#REF!</v>
      </c>
      <c r="L2383" s="690"/>
    </row>
    <row r="2384" spans="1:12" s="27" customFormat="1" ht="17.25" customHeight="1">
      <c r="A2384" s="699" t="s">
        <v>79</v>
      </c>
      <c r="B2384" s="845" t="s">
        <v>532</v>
      </c>
      <c r="C2384" s="700"/>
      <c r="D2384" s="701"/>
      <c r="E2384" s="700"/>
      <c r="F2384" s="750"/>
      <c r="G2384" s="699" t="s">
        <v>79</v>
      </c>
      <c r="H2384" s="845" t="s">
        <v>532</v>
      </c>
      <c r="I2384" s="700"/>
      <c r="J2384" s="701"/>
      <c r="K2384" s="700"/>
      <c r="L2384" s="690"/>
    </row>
    <row r="2385" spans="1:12" s="27" customFormat="1" ht="17.25" customHeight="1">
      <c r="A2385" s="702" t="s">
        <v>80</v>
      </c>
      <c r="B2385" s="846" t="s">
        <v>533</v>
      </c>
      <c r="C2385" s="700"/>
      <c r="D2385" s="700"/>
      <c r="E2385" s="700"/>
      <c r="F2385" s="750"/>
      <c r="G2385" s="702" t="s">
        <v>80</v>
      </c>
      <c r="H2385" s="846" t="s">
        <v>533</v>
      </c>
      <c r="I2385" s="700"/>
      <c r="J2385" s="700"/>
      <c r="K2385" s="700"/>
      <c r="L2385" s="690"/>
    </row>
    <row r="2386" spans="1:12" s="27" customFormat="1" ht="17.25" customHeight="1">
      <c r="A2386" s="702" t="s">
        <v>81</v>
      </c>
      <c r="B2386" s="847" t="s">
        <v>534</v>
      </c>
      <c r="C2386" s="700"/>
      <c r="D2386" s="700"/>
      <c r="E2386" s="695">
        <f>SUM(E2385)</f>
        <v>0</v>
      </c>
      <c r="F2386" s="738"/>
      <c r="G2386" s="702" t="s">
        <v>81</v>
      </c>
      <c r="H2386" s="847" t="s">
        <v>534</v>
      </c>
      <c r="I2386" s="700"/>
      <c r="J2386" s="700"/>
      <c r="K2386" s="695">
        <f>SUM(K2385)</f>
        <v>0</v>
      </c>
      <c r="L2386" s="690"/>
    </row>
    <row r="2387" spans="1:12" s="27" customFormat="1" ht="17.25" customHeight="1">
      <c r="A2387" s="704" t="s">
        <v>82</v>
      </c>
      <c r="B2387" s="848" t="s">
        <v>438</v>
      </c>
      <c r="C2387" s="705"/>
      <c r="D2387" s="705"/>
      <c r="E2387" s="705" t="e">
        <f>(E2376+E2377+E2378+E2379+E2380+E2381+E2382+E2383)-E2386</f>
        <v>#REF!</v>
      </c>
      <c r="F2387" s="738"/>
      <c r="G2387" s="704" t="s">
        <v>82</v>
      </c>
      <c r="H2387" s="848" t="s">
        <v>438</v>
      </c>
      <c r="I2387" s="705"/>
      <c r="J2387" s="705"/>
      <c r="K2387" s="705" t="e">
        <f>(K2376+K2377+K2378+K2379+K2380+K2381+K2382+K2383)-K2386</f>
        <v>#REF!</v>
      </c>
      <c r="L2387" s="707" t="e">
        <f>E2387+K2387</f>
        <v>#REF!</v>
      </c>
    </row>
    <row r="2388" spans="1:12" s="27" customFormat="1" ht="69.75" customHeight="1">
      <c r="A2388" s="763"/>
      <c r="B2388" s="763"/>
      <c r="C2388" s="763"/>
      <c r="D2388" s="763"/>
      <c r="E2388" s="763"/>
      <c r="F2388" s="763"/>
      <c r="G2388" s="763"/>
      <c r="H2388" s="763"/>
      <c r="I2388" s="763"/>
      <c r="J2388" s="763"/>
      <c r="K2388" s="763"/>
      <c r="L2388" s="690"/>
    </row>
    <row r="2389" spans="1:12" s="27" customFormat="1" ht="17.25" customHeight="1">
      <c r="A2389" s="759" t="str">
        <f>A2373</f>
        <v>LƯƠNG THÁNG 01/2025</v>
      </c>
      <c r="B2389" s="763"/>
      <c r="C2389" s="763"/>
      <c r="D2389" s="763"/>
      <c r="E2389" s="766" t="e">
        <f>VLOOKUP(B2390,'CNKT '!#REF!,26,0)</f>
        <v>#REF!</v>
      </c>
      <c r="F2389" s="750"/>
      <c r="G2389" s="759" t="str">
        <f>A2389</f>
        <v>LƯƠNG THÁNG 01/2025</v>
      </c>
      <c r="H2389" s="763"/>
      <c r="I2389" s="763"/>
      <c r="J2389" s="766"/>
      <c r="K2389" s="766" t="e">
        <f>VLOOKUP(H2390,'CNKT '!#REF!,26,0)</f>
        <v>#REF!</v>
      </c>
      <c r="L2389" s="690"/>
    </row>
    <row r="2390" spans="1:12" s="27" customFormat="1" ht="17.25" customHeight="1">
      <c r="A2390" s="709" t="s">
        <v>15</v>
      </c>
      <c r="B2390" s="840" t="e">
        <f>'CNKT '!#REF!</f>
        <v>#REF!</v>
      </c>
      <c r="C2390" s="694"/>
      <c r="D2390" s="840" t="s">
        <v>396</v>
      </c>
      <c r="E2390" s="840" t="s">
        <v>18</v>
      </c>
      <c r="F2390" s="750"/>
      <c r="G2390" s="709" t="s">
        <v>15</v>
      </c>
      <c r="H2390" s="840" t="e">
        <f>'CNKT '!#REF!</f>
        <v>#REF!</v>
      </c>
      <c r="I2390" s="694"/>
      <c r="J2390" s="840" t="s">
        <v>396</v>
      </c>
      <c r="K2390" s="840" t="s">
        <v>18</v>
      </c>
      <c r="L2390" s="690"/>
    </row>
    <row r="2391" spans="1:12" s="27" customFormat="1" ht="17.25" customHeight="1">
      <c r="A2391" s="693" t="s">
        <v>397</v>
      </c>
      <c r="B2391" s="842" t="s">
        <v>527</v>
      </c>
      <c r="C2391" s="694" t="e">
        <f>VLOOKUP(B2390,'BTH mủ tạp'!$D$161:$AN$161,36,0)</f>
        <v>#REF!</v>
      </c>
      <c r="D2391" s="695"/>
      <c r="E2391" s="695"/>
      <c r="F2391" s="750"/>
      <c r="G2391" s="693" t="s">
        <v>397</v>
      </c>
      <c r="H2391" s="842" t="s">
        <v>527</v>
      </c>
      <c r="I2391" s="694" t="e">
        <f>VLOOKUP(H2390,'BTH mủ tạp'!$D$161:$AN$161,36,0)</f>
        <v>#REF!</v>
      </c>
      <c r="J2391" s="695"/>
      <c r="K2391" s="695"/>
      <c r="L2391" s="690"/>
    </row>
    <row r="2392" spans="1:12" s="27" customFormat="1" ht="17.25" customHeight="1">
      <c r="A2392" s="693" t="s">
        <v>77</v>
      </c>
      <c r="B2392" s="843" t="s">
        <v>432</v>
      </c>
      <c r="C2392" s="696" t="e">
        <f>VLOOKUP(B2390,'CNKT '!#REF!,3,0)</f>
        <v>#REF!</v>
      </c>
      <c r="D2392" s="697">
        <v>25000</v>
      </c>
      <c r="E2392" s="695" t="e">
        <f t="shared" ref="E2392:E2397" si="281">C2392*D2392</f>
        <v>#REF!</v>
      </c>
      <c r="F2392" s="750"/>
      <c r="G2392" s="693" t="s">
        <v>77</v>
      </c>
      <c r="H2392" s="843" t="s">
        <v>432</v>
      </c>
      <c r="I2392" s="696" t="e">
        <f>VLOOKUP(H2390,'CNKT '!#REF!,3,0)</f>
        <v>#REF!</v>
      </c>
      <c r="J2392" s="697">
        <v>25000</v>
      </c>
      <c r="K2392" s="695" t="e">
        <f t="shared" ref="K2392:K2397" si="282">I2392*J2392</f>
        <v>#REF!</v>
      </c>
      <c r="L2392" s="690"/>
    </row>
    <row r="2393" spans="1:12" s="27" customFormat="1" ht="17.25" customHeight="1">
      <c r="A2393" s="693" t="s">
        <v>307</v>
      </c>
      <c r="B2393" s="844" t="s">
        <v>528</v>
      </c>
      <c r="C2393" s="747" t="e">
        <f>VLOOKUP(B2390,'CNKT '!#REF!,11,0)</f>
        <v>#REF!</v>
      </c>
      <c r="D2393" s="698">
        <f>46.1*$B$2</f>
        <v>30833.524000000001</v>
      </c>
      <c r="E2393" s="695" t="e">
        <f t="shared" si="281"/>
        <v>#REF!</v>
      </c>
      <c r="F2393" s="750"/>
      <c r="G2393" s="693" t="s">
        <v>307</v>
      </c>
      <c r="H2393" s="844" t="s">
        <v>528</v>
      </c>
      <c r="I2393" s="747" t="e">
        <f>VLOOKUP(H2390,'CNKT '!#REF!,11,0)</f>
        <v>#REF!</v>
      </c>
      <c r="J2393" s="698">
        <f>46.1*$B$2</f>
        <v>30833.524000000001</v>
      </c>
      <c r="K2393" s="695" t="e">
        <f t="shared" si="282"/>
        <v>#REF!</v>
      </c>
      <c r="L2393" s="690"/>
    </row>
    <row r="2394" spans="1:12" s="27" customFormat="1" ht="17.25" customHeight="1">
      <c r="A2394" s="693" t="s">
        <v>399</v>
      </c>
      <c r="B2394" s="844" t="s">
        <v>529</v>
      </c>
      <c r="C2394" s="747" t="e">
        <f>VLOOKUP(B2390,'CNKT '!#REF!,12,0)</f>
        <v>#REF!</v>
      </c>
      <c r="D2394" s="697">
        <f>76.9*$B$2</f>
        <v>51433.796000000009</v>
      </c>
      <c r="E2394" s="695" t="e">
        <f t="shared" si="281"/>
        <v>#REF!</v>
      </c>
      <c r="F2394" s="750"/>
      <c r="G2394" s="693" t="s">
        <v>399</v>
      </c>
      <c r="H2394" s="844" t="s">
        <v>529</v>
      </c>
      <c r="I2394" s="747" t="e">
        <f>VLOOKUP(H2390,'CNKT '!#REF!,12,0)</f>
        <v>#REF!</v>
      </c>
      <c r="J2394" s="697">
        <f>76.9*$B$2</f>
        <v>51433.796000000009</v>
      </c>
      <c r="K2394" s="695" t="e">
        <f t="shared" si="282"/>
        <v>#REF!</v>
      </c>
      <c r="L2394" s="690"/>
    </row>
    <row r="2395" spans="1:12" s="27" customFormat="1" ht="17.25" customHeight="1">
      <c r="A2395" s="693" t="s">
        <v>78</v>
      </c>
      <c r="B2395" s="844" t="s">
        <v>530</v>
      </c>
      <c r="C2395" s="747" t="e">
        <f>VLOOKUP(B2390,'CNKT '!#REF!,8,0)</f>
        <v>#REF!</v>
      </c>
      <c r="D2395" s="697" t="e">
        <f>IF(C2391="A",6.1,IF(C2391="B",5.8,IF(C2391="C",5.5,IF(C2391="C.",5.5,IF(C2391="D",5.2)))))*$B$2</f>
        <v>#REF!</v>
      </c>
      <c r="E2395" s="695" t="e">
        <f t="shared" si="281"/>
        <v>#REF!</v>
      </c>
      <c r="F2395" s="750"/>
      <c r="G2395" s="693" t="s">
        <v>78</v>
      </c>
      <c r="H2395" s="844" t="s">
        <v>530</v>
      </c>
      <c r="I2395" s="747" t="e">
        <f>VLOOKUP(H2390,'CNKT '!#REF!,8,0)</f>
        <v>#REF!</v>
      </c>
      <c r="J2395" s="697" t="e">
        <f>IF(I2391="A",6.1,IF(I2391="B",5.8,IF(I2391="C",5.5,IF(I2391="C.",5.5,IF(I2391="D",5.2)))))*$B$2</f>
        <v>#REF!</v>
      </c>
      <c r="K2395" s="695" t="e">
        <f t="shared" si="282"/>
        <v>#REF!</v>
      </c>
      <c r="L2395" s="690"/>
    </row>
    <row r="2396" spans="1:12" s="27" customFormat="1" ht="17.25" customHeight="1">
      <c r="A2396" s="693" t="s">
        <v>447</v>
      </c>
      <c r="B2396" s="844" t="s">
        <v>531</v>
      </c>
      <c r="C2396" s="747" t="e">
        <f>VLOOKUP(B2390,'CNKT '!#REF!,15,0)</f>
        <v>#REF!</v>
      </c>
      <c r="D2396" s="698">
        <f>92.2*$B$2</f>
        <v>61667.048000000003</v>
      </c>
      <c r="E2396" s="695" t="e">
        <f t="shared" si="281"/>
        <v>#REF!</v>
      </c>
      <c r="F2396" s="750"/>
      <c r="G2396" s="693" t="s">
        <v>447</v>
      </c>
      <c r="H2396" s="844" t="s">
        <v>531</v>
      </c>
      <c r="I2396" s="747" t="e">
        <f>VLOOKUP(H2390,'CNKT '!#REF!,15,0)</f>
        <v>#REF!</v>
      </c>
      <c r="J2396" s="698">
        <f>92.2*$B$2</f>
        <v>61667.048000000003</v>
      </c>
      <c r="K2396" s="695" t="e">
        <f t="shared" si="282"/>
        <v>#REF!</v>
      </c>
      <c r="L2396" s="690"/>
    </row>
    <row r="2397" spans="1:12" s="27" customFormat="1" ht="17.25" customHeight="1">
      <c r="A2397" s="693" t="s">
        <v>448</v>
      </c>
      <c r="B2397" s="844" t="s">
        <v>496</v>
      </c>
      <c r="C2397" s="747" t="e">
        <f>VLOOKUP(B2390,'CNKT '!#REF!,14,0)</f>
        <v>#REF!</v>
      </c>
      <c r="D2397" s="697">
        <f>153.6*$B$2</f>
        <v>102733.82400000001</v>
      </c>
      <c r="E2397" s="695" t="e">
        <f t="shared" si="281"/>
        <v>#REF!</v>
      </c>
      <c r="F2397" s="750"/>
      <c r="G2397" s="693" t="s">
        <v>448</v>
      </c>
      <c r="H2397" s="844" t="s">
        <v>496</v>
      </c>
      <c r="I2397" s="747" t="e">
        <f>VLOOKUP(H2390,'CNKT '!#REF!,14,0)</f>
        <v>#REF!</v>
      </c>
      <c r="J2397" s="697">
        <f>153.6*$B$2</f>
        <v>102733.82400000001</v>
      </c>
      <c r="K2397" s="695" t="e">
        <f t="shared" si="282"/>
        <v>#REF!</v>
      </c>
      <c r="L2397" s="690"/>
    </row>
    <row r="2398" spans="1:12" s="27" customFormat="1" ht="17.25" customHeight="1">
      <c r="A2398" s="693" t="s">
        <v>453</v>
      </c>
      <c r="B2398" s="844" t="s">
        <v>497</v>
      </c>
      <c r="C2398" s="747" t="e">
        <f>VLOOKUP(B2390,'CNKT '!#REF!,18,0)</f>
        <v>#REF!</v>
      </c>
      <c r="D2398" s="697">
        <v>10000</v>
      </c>
      <c r="E2398" s="695" t="e">
        <f>C2398*D2398</f>
        <v>#REF!</v>
      </c>
      <c r="F2398" s="750"/>
      <c r="G2398" s="693" t="s">
        <v>453</v>
      </c>
      <c r="H2398" s="844" t="s">
        <v>497</v>
      </c>
      <c r="I2398" s="747" t="e">
        <f>VLOOKUP(H2390,'CNKT '!#REF!,18,0)</f>
        <v>#REF!</v>
      </c>
      <c r="J2398" s="697">
        <v>10000</v>
      </c>
      <c r="K2398" s="695" t="e">
        <f>I2398*J2398</f>
        <v>#REF!</v>
      </c>
      <c r="L2398" s="690"/>
    </row>
    <row r="2399" spans="1:12" s="27" customFormat="1" ht="17.25" customHeight="1">
      <c r="A2399" s="693" t="s">
        <v>453</v>
      </c>
      <c r="B2399" s="844" t="s">
        <v>497</v>
      </c>
      <c r="C2399" s="747" t="e">
        <f>VLOOKUP(B2390,'CNKT '!#REF!,19,0)</f>
        <v>#REF!</v>
      </c>
      <c r="D2399" s="697">
        <v>20000</v>
      </c>
      <c r="E2399" s="695" t="e">
        <f>C2399*D2399</f>
        <v>#REF!</v>
      </c>
      <c r="F2399" s="750"/>
      <c r="G2399" s="693" t="s">
        <v>453</v>
      </c>
      <c r="H2399" s="844" t="s">
        <v>497</v>
      </c>
      <c r="I2399" s="747" t="e">
        <f>VLOOKUP(H2390,'CNKT '!#REF!,19,0)</f>
        <v>#REF!</v>
      </c>
      <c r="J2399" s="697">
        <v>20000</v>
      </c>
      <c r="K2399" s="695" t="e">
        <f>I2399*J2399</f>
        <v>#REF!</v>
      </c>
      <c r="L2399" s="690"/>
    </row>
    <row r="2400" spans="1:12" s="27" customFormat="1" ht="17.25" customHeight="1">
      <c r="A2400" s="699" t="s">
        <v>79</v>
      </c>
      <c r="B2400" s="845" t="s">
        <v>532</v>
      </c>
      <c r="C2400" s="700"/>
      <c r="D2400" s="701"/>
      <c r="E2400" s="700"/>
      <c r="F2400" s="750"/>
      <c r="G2400" s="699" t="s">
        <v>79</v>
      </c>
      <c r="H2400" s="845" t="s">
        <v>532</v>
      </c>
      <c r="I2400" s="700"/>
      <c r="J2400" s="701"/>
      <c r="K2400" s="700"/>
      <c r="L2400" s="690"/>
    </row>
    <row r="2401" spans="1:12" s="27" customFormat="1" ht="17.25" customHeight="1">
      <c r="A2401" s="702" t="s">
        <v>80</v>
      </c>
      <c r="B2401" s="846" t="s">
        <v>533</v>
      </c>
      <c r="C2401" s="700"/>
      <c r="D2401" s="700"/>
      <c r="E2401" s="700"/>
      <c r="F2401" s="750"/>
      <c r="G2401" s="702" t="s">
        <v>80</v>
      </c>
      <c r="H2401" s="846" t="s">
        <v>533</v>
      </c>
      <c r="I2401" s="700"/>
      <c r="J2401" s="700"/>
      <c r="K2401" s="700"/>
      <c r="L2401" s="690"/>
    </row>
    <row r="2402" spans="1:12" s="27" customFormat="1" ht="17.25" customHeight="1">
      <c r="A2402" s="702" t="s">
        <v>81</v>
      </c>
      <c r="B2402" s="847" t="s">
        <v>534</v>
      </c>
      <c r="C2402" s="700"/>
      <c r="D2402" s="700"/>
      <c r="E2402" s="695">
        <f>SUM(E2401)</f>
        <v>0</v>
      </c>
      <c r="F2402" s="738"/>
      <c r="G2402" s="702" t="s">
        <v>81</v>
      </c>
      <c r="H2402" s="847" t="s">
        <v>534</v>
      </c>
      <c r="I2402" s="700"/>
      <c r="J2402" s="700"/>
      <c r="K2402" s="695">
        <f>SUM(K2401)</f>
        <v>0</v>
      </c>
      <c r="L2402" s="690"/>
    </row>
    <row r="2403" spans="1:12" s="27" customFormat="1" ht="17.25" customHeight="1">
      <c r="A2403" s="704" t="s">
        <v>82</v>
      </c>
      <c r="B2403" s="848" t="s">
        <v>438</v>
      </c>
      <c r="C2403" s="705"/>
      <c r="D2403" s="705"/>
      <c r="E2403" s="705" t="e">
        <f>(E2392+E2393+E2394+E2395+E2396+E2397+E2398+E2399)-E2402</f>
        <v>#REF!</v>
      </c>
      <c r="F2403" s="738"/>
      <c r="G2403" s="704" t="s">
        <v>82</v>
      </c>
      <c r="H2403" s="848" t="s">
        <v>438</v>
      </c>
      <c r="I2403" s="705"/>
      <c r="J2403" s="705"/>
      <c r="K2403" s="705" t="e">
        <f>(K2392+K2393+K2394+K2395+K2396+K2397+K2398+K2399)-K2402</f>
        <v>#REF!</v>
      </c>
      <c r="L2403" s="707" t="e">
        <f>E2403+K2403</f>
        <v>#REF!</v>
      </c>
    </row>
    <row r="2404" spans="1:12" s="27" customFormat="1" ht="17.25" customHeight="1">
      <c r="A2404" s="763"/>
      <c r="B2404" s="763"/>
      <c r="C2404" s="763"/>
      <c r="D2404" s="763"/>
      <c r="E2404" s="763"/>
      <c r="F2404" s="763"/>
      <c r="G2404" s="763"/>
      <c r="H2404" s="763"/>
      <c r="I2404" s="763"/>
      <c r="J2404" s="763"/>
      <c r="K2404" s="763"/>
      <c r="L2404" s="690"/>
    </row>
    <row r="2405" spans="1:12" s="27" customFormat="1" ht="17.25" customHeight="1">
      <c r="A2405" s="759" t="str">
        <f>A2389</f>
        <v>LƯƠNG THÁNG 01/2025</v>
      </c>
      <c r="B2405" s="763"/>
      <c r="C2405" s="763"/>
      <c r="D2405" s="763"/>
      <c r="E2405" s="766" t="e">
        <f>VLOOKUP(B2406,'CNKT '!#REF!,26,0)</f>
        <v>#REF!</v>
      </c>
      <c r="F2405" s="750"/>
      <c r="G2405" s="759" t="str">
        <f>A2405</f>
        <v>LƯƠNG THÁNG 01/2025</v>
      </c>
      <c r="H2405" s="763"/>
      <c r="I2405" s="763"/>
      <c r="J2405" s="766"/>
      <c r="K2405" s="766" t="e">
        <f>VLOOKUP(H2406,'CNKT '!#REF!,26,0)</f>
        <v>#REF!</v>
      </c>
      <c r="L2405" s="690"/>
    </row>
    <row r="2406" spans="1:12" s="27" customFormat="1" ht="17.25" customHeight="1">
      <c r="A2406" s="709" t="s">
        <v>15</v>
      </c>
      <c r="B2406" s="840" t="e">
        <f>'CNKT '!#REF!</f>
        <v>#REF!</v>
      </c>
      <c r="C2406" s="694"/>
      <c r="D2406" s="840" t="s">
        <v>396</v>
      </c>
      <c r="E2406" s="840" t="s">
        <v>18</v>
      </c>
      <c r="F2406" s="750"/>
      <c r="G2406" s="709" t="s">
        <v>15</v>
      </c>
      <c r="H2406" s="840" t="e">
        <f>'CNKT '!#REF!</f>
        <v>#REF!</v>
      </c>
      <c r="I2406" s="694"/>
      <c r="J2406" s="840" t="s">
        <v>396</v>
      </c>
      <c r="K2406" s="840" t="s">
        <v>18</v>
      </c>
      <c r="L2406" s="690"/>
    </row>
    <row r="2407" spans="1:12" s="27" customFormat="1" ht="17.25" customHeight="1">
      <c r="A2407" s="693" t="s">
        <v>397</v>
      </c>
      <c r="B2407" s="842" t="s">
        <v>527</v>
      </c>
      <c r="C2407" s="694" t="e">
        <f>VLOOKUP(B2406,'BTH mủ tạp'!$D$161:$AN$161,36,0)</f>
        <v>#REF!</v>
      </c>
      <c r="D2407" s="695"/>
      <c r="E2407" s="695"/>
      <c r="F2407" s="750"/>
      <c r="G2407" s="693" t="s">
        <v>397</v>
      </c>
      <c r="H2407" s="842" t="s">
        <v>527</v>
      </c>
      <c r="I2407" s="694" t="e">
        <f>VLOOKUP(H2406,'BTH mủ tạp'!$D$161:$AN$161,36,0)</f>
        <v>#REF!</v>
      </c>
      <c r="J2407" s="695"/>
      <c r="K2407" s="695"/>
      <c r="L2407" s="690"/>
    </row>
    <row r="2408" spans="1:12" s="27" customFormat="1" ht="17.25" customHeight="1">
      <c r="A2408" s="693" t="s">
        <v>77</v>
      </c>
      <c r="B2408" s="843" t="s">
        <v>432</v>
      </c>
      <c r="C2408" s="696" t="e">
        <f>VLOOKUP(B2406,'CNKT '!#REF!,3,0)</f>
        <v>#REF!</v>
      </c>
      <c r="D2408" s="697">
        <v>25000</v>
      </c>
      <c r="E2408" s="695" t="e">
        <f t="shared" ref="E2408:E2413" si="283">C2408*D2408</f>
        <v>#REF!</v>
      </c>
      <c r="F2408" s="750"/>
      <c r="G2408" s="693" t="s">
        <v>77</v>
      </c>
      <c r="H2408" s="843" t="s">
        <v>432</v>
      </c>
      <c r="I2408" s="696" t="e">
        <f>VLOOKUP(H2406,'CNKT '!#REF!,3,0)</f>
        <v>#REF!</v>
      </c>
      <c r="J2408" s="697">
        <v>25000</v>
      </c>
      <c r="K2408" s="695" t="e">
        <f t="shared" ref="K2408:K2413" si="284">I2408*J2408</f>
        <v>#REF!</v>
      </c>
      <c r="L2408" s="690"/>
    </row>
    <row r="2409" spans="1:12" s="27" customFormat="1" ht="17.25" customHeight="1">
      <c r="A2409" s="693" t="s">
        <v>307</v>
      </c>
      <c r="B2409" s="844" t="s">
        <v>528</v>
      </c>
      <c r="C2409" s="747" t="e">
        <f>VLOOKUP(B2406,'CNKT '!#REF!,11,0)</f>
        <v>#REF!</v>
      </c>
      <c r="D2409" s="698">
        <f>46.1*$B$2</f>
        <v>30833.524000000001</v>
      </c>
      <c r="E2409" s="695" t="e">
        <f t="shared" si="283"/>
        <v>#REF!</v>
      </c>
      <c r="F2409" s="750"/>
      <c r="G2409" s="693" t="s">
        <v>307</v>
      </c>
      <c r="H2409" s="844" t="s">
        <v>528</v>
      </c>
      <c r="I2409" s="747" t="e">
        <f>VLOOKUP(H2406,'CNKT '!#REF!,11,0)</f>
        <v>#REF!</v>
      </c>
      <c r="J2409" s="698">
        <f>46.1*$B$2</f>
        <v>30833.524000000001</v>
      </c>
      <c r="K2409" s="695" t="e">
        <f t="shared" si="284"/>
        <v>#REF!</v>
      </c>
      <c r="L2409" s="690"/>
    </row>
    <row r="2410" spans="1:12" s="27" customFormat="1" ht="17.25" customHeight="1">
      <c r="A2410" s="693" t="s">
        <v>399</v>
      </c>
      <c r="B2410" s="844" t="s">
        <v>529</v>
      </c>
      <c r="C2410" s="747" t="e">
        <f>VLOOKUP(B2406,'CNKT '!#REF!,12,0)</f>
        <v>#REF!</v>
      </c>
      <c r="D2410" s="697">
        <f>76.9*$B$2</f>
        <v>51433.796000000009</v>
      </c>
      <c r="E2410" s="695" t="e">
        <f t="shared" si="283"/>
        <v>#REF!</v>
      </c>
      <c r="F2410" s="750"/>
      <c r="G2410" s="693" t="s">
        <v>399</v>
      </c>
      <c r="H2410" s="844" t="s">
        <v>529</v>
      </c>
      <c r="I2410" s="747" t="e">
        <f>VLOOKUP(H2406,'CNKT '!#REF!,12,0)</f>
        <v>#REF!</v>
      </c>
      <c r="J2410" s="697">
        <f>76.9*$B$2</f>
        <v>51433.796000000009</v>
      </c>
      <c r="K2410" s="695" t="e">
        <f t="shared" si="284"/>
        <v>#REF!</v>
      </c>
      <c r="L2410" s="690"/>
    </row>
    <row r="2411" spans="1:12" s="27" customFormat="1" ht="17.25" customHeight="1">
      <c r="A2411" s="693" t="s">
        <v>78</v>
      </c>
      <c r="B2411" s="844" t="s">
        <v>530</v>
      </c>
      <c r="C2411" s="747" t="e">
        <f>VLOOKUP(B2406,'CNKT '!#REF!,8,0)</f>
        <v>#REF!</v>
      </c>
      <c r="D2411" s="697" t="e">
        <f>IF(C2407="A",6.1,IF(C2407="B",5.8,IF(C2407="C",5.5,IF(C2407="C.",5.5,IF(C2407="D",5.2)))))*$B$2</f>
        <v>#REF!</v>
      </c>
      <c r="E2411" s="695" t="e">
        <f t="shared" si="283"/>
        <v>#REF!</v>
      </c>
      <c r="F2411" s="750"/>
      <c r="G2411" s="693" t="s">
        <v>78</v>
      </c>
      <c r="H2411" s="844" t="s">
        <v>530</v>
      </c>
      <c r="I2411" s="747" t="e">
        <f>VLOOKUP(H2406,'CNKT '!#REF!,8,0)</f>
        <v>#REF!</v>
      </c>
      <c r="J2411" s="697" t="e">
        <f>IF(I2407="A",6.1,IF(I2407="B",5.8,IF(I2407="C",5.5,IF(I2407="C.",5.5,IF(I2407="D",5.2)))))*$B$2</f>
        <v>#REF!</v>
      </c>
      <c r="K2411" s="695" t="e">
        <f t="shared" si="284"/>
        <v>#REF!</v>
      </c>
      <c r="L2411" s="690"/>
    </row>
    <row r="2412" spans="1:12" s="27" customFormat="1" ht="17.25" customHeight="1">
      <c r="A2412" s="693" t="s">
        <v>447</v>
      </c>
      <c r="B2412" s="844" t="s">
        <v>531</v>
      </c>
      <c r="C2412" s="747" t="e">
        <f>VLOOKUP(B2406,'CNKT '!#REF!,15,0)</f>
        <v>#REF!</v>
      </c>
      <c r="D2412" s="698">
        <f>92.2*$B$2</f>
        <v>61667.048000000003</v>
      </c>
      <c r="E2412" s="695" t="e">
        <f t="shared" si="283"/>
        <v>#REF!</v>
      </c>
      <c r="F2412" s="750"/>
      <c r="G2412" s="693" t="s">
        <v>447</v>
      </c>
      <c r="H2412" s="844" t="s">
        <v>531</v>
      </c>
      <c r="I2412" s="747" t="e">
        <f>VLOOKUP(H2406,'CNKT '!#REF!,15,0)</f>
        <v>#REF!</v>
      </c>
      <c r="J2412" s="698">
        <f>92.2*$B$2</f>
        <v>61667.048000000003</v>
      </c>
      <c r="K2412" s="695" t="e">
        <f t="shared" si="284"/>
        <v>#REF!</v>
      </c>
      <c r="L2412" s="690"/>
    </row>
    <row r="2413" spans="1:12" s="27" customFormat="1" ht="17.25" customHeight="1">
      <c r="A2413" s="693" t="s">
        <v>448</v>
      </c>
      <c r="B2413" s="844" t="s">
        <v>496</v>
      </c>
      <c r="C2413" s="747" t="e">
        <f>VLOOKUP(B2406,'CNKT '!#REF!,14,0)</f>
        <v>#REF!</v>
      </c>
      <c r="D2413" s="697">
        <f>153.6*$B$2</f>
        <v>102733.82400000001</v>
      </c>
      <c r="E2413" s="695" t="e">
        <f t="shared" si="283"/>
        <v>#REF!</v>
      </c>
      <c r="F2413" s="750"/>
      <c r="G2413" s="693" t="s">
        <v>448</v>
      </c>
      <c r="H2413" s="844" t="s">
        <v>496</v>
      </c>
      <c r="I2413" s="747" t="e">
        <f>VLOOKUP(H2406,'CNKT '!#REF!,14,0)</f>
        <v>#REF!</v>
      </c>
      <c r="J2413" s="697">
        <f>153.6*$B$2</f>
        <v>102733.82400000001</v>
      </c>
      <c r="K2413" s="695" t="e">
        <f t="shared" si="284"/>
        <v>#REF!</v>
      </c>
      <c r="L2413" s="690"/>
    </row>
    <row r="2414" spans="1:12" s="27" customFormat="1" ht="17.25" customHeight="1">
      <c r="A2414" s="693" t="s">
        <v>453</v>
      </c>
      <c r="B2414" s="844" t="s">
        <v>497</v>
      </c>
      <c r="C2414" s="747" t="e">
        <f>VLOOKUP(B2406,'CNKT '!#REF!,18,0)</f>
        <v>#REF!</v>
      </c>
      <c r="D2414" s="697">
        <v>10000</v>
      </c>
      <c r="E2414" s="695" t="e">
        <f>C2414*D2414</f>
        <v>#REF!</v>
      </c>
      <c r="F2414" s="750"/>
      <c r="G2414" s="693" t="s">
        <v>453</v>
      </c>
      <c r="H2414" s="844" t="s">
        <v>497</v>
      </c>
      <c r="I2414" s="747" t="e">
        <f>VLOOKUP(H2406,'CNKT '!#REF!,18,0)</f>
        <v>#REF!</v>
      </c>
      <c r="J2414" s="697">
        <v>10000</v>
      </c>
      <c r="K2414" s="695" t="e">
        <f>I2414*J2414</f>
        <v>#REF!</v>
      </c>
      <c r="L2414" s="690"/>
    </row>
    <row r="2415" spans="1:12" s="27" customFormat="1" ht="17.25" customHeight="1">
      <c r="A2415" s="693" t="s">
        <v>453</v>
      </c>
      <c r="B2415" s="844" t="s">
        <v>497</v>
      </c>
      <c r="C2415" s="747" t="e">
        <f>VLOOKUP(B2406,'CNKT '!#REF!,19,0)</f>
        <v>#REF!</v>
      </c>
      <c r="D2415" s="697">
        <v>20000</v>
      </c>
      <c r="E2415" s="695" t="e">
        <f>C2415*D2415</f>
        <v>#REF!</v>
      </c>
      <c r="F2415" s="750"/>
      <c r="G2415" s="693" t="s">
        <v>453</v>
      </c>
      <c r="H2415" s="844" t="s">
        <v>497</v>
      </c>
      <c r="I2415" s="747" t="e">
        <f>VLOOKUP(H2406,'CNKT '!#REF!,19,0)</f>
        <v>#REF!</v>
      </c>
      <c r="J2415" s="697">
        <v>20000</v>
      </c>
      <c r="K2415" s="695" t="e">
        <f>I2415*J2415</f>
        <v>#REF!</v>
      </c>
      <c r="L2415" s="690"/>
    </row>
    <row r="2416" spans="1:12" s="27" customFormat="1" ht="17.25" customHeight="1">
      <c r="A2416" s="699" t="s">
        <v>79</v>
      </c>
      <c r="B2416" s="845" t="s">
        <v>532</v>
      </c>
      <c r="C2416" s="700"/>
      <c r="D2416" s="701"/>
      <c r="E2416" s="700"/>
      <c r="F2416" s="750"/>
      <c r="G2416" s="699" t="s">
        <v>79</v>
      </c>
      <c r="H2416" s="845" t="s">
        <v>532</v>
      </c>
      <c r="I2416" s="700"/>
      <c r="J2416" s="701"/>
      <c r="K2416" s="700"/>
      <c r="L2416" s="690"/>
    </row>
    <row r="2417" spans="1:12" s="27" customFormat="1" ht="17.25" customHeight="1">
      <c r="A2417" s="702" t="s">
        <v>80</v>
      </c>
      <c r="B2417" s="846" t="s">
        <v>533</v>
      </c>
      <c r="C2417" s="700"/>
      <c r="D2417" s="700"/>
      <c r="E2417" s="700"/>
      <c r="F2417" s="750"/>
      <c r="G2417" s="702" t="s">
        <v>80</v>
      </c>
      <c r="H2417" s="846" t="s">
        <v>533</v>
      </c>
      <c r="I2417" s="700"/>
      <c r="J2417" s="700"/>
      <c r="K2417" s="700"/>
      <c r="L2417" s="690"/>
    </row>
    <row r="2418" spans="1:12" s="27" customFormat="1" ht="17.25" customHeight="1">
      <c r="A2418" s="702" t="s">
        <v>81</v>
      </c>
      <c r="B2418" s="847" t="s">
        <v>534</v>
      </c>
      <c r="C2418" s="700"/>
      <c r="D2418" s="700"/>
      <c r="E2418" s="695">
        <f>SUM(E2417)</f>
        <v>0</v>
      </c>
      <c r="F2418" s="738"/>
      <c r="G2418" s="702" t="s">
        <v>81</v>
      </c>
      <c r="H2418" s="847" t="s">
        <v>534</v>
      </c>
      <c r="I2418" s="700"/>
      <c r="J2418" s="700"/>
      <c r="K2418" s="695">
        <f>SUM(K2417)</f>
        <v>0</v>
      </c>
      <c r="L2418" s="690"/>
    </row>
    <row r="2419" spans="1:12" s="27" customFormat="1" ht="17.25" customHeight="1">
      <c r="A2419" s="704" t="s">
        <v>82</v>
      </c>
      <c r="B2419" s="848" t="s">
        <v>438</v>
      </c>
      <c r="C2419" s="705"/>
      <c r="D2419" s="705"/>
      <c r="E2419" s="705" t="e">
        <f>(E2408+E2409+E2410+E2411+E2412+E2413+E2414+E2415)-E2418</f>
        <v>#REF!</v>
      </c>
      <c r="F2419" s="738"/>
      <c r="G2419" s="704" t="s">
        <v>82</v>
      </c>
      <c r="H2419" s="848" t="s">
        <v>438</v>
      </c>
      <c r="I2419" s="705"/>
      <c r="J2419" s="705"/>
      <c r="K2419" s="705" t="e">
        <f>(K2408+K2409+K2410+K2411+K2412+K2413+K2414+K2415)-K2418</f>
        <v>#REF!</v>
      </c>
      <c r="L2419" s="707" t="e">
        <f>E2419+K2419</f>
        <v>#REF!</v>
      </c>
    </row>
    <row r="2420" spans="1:12" s="27" customFormat="1" ht="17.25" customHeight="1">
      <c r="A2420" s="763"/>
      <c r="B2420" s="763"/>
      <c r="C2420" s="763"/>
      <c r="D2420" s="763"/>
      <c r="E2420" s="763"/>
      <c r="F2420" s="763"/>
      <c r="G2420" s="763"/>
      <c r="H2420" s="763"/>
      <c r="I2420" s="763"/>
      <c r="J2420" s="763"/>
      <c r="K2420" s="763"/>
      <c r="L2420" s="690"/>
    </row>
    <row r="2421" spans="1:12" s="27" customFormat="1" ht="17.25" customHeight="1">
      <c r="A2421" s="759" t="str">
        <f>A2405</f>
        <v>LƯƠNG THÁNG 01/2025</v>
      </c>
      <c r="B2421" s="763"/>
      <c r="C2421" s="763"/>
      <c r="D2421" s="763"/>
      <c r="E2421" s="766" t="e">
        <f>VLOOKUP(B2422,'CNKT '!#REF!,26,0)</f>
        <v>#REF!</v>
      </c>
      <c r="F2421" s="750"/>
      <c r="G2421" s="759" t="str">
        <f>A2421</f>
        <v>LƯƠNG THÁNG 01/2025</v>
      </c>
      <c r="H2421" s="763"/>
      <c r="I2421" s="763"/>
      <c r="J2421" s="766"/>
      <c r="K2421" s="766" t="e">
        <f>VLOOKUP(H2422,'CNKT '!#REF!,26,0)</f>
        <v>#REF!</v>
      </c>
      <c r="L2421" s="690"/>
    </row>
    <row r="2422" spans="1:12" s="27" customFormat="1" ht="17.25" customHeight="1">
      <c r="A2422" s="709" t="s">
        <v>15</v>
      </c>
      <c r="B2422" s="840" t="e">
        <f>'CNKT '!#REF!</f>
        <v>#REF!</v>
      </c>
      <c r="C2422" s="694"/>
      <c r="D2422" s="840" t="s">
        <v>396</v>
      </c>
      <c r="E2422" s="840" t="s">
        <v>18</v>
      </c>
      <c r="F2422" s="750"/>
      <c r="G2422" s="709" t="s">
        <v>15</v>
      </c>
      <c r="H2422" s="840" t="e">
        <f>'CNKT '!#REF!</f>
        <v>#REF!</v>
      </c>
      <c r="I2422" s="694"/>
      <c r="J2422" s="840" t="s">
        <v>396</v>
      </c>
      <c r="K2422" s="840" t="s">
        <v>18</v>
      </c>
      <c r="L2422" s="690"/>
    </row>
    <row r="2423" spans="1:12" s="27" customFormat="1" ht="17.25" customHeight="1">
      <c r="A2423" s="693" t="s">
        <v>397</v>
      </c>
      <c r="B2423" s="842" t="s">
        <v>527</v>
      </c>
      <c r="C2423" s="694" t="e">
        <f>VLOOKUP(B2422,'BTH mủ tạp'!$D$161:$AN$161,36,0)</f>
        <v>#REF!</v>
      </c>
      <c r="D2423" s="695"/>
      <c r="E2423" s="695"/>
      <c r="F2423" s="750"/>
      <c r="G2423" s="693" t="s">
        <v>397</v>
      </c>
      <c r="H2423" s="842" t="s">
        <v>527</v>
      </c>
      <c r="I2423" s="694" t="e">
        <f>VLOOKUP(H2422,'BTH mủ tạp'!$D$161:$AN$161,36,0)</f>
        <v>#REF!</v>
      </c>
      <c r="J2423" s="695"/>
      <c r="K2423" s="695"/>
      <c r="L2423" s="690"/>
    </row>
    <row r="2424" spans="1:12" s="27" customFormat="1" ht="17.25" customHeight="1">
      <c r="A2424" s="693" t="s">
        <v>77</v>
      </c>
      <c r="B2424" s="843" t="s">
        <v>432</v>
      </c>
      <c r="C2424" s="696" t="e">
        <f>VLOOKUP(B2422,'CNKT '!#REF!,3,0)</f>
        <v>#REF!</v>
      </c>
      <c r="D2424" s="697">
        <v>25000</v>
      </c>
      <c r="E2424" s="695" t="e">
        <f t="shared" ref="E2424:E2429" si="285">C2424*D2424</f>
        <v>#REF!</v>
      </c>
      <c r="F2424" s="750"/>
      <c r="G2424" s="693" t="s">
        <v>77</v>
      </c>
      <c r="H2424" s="843" t="s">
        <v>432</v>
      </c>
      <c r="I2424" s="696" t="e">
        <f>VLOOKUP(H2422,'CNKT '!#REF!,3,0)</f>
        <v>#REF!</v>
      </c>
      <c r="J2424" s="697">
        <v>25000</v>
      </c>
      <c r="K2424" s="695" t="e">
        <f t="shared" ref="K2424:K2429" si="286">I2424*J2424</f>
        <v>#REF!</v>
      </c>
      <c r="L2424" s="690"/>
    </row>
    <row r="2425" spans="1:12" s="27" customFormat="1" ht="17.25" customHeight="1">
      <c r="A2425" s="693" t="s">
        <v>307</v>
      </c>
      <c r="B2425" s="844" t="s">
        <v>528</v>
      </c>
      <c r="C2425" s="747" t="e">
        <f>VLOOKUP(B2422,'CNKT '!#REF!,11,0)</f>
        <v>#REF!</v>
      </c>
      <c r="D2425" s="698">
        <f>46.1*$B$2</f>
        <v>30833.524000000001</v>
      </c>
      <c r="E2425" s="695" t="e">
        <f t="shared" si="285"/>
        <v>#REF!</v>
      </c>
      <c r="F2425" s="750"/>
      <c r="G2425" s="693" t="s">
        <v>307</v>
      </c>
      <c r="H2425" s="844" t="s">
        <v>528</v>
      </c>
      <c r="I2425" s="747" t="e">
        <f>VLOOKUP(H2422,'CNKT '!#REF!,11,0)</f>
        <v>#REF!</v>
      </c>
      <c r="J2425" s="698">
        <f>46.1*$B$2</f>
        <v>30833.524000000001</v>
      </c>
      <c r="K2425" s="695" t="e">
        <f t="shared" si="286"/>
        <v>#REF!</v>
      </c>
      <c r="L2425" s="690"/>
    </row>
    <row r="2426" spans="1:12" s="27" customFormat="1" ht="17.25" customHeight="1">
      <c r="A2426" s="693" t="s">
        <v>399</v>
      </c>
      <c r="B2426" s="844" t="s">
        <v>529</v>
      </c>
      <c r="C2426" s="747" t="e">
        <f>VLOOKUP(B2422,'CNKT '!#REF!,12,0)</f>
        <v>#REF!</v>
      </c>
      <c r="D2426" s="697">
        <f>76.9*$B$2</f>
        <v>51433.796000000009</v>
      </c>
      <c r="E2426" s="695" t="e">
        <f t="shared" si="285"/>
        <v>#REF!</v>
      </c>
      <c r="F2426" s="750"/>
      <c r="G2426" s="693" t="s">
        <v>399</v>
      </c>
      <c r="H2426" s="844" t="s">
        <v>529</v>
      </c>
      <c r="I2426" s="747" t="e">
        <f>VLOOKUP(H2422,'CNKT '!#REF!,12,0)</f>
        <v>#REF!</v>
      </c>
      <c r="J2426" s="697">
        <f>76.9*$B$2</f>
        <v>51433.796000000009</v>
      </c>
      <c r="K2426" s="695" t="e">
        <f t="shared" si="286"/>
        <v>#REF!</v>
      </c>
      <c r="L2426" s="690"/>
    </row>
    <row r="2427" spans="1:12" s="27" customFormat="1" ht="17.25" customHeight="1">
      <c r="A2427" s="693" t="s">
        <v>78</v>
      </c>
      <c r="B2427" s="844" t="s">
        <v>530</v>
      </c>
      <c r="C2427" s="747" t="e">
        <f>VLOOKUP(B2422,'CNKT '!#REF!,8,0)</f>
        <v>#REF!</v>
      </c>
      <c r="D2427" s="697" t="e">
        <f>IF(C2423="A",6.1,IF(C2423="B",5.8,IF(C2423="C",5.5,IF(C2423="C.",5.5,IF(C2423="D",5.2)))))*$B$2</f>
        <v>#REF!</v>
      </c>
      <c r="E2427" s="695" t="e">
        <f t="shared" si="285"/>
        <v>#REF!</v>
      </c>
      <c r="F2427" s="750"/>
      <c r="G2427" s="693" t="s">
        <v>78</v>
      </c>
      <c r="H2427" s="844" t="s">
        <v>530</v>
      </c>
      <c r="I2427" s="747" t="e">
        <f>VLOOKUP(H2422,'CNKT '!#REF!,8,0)</f>
        <v>#REF!</v>
      </c>
      <c r="J2427" s="697" t="e">
        <f>IF(I2423="A",6.1,IF(I2423="B",5.8,IF(I2423="C",5.5,IF(I2423="C.",5.5,IF(I2423="D",5.2)))))*$B$2</f>
        <v>#REF!</v>
      </c>
      <c r="K2427" s="695" t="e">
        <f t="shared" si="286"/>
        <v>#REF!</v>
      </c>
      <c r="L2427" s="690"/>
    </row>
    <row r="2428" spans="1:12" s="27" customFormat="1" ht="17.25" customHeight="1">
      <c r="A2428" s="693" t="s">
        <v>447</v>
      </c>
      <c r="B2428" s="844" t="s">
        <v>531</v>
      </c>
      <c r="C2428" s="747" t="e">
        <f>VLOOKUP(B2422,'CNKT '!#REF!,15,0)</f>
        <v>#REF!</v>
      </c>
      <c r="D2428" s="698">
        <f>92.2*$B$2</f>
        <v>61667.048000000003</v>
      </c>
      <c r="E2428" s="695" t="e">
        <f t="shared" si="285"/>
        <v>#REF!</v>
      </c>
      <c r="F2428" s="750"/>
      <c r="G2428" s="693" t="s">
        <v>447</v>
      </c>
      <c r="H2428" s="844" t="s">
        <v>531</v>
      </c>
      <c r="I2428" s="747" t="e">
        <f>VLOOKUP(H2422,'CNKT '!#REF!,15,0)</f>
        <v>#REF!</v>
      </c>
      <c r="J2428" s="698">
        <f>92.2*$B$2</f>
        <v>61667.048000000003</v>
      </c>
      <c r="K2428" s="695" t="e">
        <f t="shared" si="286"/>
        <v>#REF!</v>
      </c>
      <c r="L2428" s="690"/>
    </row>
    <row r="2429" spans="1:12" s="27" customFormat="1" ht="17.25" customHeight="1">
      <c r="A2429" s="693" t="s">
        <v>448</v>
      </c>
      <c r="B2429" s="844" t="s">
        <v>496</v>
      </c>
      <c r="C2429" s="747" t="e">
        <f>VLOOKUP(B2422,'CNKT '!#REF!,14,0)</f>
        <v>#REF!</v>
      </c>
      <c r="D2429" s="697">
        <f>153.6*$B$2</f>
        <v>102733.82400000001</v>
      </c>
      <c r="E2429" s="695" t="e">
        <f t="shared" si="285"/>
        <v>#REF!</v>
      </c>
      <c r="F2429" s="750"/>
      <c r="G2429" s="693" t="s">
        <v>448</v>
      </c>
      <c r="H2429" s="844" t="s">
        <v>496</v>
      </c>
      <c r="I2429" s="747" t="e">
        <f>VLOOKUP(H2422,'CNKT '!#REF!,14,0)</f>
        <v>#REF!</v>
      </c>
      <c r="J2429" s="697">
        <f>153.6*$B$2</f>
        <v>102733.82400000001</v>
      </c>
      <c r="K2429" s="695" t="e">
        <f t="shared" si="286"/>
        <v>#REF!</v>
      </c>
      <c r="L2429" s="690"/>
    </row>
    <row r="2430" spans="1:12" s="27" customFormat="1" ht="17.25" customHeight="1">
      <c r="A2430" s="693" t="s">
        <v>453</v>
      </c>
      <c r="B2430" s="844" t="s">
        <v>497</v>
      </c>
      <c r="C2430" s="747" t="e">
        <f>VLOOKUP(B2422,'CNKT '!#REF!,18,0)</f>
        <v>#REF!</v>
      </c>
      <c r="D2430" s="697">
        <v>10000</v>
      </c>
      <c r="E2430" s="695" t="e">
        <f>C2430*D2430</f>
        <v>#REF!</v>
      </c>
      <c r="F2430" s="750"/>
      <c r="G2430" s="693" t="s">
        <v>453</v>
      </c>
      <c r="H2430" s="844" t="s">
        <v>497</v>
      </c>
      <c r="I2430" s="747" t="e">
        <f>VLOOKUP(H2422,'CNKT '!#REF!,18,0)</f>
        <v>#REF!</v>
      </c>
      <c r="J2430" s="697">
        <v>10000</v>
      </c>
      <c r="K2430" s="695" t="e">
        <f>I2430*J2430</f>
        <v>#REF!</v>
      </c>
      <c r="L2430" s="690"/>
    </row>
    <row r="2431" spans="1:12" s="27" customFormat="1" ht="17.25" customHeight="1">
      <c r="A2431" s="693" t="s">
        <v>453</v>
      </c>
      <c r="B2431" s="844" t="s">
        <v>497</v>
      </c>
      <c r="C2431" s="747" t="e">
        <f>VLOOKUP(B2422,'CNKT '!#REF!,19,0)</f>
        <v>#REF!</v>
      </c>
      <c r="D2431" s="697">
        <v>20000</v>
      </c>
      <c r="E2431" s="695" t="e">
        <f>C2431*D2431</f>
        <v>#REF!</v>
      </c>
      <c r="F2431" s="750"/>
      <c r="G2431" s="693" t="s">
        <v>453</v>
      </c>
      <c r="H2431" s="844" t="s">
        <v>497</v>
      </c>
      <c r="I2431" s="747" t="e">
        <f>VLOOKUP(H2422,'CNKT '!#REF!,19,0)</f>
        <v>#REF!</v>
      </c>
      <c r="J2431" s="697">
        <v>20000</v>
      </c>
      <c r="K2431" s="695" t="e">
        <f>I2431*J2431</f>
        <v>#REF!</v>
      </c>
      <c r="L2431" s="690"/>
    </row>
    <row r="2432" spans="1:12" s="27" customFormat="1" ht="17.25" customHeight="1">
      <c r="A2432" s="699" t="s">
        <v>79</v>
      </c>
      <c r="B2432" s="845" t="s">
        <v>532</v>
      </c>
      <c r="C2432" s="700"/>
      <c r="D2432" s="701"/>
      <c r="E2432" s="700"/>
      <c r="F2432" s="750"/>
      <c r="G2432" s="699" t="s">
        <v>79</v>
      </c>
      <c r="H2432" s="845" t="s">
        <v>532</v>
      </c>
      <c r="I2432" s="700"/>
      <c r="J2432" s="701"/>
      <c r="K2432" s="700"/>
      <c r="L2432" s="690"/>
    </row>
    <row r="2433" spans="1:12" s="27" customFormat="1" ht="17.25" customHeight="1">
      <c r="A2433" s="702" t="s">
        <v>80</v>
      </c>
      <c r="B2433" s="846" t="s">
        <v>533</v>
      </c>
      <c r="C2433" s="700"/>
      <c r="D2433" s="700"/>
      <c r="E2433" s="700"/>
      <c r="F2433" s="750"/>
      <c r="G2433" s="702" t="s">
        <v>80</v>
      </c>
      <c r="H2433" s="846" t="s">
        <v>533</v>
      </c>
      <c r="I2433" s="700"/>
      <c r="J2433" s="700"/>
      <c r="K2433" s="700"/>
      <c r="L2433" s="690"/>
    </row>
    <row r="2434" spans="1:12" s="27" customFormat="1" ht="17.25" customHeight="1">
      <c r="A2434" s="702" t="s">
        <v>81</v>
      </c>
      <c r="B2434" s="847" t="s">
        <v>534</v>
      </c>
      <c r="C2434" s="700"/>
      <c r="D2434" s="700"/>
      <c r="E2434" s="695">
        <f>SUM(E2433)</f>
        <v>0</v>
      </c>
      <c r="F2434" s="738"/>
      <c r="G2434" s="702" t="s">
        <v>81</v>
      </c>
      <c r="H2434" s="847" t="s">
        <v>534</v>
      </c>
      <c r="I2434" s="700"/>
      <c r="J2434" s="700"/>
      <c r="K2434" s="695">
        <f>SUM(K2433)</f>
        <v>0</v>
      </c>
      <c r="L2434" s="690"/>
    </row>
    <row r="2435" spans="1:12" s="27" customFormat="1" ht="17.25" customHeight="1">
      <c r="A2435" s="704" t="s">
        <v>82</v>
      </c>
      <c r="B2435" s="848" t="s">
        <v>438</v>
      </c>
      <c r="C2435" s="705"/>
      <c r="D2435" s="705"/>
      <c r="E2435" s="705" t="e">
        <f>(E2424+E2425+E2426+E2427+E2428+E2429+E2430+E2431)-E2434</f>
        <v>#REF!</v>
      </c>
      <c r="F2435" s="738"/>
      <c r="G2435" s="704" t="s">
        <v>82</v>
      </c>
      <c r="H2435" s="848" t="s">
        <v>438</v>
      </c>
      <c r="I2435" s="705"/>
      <c r="J2435" s="705"/>
      <c r="K2435" s="705" t="e">
        <f>(K2424+K2425+K2426+K2427+K2428+K2429+K2430+K2431)-K2434</f>
        <v>#REF!</v>
      </c>
      <c r="L2435" s="707" t="e">
        <f>E2435+K2435</f>
        <v>#REF!</v>
      </c>
    </row>
    <row r="2436" spans="1:12" s="27" customFormat="1" ht="17.25" customHeight="1">
      <c r="A2436" s="763"/>
      <c r="B2436" s="763"/>
      <c r="C2436" s="763"/>
      <c r="D2436" s="763"/>
      <c r="E2436" s="763"/>
      <c r="F2436" s="763"/>
      <c r="G2436" s="763"/>
      <c r="H2436" s="763"/>
      <c r="I2436" s="763"/>
      <c r="J2436" s="763"/>
      <c r="K2436" s="763"/>
      <c r="L2436" s="690"/>
    </row>
    <row r="2437" spans="1:12" s="27" customFormat="1" ht="17.25" customHeight="1">
      <c r="A2437" s="759" t="str">
        <f>A2421</f>
        <v>LƯƠNG THÁNG 01/2025</v>
      </c>
      <c r="B2437" s="763"/>
      <c r="C2437" s="763"/>
      <c r="D2437" s="763"/>
      <c r="E2437" s="766" t="e">
        <f>VLOOKUP(B2438,'CNKT '!#REF!,26,0)</f>
        <v>#REF!</v>
      </c>
      <c r="F2437" s="750"/>
      <c r="G2437" s="759" t="str">
        <f>A2437</f>
        <v>LƯƠNG THÁNG 01/2025</v>
      </c>
      <c r="H2437" s="763"/>
      <c r="I2437" s="763"/>
      <c r="J2437" s="766"/>
      <c r="K2437" s="766" t="e">
        <f>VLOOKUP(H2438,'CNKT '!#REF!,26,0)</f>
        <v>#REF!</v>
      </c>
      <c r="L2437" s="690"/>
    </row>
    <row r="2438" spans="1:12" s="27" customFormat="1" ht="17.25" customHeight="1">
      <c r="A2438" s="709" t="s">
        <v>15</v>
      </c>
      <c r="B2438" s="840" t="e">
        <f>'CNKT '!#REF!</f>
        <v>#REF!</v>
      </c>
      <c r="C2438" s="694"/>
      <c r="D2438" s="840" t="s">
        <v>396</v>
      </c>
      <c r="E2438" s="840" t="s">
        <v>18</v>
      </c>
      <c r="F2438" s="750"/>
      <c r="G2438" s="709" t="s">
        <v>15</v>
      </c>
      <c r="H2438" s="840" t="e">
        <f>'CNKT '!#REF!</f>
        <v>#REF!</v>
      </c>
      <c r="I2438" s="694"/>
      <c r="J2438" s="840" t="s">
        <v>396</v>
      </c>
      <c r="K2438" s="840" t="s">
        <v>18</v>
      </c>
      <c r="L2438" s="690"/>
    </row>
    <row r="2439" spans="1:12" s="27" customFormat="1" ht="17.25" customHeight="1">
      <c r="A2439" s="693" t="s">
        <v>397</v>
      </c>
      <c r="B2439" s="842" t="s">
        <v>527</v>
      </c>
      <c r="C2439" s="694" t="e">
        <f>VLOOKUP(B2438,'BTH mủ tạp'!$D$161:$AN$161,36,0)</f>
        <v>#REF!</v>
      </c>
      <c r="D2439" s="695"/>
      <c r="E2439" s="695"/>
      <c r="F2439" s="750"/>
      <c r="G2439" s="693" t="s">
        <v>397</v>
      </c>
      <c r="H2439" s="842" t="s">
        <v>527</v>
      </c>
      <c r="I2439" s="694" t="e">
        <f>VLOOKUP(H2438,'BTH mủ tạp'!$D$161:$AN$161,36,0)</f>
        <v>#REF!</v>
      </c>
      <c r="J2439" s="695"/>
      <c r="K2439" s="695"/>
      <c r="L2439" s="690"/>
    </row>
    <row r="2440" spans="1:12" s="27" customFormat="1" ht="17.25" customHeight="1">
      <c r="A2440" s="693" t="s">
        <v>77</v>
      </c>
      <c r="B2440" s="843" t="s">
        <v>432</v>
      </c>
      <c r="C2440" s="696" t="e">
        <f>VLOOKUP(B2438,'CNKT '!#REF!,3,0)</f>
        <v>#REF!</v>
      </c>
      <c r="D2440" s="697">
        <v>25000</v>
      </c>
      <c r="E2440" s="695" t="e">
        <f t="shared" ref="E2440:E2445" si="287">C2440*D2440</f>
        <v>#REF!</v>
      </c>
      <c r="F2440" s="750"/>
      <c r="G2440" s="693" t="s">
        <v>77</v>
      </c>
      <c r="H2440" s="843" t="s">
        <v>432</v>
      </c>
      <c r="I2440" s="696" t="e">
        <f>VLOOKUP(H2438,'CNKT '!#REF!,3,0)</f>
        <v>#REF!</v>
      </c>
      <c r="J2440" s="697">
        <v>25000</v>
      </c>
      <c r="K2440" s="695" t="e">
        <f t="shared" ref="K2440:K2445" si="288">I2440*J2440</f>
        <v>#REF!</v>
      </c>
      <c r="L2440" s="690"/>
    </row>
    <row r="2441" spans="1:12" s="27" customFormat="1" ht="17.25" customHeight="1">
      <c r="A2441" s="693" t="s">
        <v>307</v>
      </c>
      <c r="B2441" s="844" t="s">
        <v>528</v>
      </c>
      <c r="C2441" s="747" t="e">
        <f>VLOOKUP(B2438,'CNKT '!#REF!,11,0)</f>
        <v>#REF!</v>
      </c>
      <c r="D2441" s="698">
        <f>46.1*$B$2</f>
        <v>30833.524000000001</v>
      </c>
      <c r="E2441" s="695" t="e">
        <f t="shared" si="287"/>
        <v>#REF!</v>
      </c>
      <c r="F2441" s="750"/>
      <c r="G2441" s="693" t="s">
        <v>307</v>
      </c>
      <c r="H2441" s="844" t="s">
        <v>528</v>
      </c>
      <c r="I2441" s="747" t="e">
        <f>VLOOKUP(H2438,'CNKT '!#REF!,11,0)</f>
        <v>#REF!</v>
      </c>
      <c r="J2441" s="698">
        <f>46.1*$B$2</f>
        <v>30833.524000000001</v>
      </c>
      <c r="K2441" s="695" t="e">
        <f t="shared" si="288"/>
        <v>#REF!</v>
      </c>
      <c r="L2441" s="690"/>
    </row>
    <row r="2442" spans="1:12" s="27" customFormat="1" ht="17.25" customHeight="1">
      <c r="A2442" s="693" t="s">
        <v>399</v>
      </c>
      <c r="B2442" s="844" t="s">
        <v>529</v>
      </c>
      <c r="C2442" s="747" t="e">
        <f>VLOOKUP(B2438,'CNKT '!#REF!,12,0)</f>
        <v>#REF!</v>
      </c>
      <c r="D2442" s="697">
        <f>76.9*$B$2</f>
        <v>51433.796000000009</v>
      </c>
      <c r="E2442" s="695" t="e">
        <f t="shared" si="287"/>
        <v>#REF!</v>
      </c>
      <c r="F2442" s="750"/>
      <c r="G2442" s="693" t="s">
        <v>399</v>
      </c>
      <c r="H2442" s="844" t="s">
        <v>529</v>
      </c>
      <c r="I2442" s="747" t="e">
        <f>VLOOKUP(H2438,'CNKT '!#REF!,12,0)</f>
        <v>#REF!</v>
      </c>
      <c r="J2442" s="697">
        <f>76.9*$B$2</f>
        <v>51433.796000000009</v>
      </c>
      <c r="K2442" s="695" t="e">
        <f t="shared" si="288"/>
        <v>#REF!</v>
      </c>
      <c r="L2442" s="690"/>
    </row>
    <row r="2443" spans="1:12" s="27" customFormat="1" ht="17.25" customHeight="1">
      <c r="A2443" s="693" t="s">
        <v>78</v>
      </c>
      <c r="B2443" s="844" t="s">
        <v>530</v>
      </c>
      <c r="C2443" s="747" t="e">
        <f>VLOOKUP(B2438,'CNKT '!#REF!,8,0)</f>
        <v>#REF!</v>
      </c>
      <c r="D2443" s="697" t="e">
        <f>IF(C2439="A",6.1,IF(C2439="B",5.8,IF(C2439="C",5.5,IF(C2439="C.",5.5,IF(C2439="D",5.2)))))*$B$2</f>
        <v>#REF!</v>
      </c>
      <c r="E2443" s="695" t="e">
        <f t="shared" si="287"/>
        <v>#REF!</v>
      </c>
      <c r="F2443" s="750"/>
      <c r="G2443" s="693" t="s">
        <v>78</v>
      </c>
      <c r="H2443" s="844" t="s">
        <v>530</v>
      </c>
      <c r="I2443" s="747" t="e">
        <f>VLOOKUP(H2438,'CNKT '!#REF!,8,0)</f>
        <v>#REF!</v>
      </c>
      <c r="J2443" s="697" t="e">
        <f>IF(I2439="A",6.1,IF(I2439="B",5.8,IF(I2439="C",5.5,IF(I2439="C.",5.5,IF(I2439="D",5.2)))))*$B$2</f>
        <v>#REF!</v>
      </c>
      <c r="K2443" s="695" t="e">
        <f t="shared" si="288"/>
        <v>#REF!</v>
      </c>
      <c r="L2443" s="690"/>
    </row>
    <row r="2444" spans="1:12" s="27" customFormat="1" ht="17.25" customHeight="1">
      <c r="A2444" s="693" t="s">
        <v>447</v>
      </c>
      <c r="B2444" s="844" t="s">
        <v>531</v>
      </c>
      <c r="C2444" s="747" t="e">
        <f>VLOOKUP(B2438,'CNKT '!#REF!,15,0)</f>
        <v>#REF!</v>
      </c>
      <c r="D2444" s="698">
        <f>92.2*$B$2</f>
        <v>61667.048000000003</v>
      </c>
      <c r="E2444" s="695" t="e">
        <f t="shared" si="287"/>
        <v>#REF!</v>
      </c>
      <c r="F2444" s="750"/>
      <c r="G2444" s="693" t="s">
        <v>447</v>
      </c>
      <c r="H2444" s="844" t="s">
        <v>531</v>
      </c>
      <c r="I2444" s="747" t="e">
        <f>VLOOKUP(H2438,'CNKT '!#REF!,15,0)</f>
        <v>#REF!</v>
      </c>
      <c r="J2444" s="698">
        <f>92.2*$B$2</f>
        <v>61667.048000000003</v>
      </c>
      <c r="K2444" s="695" t="e">
        <f t="shared" si="288"/>
        <v>#REF!</v>
      </c>
      <c r="L2444" s="690"/>
    </row>
    <row r="2445" spans="1:12" s="27" customFormat="1" ht="17.25" customHeight="1">
      <c r="A2445" s="693" t="s">
        <v>448</v>
      </c>
      <c r="B2445" s="844" t="s">
        <v>496</v>
      </c>
      <c r="C2445" s="747" t="e">
        <f>VLOOKUP(B2438,'CNKT '!#REF!,14,0)</f>
        <v>#REF!</v>
      </c>
      <c r="D2445" s="697">
        <f>153.6*$B$2</f>
        <v>102733.82400000001</v>
      </c>
      <c r="E2445" s="695" t="e">
        <f t="shared" si="287"/>
        <v>#REF!</v>
      </c>
      <c r="F2445" s="750"/>
      <c r="G2445" s="693" t="s">
        <v>448</v>
      </c>
      <c r="H2445" s="844" t="s">
        <v>496</v>
      </c>
      <c r="I2445" s="747" t="e">
        <f>VLOOKUP(H2438,'CNKT '!#REF!,14,0)</f>
        <v>#REF!</v>
      </c>
      <c r="J2445" s="697">
        <f>153.6*$B$2</f>
        <v>102733.82400000001</v>
      </c>
      <c r="K2445" s="695" t="e">
        <f t="shared" si="288"/>
        <v>#REF!</v>
      </c>
      <c r="L2445" s="690"/>
    </row>
    <row r="2446" spans="1:12" s="27" customFormat="1" ht="17.25" customHeight="1">
      <c r="A2446" s="693" t="s">
        <v>453</v>
      </c>
      <c r="B2446" s="844" t="s">
        <v>497</v>
      </c>
      <c r="C2446" s="747" t="e">
        <f>VLOOKUP(B2438,'CNKT '!#REF!,18,0)</f>
        <v>#REF!</v>
      </c>
      <c r="D2446" s="697">
        <v>10000</v>
      </c>
      <c r="E2446" s="695" t="e">
        <f>C2446*D2446</f>
        <v>#REF!</v>
      </c>
      <c r="F2446" s="750"/>
      <c r="G2446" s="693" t="s">
        <v>453</v>
      </c>
      <c r="H2446" s="844" t="s">
        <v>497</v>
      </c>
      <c r="I2446" s="747" t="e">
        <f>VLOOKUP(H2438,'CNKT '!#REF!,18,0)</f>
        <v>#REF!</v>
      </c>
      <c r="J2446" s="697">
        <v>10000</v>
      </c>
      <c r="K2446" s="695" t="e">
        <f>I2446*J2446</f>
        <v>#REF!</v>
      </c>
      <c r="L2446" s="690"/>
    </row>
    <row r="2447" spans="1:12" s="27" customFormat="1" ht="17.25" customHeight="1">
      <c r="A2447" s="693" t="s">
        <v>453</v>
      </c>
      <c r="B2447" s="844" t="s">
        <v>497</v>
      </c>
      <c r="C2447" s="747" t="e">
        <f>VLOOKUP(B2438,'CNKT '!#REF!,19,0)</f>
        <v>#REF!</v>
      </c>
      <c r="D2447" s="697">
        <v>20000</v>
      </c>
      <c r="E2447" s="695" t="e">
        <f>C2447*D2447</f>
        <v>#REF!</v>
      </c>
      <c r="F2447" s="750"/>
      <c r="G2447" s="693" t="s">
        <v>453</v>
      </c>
      <c r="H2447" s="844" t="s">
        <v>497</v>
      </c>
      <c r="I2447" s="747" t="e">
        <f>VLOOKUP(H2438,'CNKT '!#REF!,19,0)</f>
        <v>#REF!</v>
      </c>
      <c r="J2447" s="697">
        <v>20000</v>
      </c>
      <c r="K2447" s="695" t="e">
        <f>I2447*J2447</f>
        <v>#REF!</v>
      </c>
      <c r="L2447" s="690"/>
    </row>
    <row r="2448" spans="1:12" s="27" customFormat="1" ht="17.25" customHeight="1">
      <c r="A2448" s="699" t="s">
        <v>79</v>
      </c>
      <c r="B2448" s="845" t="s">
        <v>532</v>
      </c>
      <c r="C2448" s="700"/>
      <c r="D2448" s="701"/>
      <c r="E2448" s="700"/>
      <c r="F2448" s="750"/>
      <c r="G2448" s="699" t="s">
        <v>79</v>
      </c>
      <c r="H2448" s="845" t="s">
        <v>532</v>
      </c>
      <c r="I2448" s="700"/>
      <c r="J2448" s="701"/>
      <c r="K2448" s="700"/>
      <c r="L2448" s="690"/>
    </row>
    <row r="2449" spans="1:12" s="27" customFormat="1" ht="17.25" customHeight="1">
      <c r="A2449" s="702" t="s">
        <v>80</v>
      </c>
      <c r="B2449" s="846" t="s">
        <v>533</v>
      </c>
      <c r="C2449" s="700"/>
      <c r="D2449" s="700"/>
      <c r="E2449" s="700"/>
      <c r="F2449" s="750"/>
      <c r="G2449" s="702" t="s">
        <v>80</v>
      </c>
      <c r="H2449" s="846" t="s">
        <v>533</v>
      </c>
      <c r="I2449" s="700"/>
      <c r="J2449" s="700"/>
      <c r="K2449" s="700"/>
      <c r="L2449" s="690"/>
    </row>
    <row r="2450" spans="1:12" s="27" customFormat="1" ht="17.25" customHeight="1">
      <c r="A2450" s="702" t="s">
        <v>81</v>
      </c>
      <c r="B2450" s="847" t="s">
        <v>534</v>
      </c>
      <c r="C2450" s="700"/>
      <c r="D2450" s="700"/>
      <c r="E2450" s="695">
        <f>SUM(E2449)</f>
        <v>0</v>
      </c>
      <c r="F2450" s="738"/>
      <c r="G2450" s="702" t="s">
        <v>81</v>
      </c>
      <c r="H2450" s="847" t="s">
        <v>534</v>
      </c>
      <c r="I2450" s="700"/>
      <c r="J2450" s="700"/>
      <c r="K2450" s="695">
        <f>SUM(K2449)</f>
        <v>0</v>
      </c>
      <c r="L2450" s="707"/>
    </row>
    <row r="2451" spans="1:12" s="27" customFormat="1" ht="17.25" customHeight="1">
      <c r="A2451" s="704" t="s">
        <v>82</v>
      </c>
      <c r="B2451" s="848" t="s">
        <v>438</v>
      </c>
      <c r="C2451" s="705"/>
      <c r="D2451" s="705"/>
      <c r="E2451" s="705" t="e">
        <f>(E2440+E2441+E2442+E2443+E2444+E2445+E2446+E2447)-E2450</f>
        <v>#REF!</v>
      </c>
      <c r="F2451" s="738"/>
      <c r="G2451" s="704" t="s">
        <v>82</v>
      </c>
      <c r="H2451" s="848" t="s">
        <v>438</v>
      </c>
      <c r="I2451" s="705"/>
      <c r="J2451" s="705"/>
      <c r="K2451" s="705" t="e">
        <f>(K2440+K2441+K2442+K2443+K2444+K2445+K2446+K2447)-K2450</f>
        <v>#REF!</v>
      </c>
      <c r="L2451" s="707" t="e">
        <f>E2451+K2451</f>
        <v>#REF!</v>
      </c>
    </row>
    <row r="2452" spans="1:12" s="27" customFormat="1" ht="17.25" customHeight="1">
      <c r="A2452" s="763"/>
      <c r="B2452" s="763"/>
      <c r="C2452" s="763"/>
      <c r="D2452" s="763"/>
      <c r="E2452" s="763"/>
      <c r="F2452" s="763"/>
      <c r="G2452" s="763"/>
      <c r="H2452" s="763"/>
      <c r="I2452" s="763"/>
      <c r="J2452" s="763"/>
      <c r="K2452" s="763"/>
      <c r="L2452" s="707"/>
    </row>
    <row r="2453" spans="1:12" s="27" customFormat="1" ht="17.25" customHeight="1">
      <c r="A2453" s="759" t="str">
        <f>A2437</f>
        <v>LƯƠNG THÁNG 01/2025</v>
      </c>
      <c r="B2453" s="763"/>
      <c r="C2453" s="763"/>
      <c r="D2453" s="763"/>
      <c r="E2453" s="766" t="e">
        <f>VLOOKUP(B2454,'CNKT '!#REF!,26,0)</f>
        <v>#REF!</v>
      </c>
      <c r="F2453" s="750"/>
      <c r="G2453" s="759" t="str">
        <f>A2453</f>
        <v>LƯƠNG THÁNG 01/2025</v>
      </c>
      <c r="H2453" s="763"/>
      <c r="I2453" s="763"/>
      <c r="J2453" s="766"/>
      <c r="K2453" s="766" t="e">
        <f>VLOOKUP(H2454,'CNKT '!#REF!,26,0)</f>
        <v>#REF!</v>
      </c>
      <c r="L2453" s="707"/>
    </row>
    <row r="2454" spans="1:12" s="27" customFormat="1" ht="17.25" customHeight="1">
      <c r="A2454" s="709" t="s">
        <v>15</v>
      </c>
      <c r="B2454" s="840" t="e">
        <f>'CNKT '!#REF!</f>
        <v>#REF!</v>
      </c>
      <c r="C2454" s="694"/>
      <c r="D2454" s="840" t="s">
        <v>396</v>
      </c>
      <c r="E2454" s="840" t="s">
        <v>18</v>
      </c>
      <c r="F2454" s="750"/>
      <c r="G2454" s="709" t="s">
        <v>15</v>
      </c>
      <c r="H2454" s="840" t="e">
        <f>'CNKT '!#REF!</f>
        <v>#REF!</v>
      </c>
      <c r="I2454" s="694"/>
      <c r="J2454" s="840" t="s">
        <v>396</v>
      </c>
      <c r="K2454" s="840" t="s">
        <v>18</v>
      </c>
      <c r="L2454" s="690"/>
    </row>
    <row r="2455" spans="1:12" s="27" customFormat="1" ht="17.25" customHeight="1">
      <c r="A2455" s="693" t="s">
        <v>397</v>
      </c>
      <c r="B2455" s="842" t="s">
        <v>527</v>
      </c>
      <c r="C2455" s="694" t="e">
        <f>VLOOKUP(B2454,'BTH mủ tạp'!$D$161:$AN$161,36,0)</f>
        <v>#REF!</v>
      </c>
      <c r="D2455" s="695"/>
      <c r="E2455" s="695"/>
      <c r="F2455" s="750"/>
      <c r="G2455" s="693" t="s">
        <v>397</v>
      </c>
      <c r="H2455" s="842" t="s">
        <v>527</v>
      </c>
      <c r="I2455" s="694" t="e">
        <f>VLOOKUP(H2454,'BTH mủ tạp'!$D$161:$AN$161,36,0)</f>
        <v>#REF!</v>
      </c>
      <c r="J2455" s="695"/>
      <c r="K2455" s="695"/>
      <c r="L2455" s="690"/>
    </row>
    <row r="2456" spans="1:12" s="27" customFormat="1" ht="17.25" customHeight="1">
      <c r="A2456" s="693" t="s">
        <v>77</v>
      </c>
      <c r="B2456" s="843" t="s">
        <v>432</v>
      </c>
      <c r="C2456" s="696" t="e">
        <f>VLOOKUP(B2454,'CNKT '!#REF!,3,0)</f>
        <v>#REF!</v>
      </c>
      <c r="D2456" s="697">
        <v>25000</v>
      </c>
      <c r="E2456" s="695" t="e">
        <f t="shared" ref="E2456:E2461" si="289">C2456*D2456</f>
        <v>#REF!</v>
      </c>
      <c r="F2456" s="750"/>
      <c r="G2456" s="693" t="s">
        <v>77</v>
      </c>
      <c r="H2456" s="843" t="s">
        <v>432</v>
      </c>
      <c r="I2456" s="696" t="e">
        <f>VLOOKUP(H2454,'CNKT '!#REF!,3,0)</f>
        <v>#REF!</v>
      </c>
      <c r="J2456" s="697">
        <v>25000</v>
      </c>
      <c r="K2456" s="695" t="e">
        <f t="shared" ref="K2456:K2461" si="290">I2456*J2456</f>
        <v>#REF!</v>
      </c>
      <c r="L2456" s="690"/>
    </row>
    <row r="2457" spans="1:12" s="27" customFormat="1" ht="17.25" customHeight="1">
      <c r="A2457" s="693" t="s">
        <v>307</v>
      </c>
      <c r="B2457" s="844" t="s">
        <v>528</v>
      </c>
      <c r="C2457" s="747" t="e">
        <f>VLOOKUP(B2454,'CNKT '!#REF!,11,0)</f>
        <v>#REF!</v>
      </c>
      <c r="D2457" s="698">
        <f>46.1*$B$2</f>
        <v>30833.524000000001</v>
      </c>
      <c r="E2457" s="695" t="e">
        <f t="shared" si="289"/>
        <v>#REF!</v>
      </c>
      <c r="F2457" s="750"/>
      <c r="G2457" s="693" t="s">
        <v>307</v>
      </c>
      <c r="H2457" s="844" t="s">
        <v>528</v>
      </c>
      <c r="I2457" s="747" t="e">
        <f>VLOOKUP(H2454,'CNKT '!#REF!,11,0)</f>
        <v>#REF!</v>
      </c>
      <c r="J2457" s="698">
        <f>46.1*$B$2</f>
        <v>30833.524000000001</v>
      </c>
      <c r="K2457" s="695" t="e">
        <f t="shared" si="290"/>
        <v>#REF!</v>
      </c>
      <c r="L2457" s="690"/>
    </row>
    <row r="2458" spans="1:12" s="27" customFormat="1" ht="17.25" customHeight="1">
      <c r="A2458" s="693" t="s">
        <v>399</v>
      </c>
      <c r="B2458" s="844" t="s">
        <v>529</v>
      </c>
      <c r="C2458" s="747" t="e">
        <f>VLOOKUP(B2454,'CNKT '!#REF!,12,0)</f>
        <v>#REF!</v>
      </c>
      <c r="D2458" s="697">
        <f>76.9*$B$2</f>
        <v>51433.796000000009</v>
      </c>
      <c r="E2458" s="695" t="e">
        <f t="shared" si="289"/>
        <v>#REF!</v>
      </c>
      <c r="F2458" s="750"/>
      <c r="G2458" s="693" t="s">
        <v>399</v>
      </c>
      <c r="H2458" s="844" t="s">
        <v>529</v>
      </c>
      <c r="I2458" s="747" t="e">
        <f>VLOOKUP(H2454,'CNKT '!#REF!,12,0)</f>
        <v>#REF!</v>
      </c>
      <c r="J2458" s="697">
        <f>76.9*$B$2</f>
        <v>51433.796000000009</v>
      </c>
      <c r="K2458" s="695" t="e">
        <f t="shared" si="290"/>
        <v>#REF!</v>
      </c>
      <c r="L2458" s="690"/>
    </row>
    <row r="2459" spans="1:12" s="27" customFormat="1" ht="17.25" customHeight="1">
      <c r="A2459" s="693" t="s">
        <v>78</v>
      </c>
      <c r="B2459" s="844" t="s">
        <v>530</v>
      </c>
      <c r="C2459" s="747" t="e">
        <f>VLOOKUP(B2454,'CNKT '!#REF!,8,0)</f>
        <v>#REF!</v>
      </c>
      <c r="D2459" s="697" t="e">
        <f>IF(C2455="A",6.1,IF(C2455="B",5.8,IF(C2455="C",5.5,IF(C2455="C.",5.5,IF(C2455="D",5.2)))))*$B$2</f>
        <v>#REF!</v>
      </c>
      <c r="E2459" s="695" t="e">
        <f t="shared" si="289"/>
        <v>#REF!</v>
      </c>
      <c r="F2459" s="750"/>
      <c r="G2459" s="693" t="s">
        <v>78</v>
      </c>
      <c r="H2459" s="844" t="s">
        <v>530</v>
      </c>
      <c r="I2459" s="747" t="e">
        <f>VLOOKUP(H2454,'CNKT '!#REF!,8,0)</f>
        <v>#REF!</v>
      </c>
      <c r="J2459" s="697" t="e">
        <f>IF(I2455="A",6.1,IF(I2455="B",5.8,IF(I2455="C",5.5,IF(I2455="C.",5.5,IF(I2455="D",5.2)))))*$B$2</f>
        <v>#REF!</v>
      </c>
      <c r="K2459" s="695" t="e">
        <f t="shared" si="290"/>
        <v>#REF!</v>
      </c>
      <c r="L2459" s="690"/>
    </row>
    <row r="2460" spans="1:12" s="27" customFormat="1" ht="17.25" customHeight="1">
      <c r="A2460" s="693" t="s">
        <v>447</v>
      </c>
      <c r="B2460" s="844" t="s">
        <v>531</v>
      </c>
      <c r="C2460" s="747" t="e">
        <f>VLOOKUP(B2454,'CNKT '!#REF!,15,0)</f>
        <v>#REF!</v>
      </c>
      <c r="D2460" s="698">
        <f>92.2*$B$2</f>
        <v>61667.048000000003</v>
      </c>
      <c r="E2460" s="695" t="e">
        <f t="shared" si="289"/>
        <v>#REF!</v>
      </c>
      <c r="F2460" s="750"/>
      <c r="G2460" s="693" t="s">
        <v>447</v>
      </c>
      <c r="H2460" s="844" t="s">
        <v>531</v>
      </c>
      <c r="I2460" s="747" t="e">
        <f>VLOOKUP(H2454,'CNKT '!#REF!,15,0)</f>
        <v>#REF!</v>
      </c>
      <c r="J2460" s="698">
        <f>92.2*$B$2</f>
        <v>61667.048000000003</v>
      </c>
      <c r="K2460" s="695" t="e">
        <f t="shared" si="290"/>
        <v>#REF!</v>
      </c>
      <c r="L2460" s="690"/>
    </row>
    <row r="2461" spans="1:12" s="27" customFormat="1" ht="17.25" customHeight="1">
      <c r="A2461" s="693" t="s">
        <v>448</v>
      </c>
      <c r="B2461" s="844" t="s">
        <v>496</v>
      </c>
      <c r="C2461" s="747" t="e">
        <f>VLOOKUP(B2454,'CNKT '!#REF!,14,0)</f>
        <v>#REF!</v>
      </c>
      <c r="D2461" s="697">
        <f>153.6*$B$2</f>
        <v>102733.82400000001</v>
      </c>
      <c r="E2461" s="695" t="e">
        <f t="shared" si="289"/>
        <v>#REF!</v>
      </c>
      <c r="F2461" s="750"/>
      <c r="G2461" s="693" t="s">
        <v>448</v>
      </c>
      <c r="H2461" s="844" t="s">
        <v>496</v>
      </c>
      <c r="I2461" s="747" t="e">
        <f>VLOOKUP(H2454,'CNKT '!#REF!,14,0)</f>
        <v>#REF!</v>
      </c>
      <c r="J2461" s="697">
        <f>153.6*$B$2</f>
        <v>102733.82400000001</v>
      </c>
      <c r="K2461" s="695" t="e">
        <f t="shared" si="290"/>
        <v>#REF!</v>
      </c>
      <c r="L2461" s="690"/>
    </row>
    <row r="2462" spans="1:12" s="27" customFormat="1" ht="17.25" customHeight="1">
      <c r="A2462" s="693" t="s">
        <v>453</v>
      </c>
      <c r="B2462" s="844" t="s">
        <v>497</v>
      </c>
      <c r="C2462" s="747" t="e">
        <f>VLOOKUP(B2454,'CNKT '!#REF!,18,0)</f>
        <v>#REF!</v>
      </c>
      <c r="D2462" s="697">
        <v>10000</v>
      </c>
      <c r="E2462" s="695" t="e">
        <f>C2462*D2462</f>
        <v>#REF!</v>
      </c>
      <c r="F2462" s="750"/>
      <c r="G2462" s="693" t="s">
        <v>453</v>
      </c>
      <c r="H2462" s="844" t="s">
        <v>497</v>
      </c>
      <c r="I2462" s="747" t="e">
        <f>VLOOKUP(H2454,'CNKT '!#REF!,18,0)</f>
        <v>#REF!</v>
      </c>
      <c r="J2462" s="697">
        <v>10000</v>
      </c>
      <c r="K2462" s="695" t="e">
        <f>I2462*J2462</f>
        <v>#REF!</v>
      </c>
      <c r="L2462" s="690"/>
    </row>
    <row r="2463" spans="1:12" s="27" customFormat="1" ht="17.25" customHeight="1">
      <c r="A2463" s="693" t="s">
        <v>453</v>
      </c>
      <c r="B2463" s="844" t="s">
        <v>497</v>
      </c>
      <c r="C2463" s="747" t="e">
        <f>VLOOKUP(B2454,'CNKT '!#REF!,19,0)</f>
        <v>#REF!</v>
      </c>
      <c r="D2463" s="697">
        <v>20000</v>
      </c>
      <c r="E2463" s="695" t="e">
        <f>C2463*D2463</f>
        <v>#REF!</v>
      </c>
      <c r="F2463" s="750"/>
      <c r="G2463" s="693" t="s">
        <v>453</v>
      </c>
      <c r="H2463" s="844" t="s">
        <v>497</v>
      </c>
      <c r="I2463" s="747" t="e">
        <f>VLOOKUP(H2454,'CNKT '!#REF!,19,0)</f>
        <v>#REF!</v>
      </c>
      <c r="J2463" s="697">
        <v>20000</v>
      </c>
      <c r="K2463" s="695" t="e">
        <f>I2463*J2463</f>
        <v>#REF!</v>
      </c>
      <c r="L2463" s="690"/>
    </row>
    <row r="2464" spans="1:12" s="27" customFormat="1" ht="17.25" customHeight="1">
      <c r="A2464" s="699" t="s">
        <v>79</v>
      </c>
      <c r="B2464" s="845" t="s">
        <v>532</v>
      </c>
      <c r="C2464" s="700"/>
      <c r="D2464" s="701"/>
      <c r="E2464" s="700"/>
      <c r="F2464" s="750"/>
      <c r="G2464" s="699" t="s">
        <v>79</v>
      </c>
      <c r="H2464" s="845" t="s">
        <v>532</v>
      </c>
      <c r="I2464" s="700"/>
      <c r="J2464" s="701"/>
      <c r="K2464" s="700"/>
      <c r="L2464" s="690"/>
    </row>
    <row r="2465" spans="1:14" s="27" customFormat="1" ht="17.25" customHeight="1">
      <c r="A2465" s="702" t="s">
        <v>80</v>
      </c>
      <c r="B2465" s="846" t="s">
        <v>533</v>
      </c>
      <c r="C2465" s="700"/>
      <c r="D2465" s="700"/>
      <c r="E2465" s="700"/>
      <c r="F2465" s="750"/>
      <c r="G2465" s="702" t="s">
        <v>80</v>
      </c>
      <c r="H2465" s="846" t="s">
        <v>533</v>
      </c>
      <c r="I2465" s="700"/>
      <c r="J2465" s="700"/>
      <c r="K2465" s="700"/>
      <c r="L2465" s="690"/>
    </row>
    <row r="2466" spans="1:14" s="27" customFormat="1" ht="17.25" customHeight="1">
      <c r="A2466" s="702" t="s">
        <v>81</v>
      </c>
      <c r="B2466" s="847" t="s">
        <v>534</v>
      </c>
      <c r="C2466" s="700"/>
      <c r="D2466" s="700"/>
      <c r="E2466" s="695">
        <f>SUM(E2465)</f>
        <v>0</v>
      </c>
      <c r="F2466" s="840"/>
      <c r="G2466" s="702" t="s">
        <v>81</v>
      </c>
      <c r="H2466" s="847" t="s">
        <v>534</v>
      </c>
      <c r="I2466" s="700"/>
      <c r="J2466" s="700"/>
      <c r="K2466" s="695">
        <f>SUM(K2465)</f>
        <v>0</v>
      </c>
      <c r="L2466" s="690"/>
    </row>
    <row r="2467" spans="1:14" s="27" customFormat="1" ht="17.25" customHeight="1">
      <c r="A2467" s="704" t="s">
        <v>82</v>
      </c>
      <c r="B2467" s="848" t="s">
        <v>438</v>
      </c>
      <c r="C2467" s="705"/>
      <c r="D2467" s="705"/>
      <c r="E2467" s="705" t="e">
        <f>(E2456+E2457+E2458+E2459+E2460+E2461+E2462+E2463)-E2466</f>
        <v>#REF!</v>
      </c>
      <c r="F2467" s="840"/>
      <c r="G2467" s="704" t="s">
        <v>82</v>
      </c>
      <c r="H2467" s="848" t="s">
        <v>438</v>
      </c>
      <c r="I2467" s="705"/>
      <c r="J2467" s="705"/>
      <c r="K2467" s="705" t="e">
        <f>(K2456+K2457+K2458+K2459+K2460+K2461+K2462+K2463)-K2466</f>
        <v>#REF!</v>
      </c>
      <c r="L2467" s="707" t="e">
        <f>E2467+K2467</f>
        <v>#REF!</v>
      </c>
    </row>
    <row r="2468" spans="1:14" s="27" customFormat="1" ht="65.25" customHeight="1">
      <c r="A2468" s="763"/>
      <c r="B2468" s="763"/>
      <c r="C2468" s="763"/>
      <c r="D2468" s="763"/>
      <c r="E2468" s="763"/>
      <c r="F2468" s="763"/>
      <c r="G2468" s="763"/>
      <c r="H2468" s="763"/>
      <c r="I2468" s="763"/>
      <c r="J2468" s="763"/>
      <c r="K2468" s="763"/>
      <c r="L2468" s="690"/>
    </row>
    <row r="2469" spans="1:14" s="27" customFormat="1" ht="17.25" customHeight="1">
      <c r="A2469" s="759" t="str">
        <f>A2453</f>
        <v>LƯƠNG THÁNG 01/2025</v>
      </c>
      <c r="B2469" s="763"/>
      <c r="C2469" s="763"/>
      <c r="D2469" s="763"/>
      <c r="E2469" s="766" t="e">
        <f>VLOOKUP(B2470,'CNKT '!#REF!,26,0)</f>
        <v>#REF!</v>
      </c>
      <c r="F2469" s="750"/>
      <c r="G2469" s="759" t="str">
        <f>A2469</f>
        <v>LƯƠNG THÁNG 01/2025</v>
      </c>
      <c r="H2469" s="763"/>
      <c r="I2469" s="763"/>
      <c r="J2469" s="766"/>
      <c r="K2469" s="766" t="e">
        <f>VLOOKUP(H2470,'CNKT '!#REF!,26,0)</f>
        <v>#REF!</v>
      </c>
      <c r="L2469" s="707"/>
      <c r="M2469" s="703"/>
      <c r="N2469" s="703"/>
    </row>
    <row r="2470" spans="1:14" s="27" customFormat="1" ht="17.25" customHeight="1">
      <c r="A2470" s="709" t="s">
        <v>15</v>
      </c>
      <c r="B2470" s="840" t="e">
        <f>'CNKT '!#REF!</f>
        <v>#REF!</v>
      </c>
      <c r="C2470" s="694"/>
      <c r="D2470" s="840" t="s">
        <v>396</v>
      </c>
      <c r="E2470" s="840" t="s">
        <v>18</v>
      </c>
      <c r="F2470" s="750"/>
      <c r="G2470" s="709" t="s">
        <v>15</v>
      </c>
      <c r="H2470" s="840" t="e">
        <f>'CNKT '!#REF!</f>
        <v>#REF!</v>
      </c>
      <c r="I2470" s="694"/>
      <c r="J2470" s="840" t="s">
        <v>396</v>
      </c>
      <c r="K2470" s="840" t="s">
        <v>18</v>
      </c>
      <c r="L2470" s="690"/>
    </row>
    <row r="2471" spans="1:14" s="27" customFormat="1" ht="17.25" customHeight="1">
      <c r="A2471" s="693" t="s">
        <v>397</v>
      </c>
      <c r="B2471" s="842" t="s">
        <v>527</v>
      </c>
      <c r="C2471" s="694" t="e">
        <f>VLOOKUP(B2470,'BTH mủ tạp'!$D$161:$AN$161,36,0)</f>
        <v>#REF!</v>
      </c>
      <c r="D2471" s="695"/>
      <c r="E2471" s="695"/>
      <c r="F2471" s="750"/>
      <c r="G2471" s="693" t="s">
        <v>397</v>
      </c>
      <c r="H2471" s="842" t="s">
        <v>527</v>
      </c>
      <c r="I2471" s="694" t="e">
        <f>VLOOKUP(H2470,'BTH mủ tạp'!$D$161:$AN$161,36,0)</f>
        <v>#REF!</v>
      </c>
      <c r="J2471" s="695"/>
      <c r="K2471" s="695"/>
      <c r="L2471" s="690"/>
    </row>
    <row r="2472" spans="1:14" s="27" customFormat="1" ht="17.25" customHeight="1">
      <c r="A2472" s="693" t="s">
        <v>77</v>
      </c>
      <c r="B2472" s="843" t="s">
        <v>432</v>
      </c>
      <c r="C2472" s="696" t="e">
        <f>VLOOKUP(B2470,'CNKT '!#REF!,3,0)</f>
        <v>#REF!</v>
      </c>
      <c r="D2472" s="697">
        <v>25000</v>
      </c>
      <c r="E2472" s="695" t="e">
        <f t="shared" ref="E2472:E2477" si="291">C2472*D2472</f>
        <v>#REF!</v>
      </c>
      <c r="F2472" s="750"/>
      <c r="G2472" s="693" t="s">
        <v>77</v>
      </c>
      <c r="H2472" s="843" t="s">
        <v>432</v>
      </c>
      <c r="I2472" s="696" t="e">
        <f>VLOOKUP(H2470,'CNKT '!#REF!,3,0)</f>
        <v>#REF!</v>
      </c>
      <c r="J2472" s="697">
        <v>25000</v>
      </c>
      <c r="K2472" s="695" t="e">
        <f t="shared" ref="K2472:K2477" si="292">I2472*J2472</f>
        <v>#REF!</v>
      </c>
      <c r="L2472" s="725"/>
      <c r="M2472" s="703"/>
      <c r="N2472" s="703"/>
    </row>
    <row r="2473" spans="1:14" s="27" customFormat="1" ht="17.25" customHeight="1">
      <c r="A2473" s="693" t="s">
        <v>307</v>
      </c>
      <c r="B2473" s="844" t="s">
        <v>528</v>
      </c>
      <c r="C2473" s="747" t="e">
        <f>VLOOKUP(B2470,'CNKT '!#REF!,11,0)</f>
        <v>#REF!</v>
      </c>
      <c r="D2473" s="698">
        <f>46.1*$B$2</f>
        <v>30833.524000000001</v>
      </c>
      <c r="E2473" s="695" t="e">
        <f t="shared" si="291"/>
        <v>#REF!</v>
      </c>
      <c r="F2473" s="750"/>
      <c r="G2473" s="693" t="s">
        <v>307</v>
      </c>
      <c r="H2473" s="844" t="s">
        <v>528</v>
      </c>
      <c r="I2473" s="747" t="e">
        <f>VLOOKUP(H2470,'CNKT '!#REF!,11,0)</f>
        <v>#REF!</v>
      </c>
      <c r="J2473" s="698">
        <f>46.1*$B$2</f>
        <v>30833.524000000001</v>
      </c>
      <c r="K2473" s="695" t="e">
        <f t="shared" si="292"/>
        <v>#REF!</v>
      </c>
      <c r="L2473" s="725"/>
    </row>
    <row r="2474" spans="1:14" s="27" customFormat="1" ht="17.25" customHeight="1">
      <c r="A2474" s="693" t="s">
        <v>399</v>
      </c>
      <c r="B2474" s="844" t="s">
        <v>529</v>
      </c>
      <c r="C2474" s="747" t="e">
        <f>VLOOKUP(B2470,'CNKT '!#REF!,12,0)</f>
        <v>#REF!</v>
      </c>
      <c r="D2474" s="697">
        <f>76.9*$B$2</f>
        <v>51433.796000000009</v>
      </c>
      <c r="E2474" s="695" t="e">
        <f t="shared" si="291"/>
        <v>#REF!</v>
      </c>
      <c r="F2474" s="750"/>
      <c r="G2474" s="693" t="s">
        <v>399</v>
      </c>
      <c r="H2474" s="844" t="s">
        <v>529</v>
      </c>
      <c r="I2474" s="747" t="e">
        <f>VLOOKUP(H2470,'CNKT '!#REF!,12,0)</f>
        <v>#REF!</v>
      </c>
      <c r="J2474" s="697">
        <f>76.9*$B$2</f>
        <v>51433.796000000009</v>
      </c>
      <c r="K2474" s="695" t="e">
        <f t="shared" si="292"/>
        <v>#REF!</v>
      </c>
      <c r="L2474" s="725"/>
      <c r="M2474" s="751"/>
    </row>
    <row r="2475" spans="1:14" s="27" customFormat="1" ht="17.25" customHeight="1">
      <c r="A2475" s="693" t="s">
        <v>78</v>
      </c>
      <c r="B2475" s="844" t="s">
        <v>530</v>
      </c>
      <c r="C2475" s="747" t="e">
        <f>VLOOKUP(B2470,'CNKT '!#REF!,8,0)</f>
        <v>#REF!</v>
      </c>
      <c r="D2475" s="697" t="e">
        <f>IF(C2471="A",6.1,IF(C2471="B",5.8,IF(C2471="C",5.5,IF(C2471="C.",5.5,IF(C2471="D",5.2)))))*$B$2</f>
        <v>#REF!</v>
      </c>
      <c r="E2475" s="695" t="e">
        <f t="shared" si="291"/>
        <v>#REF!</v>
      </c>
      <c r="F2475" s="750"/>
      <c r="G2475" s="693" t="s">
        <v>78</v>
      </c>
      <c r="H2475" s="844" t="s">
        <v>530</v>
      </c>
      <c r="I2475" s="747" t="e">
        <f>VLOOKUP(H2470,'CNKT '!#REF!,8,0)</f>
        <v>#REF!</v>
      </c>
      <c r="J2475" s="697" t="e">
        <f>IF(I2471="A",6.1,IF(I2471="B",5.8,IF(I2471="C",5.5,IF(I2471="C.",5.5,IF(I2471="D",5.2)))))*$B$2</f>
        <v>#REF!</v>
      </c>
      <c r="K2475" s="695" t="e">
        <f t="shared" si="292"/>
        <v>#REF!</v>
      </c>
      <c r="L2475" s="725"/>
    </row>
    <row r="2476" spans="1:14" s="27" customFormat="1" ht="17.25" customHeight="1">
      <c r="A2476" s="693" t="s">
        <v>447</v>
      </c>
      <c r="B2476" s="844" t="s">
        <v>531</v>
      </c>
      <c r="C2476" s="747" t="e">
        <f>VLOOKUP(B2470,'CNKT '!#REF!,15,0)</f>
        <v>#REF!</v>
      </c>
      <c r="D2476" s="698">
        <f>92.2*$B$2</f>
        <v>61667.048000000003</v>
      </c>
      <c r="E2476" s="695" t="e">
        <f t="shared" si="291"/>
        <v>#REF!</v>
      </c>
      <c r="F2476" s="750"/>
      <c r="G2476" s="693" t="s">
        <v>447</v>
      </c>
      <c r="H2476" s="844" t="s">
        <v>531</v>
      </c>
      <c r="I2476" s="747" t="e">
        <f>VLOOKUP(H2470,'CNKT '!#REF!,15,0)</f>
        <v>#REF!</v>
      </c>
      <c r="J2476" s="698">
        <f>92.2*$B$2</f>
        <v>61667.048000000003</v>
      </c>
      <c r="K2476" s="695" t="e">
        <f t="shared" si="292"/>
        <v>#REF!</v>
      </c>
      <c r="L2476" s="725"/>
    </row>
    <row r="2477" spans="1:14" s="27" customFormat="1" ht="17.25" customHeight="1">
      <c r="A2477" s="693" t="s">
        <v>448</v>
      </c>
      <c r="B2477" s="844" t="s">
        <v>496</v>
      </c>
      <c r="C2477" s="747" t="e">
        <f>VLOOKUP(B2470,'CNKT '!#REF!,14,0)</f>
        <v>#REF!</v>
      </c>
      <c r="D2477" s="697">
        <f>153.6*$B$2</f>
        <v>102733.82400000001</v>
      </c>
      <c r="E2477" s="695" t="e">
        <f t="shared" si="291"/>
        <v>#REF!</v>
      </c>
      <c r="F2477" s="750"/>
      <c r="G2477" s="693" t="s">
        <v>448</v>
      </c>
      <c r="H2477" s="844" t="s">
        <v>496</v>
      </c>
      <c r="I2477" s="747" t="e">
        <f>VLOOKUP(H2470,'CNKT '!#REF!,14,0)</f>
        <v>#REF!</v>
      </c>
      <c r="J2477" s="697">
        <f>153.6*$B$2</f>
        <v>102733.82400000001</v>
      </c>
      <c r="K2477" s="695" t="e">
        <f t="shared" si="292"/>
        <v>#REF!</v>
      </c>
      <c r="L2477" s="725"/>
    </row>
    <row r="2478" spans="1:14" s="27" customFormat="1" ht="17.25" customHeight="1">
      <c r="A2478" s="693" t="s">
        <v>453</v>
      </c>
      <c r="B2478" s="844" t="s">
        <v>497</v>
      </c>
      <c r="C2478" s="747" t="e">
        <f>VLOOKUP(B2470,'CNKT '!#REF!,18,0)</f>
        <v>#REF!</v>
      </c>
      <c r="D2478" s="697">
        <v>10000</v>
      </c>
      <c r="E2478" s="695" t="e">
        <f>C2478*D2478</f>
        <v>#REF!</v>
      </c>
      <c r="F2478" s="750"/>
      <c r="G2478" s="693" t="s">
        <v>453</v>
      </c>
      <c r="H2478" s="844" t="s">
        <v>497</v>
      </c>
      <c r="I2478" s="747" t="e">
        <f>VLOOKUP(H2470,'CNKT '!#REF!,18,0)</f>
        <v>#REF!</v>
      </c>
      <c r="J2478" s="697">
        <v>10000</v>
      </c>
      <c r="K2478" s="695" t="e">
        <f>I2478*J2478</f>
        <v>#REF!</v>
      </c>
      <c r="L2478" s="725"/>
    </row>
    <row r="2479" spans="1:14" s="27" customFormat="1" ht="17.25" customHeight="1">
      <c r="A2479" s="693" t="s">
        <v>453</v>
      </c>
      <c r="B2479" s="844" t="s">
        <v>497</v>
      </c>
      <c r="C2479" s="747" t="e">
        <f>VLOOKUP(B2470,'CNKT '!#REF!,19,0)</f>
        <v>#REF!</v>
      </c>
      <c r="D2479" s="697">
        <v>20000</v>
      </c>
      <c r="E2479" s="695" t="e">
        <f>C2479*D2479</f>
        <v>#REF!</v>
      </c>
      <c r="F2479" s="750"/>
      <c r="G2479" s="693" t="s">
        <v>453</v>
      </c>
      <c r="H2479" s="844" t="s">
        <v>497</v>
      </c>
      <c r="I2479" s="747" t="e">
        <f>VLOOKUP(H2470,'CNKT '!#REF!,19,0)</f>
        <v>#REF!</v>
      </c>
      <c r="J2479" s="697">
        <v>20000</v>
      </c>
      <c r="K2479" s="695" t="e">
        <f>I2479*J2479</f>
        <v>#REF!</v>
      </c>
      <c r="L2479" s="725"/>
    </row>
    <row r="2480" spans="1:14" s="27" customFormat="1" ht="17.25" customHeight="1">
      <c r="A2480" s="699" t="s">
        <v>79</v>
      </c>
      <c r="B2480" s="845" t="s">
        <v>532</v>
      </c>
      <c r="C2480" s="700"/>
      <c r="D2480" s="701"/>
      <c r="E2480" s="700"/>
      <c r="F2480" s="750"/>
      <c r="G2480" s="699" t="s">
        <v>79</v>
      </c>
      <c r="H2480" s="845" t="s">
        <v>532</v>
      </c>
      <c r="I2480" s="700"/>
      <c r="J2480" s="701"/>
      <c r="K2480" s="700"/>
      <c r="L2480" s="725"/>
      <c r="M2480" s="751"/>
    </row>
    <row r="2481" spans="1:13" s="27" customFormat="1" ht="17.25" customHeight="1">
      <c r="A2481" s="702" t="s">
        <v>80</v>
      </c>
      <c r="B2481" s="846" t="s">
        <v>533</v>
      </c>
      <c r="C2481" s="700"/>
      <c r="D2481" s="700"/>
      <c r="E2481" s="700"/>
      <c r="F2481" s="750"/>
      <c r="G2481" s="702" t="s">
        <v>80</v>
      </c>
      <c r="H2481" s="846" t="s">
        <v>533</v>
      </c>
      <c r="I2481" s="700"/>
      <c r="J2481" s="700"/>
      <c r="K2481" s="700"/>
      <c r="L2481" s="725"/>
      <c r="M2481" s="752"/>
    </row>
    <row r="2482" spans="1:13" s="27" customFormat="1" ht="17.25" customHeight="1">
      <c r="A2482" s="702" t="s">
        <v>81</v>
      </c>
      <c r="B2482" s="847" t="s">
        <v>534</v>
      </c>
      <c r="C2482" s="700"/>
      <c r="D2482" s="700"/>
      <c r="E2482" s="695">
        <f>SUM(E2481)</f>
        <v>0</v>
      </c>
      <c r="F2482" s="749"/>
      <c r="G2482" s="702" t="s">
        <v>81</v>
      </c>
      <c r="H2482" s="847" t="s">
        <v>534</v>
      </c>
      <c r="I2482" s="700"/>
      <c r="J2482" s="700"/>
      <c r="K2482" s="695">
        <f>SUM(K2481)</f>
        <v>0</v>
      </c>
      <c r="L2482" s="690"/>
    </row>
    <row r="2483" spans="1:13" s="27" customFormat="1" ht="17.25" customHeight="1">
      <c r="A2483" s="704" t="s">
        <v>82</v>
      </c>
      <c r="B2483" s="848" t="s">
        <v>438</v>
      </c>
      <c r="C2483" s="705"/>
      <c r="D2483" s="705"/>
      <c r="E2483" s="705" t="e">
        <f>(E2472+E2473+E2474+E2475+E2476+E2477+E2478+E2479)-E2482</f>
        <v>#REF!</v>
      </c>
      <c r="F2483" s="749"/>
      <c r="G2483" s="704" t="s">
        <v>82</v>
      </c>
      <c r="H2483" s="848" t="s">
        <v>438</v>
      </c>
      <c r="I2483" s="705"/>
      <c r="J2483" s="705"/>
      <c r="K2483" s="705" t="e">
        <f>(K2472+K2473+K2474+K2475+K2476+K2477+K2478+K2479)-K2482</f>
        <v>#REF!</v>
      </c>
      <c r="L2483" s="707" t="e">
        <f>E2483+K2483</f>
        <v>#REF!</v>
      </c>
    </row>
    <row r="2484" spans="1:13" s="27" customFormat="1" ht="17.25" customHeight="1">
      <c r="A2484" s="763"/>
      <c r="B2484" s="763"/>
      <c r="C2484" s="763"/>
      <c r="D2484" s="763"/>
      <c r="E2484" s="763"/>
      <c r="F2484" s="763"/>
      <c r="G2484" s="763"/>
      <c r="H2484" s="763"/>
      <c r="I2484" s="763"/>
      <c r="J2484" s="763"/>
      <c r="K2484" s="763"/>
      <c r="L2484" s="690"/>
    </row>
    <row r="2485" spans="1:13" s="27" customFormat="1" ht="17.25" customHeight="1">
      <c r="A2485" s="759" t="str">
        <f>A2469</f>
        <v>LƯƠNG THÁNG 01/2025</v>
      </c>
      <c r="B2485" s="763"/>
      <c r="C2485" s="763"/>
      <c r="D2485" s="763"/>
      <c r="E2485" s="766" t="e">
        <f>VLOOKUP(B2486,'CNKT '!#REF!,26,0)</f>
        <v>#REF!</v>
      </c>
      <c r="F2485" s="750"/>
      <c r="G2485" s="759" t="str">
        <f>A2485</f>
        <v>LƯƠNG THÁNG 01/2025</v>
      </c>
      <c r="H2485" s="763"/>
      <c r="I2485" s="763"/>
      <c r="J2485" s="763"/>
      <c r="K2485" s="766" t="e">
        <f>VLOOKUP(H2486,'CNKT '!#REF!,26,0)</f>
        <v>#REF!</v>
      </c>
      <c r="L2485" s="690"/>
    </row>
    <row r="2486" spans="1:13" s="27" customFormat="1" ht="17.25" customHeight="1">
      <c r="A2486" s="709" t="s">
        <v>15</v>
      </c>
      <c r="B2486" s="840" t="e">
        <f>'CNKT '!#REF!</f>
        <v>#REF!</v>
      </c>
      <c r="C2486" s="694"/>
      <c r="D2486" s="840" t="s">
        <v>396</v>
      </c>
      <c r="E2486" s="840" t="s">
        <v>18</v>
      </c>
      <c r="F2486" s="750"/>
      <c r="G2486" s="709" t="s">
        <v>15</v>
      </c>
      <c r="H2486" s="840" t="e">
        <f>'CNKT '!#REF!</f>
        <v>#REF!</v>
      </c>
      <c r="I2486" s="694"/>
      <c r="J2486" s="840" t="s">
        <v>396</v>
      </c>
      <c r="K2486" s="840" t="s">
        <v>18</v>
      </c>
      <c r="L2486" s="690"/>
    </row>
    <row r="2487" spans="1:13" s="27" customFormat="1" ht="17.25" customHeight="1">
      <c r="A2487" s="693" t="s">
        <v>397</v>
      </c>
      <c r="B2487" s="842" t="s">
        <v>527</v>
      </c>
      <c r="C2487" s="694" t="e">
        <f>VLOOKUP(B2486,'BTH mủ tạp'!$D$161:$AN$161,36,0)</f>
        <v>#REF!</v>
      </c>
      <c r="D2487" s="695"/>
      <c r="E2487" s="695"/>
      <c r="F2487" s="750"/>
      <c r="G2487" s="693" t="s">
        <v>397</v>
      </c>
      <c r="H2487" s="842" t="s">
        <v>527</v>
      </c>
      <c r="I2487" s="694" t="e">
        <f>VLOOKUP(H2486,'BTH mủ tạp'!$D$161:$AN$161,36,0)</f>
        <v>#REF!</v>
      </c>
      <c r="J2487" s="695"/>
      <c r="K2487" s="695"/>
      <c r="L2487" s="690"/>
    </row>
    <row r="2488" spans="1:13" s="27" customFormat="1" ht="17.25" customHeight="1">
      <c r="A2488" s="693" t="s">
        <v>77</v>
      </c>
      <c r="B2488" s="843" t="s">
        <v>432</v>
      </c>
      <c r="C2488" s="696" t="e">
        <f>VLOOKUP(B2486,'CNKT '!#REF!,3,0)</f>
        <v>#REF!</v>
      </c>
      <c r="D2488" s="697">
        <v>25000</v>
      </c>
      <c r="E2488" s="695" t="e">
        <f t="shared" ref="E2488:E2493" si="293">C2488*D2488</f>
        <v>#REF!</v>
      </c>
      <c r="F2488" s="750"/>
      <c r="G2488" s="693" t="s">
        <v>77</v>
      </c>
      <c r="H2488" s="843" t="s">
        <v>432</v>
      </c>
      <c r="I2488" s="696" t="e">
        <f>VLOOKUP(H2486,'CNKT '!#REF!,3,0)</f>
        <v>#REF!</v>
      </c>
      <c r="J2488" s="697">
        <v>25000</v>
      </c>
      <c r="K2488" s="695" t="e">
        <f t="shared" ref="K2488:K2493" si="294">I2488*J2488</f>
        <v>#REF!</v>
      </c>
      <c r="L2488" s="690"/>
    </row>
    <row r="2489" spans="1:13" s="27" customFormat="1" ht="17.25" customHeight="1">
      <c r="A2489" s="693" t="s">
        <v>307</v>
      </c>
      <c r="B2489" s="844" t="s">
        <v>528</v>
      </c>
      <c r="C2489" s="747" t="e">
        <f>VLOOKUP(B2486,'CNKT '!#REF!,11,0)</f>
        <v>#REF!</v>
      </c>
      <c r="D2489" s="698">
        <f>46.1*$B$2</f>
        <v>30833.524000000001</v>
      </c>
      <c r="E2489" s="695" t="e">
        <f t="shared" si="293"/>
        <v>#REF!</v>
      </c>
      <c r="F2489" s="750"/>
      <c r="G2489" s="693" t="s">
        <v>307</v>
      </c>
      <c r="H2489" s="844" t="s">
        <v>528</v>
      </c>
      <c r="I2489" s="747" t="e">
        <f>VLOOKUP(H2486,'CNKT '!#REF!,11,0)</f>
        <v>#REF!</v>
      </c>
      <c r="J2489" s="698">
        <f>46.1*$B$2</f>
        <v>30833.524000000001</v>
      </c>
      <c r="K2489" s="695" t="e">
        <f t="shared" si="294"/>
        <v>#REF!</v>
      </c>
      <c r="L2489" s="690"/>
    </row>
    <row r="2490" spans="1:13" s="27" customFormat="1" ht="17.25" customHeight="1">
      <c r="A2490" s="693" t="s">
        <v>399</v>
      </c>
      <c r="B2490" s="844" t="s">
        <v>529</v>
      </c>
      <c r="C2490" s="747" t="e">
        <f>VLOOKUP(B2486,'CNKT '!#REF!,12,0)</f>
        <v>#REF!</v>
      </c>
      <c r="D2490" s="697">
        <f>76.9*$B$2</f>
        <v>51433.796000000009</v>
      </c>
      <c r="E2490" s="695" t="e">
        <f t="shared" si="293"/>
        <v>#REF!</v>
      </c>
      <c r="F2490" s="750"/>
      <c r="G2490" s="693" t="s">
        <v>399</v>
      </c>
      <c r="H2490" s="844" t="s">
        <v>529</v>
      </c>
      <c r="I2490" s="747" t="e">
        <f>VLOOKUP(H2486,'CNKT '!#REF!,12,0)</f>
        <v>#REF!</v>
      </c>
      <c r="J2490" s="697">
        <f>76.9*$B$2</f>
        <v>51433.796000000009</v>
      </c>
      <c r="K2490" s="695" t="e">
        <f t="shared" si="294"/>
        <v>#REF!</v>
      </c>
      <c r="L2490" s="690"/>
    </row>
    <row r="2491" spans="1:13" s="27" customFormat="1" ht="17.25" customHeight="1">
      <c r="A2491" s="693" t="s">
        <v>78</v>
      </c>
      <c r="B2491" s="844" t="s">
        <v>530</v>
      </c>
      <c r="C2491" s="747" t="e">
        <f>VLOOKUP(B2486,'CNKT '!#REF!,8,0)</f>
        <v>#REF!</v>
      </c>
      <c r="D2491" s="697" t="e">
        <f>IF(C2487="A",6.1,IF(C2487="B",5.8,IF(C2487="C",5.5,IF(C2487="C.",5.5,IF(C2487="D",5.2)))))*$B$2</f>
        <v>#REF!</v>
      </c>
      <c r="E2491" s="695" t="e">
        <f t="shared" si="293"/>
        <v>#REF!</v>
      </c>
      <c r="F2491" s="750"/>
      <c r="G2491" s="693" t="s">
        <v>78</v>
      </c>
      <c r="H2491" s="844" t="s">
        <v>530</v>
      </c>
      <c r="I2491" s="747" t="e">
        <f>VLOOKUP(H2486,'CNKT '!#REF!,8,0)</f>
        <v>#REF!</v>
      </c>
      <c r="J2491" s="697" t="e">
        <f>IF(I2487="A",6.1,IF(I2487="B",5.8,IF(I2487="C",5.5,IF(I2487="C.",5.5,IF(I2487="D",5.2)))))*$B$2</f>
        <v>#REF!</v>
      </c>
      <c r="K2491" s="695" t="e">
        <f t="shared" si="294"/>
        <v>#REF!</v>
      </c>
      <c r="L2491" s="690"/>
    </row>
    <row r="2492" spans="1:13" s="27" customFormat="1" ht="17.25" customHeight="1">
      <c r="A2492" s="693" t="s">
        <v>447</v>
      </c>
      <c r="B2492" s="844" t="s">
        <v>531</v>
      </c>
      <c r="C2492" s="747" t="e">
        <f>VLOOKUP(B2486,'CNKT '!#REF!,15,0)</f>
        <v>#REF!</v>
      </c>
      <c r="D2492" s="698">
        <f>92.2*$B$2</f>
        <v>61667.048000000003</v>
      </c>
      <c r="E2492" s="695" t="e">
        <f t="shared" si="293"/>
        <v>#REF!</v>
      </c>
      <c r="F2492" s="750"/>
      <c r="G2492" s="693" t="s">
        <v>447</v>
      </c>
      <c r="H2492" s="844" t="s">
        <v>531</v>
      </c>
      <c r="I2492" s="747" t="e">
        <f>VLOOKUP(H2486,'CNKT '!#REF!,15,0)</f>
        <v>#REF!</v>
      </c>
      <c r="J2492" s="698">
        <f>92.2*$B$2</f>
        <v>61667.048000000003</v>
      </c>
      <c r="K2492" s="695" t="e">
        <f t="shared" si="294"/>
        <v>#REF!</v>
      </c>
      <c r="L2492" s="690"/>
    </row>
    <row r="2493" spans="1:13" s="27" customFormat="1" ht="17.25" customHeight="1">
      <c r="A2493" s="693" t="s">
        <v>448</v>
      </c>
      <c r="B2493" s="844" t="s">
        <v>496</v>
      </c>
      <c r="C2493" s="747" t="e">
        <f>VLOOKUP(B2486,'CNKT '!#REF!,14,0)</f>
        <v>#REF!</v>
      </c>
      <c r="D2493" s="697">
        <f>153.6*$B$2</f>
        <v>102733.82400000001</v>
      </c>
      <c r="E2493" s="695" t="e">
        <f t="shared" si="293"/>
        <v>#REF!</v>
      </c>
      <c r="F2493" s="750"/>
      <c r="G2493" s="693" t="s">
        <v>448</v>
      </c>
      <c r="H2493" s="844" t="s">
        <v>496</v>
      </c>
      <c r="I2493" s="747" t="e">
        <f>VLOOKUP(H2486,'CNKT '!#REF!,14,0)</f>
        <v>#REF!</v>
      </c>
      <c r="J2493" s="697">
        <f>153.6*$B$2</f>
        <v>102733.82400000001</v>
      </c>
      <c r="K2493" s="695" t="e">
        <f t="shared" si="294"/>
        <v>#REF!</v>
      </c>
      <c r="L2493" s="690"/>
    </row>
    <row r="2494" spans="1:13" s="27" customFormat="1" ht="17.25" customHeight="1">
      <c r="A2494" s="693" t="s">
        <v>453</v>
      </c>
      <c r="B2494" s="844" t="s">
        <v>497</v>
      </c>
      <c r="C2494" s="747" t="e">
        <f>VLOOKUP(B2486,'CNKT '!#REF!,18,0)</f>
        <v>#REF!</v>
      </c>
      <c r="D2494" s="697">
        <v>10000</v>
      </c>
      <c r="E2494" s="695" t="e">
        <f>C2494*D2494</f>
        <v>#REF!</v>
      </c>
      <c r="F2494" s="750"/>
      <c r="G2494" s="693" t="s">
        <v>453</v>
      </c>
      <c r="H2494" s="844" t="s">
        <v>497</v>
      </c>
      <c r="I2494" s="747" t="e">
        <f>VLOOKUP(H2486,'CNKT '!#REF!,18,0)</f>
        <v>#REF!</v>
      </c>
      <c r="J2494" s="697">
        <v>10000</v>
      </c>
      <c r="K2494" s="695" t="e">
        <f>I2494*J2494</f>
        <v>#REF!</v>
      </c>
      <c r="L2494" s="690"/>
    </row>
    <row r="2495" spans="1:13" s="27" customFormat="1" ht="17.25" customHeight="1">
      <c r="A2495" s="693" t="s">
        <v>453</v>
      </c>
      <c r="B2495" s="844" t="s">
        <v>497</v>
      </c>
      <c r="C2495" s="747" t="e">
        <f>VLOOKUP(B2486,'CNKT '!#REF!,19,0)</f>
        <v>#REF!</v>
      </c>
      <c r="D2495" s="697">
        <v>20000</v>
      </c>
      <c r="E2495" s="695" t="e">
        <f>C2495*D2495</f>
        <v>#REF!</v>
      </c>
      <c r="F2495" s="750"/>
      <c r="G2495" s="693" t="s">
        <v>453</v>
      </c>
      <c r="H2495" s="844" t="s">
        <v>497</v>
      </c>
      <c r="I2495" s="747" t="e">
        <f>VLOOKUP(H2486,'CNKT '!#REF!,19,0)</f>
        <v>#REF!</v>
      </c>
      <c r="J2495" s="697">
        <v>20000</v>
      </c>
      <c r="K2495" s="695" t="e">
        <f>I2495*J2495</f>
        <v>#REF!</v>
      </c>
      <c r="L2495" s="690"/>
    </row>
    <row r="2496" spans="1:13" s="27" customFormat="1" ht="17.25" customHeight="1">
      <c r="A2496" s="699" t="s">
        <v>79</v>
      </c>
      <c r="B2496" s="845" t="s">
        <v>532</v>
      </c>
      <c r="C2496" s="700"/>
      <c r="D2496" s="701"/>
      <c r="E2496" s="700"/>
      <c r="F2496" s="750"/>
      <c r="G2496" s="699" t="s">
        <v>79</v>
      </c>
      <c r="H2496" s="845" t="s">
        <v>532</v>
      </c>
      <c r="I2496" s="700"/>
      <c r="J2496" s="701"/>
      <c r="K2496" s="700"/>
      <c r="L2496" s="690"/>
    </row>
    <row r="2497" spans="1:12" s="27" customFormat="1" ht="17.25" customHeight="1">
      <c r="A2497" s="702" t="s">
        <v>80</v>
      </c>
      <c r="B2497" s="846" t="s">
        <v>533</v>
      </c>
      <c r="C2497" s="700"/>
      <c r="D2497" s="700"/>
      <c r="E2497" s="700"/>
      <c r="F2497" s="750"/>
      <c r="G2497" s="702" t="s">
        <v>80</v>
      </c>
      <c r="H2497" s="846" t="s">
        <v>533</v>
      </c>
      <c r="I2497" s="700"/>
      <c r="J2497" s="700"/>
      <c r="K2497" s="700"/>
      <c r="L2497" s="690"/>
    </row>
    <row r="2498" spans="1:12" s="27" customFormat="1" ht="17.25" customHeight="1">
      <c r="A2498" s="702" t="s">
        <v>81</v>
      </c>
      <c r="B2498" s="847" t="s">
        <v>534</v>
      </c>
      <c r="C2498" s="700"/>
      <c r="D2498" s="700"/>
      <c r="E2498" s="695">
        <f>SUM(E2497)</f>
        <v>0</v>
      </c>
      <c r="F2498" s="750"/>
      <c r="G2498" s="702" t="s">
        <v>81</v>
      </c>
      <c r="H2498" s="847" t="s">
        <v>534</v>
      </c>
      <c r="I2498" s="700"/>
      <c r="J2498" s="700"/>
      <c r="K2498" s="695">
        <f>SUM(K2497)</f>
        <v>0</v>
      </c>
      <c r="L2498" s="690"/>
    </row>
    <row r="2499" spans="1:12" s="27" customFormat="1" ht="17.25" customHeight="1">
      <c r="A2499" s="704" t="s">
        <v>82</v>
      </c>
      <c r="B2499" s="848" t="s">
        <v>438</v>
      </c>
      <c r="C2499" s="705"/>
      <c r="D2499" s="705"/>
      <c r="E2499" s="705" t="e">
        <f>(E2488+E2489+E2490+E2491+E2492+E2493+E2494+E2495)-E2498</f>
        <v>#REF!</v>
      </c>
      <c r="F2499" s="749"/>
      <c r="G2499" s="704" t="s">
        <v>82</v>
      </c>
      <c r="H2499" s="848" t="s">
        <v>438</v>
      </c>
      <c r="I2499" s="705"/>
      <c r="J2499" s="705"/>
      <c r="K2499" s="705" t="e">
        <f>(K2488+K2489+K2490+K2491+K2492+K2493+K2494+K2495)-K2498</f>
        <v>#REF!</v>
      </c>
      <c r="L2499" s="707" t="e">
        <f>E2499+K2499</f>
        <v>#REF!</v>
      </c>
    </row>
    <row r="2500" spans="1:12" s="27" customFormat="1" ht="17.25" customHeight="1">
      <c r="A2500" s="763"/>
      <c r="B2500" s="763"/>
      <c r="C2500" s="763"/>
      <c r="D2500" s="763"/>
      <c r="E2500" s="763"/>
      <c r="F2500" s="763"/>
      <c r="G2500" s="763"/>
      <c r="H2500" s="763"/>
      <c r="I2500" s="763"/>
      <c r="J2500" s="763"/>
      <c r="K2500" s="763"/>
      <c r="L2500" s="690"/>
    </row>
    <row r="2501" spans="1:12" s="27" customFormat="1" ht="17.25" customHeight="1">
      <c r="A2501" s="759" t="str">
        <f>A2485</f>
        <v>LƯƠNG THÁNG 01/2025</v>
      </c>
      <c r="B2501" s="763"/>
      <c r="C2501" s="763"/>
      <c r="D2501" s="763"/>
      <c r="E2501" s="766" t="e">
        <f>VLOOKUP(B2502,'CNKT '!#REF!,26,0)</f>
        <v>#REF!</v>
      </c>
      <c r="F2501" s="750"/>
      <c r="G2501" s="759" t="str">
        <f>A2501</f>
        <v>LƯƠNG THÁNG 01/2025</v>
      </c>
      <c r="H2501" s="763"/>
      <c r="I2501" s="763"/>
      <c r="J2501" s="766"/>
      <c r="K2501" s="766" t="e">
        <f>VLOOKUP(H2502,'CNKT '!#REF!,26,0)</f>
        <v>#REF!</v>
      </c>
      <c r="L2501" s="690"/>
    </row>
    <row r="2502" spans="1:12" s="27" customFormat="1" ht="17.25" customHeight="1">
      <c r="A2502" s="709" t="s">
        <v>15</v>
      </c>
      <c r="B2502" s="840" t="e">
        <f>'CNKT '!#REF!</f>
        <v>#REF!</v>
      </c>
      <c r="C2502" s="694"/>
      <c r="D2502" s="840" t="s">
        <v>396</v>
      </c>
      <c r="E2502" s="840" t="s">
        <v>18</v>
      </c>
      <c r="F2502" s="750"/>
      <c r="G2502" s="709" t="s">
        <v>15</v>
      </c>
      <c r="H2502" s="840" t="e">
        <f>'CNKT '!#REF!</f>
        <v>#REF!</v>
      </c>
      <c r="I2502" s="694"/>
      <c r="J2502" s="840" t="s">
        <v>396</v>
      </c>
      <c r="K2502" s="840" t="s">
        <v>18</v>
      </c>
      <c r="L2502" s="690"/>
    </row>
    <row r="2503" spans="1:12" s="27" customFormat="1" ht="17.25" customHeight="1">
      <c r="A2503" s="693" t="s">
        <v>397</v>
      </c>
      <c r="B2503" s="842" t="s">
        <v>527</v>
      </c>
      <c r="C2503" s="694" t="e">
        <f>VLOOKUP(B2502,'BTH mủ tạp'!$D$161:$AN$161,36,0)</f>
        <v>#REF!</v>
      </c>
      <c r="D2503" s="695"/>
      <c r="E2503" s="695"/>
      <c r="F2503" s="750"/>
      <c r="G2503" s="693" t="s">
        <v>397</v>
      </c>
      <c r="H2503" s="842" t="s">
        <v>527</v>
      </c>
      <c r="I2503" s="694" t="e">
        <f>VLOOKUP(H2502,'BTH mủ tạp'!$D$161:$AN$161,36,0)</f>
        <v>#REF!</v>
      </c>
      <c r="J2503" s="695"/>
      <c r="K2503" s="695"/>
      <c r="L2503" s="690"/>
    </row>
    <row r="2504" spans="1:12" s="27" customFormat="1" ht="17.25" customHeight="1">
      <c r="A2504" s="693" t="s">
        <v>77</v>
      </c>
      <c r="B2504" s="843" t="s">
        <v>432</v>
      </c>
      <c r="C2504" s="696" t="e">
        <f>VLOOKUP(B2502,'CNKT '!#REF!,3,0)</f>
        <v>#REF!</v>
      </c>
      <c r="D2504" s="697">
        <v>25000</v>
      </c>
      <c r="E2504" s="695" t="e">
        <f t="shared" ref="E2504:E2509" si="295">C2504*D2504</f>
        <v>#REF!</v>
      </c>
      <c r="F2504" s="750"/>
      <c r="G2504" s="693" t="s">
        <v>77</v>
      </c>
      <c r="H2504" s="843" t="s">
        <v>432</v>
      </c>
      <c r="I2504" s="696" t="e">
        <f>VLOOKUP(H2502,'CNKT '!#REF!,3,0)</f>
        <v>#REF!</v>
      </c>
      <c r="J2504" s="697">
        <v>25000</v>
      </c>
      <c r="K2504" s="695" t="e">
        <f t="shared" ref="K2504:K2509" si="296">I2504*J2504</f>
        <v>#REF!</v>
      </c>
      <c r="L2504" s="690"/>
    </row>
    <row r="2505" spans="1:12" s="27" customFormat="1" ht="17.25" customHeight="1">
      <c r="A2505" s="693" t="s">
        <v>307</v>
      </c>
      <c r="B2505" s="844" t="s">
        <v>528</v>
      </c>
      <c r="C2505" s="747" t="e">
        <f>VLOOKUP(B2502,'CNKT '!#REF!,11,0)</f>
        <v>#REF!</v>
      </c>
      <c r="D2505" s="698">
        <f>46.1*$B$2</f>
        <v>30833.524000000001</v>
      </c>
      <c r="E2505" s="695" t="e">
        <f t="shared" si="295"/>
        <v>#REF!</v>
      </c>
      <c r="F2505" s="750"/>
      <c r="G2505" s="693" t="s">
        <v>307</v>
      </c>
      <c r="H2505" s="844" t="s">
        <v>528</v>
      </c>
      <c r="I2505" s="747" t="e">
        <f>VLOOKUP(H2502,'CNKT '!#REF!,11,0)</f>
        <v>#REF!</v>
      </c>
      <c r="J2505" s="698">
        <f>46.1*$B$2</f>
        <v>30833.524000000001</v>
      </c>
      <c r="K2505" s="695" t="e">
        <f t="shared" si="296"/>
        <v>#REF!</v>
      </c>
      <c r="L2505" s="690"/>
    </row>
    <row r="2506" spans="1:12" s="27" customFormat="1" ht="17.25" customHeight="1">
      <c r="A2506" s="693" t="s">
        <v>399</v>
      </c>
      <c r="B2506" s="844" t="s">
        <v>529</v>
      </c>
      <c r="C2506" s="747" t="e">
        <f>VLOOKUP(B2502,'CNKT '!#REF!,12,0)</f>
        <v>#REF!</v>
      </c>
      <c r="D2506" s="697">
        <f>76.9*$B$2</f>
        <v>51433.796000000009</v>
      </c>
      <c r="E2506" s="695" t="e">
        <f t="shared" si="295"/>
        <v>#REF!</v>
      </c>
      <c r="F2506" s="750"/>
      <c r="G2506" s="693" t="s">
        <v>399</v>
      </c>
      <c r="H2506" s="844" t="s">
        <v>529</v>
      </c>
      <c r="I2506" s="747" t="e">
        <f>VLOOKUP(H2502,'CNKT '!#REF!,12,0)</f>
        <v>#REF!</v>
      </c>
      <c r="J2506" s="697">
        <f>76.9*$B$2</f>
        <v>51433.796000000009</v>
      </c>
      <c r="K2506" s="695" t="e">
        <f t="shared" si="296"/>
        <v>#REF!</v>
      </c>
      <c r="L2506" s="690"/>
    </row>
    <row r="2507" spans="1:12" s="27" customFormat="1" ht="17.25" customHeight="1">
      <c r="A2507" s="693" t="s">
        <v>78</v>
      </c>
      <c r="B2507" s="844" t="s">
        <v>530</v>
      </c>
      <c r="C2507" s="747" t="e">
        <f>VLOOKUP(B2502,'CNKT '!#REF!,8,0)</f>
        <v>#REF!</v>
      </c>
      <c r="D2507" s="697" t="e">
        <f>IF(C2503="A",6.1,IF(C2503="B",5.8,IF(C2503="C",5.5,IF(C2503="C.",5.5,IF(C2503="D",5.2)))))*$B$2</f>
        <v>#REF!</v>
      </c>
      <c r="E2507" s="695" t="e">
        <f t="shared" si="295"/>
        <v>#REF!</v>
      </c>
      <c r="F2507" s="750"/>
      <c r="G2507" s="693" t="s">
        <v>78</v>
      </c>
      <c r="H2507" s="844" t="s">
        <v>530</v>
      </c>
      <c r="I2507" s="747" t="e">
        <f>VLOOKUP(H2502,'CNKT '!#REF!,8,0)</f>
        <v>#REF!</v>
      </c>
      <c r="J2507" s="697" t="e">
        <f>IF(I2503="A",6.1,IF(I2503="B",5.8,IF(I2503="C",5.5,IF(I2503="C.",5.5,IF(I2503="D",5.2)))))*$B$2</f>
        <v>#REF!</v>
      </c>
      <c r="K2507" s="695" t="e">
        <f t="shared" si="296"/>
        <v>#REF!</v>
      </c>
      <c r="L2507" s="690"/>
    </row>
    <row r="2508" spans="1:12" s="27" customFormat="1" ht="17.25" customHeight="1">
      <c r="A2508" s="693" t="s">
        <v>447</v>
      </c>
      <c r="B2508" s="844" t="s">
        <v>531</v>
      </c>
      <c r="C2508" s="747" t="e">
        <f>VLOOKUP(B2502,'CNKT '!#REF!,15,0)</f>
        <v>#REF!</v>
      </c>
      <c r="D2508" s="698">
        <f>92.2*$B$2</f>
        <v>61667.048000000003</v>
      </c>
      <c r="E2508" s="695" t="e">
        <f t="shared" si="295"/>
        <v>#REF!</v>
      </c>
      <c r="F2508" s="750"/>
      <c r="G2508" s="693" t="s">
        <v>447</v>
      </c>
      <c r="H2508" s="844" t="s">
        <v>531</v>
      </c>
      <c r="I2508" s="747" t="e">
        <f>VLOOKUP(H2502,'CNKT '!#REF!,15,0)</f>
        <v>#REF!</v>
      </c>
      <c r="J2508" s="698">
        <f>92.2*$B$2</f>
        <v>61667.048000000003</v>
      </c>
      <c r="K2508" s="695" t="e">
        <f t="shared" si="296"/>
        <v>#REF!</v>
      </c>
      <c r="L2508" s="690"/>
    </row>
    <row r="2509" spans="1:12" s="27" customFormat="1" ht="17.25" customHeight="1">
      <c r="A2509" s="693" t="s">
        <v>448</v>
      </c>
      <c r="B2509" s="844" t="s">
        <v>496</v>
      </c>
      <c r="C2509" s="747" t="e">
        <f>VLOOKUP(B2502,'CNKT '!#REF!,14,0)</f>
        <v>#REF!</v>
      </c>
      <c r="D2509" s="697">
        <f>153.6*$B$2</f>
        <v>102733.82400000001</v>
      </c>
      <c r="E2509" s="695" t="e">
        <f t="shared" si="295"/>
        <v>#REF!</v>
      </c>
      <c r="F2509" s="750"/>
      <c r="G2509" s="693" t="s">
        <v>448</v>
      </c>
      <c r="H2509" s="844" t="s">
        <v>496</v>
      </c>
      <c r="I2509" s="747" t="e">
        <f>VLOOKUP(H2502,'CNKT '!#REF!,14,0)</f>
        <v>#REF!</v>
      </c>
      <c r="J2509" s="697">
        <f>153.6*$B$2</f>
        <v>102733.82400000001</v>
      </c>
      <c r="K2509" s="695" t="e">
        <f t="shared" si="296"/>
        <v>#REF!</v>
      </c>
      <c r="L2509" s="690"/>
    </row>
    <row r="2510" spans="1:12" s="27" customFormat="1" ht="17.25" customHeight="1">
      <c r="A2510" s="693" t="s">
        <v>453</v>
      </c>
      <c r="B2510" s="844" t="s">
        <v>497</v>
      </c>
      <c r="C2510" s="747" t="e">
        <f>VLOOKUP(B2502,'CNKT '!#REF!,18,0)</f>
        <v>#REF!</v>
      </c>
      <c r="D2510" s="697">
        <v>10000</v>
      </c>
      <c r="E2510" s="695" t="e">
        <f>C2510*D2510</f>
        <v>#REF!</v>
      </c>
      <c r="F2510" s="750"/>
      <c r="G2510" s="693" t="s">
        <v>453</v>
      </c>
      <c r="H2510" s="844" t="s">
        <v>497</v>
      </c>
      <c r="I2510" s="747" t="e">
        <f>VLOOKUP(H2502,'CNKT '!#REF!,18,0)</f>
        <v>#REF!</v>
      </c>
      <c r="J2510" s="697">
        <v>10000</v>
      </c>
      <c r="K2510" s="695" t="e">
        <f>I2510*J2510</f>
        <v>#REF!</v>
      </c>
      <c r="L2510" s="690"/>
    </row>
    <row r="2511" spans="1:12" s="27" customFormat="1" ht="17.25" customHeight="1">
      <c r="A2511" s="693" t="s">
        <v>453</v>
      </c>
      <c r="B2511" s="844" t="s">
        <v>497</v>
      </c>
      <c r="C2511" s="747" t="e">
        <f>VLOOKUP(B2502,'CNKT '!#REF!,19,0)</f>
        <v>#REF!</v>
      </c>
      <c r="D2511" s="697">
        <v>20000</v>
      </c>
      <c r="E2511" s="695" t="e">
        <f>C2511*D2511</f>
        <v>#REF!</v>
      </c>
      <c r="F2511" s="750"/>
      <c r="G2511" s="693" t="s">
        <v>453</v>
      </c>
      <c r="H2511" s="844" t="s">
        <v>497</v>
      </c>
      <c r="I2511" s="747" t="e">
        <f>VLOOKUP(H2502,'CNKT '!#REF!,19,0)</f>
        <v>#REF!</v>
      </c>
      <c r="J2511" s="697">
        <v>20000</v>
      </c>
      <c r="K2511" s="695" t="e">
        <f>I2511*J2511</f>
        <v>#REF!</v>
      </c>
      <c r="L2511" s="690"/>
    </row>
    <row r="2512" spans="1:12" s="27" customFormat="1" ht="17.25" customHeight="1">
      <c r="A2512" s="699" t="s">
        <v>79</v>
      </c>
      <c r="B2512" s="845" t="s">
        <v>532</v>
      </c>
      <c r="C2512" s="700"/>
      <c r="D2512" s="701"/>
      <c r="E2512" s="700"/>
      <c r="F2512" s="750"/>
      <c r="G2512" s="699" t="s">
        <v>79</v>
      </c>
      <c r="H2512" s="845" t="s">
        <v>532</v>
      </c>
      <c r="I2512" s="700"/>
      <c r="J2512" s="701"/>
      <c r="K2512" s="700"/>
      <c r="L2512" s="690"/>
    </row>
    <row r="2513" spans="1:12" s="27" customFormat="1" ht="17.25" customHeight="1">
      <c r="A2513" s="702" t="s">
        <v>80</v>
      </c>
      <c r="B2513" s="846" t="s">
        <v>533</v>
      </c>
      <c r="C2513" s="700"/>
      <c r="D2513" s="700"/>
      <c r="E2513" s="700"/>
      <c r="F2513" s="750"/>
      <c r="G2513" s="702" t="s">
        <v>80</v>
      </c>
      <c r="H2513" s="846" t="s">
        <v>533</v>
      </c>
      <c r="I2513" s="700"/>
      <c r="J2513" s="700"/>
      <c r="K2513" s="700"/>
      <c r="L2513" s="690"/>
    </row>
    <row r="2514" spans="1:12" s="27" customFormat="1" ht="17.25" customHeight="1">
      <c r="A2514" s="702" t="s">
        <v>81</v>
      </c>
      <c r="B2514" s="847" t="s">
        <v>534</v>
      </c>
      <c r="C2514" s="700"/>
      <c r="D2514" s="700"/>
      <c r="E2514" s="695">
        <f>SUM(E2513)</f>
        <v>0</v>
      </c>
      <c r="F2514" s="750"/>
      <c r="G2514" s="702" t="s">
        <v>81</v>
      </c>
      <c r="H2514" s="847" t="s">
        <v>534</v>
      </c>
      <c r="I2514" s="700"/>
      <c r="J2514" s="700"/>
      <c r="K2514" s="695">
        <f>SUM(K2513)</f>
        <v>0</v>
      </c>
      <c r="L2514" s="690"/>
    </row>
    <row r="2515" spans="1:12" s="27" customFormat="1" ht="17.25" customHeight="1">
      <c r="A2515" s="704" t="s">
        <v>82</v>
      </c>
      <c r="B2515" s="848" t="s">
        <v>438</v>
      </c>
      <c r="C2515" s="705"/>
      <c r="D2515" s="705"/>
      <c r="E2515" s="705" t="e">
        <f>(E2504+E2505+E2506+E2507+E2508+E2509+E2510+E2511)-E2514</f>
        <v>#REF!</v>
      </c>
      <c r="F2515" s="749"/>
      <c r="G2515" s="704" t="s">
        <v>82</v>
      </c>
      <c r="H2515" s="848" t="s">
        <v>438</v>
      </c>
      <c r="I2515" s="705"/>
      <c r="J2515" s="705"/>
      <c r="K2515" s="705" t="e">
        <f>(K2504+K2505+K2506+K2507+K2508+K2509+K2510+K2511)-K2514</f>
        <v>#REF!</v>
      </c>
      <c r="L2515" s="707" t="e">
        <f>E2515+K2515</f>
        <v>#REF!</v>
      </c>
    </row>
    <row r="2516" spans="1:12" s="27" customFormat="1" ht="17.25" customHeight="1">
      <c r="A2516" s="763"/>
      <c r="B2516" s="763"/>
      <c r="C2516" s="763"/>
      <c r="D2516" s="763"/>
      <c r="E2516" s="763"/>
      <c r="F2516" s="763"/>
      <c r="G2516" s="763"/>
      <c r="H2516" s="763"/>
      <c r="I2516" s="763"/>
      <c r="J2516" s="763"/>
      <c r="K2516" s="763"/>
      <c r="L2516" s="690"/>
    </row>
    <row r="2517" spans="1:12" s="27" customFormat="1" ht="17.25" customHeight="1">
      <c r="A2517" s="759" t="str">
        <f>A2501</f>
        <v>LƯƠNG THÁNG 01/2025</v>
      </c>
      <c r="B2517" s="763"/>
      <c r="C2517" s="763"/>
      <c r="D2517" s="763"/>
      <c r="E2517" s="766" t="e">
        <f>VLOOKUP(B2518,'CNKT '!#REF!,26,0)</f>
        <v>#REF!</v>
      </c>
      <c r="F2517" s="750"/>
      <c r="G2517" s="759" t="str">
        <f>A2517</f>
        <v>LƯƠNG THÁNG 01/2025</v>
      </c>
      <c r="H2517" s="763"/>
      <c r="I2517" s="763"/>
      <c r="J2517" s="766"/>
      <c r="K2517" s="766" t="e">
        <f>VLOOKUP(H2518,'CNKT '!#REF!,26,0)</f>
        <v>#REF!</v>
      </c>
      <c r="L2517" s="690"/>
    </row>
    <row r="2518" spans="1:12" s="27" customFormat="1" ht="17.25" customHeight="1">
      <c r="A2518" s="709" t="s">
        <v>15</v>
      </c>
      <c r="B2518" s="840" t="e">
        <f>'CNKT '!#REF!</f>
        <v>#REF!</v>
      </c>
      <c r="C2518" s="694"/>
      <c r="D2518" s="840" t="s">
        <v>396</v>
      </c>
      <c r="E2518" s="840" t="s">
        <v>18</v>
      </c>
      <c r="F2518" s="750"/>
      <c r="G2518" s="709" t="s">
        <v>15</v>
      </c>
      <c r="H2518" s="840" t="e">
        <f>'CNKT '!#REF!</f>
        <v>#REF!</v>
      </c>
      <c r="I2518" s="694"/>
      <c r="J2518" s="840" t="s">
        <v>396</v>
      </c>
      <c r="K2518" s="840" t="s">
        <v>18</v>
      </c>
      <c r="L2518" s="690"/>
    </row>
    <row r="2519" spans="1:12" s="27" customFormat="1" ht="17.25" customHeight="1">
      <c r="A2519" s="693" t="s">
        <v>397</v>
      </c>
      <c r="B2519" s="842" t="s">
        <v>527</v>
      </c>
      <c r="C2519" s="694" t="e">
        <f>VLOOKUP(B2518,'BTH mủ tạp'!$D$161:$AN$161,36,0)</f>
        <v>#REF!</v>
      </c>
      <c r="D2519" s="695"/>
      <c r="E2519" s="695"/>
      <c r="F2519" s="750"/>
      <c r="G2519" s="693" t="s">
        <v>397</v>
      </c>
      <c r="H2519" s="842" t="s">
        <v>527</v>
      </c>
      <c r="I2519" s="694" t="e">
        <f>VLOOKUP(H2518,'BTH mủ tạp'!$D$161:$AN$161,36,0)</f>
        <v>#REF!</v>
      </c>
      <c r="J2519" s="695"/>
      <c r="K2519" s="695"/>
      <c r="L2519" s="690"/>
    </row>
    <row r="2520" spans="1:12" s="27" customFormat="1" ht="17.25" customHeight="1">
      <c r="A2520" s="693" t="s">
        <v>77</v>
      </c>
      <c r="B2520" s="843" t="s">
        <v>432</v>
      </c>
      <c r="C2520" s="696" t="e">
        <f>VLOOKUP(B2518,'CNKT '!#REF!,3,0)</f>
        <v>#REF!</v>
      </c>
      <c r="D2520" s="697">
        <v>25000</v>
      </c>
      <c r="E2520" s="695" t="e">
        <f t="shared" ref="E2520:E2525" si="297">C2520*D2520</f>
        <v>#REF!</v>
      </c>
      <c r="F2520" s="750"/>
      <c r="G2520" s="693" t="s">
        <v>77</v>
      </c>
      <c r="H2520" s="843" t="s">
        <v>432</v>
      </c>
      <c r="I2520" s="696" t="e">
        <f>VLOOKUP(H2518,'CNKT '!#REF!,3,0)</f>
        <v>#REF!</v>
      </c>
      <c r="J2520" s="697">
        <v>25000</v>
      </c>
      <c r="K2520" s="695" t="e">
        <f t="shared" ref="K2520:K2525" si="298">I2520*J2520</f>
        <v>#REF!</v>
      </c>
      <c r="L2520" s="690"/>
    </row>
    <row r="2521" spans="1:12" s="27" customFormat="1" ht="17.25" customHeight="1">
      <c r="A2521" s="693" t="s">
        <v>307</v>
      </c>
      <c r="B2521" s="844" t="s">
        <v>528</v>
      </c>
      <c r="C2521" s="747" t="e">
        <f>VLOOKUP(B2518,'CNKT '!#REF!,11,0)</f>
        <v>#REF!</v>
      </c>
      <c r="D2521" s="698">
        <f>46.1*$B$2</f>
        <v>30833.524000000001</v>
      </c>
      <c r="E2521" s="695" t="e">
        <f t="shared" si="297"/>
        <v>#REF!</v>
      </c>
      <c r="F2521" s="750"/>
      <c r="G2521" s="693" t="s">
        <v>307</v>
      </c>
      <c r="H2521" s="844" t="s">
        <v>528</v>
      </c>
      <c r="I2521" s="747" t="e">
        <f>VLOOKUP(H2518,'CNKT '!#REF!,11,0)</f>
        <v>#REF!</v>
      </c>
      <c r="J2521" s="698">
        <f>46.1*$B$2</f>
        <v>30833.524000000001</v>
      </c>
      <c r="K2521" s="695" t="e">
        <f t="shared" si="298"/>
        <v>#REF!</v>
      </c>
      <c r="L2521" s="690"/>
    </row>
    <row r="2522" spans="1:12" s="27" customFormat="1" ht="17.25" customHeight="1">
      <c r="A2522" s="693" t="s">
        <v>399</v>
      </c>
      <c r="B2522" s="844" t="s">
        <v>529</v>
      </c>
      <c r="C2522" s="747" t="e">
        <f>VLOOKUP(B2518,'CNKT '!#REF!,12,0)</f>
        <v>#REF!</v>
      </c>
      <c r="D2522" s="697">
        <f>76.9*$B$2</f>
        <v>51433.796000000009</v>
      </c>
      <c r="E2522" s="695" t="e">
        <f t="shared" si="297"/>
        <v>#REF!</v>
      </c>
      <c r="F2522" s="750"/>
      <c r="G2522" s="693" t="s">
        <v>399</v>
      </c>
      <c r="H2522" s="844" t="s">
        <v>529</v>
      </c>
      <c r="I2522" s="747" t="e">
        <f>VLOOKUP(H2518,'CNKT '!#REF!,12,0)</f>
        <v>#REF!</v>
      </c>
      <c r="J2522" s="697">
        <f>76.9*$B$2</f>
        <v>51433.796000000009</v>
      </c>
      <c r="K2522" s="695" t="e">
        <f t="shared" si="298"/>
        <v>#REF!</v>
      </c>
      <c r="L2522" s="690"/>
    </row>
    <row r="2523" spans="1:12" s="27" customFormat="1" ht="17.25" customHeight="1">
      <c r="A2523" s="693" t="s">
        <v>78</v>
      </c>
      <c r="B2523" s="844" t="s">
        <v>530</v>
      </c>
      <c r="C2523" s="747" t="e">
        <f>VLOOKUP(B2518,'CNKT '!#REF!,8,0)</f>
        <v>#REF!</v>
      </c>
      <c r="D2523" s="697" t="e">
        <f>IF(C2519="A",6.1,IF(C2519="B",5.8,IF(C2519="C",5.5,IF(C2519="C.",5.5,IF(C2519="D",5.2)))))*$B$2</f>
        <v>#REF!</v>
      </c>
      <c r="E2523" s="695" t="e">
        <f t="shared" si="297"/>
        <v>#REF!</v>
      </c>
      <c r="F2523" s="750"/>
      <c r="G2523" s="693" t="s">
        <v>78</v>
      </c>
      <c r="H2523" s="844" t="s">
        <v>530</v>
      </c>
      <c r="I2523" s="747" t="e">
        <f>VLOOKUP(H2518,'CNKT '!#REF!,8,0)</f>
        <v>#REF!</v>
      </c>
      <c r="J2523" s="697" t="e">
        <f>IF(I2519="A",6.1,IF(I2519="B",5.8,IF(I2519="C",5.5,IF(I2519="C.",5.5,IF(I2519="D",5.2)))))*$B$2</f>
        <v>#REF!</v>
      </c>
      <c r="K2523" s="695" t="e">
        <f t="shared" si="298"/>
        <v>#REF!</v>
      </c>
      <c r="L2523" s="690"/>
    </row>
    <row r="2524" spans="1:12" s="27" customFormat="1" ht="17.25" customHeight="1">
      <c r="A2524" s="693" t="s">
        <v>447</v>
      </c>
      <c r="B2524" s="844" t="s">
        <v>531</v>
      </c>
      <c r="C2524" s="747" t="e">
        <f>VLOOKUP(B2518,'CNKT '!#REF!,15,0)</f>
        <v>#REF!</v>
      </c>
      <c r="D2524" s="698">
        <f>92.2*$B$2</f>
        <v>61667.048000000003</v>
      </c>
      <c r="E2524" s="695" t="e">
        <f t="shared" si="297"/>
        <v>#REF!</v>
      </c>
      <c r="F2524" s="750"/>
      <c r="G2524" s="693" t="s">
        <v>447</v>
      </c>
      <c r="H2524" s="844" t="s">
        <v>531</v>
      </c>
      <c r="I2524" s="747" t="e">
        <f>VLOOKUP(H2518,'CNKT '!#REF!,15,0)</f>
        <v>#REF!</v>
      </c>
      <c r="J2524" s="698">
        <f>92.2*$B$2</f>
        <v>61667.048000000003</v>
      </c>
      <c r="K2524" s="695" t="e">
        <f t="shared" si="298"/>
        <v>#REF!</v>
      </c>
      <c r="L2524" s="690"/>
    </row>
    <row r="2525" spans="1:12" s="27" customFormat="1" ht="17.25" customHeight="1">
      <c r="A2525" s="693" t="s">
        <v>448</v>
      </c>
      <c r="B2525" s="844" t="s">
        <v>496</v>
      </c>
      <c r="C2525" s="747" t="e">
        <f>VLOOKUP(B2518,'CNKT '!#REF!,14,0)</f>
        <v>#REF!</v>
      </c>
      <c r="D2525" s="697">
        <f>153.6*$B$2</f>
        <v>102733.82400000001</v>
      </c>
      <c r="E2525" s="695" t="e">
        <f t="shared" si="297"/>
        <v>#REF!</v>
      </c>
      <c r="F2525" s="750"/>
      <c r="G2525" s="693" t="s">
        <v>448</v>
      </c>
      <c r="H2525" s="844" t="s">
        <v>496</v>
      </c>
      <c r="I2525" s="747" t="e">
        <f>VLOOKUP(H2518,'CNKT '!#REF!,14,0)</f>
        <v>#REF!</v>
      </c>
      <c r="J2525" s="697">
        <f>153.6*$B$2</f>
        <v>102733.82400000001</v>
      </c>
      <c r="K2525" s="695" t="e">
        <f t="shared" si="298"/>
        <v>#REF!</v>
      </c>
      <c r="L2525" s="690"/>
    </row>
    <row r="2526" spans="1:12" s="27" customFormat="1" ht="17.25" customHeight="1">
      <c r="A2526" s="693" t="s">
        <v>453</v>
      </c>
      <c r="B2526" s="844" t="s">
        <v>497</v>
      </c>
      <c r="C2526" s="747" t="e">
        <f>VLOOKUP(B2518,'CNKT '!#REF!,18,0)</f>
        <v>#REF!</v>
      </c>
      <c r="D2526" s="697">
        <v>10000</v>
      </c>
      <c r="E2526" s="695" t="e">
        <f>C2526*D2526</f>
        <v>#REF!</v>
      </c>
      <c r="F2526" s="750"/>
      <c r="G2526" s="693" t="s">
        <v>453</v>
      </c>
      <c r="H2526" s="844" t="s">
        <v>497</v>
      </c>
      <c r="I2526" s="747" t="e">
        <f>VLOOKUP(H2518,'CNKT '!#REF!,18,0)</f>
        <v>#REF!</v>
      </c>
      <c r="J2526" s="697">
        <v>10000</v>
      </c>
      <c r="K2526" s="695" t="e">
        <f>I2526*J2526</f>
        <v>#REF!</v>
      </c>
      <c r="L2526" s="690"/>
    </row>
    <row r="2527" spans="1:12" s="27" customFormat="1" ht="17.25" customHeight="1">
      <c r="A2527" s="693" t="s">
        <v>453</v>
      </c>
      <c r="B2527" s="844" t="s">
        <v>497</v>
      </c>
      <c r="C2527" s="747" t="e">
        <f>VLOOKUP(B2518,'CNKT '!#REF!,19,0)</f>
        <v>#REF!</v>
      </c>
      <c r="D2527" s="697">
        <v>20000</v>
      </c>
      <c r="E2527" s="695" t="e">
        <f>C2527*D2527</f>
        <v>#REF!</v>
      </c>
      <c r="F2527" s="750"/>
      <c r="G2527" s="693" t="s">
        <v>453</v>
      </c>
      <c r="H2527" s="844" t="s">
        <v>497</v>
      </c>
      <c r="I2527" s="747" t="e">
        <f>VLOOKUP(H2518,'CNKT '!#REF!,19,0)</f>
        <v>#REF!</v>
      </c>
      <c r="J2527" s="697">
        <v>20000</v>
      </c>
      <c r="K2527" s="695" t="e">
        <f>I2527*J2527</f>
        <v>#REF!</v>
      </c>
      <c r="L2527" s="690"/>
    </row>
    <row r="2528" spans="1:12" s="27" customFormat="1" ht="17.25" customHeight="1">
      <c r="A2528" s="699" t="s">
        <v>79</v>
      </c>
      <c r="B2528" s="845" t="s">
        <v>532</v>
      </c>
      <c r="C2528" s="700"/>
      <c r="D2528" s="701"/>
      <c r="E2528" s="700"/>
      <c r="F2528" s="750"/>
      <c r="G2528" s="699" t="s">
        <v>79</v>
      </c>
      <c r="H2528" s="845" t="s">
        <v>532</v>
      </c>
      <c r="I2528" s="700"/>
      <c r="J2528" s="701"/>
      <c r="K2528" s="700"/>
      <c r="L2528" s="690"/>
    </row>
    <row r="2529" spans="1:12" s="27" customFormat="1" ht="17.25" customHeight="1">
      <c r="A2529" s="702" t="s">
        <v>80</v>
      </c>
      <c r="B2529" s="846" t="s">
        <v>533</v>
      </c>
      <c r="C2529" s="700"/>
      <c r="D2529" s="700"/>
      <c r="E2529" s="700"/>
      <c r="F2529" s="750"/>
      <c r="G2529" s="702" t="s">
        <v>80</v>
      </c>
      <c r="H2529" s="846" t="s">
        <v>533</v>
      </c>
      <c r="I2529" s="700"/>
      <c r="J2529" s="700"/>
      <c r="K2529" s="700"/>
      <c r="L2529" s="690"/>
    </row>
    <row r="2530" spans="1:12" s="27" customFormat="1" ht="17.25" customHeight="1">
      <c r="A2530" s="702" t="s">
        <v>81</v>
      </c>
      <c r="B2530" s="847" t="s">
        <v>534</v>
      </c>
      <c r="C2530" s="700"/>
      <c r="D2530" s="700"/>
      <c r="E2530" s="695">
        <f>SUM(E2529)</f>
        <v>0</v>
      </c>
      <c r="F2530" s="750"/>
      <c r="G2530" s="702" t="s">
        <v>81</v>
      </c>
      <c r="H2530" s="847" t="s">
        <v>534</v>
      </c>
      <c r="I2530" s="700"/>
      <c r="J2530" s="700"/>
      <c r="K2530" s="695">
        <f>SUM(K2529)</f>
        <v>0</v>
      </c>
      <c r="L2530" s="690"/>
    </row>
    <row r="2531" spans="1:12" s="27" customFormat="1" ht="17.25" customHeight="1">
      <c r="A2531" s="704" t="s">
        <v>82</v>
      </c>
      <c r="B2531" s="848" t="s">
        <v>438</v>
      </c>
      <c r="C2531" s="705"/>
      <c r="D2531" s="705"/>
      <c r="E2531" s="705" t="e">
        <f>(E2520+E2521+E2522+E2523+E2524+E2525+E2526+E2527)-E2530</f>
        <v>#REF!</v>
      </c>
      <c r="F2531" s="750"/>
      <c r="G2531" s="704" t="s">
        <v>82</v>
      </c>
      <c r="H2531" s="848" t="s">
        <v>438</v>
      </c>
      <c r="I2531" s="705"/>
      <c r="J2531" s="705"/>
      <c r="K2531" s="705" t="e">
        <f>(K2520+K2521+K2522+K2523+K2524+K2525+K2526+K2527)-K2530</f>
        <v>#REF!</v>
      </c>
      <c r="L2531" s="707" t="e">
        <f>E2531+K2531</f>
        <v>#REF!</v>
      </c>
    </row>
    <row r="2532" spans="1:12" s="27" customFormat="1" ht="17.25" customHeight="1">
      <c r="A2532" s="763"/>
      <c r="B2532" s="763"/>
      <c r="C2532" s="763"/>
      <c r="D2532" s="763"/>
      <c r="E2532" s="763"/>
      <c r="F2532" s="763"/>
      <c r="G2532" s="763"/>
      <c r="H2532" s="763"/>
      <c r="I2532" s="763"/>
      <c r="J2532" s="763"/>
      <c r="K2532" s="763"/>
      <c r="L2532" s="690"/>
    </row>
    <row r="2533" spans="1:12" s="27" customFormat="1" ht="17.25" customHeight="1">
      <c r="A2533" s="759" t="str">
        <f>A2517</f>
        <v>LƯƠNG THÁNG 01/2025</v>
      </c>
      <c r="B2533" s="763"/>
      <c r="C2533" s="763"/>
      <c r="D2533" s="763"/>
      <c r="E2533" s="766" t="e">
        <f>VLOOKUP(B2534,'CNKT '!#REF!,26,0)</f>
        <v>#REF!</v>
      </c>
      <c r="F2533" s="750"/>
      <c r="G2533" s="759" t="str">
        <f>A2533</f>
        <v>LƯƠNG THÁNG 01/2025</v>
      </c>
      <c r="H2533" s="763"/>
      <c r="I2533" s="763"/>
      <c r="J2533" s="766"/>
      <c r="K2533" s="766" t="e">
        <f>VLOOKUP(H2534,'CNKT '!#REF!,26,0)</f>
        <v>#REF!</v>
      </c>
      <c r="L2533" s="690"/>
    </row>
    <row r="2534" spans="1:12" s="27" customFormat="1" ht="17.25" customHeight="1">
      <c r="A2534" s="709" t="s">
        <v>15</v>
      </c>
      <c r="B2534" s="840" t="e">
        <f>'CNKT '!#REF!</f>
        <v>#REF!</v>
      </c>
      <c r="C2534" s="694"/>
      <c r="D2534" s="694"/>
      <c r="E2534" s="753" t="s">
        <v>42</v>
      </c>
      <c r="F2534" s="750"/>
      <c r="G2534" s="709" t="s">
        <v>15</v>
      </c>
      <c r="H2534" s="840" t="e">
        <f>'CNKT '!#REF!</f>
        <v>#REF!</v>
      </c>
      <c r="I2534" s="694"/>
      <c r="J2534" s="753" t="s">
        <v>42</v>
      </c>
      <c r="K2534" s="749"/>
      <c r="L2534" s="690"/>
    </row>
    <row r="2535" spans="1:12" s="27" customFormat="1" ht="17.25" customHeight="1">
      <c r="A2535" s="693" t="s">
        <v>397</v>
      </c>
      <c r="B2535" s="842" t="s">
        <v>527</v>
      </c>
      <c r="C2535" s="694" t="e">
        <f>VLOOKUP(B2534,'BTH mủ tạp'!$D$161:$AN$161,36,0)</f>
        <v>#REF!</v>
      </c>
      <c r="D2535" s="695"/>
      <c r="E2535" s="695"/>
      <c r="F2535" s="750"/>
      <c r="G2535" s="693" t="s">
        <v>397</v>
      </c>
      <c r="H2535" s="842" t="s">
        <v>527</v>
      </c>
      <c r="I2535" s="694" t="e">
        <f>VLOOKUP(H2534,'BTH mủ tạp'!$D$161:$AN$161,36,0)</f>
        <v>#REF!</v>
      </c>
      <c r="J2535" s="695"/>
      <c r="K2535" s="695"/>
      <c r="L2535" s="690"/>
    </row>
    <row r="2536" spans="1:12" s="27" customFormat="1" ht="17.25" customHeight="1">
      <c r="A2536" s="693" t="s">
        <v>77</v>
      </c>
      <c r="B2536" s="843" t="s">
        <v>432</v>
      </c>
      <c r="C2536" s="696" t="e">
        <f>VLOOKUP(B2534,'CNKT '!#REF!,3,0)</f>
        <v>#REF!</v>
      </c>
      <c r="D2536" s="697">
        <v>25000</v>
      </c>
      <c r="E2536" s="695" t="e">
        <f t="shared" ref="E2536:E2541" si="299">C2536*D2536</f>
        <v>#REF!</v>
      </c>
      <c r="F2536" s="750"/>
      <c r="G2536" s="693" t="s">
        <v>77</v>
      </c>
      <c r="H2536" s="843" t="s">
        <v>432</v>
      </c>
      <c r="I2536" s="696" t="e">
        <f>VLOOKUP(H2534,'CNKT '!$D$179:$AA$179,3,0)</f>
        <v>#REF!</v>
      </c>
      <c r="J2536" s="697">
        <v>25000</v>
      </c>
      <c r="K2536" s="695" t="e">
        <f t="shared" ref="K2536:K2541" si="300">I2536*J2536</f>
        <v>#REF!</v>
      </c>
      <c r="L2536" s="690"/>
    </row>
    <row r="2537" spans="1:12" s="27" customFormat="1" ht="17.25" customHeight="1">
      <c r="A2537" s="693" t="s">
        <v>307</v>
      </c>
      <c r="B2537" s="844" t="s">
        <v>528</v>
      </c>
      <c r="C2537" s="747" t="e">
        <f>VLOOKUP(B2534,'CNKT '!#REF!,11,0)</f>
        <v>#REF!</v>
      </c>
      <c r="D2537" s="698">
        <f>46.1*$B$2</f>
        <v>30833.524000000001</v>
      </c>
      <c r="E2537" s="695" t="e">
        <f t="shared" si="299"/>
        <v>#REF!</v>
      </c>
      <c r="F2537" s="750"/>
      <c r="G2537" s="693" t="s">
        <v>307</v>
      </c>
      <c r="H2537" s="844" t="s">
        <v>528</v>
      </c>
      <c r="I2537" s="747" t="e">
        <f>VLOOKUP(H2534,'CNKT '!$D$179:$AA$179,11,0)</f>
        <v>#REF!</v>
      </c>
      <c r="J2537" s="698">
        <f>46.1*$B$2</f>
        <v>30833.524000000001</v>
      </c>
      <c r="K2537" s="695" t="e">
        <f t="shared" si="300"/>
        <v>#REF!</v>
      </c>
      <c r="L2537" s="690"/>
    </row>
    <row r="2538" spans="1:12" s="27" customFormat="1" ht="17.25" customHeight="1">
      <c r="A2538" s="693" t="s">
        <v>399</v>
      </c>
      <c r="B2538" s="844" t="s">
        <v>529</v>
      </c>
      <c r="C2538" s="747" t="e">
        <f>VLOOKUP(B2534,'CNKT '!#REF!,12,0)</f>
        <v>#REF!</v>
      </c>
      <c r="D2538" s="697">
        <f>76.9*$B$2</f>
        <v>51433.796000000009</v>
      </c>
      <c r="E2538" s="695" t="e">
        <f t="shared" si="299"/>
        <v>#REF!</v>
      </c>
      <c r="F2538" s="750"/>
      <c r="G2538" s="693" t="s">
        <v>399</v>
      </c>
      <c r="H2538" s="844" t="s">
        <v>529</v>
      </c>
      <c r="I2538" s="747" t="e">
        <f>VLOOKUP(H2534,'CNKT '!$D$179:$AA$179,12,0)</f>
        <v>#REF!</v>
      </c>
      <c r="J2538" s="697">
        <f>76.9*$B$2</f>
        <v>51433.796000000009</v>
      </c>
      <c r="K2538" s="695" t="e">
        <f t="shared" si="300"/>
        <v>#REF!</v>
      </c>
      <c r="L2538" s="690"/>
    </row>
    <row r="2539" spans="1:12" s="27" customFormat="1" ht="17.25" customHeight="1">
      <c r="A2539" s="693" t="s">
        <v>78</v>
      </c>
      <c r="B2539" s="844" t="s">
        <v>530</v>
      </c>
      <c r="C2539" s="747" t="e">
        <f>VLOOKUP(B2534,'CNKT '!#REF!,8,0)</f>
        <v>#REF!</v>
      </c>
      <c r="D2539" s="697" t="e">
        <f>IF(C2535="A",6.1,IF(C2535="B",5.8,IF(C2535="C",5.5,IF(C2535="C.",5.5,IF(C2535="D",5.2)))))*$B$2</f>
        <v>#REF!</v>
      </c>
      <c r="E2539" s="695" t="e">
        <f t="shared" si="299"/>
        <v>#REF!</v>
      </c>
      <c r="F2539" s="750"/>
      <c r="G2539" s="693" t="s">
        <v>78</v>
      </c>
      <c r="H2539" s="844" t="s">
        <v>530</v>
      </c>
      <c r="I2539" s="747" t="e">
        <f>VLOOKUP(H2534,'CNKT '!$D$179:$AA$179,8,0)</f>
        <v>#REF!</v>
      </c>
      <c r="J2539" s="697" t="e">
        <f>IF(I2535="A",6.1,IF(I2535="B",5.8,IF(I2535="C",5.5,IF(I2535="C.",5.5,IF(I2535="D",5.2)))))*$B$2</f>
        <v>#REF!</v>
      </c>
      <c r="K2539" s="695" t="e">
        <f t="shared" si="300"/>
        <v>#REF!</v>
      </c>
      <c r="L2539" s="690"/>
    </row>
    <row r="2540" spans="1:12" s="27" customFormat="1" ht="17.25" customHeight="1">
      <c r="A2540" s="693" t="s">
        <v>447</v>
      </c>
      <c r="B2540" s="844" t="s">
        <v>531</v>
      </c>
      <c r="C2540" s="747" t="e">
        <f>VLOOKUP(B2534,'CNKT '!#REF!,15,0)</f>
        <v>#REF!</v>
      </c>
      <c r="D2540" s="698">
        <f>92.2*$B$2</f>
        <v>61667.048000000003</v>
      </c>
      <c r="E2540" s="695" t="e">
        <f t="shared" si="299"/>
        <v>#REF!</v>
      </c>
      <c r="F2540" s="750"/>
      <c r="G2540" s="693" t="s">
        <v>447</v>
      </c>
      <c r="H2540" s="844" t="s">
        <v>531</v>
      </c>
      <c r="I2540" s="747" t="e">
        <f>VLOOKUP(H2534,'CNKT '!$D$179:$AA$179,15,0)</f>
        <v>#REF!</v>
      </c>
      <c r="J2540" s="698">
        <f>92.2*$B$2</f>
        <v>61667.048000000003</v>
      </c>
      <c r="K2540" s="695" t="e">
        <f t="shared" si="300"/>
        <v>#REF!</v>
      </c>
      <c r="L2540" s="690"/>
    </row>
    <row r="2541" spans="1:12" s="27" customFormat="1" ht="17.25" customHeight="1">
      <c r="A2541" s="693" t="s">
        <v>448</v>
      </c>
      <c r="B2541" s="844" t="s">
        <v>496</v>
      </c>
      <c r="C2541" s="747" t="e">
        <f>VLOOKUP(B2534,'CNKT '!#REF!,14,0)</f>
        <v>#REF!</v>
      </c>
      <c r="D2541" s="697">
        <f>153.6*$B$2</f>
        <v>102733.82400000001</v>
      </c>
      <c r="E2541" s="695" t="e">
        <f t="shared" si="299"/>
        <v>#REF!</v>
      </c>
      <c r="F2541" s="750"/>
      <c r="G2541" s="693" t="s">
        <v>448</v>
      </c>
      <c r="H2541" s="844" t="s">
        <v>496</v>
      </c>
      <c r="I2541" s="747" t="e">
        <f>VLOOKUP(H2534,'CNKT '!$D$179:$AA$179,14,0)</f>
        <v>#REF!</v>
      </c>
      <c r="J2541" s="697">
        <f>153.6*$B$2</f>
        <v>102733.82400000001</v>
      </c>
      <c r="K2541" s="695" t="e">
        <f t="shared" si="300"/>
        <v>#REF!</v>
      </c>
      <c r="L2541" s="690"/>
    </row>
    <row r="2542" spans="1:12" s="27" customFormat="1" ht="17.25" customHeight="1">
      <c r="A2542" s="693" t="s">
        <v>453</v>
      </c>
      <c r="B2542" s="844" t="s">
        <v>497</v>
      </c>
      <c r="C2542" s="747" t="e">
        <f>VLOOKUP(B2534,'CNKT '!#REF!,18,0)</f>
        <v>#REF!</v>
      </c>
      <c r="D2542" s="697">
        <v>10000</v>
      </c>
      <c r="E2542" s="695" t="e">
        <f>C2542*D2542</f>
        <v>#REF!</v>
      </c>
      <c r="F2542" s="750"/>
      <c r="G2542" s="693" t="s">
        <v>453</v>
      </c>
      <c r="H2542" s="844" t="s">
        <v>497</v>
      </c>
      <c r="I2542" s="747" t="e">
        <f>VLOOKUP(H2534,'CNKT '!#REF!,18,0)</f>
        <v>#REF!</v>
      </c>
      <c r="J2542" s="697">
        <v>10000</v>
      </c>
      <c r="K2542" s="695" t="e">
        <f>I2542*J2542</f>
        <v>#REF!</v>
      </c>
      <c r="L2542" s="690"/>
    </row>
    <row r="2543" spans="1:12" s="27" customFormat="1" ht="17.25" customHeight="1">
      <c r="A2543" s="693" t="s">
        <v>453</v>
      </c>
      <c r="B2543" s="844" t="s">
        <v>497</v>
      </c>
      <c r="C2543" s="747" t="e">
        <f>VLOOKUP(B2534,'CNKT '!#REF!,19,0)</f>
        <v>#REF!</v>
      </c>
      <c r="D2543" s="697">
        <v>20000</v>
      </c>
      <c r="E2543" s="695" t="e">
        <f>C2543*D2543</f>
        <v>#REF!</v>
      </c>
      <c r="F2543" s="750"/>
      <c r="G2543" s="693" t="s">
        <v>453</v>
      </c>
      <c r="H2543" s="844" t="s">
        <v>497</v>
      </c>
      <c r="I2543" s="747" t="e">
        <f>VLOOKUP(H2534,'CNKT '!#REF!,19,0)</f>
        <v>#REF!</v>
      </c>
      <c r="J2543" s="697">
        <v>20000</v>
      </c>
      <c r="K2543" s="695" t="e">
        <f>I2543*J2543</f>
        <v>#REF!</v>
      </c>
      <c r="L2543" s="690"/>
    </row>
    <row r="2544" spans="1:12" s="27" customFormat="1" ht="17.25" customHeight="1">
      <c r="A2544" s="699" t="s">
        <v>79</v>
      </c>
      <c r="B2544" s="845" t="s">
        <v>532</v>
      </c>
      <c r="C2544" s="700"/>
      <c r="D2544" s="701"/>
      <c r="E2544" s="700"/>
      <c r="F2544" s="750"/>
      <c r="G2544" s="699" t="s">
        <v>79</v>
      </c>
      <c r="H2544" s="845" t="s">
        <v>532</v>
      </c>
      <c r="I2544" s="700"/>
      <c r="J2544" s="701"/>
      <c r="K2544" s="700"/>
      <c r="L2544" s="690"/>
    </row>
    <row r="2545" spans="1:15" s="27" customFormat="1" ht="17.25" customHeight="1">
      <c r="A2545" s="702" t="s">
        <v>80</v>
      </c>
      <c r="B2545" s="846" t="s">
        <v>533</v>
      </c>
      <c r="C2545" s="700"/>
      <c r="D2545" s="700"/>
      <c r="E2545" s="700"/>
      <c r="F2545" s="750"/>
      <c r="G2545" s="702" t="s">
        <v>80</v>
      </c>
      <c r="H2545" s="846" t="s">
        <v>533</v>
      </c>
      <c r="I2545" s="700"/>
      <c r="J2545" s="700"/>
      <c r="K2545" s="700"/>
      <c r="L2545" s="690"/>
    </row>
    <row r="2546" spans="1:15" s="27" customFormat="1" ht="17.25" customHeight="1">
      <c r="A2546" s="702" t="s">
        <v>81</v>
      </c>
      <c r="B2546" s="847" t="s">
        <v>534</v>
      </c>
      <c r="C2546" s="700"/>
      <c r="D2546" s="700"/>
      <c r="E2546" s="695">
        <f>SUM(E2545)</f>
        <v>0</v>
      </c>
      <c r="F2546" s="750"/>
      <c r="G2546" s="702" t="s">
        <v>81</v>
      </c>
      <c r="H2546" s="847" t="s">
        <v>534</v>
      </c>
      <c r="I2546" s="700"/>
      <c r="J2546" s="700"/>
      <c r="K2546" s="695">
        <f>SUM(K2545)</f>
        <v>0</v>
      </c>
      <c r="L2546" s="690"/>
    </row>
    <row r="2547" spans="1:15" s="27" customFormat="1" ht="17.25" customHeight="1">
      <c r="A2547" s="704" t="s">
        <v>82</v>
      </c>
      <c r="B2547" s="848" t="s">
        <v>438</v>
      </c>
      <c r="C2547" s="705"/>
      <c r="D2547" s="705"/>
      <c r="E2547" s="705" t="e">
        <f>(E2536+E2537+E2538+E2539+E2540+E2541+E2542+E2543)-E2546</f>
        <v>#REF!</v>
      </c>
      <c r="F2547" s="750"/>
      <c r="G2547" s="704" t="s">
        <v>82</v>
      </c>
      <c r="H2547" s="848" t="s">
        <v>438</v>
      </c>
      <c r="I2547" s="705"/>
      <c r="J2547" s="705"/>
      <c r="K2547" s="705" t="e">
        <f>(K2536+K2537+K2538+K2539+K2540+K2541+K2542+K2543)-K2546</f>
        <v>#REF!</v>
      </c>
      <c r="L2547" s="707" t="e">
        <f>E2547+K2547</f>
        <v>#REF!</v>
      </c>
    </row>
    <row r="2548" spans="1:15" s="27" customFormat="1" ht="17.25" customHeight="1">
      <c r="A2548" s="693"/>
      <c r="B2548" s="693"/>
      <c r="C2548" s="840"/>
      <c r="D2548" s="840"/>
      <c r="E2548" s="695"/>
      <c r="F2548" s="750"/>
      <c r="G2548" s="738"/>
      <c r="H2548" s="754"/>
      <c r="I2548" s="755"/>
      <c r="J2548" s="746"/>
      <c r="K2548" s="749"/>
      <c r="L2548" s="690"/>
    </row>
    <row r="2549" spans="1:15" s="27" customFormat="1" ht="46.5" customHeight="1">
      <c r="A2549" s="756"/>
      <c r="B2549" s="757"/>
      <c r="C2549" s="837"/>
      <c r="D2549" s="837"/>
      <c r="E2549" s="758"/>
      <c r="F2549" s="750"/>
      <c r="G2549" s="759"/>
      <c r="H2549" s="760"/>
      <c r="I2549" s="761"/>
      <c r="J2549" s="762"/>
      <c r="K2549" s="749"/>
      <c r="L2549" s="690"/>
    </row>
    <row r="2550" spans="1:15" s="27" customFormat="1" ht="17.25" customHeight="1">
      <c r="A2550" s="759" t="str">
        <f>A2533</f>
        <v>LƯƠNG THÁNG 01/2025</v>
      </c>
      <c r="B2550" s="763"/>
      <c r="C2550" s="763"/>
      <c r="D2550" s="763"/>
      <c r="E2550" s="766" t="e">
        <f>VLOOKUP(B2551,'CNKT '!#REF!,26,0)</f>
        <v>#REF!</v>
      </c>
      <c r="F2550" s="750"/>
      <c r="G2550" s="759" t="str">
        <f>A2550</f>
        <v>LƯƠNG THÁNG 01/2025</v>
      </c>
      <c r="H2550" s="763"/>
      <c r="I2550" s="763"/>
      <c r="J2550" s="766"/>
      <c r="K2550" s="766" t="e">
        <f>VLOOKUP(H2551,'CNKT '!#REF!,26,0)</f>
        <v>#REF!</v>
      </c>
      <c r="L2550" s="690"/>
    </row>
    <row r="2551" spans="1:15" s="27" customFormat="1" ht="17.25" customHeight="1">
      <c r="A2551" s="709" t="s">
        <v>15</v>
      </c>
      <c r="B2551" s="840" t="e">
        <f>'CNKT '!#REF!</f>
        <v>#REF!</v>
      </c>
      <c r="C2551" s="694" t="e">
        <f>VLOOKUP(B2551,'BTH mủ tạp'!$D$161:$AN$161,36,0)</f>
        <v>#REF!</v>
      </c>
      <c r="D2551" s="694"/>
      <c r="E2551" s="753" t="s">
        <v>42</v>
      </c>
      <c r="F2551" s="750"/>
      <c r="G2551" s="709" t="s">
        <v>15</v>
      </c>
      <c r="H2551" s="840" t="e">
        <f>'CNKT '!#REF!</f>
        <v>#REF!</v>
      </c>
      <c r="I2551" s="694" t="e">
        <f>VLOOKUP(H2551,'BTH mủ tạp'!$D$161:$AN$161,36,0)</f>
        <v>#REF!</v>
      </c>
      <c r="J2551" s="753" t="s">
        <v>42</v>
      </c>
      <c r="K2551" s="749"/>
      <c r="L2551" s="690"/>
    </row>
    <row r="2552" spans="1:15" s="27" customFormat="1" ht="17.25" customHeight="1">
      <c r="A2552" s="693" t="s">
        <v>397</v>
      </c>
      <c r="B2552" s="842" t="s">
        <v>527</v>
      </c>
      <c r="C2552" s="694" t="e">
        <f>VLOOKUP(B2551,'BTH mủ tạp'!$D$161:$AN$161,36,0)</f>
        <v>#REF!</v>
      </c>
      <c r="D2552" s="695"/>
      <c r="E2552" s="695"/>
      <c r="F2552" s="750"/>
      <c r="G2552" s="693" t="s">
        <v>397</v>
      </c>
      <c r="H2552" s="842" t="s">
        <v>527</v>
      </c>
      <c r="I2552" s="694" t="e">
        <f>VLOOKUP(H2551,'BTH mủ tạp'!$D$161:$AN$161,36,0)</f>
        <v>#REF!</v>
      </c>
      <c r="J2552" s="695"/>
      <c r="K2552" s="695"/>
      <c r="L2552" s="690"/>
    </row>
    <row r="2553" spans="1:15" s="27" customFormat="1" ht="17.25" customHeight="1">
      <c r="A2553" s="693" t="s">
        <v>77</v>
      </c>
      <c r="B2553" s="843" t="s">
        <v>432</v>
      </c>
      <c r="C2553" s="696" t="e">
        <f>VLOOKUP(B2551,'CNKT '!$D$179:$AA$179,3,0)</f>
        <v>#REF!</v>
      </c>
      <c r="D2553" s="697">
        <v>25000</v>
      </c>
      <c r="E2553" s="695" t="e">
        <f t="shared" ref="E2553:E2558" si="301">C2553*D2553</f>
        <v>#REF!</v>
      </c>
      <c r="F2553" s="750"/>
      <c r="G2553" s="693" t="s">
        <v>77</v>
      </c>
      <c r="H2553" s="843" t="s">
        <v>432</v>
      </c>
      <c r="I2553" s="696" t="e">
        <f>VLOOKUP(H2551,'CNKT '!$D$179:$AA$179,3,0)</f>
        <v>#REF!</v>
      </c>
      <c r="J2553" s="697">
        <v>25000</v>
      </c>
      <c r="K2553" s="695" t="e">
        <f t="shared" ref="K2553:K2558" si="302">I2553*J2553</f>
        <v>#REF!</v>
      </c>
      <c r="L2553" s="690"/>
    </row>
    <row r="2554" spans="1:15" s="27" customFormat="1" ht="17.25" customHeight="1">
      <c r="A2554" s="693" t="s">
        <v>307</v>
      </c>
      <c r="B2554" s="844" t="s">
        <v>528</v>
      </c>
      <c r="C2554" s="747" t="e">
        <f>VLOOKUP(B2551,'CNKT '!$D$179:$AA$179,11,0)</f>
        <v>#REF!</v>
      </c>
      <c r="D2554" s="698">
        <f>46.1*$B$2</f>
        <v>30833.524000000001</v>
      </c>
      <c r="E2554" s="695" t="e">
        <f t="shared" si="301"/>
        <v>#REF!</v>
      </c>
      <c r="F2554" s="750"/>
      <c r="G2554" s="693" t="s">
        <v>307</v>
      </c>
      <c r="H2554" s="844" t="s">
        <v>528</v>
      </c>
      <c r="I2554" s="747" t="e">
        <f>VLOOKUP(H2551,'CNKT '!$D$179:$AA$179,11,0)</f>
        <v>#REF!</v>
      </c>
      <c r="J2554" s="698">
        <f>46.1*$B$2</f>
        <v>30833.524000000001</v>
      </c>
      <c r="K2554" s="695" t="e">
        <f t="shared" si="302"/>
        <v>#REF!</v>
      </c>
      <c r="L2554" s="690"/>
    </row>
    <row r="2555" spans="1:15" s="27" customFormat="1" ht="17.25" customHeight="1">
      <c r="A2555" s="693" t="s">
        <v>399</v>
      </c>
      <c r="B2555" s="844" t="s">
        <v>529</v>
      </c>
      <c r="C2555" s="747" t="e">
        <f>VLOOKUP(B2551,'CNKT '!$D$179:$AA$179,12,0)</f>
        <v>#REF!</v>
      </c>
      <c r="D2555" s="697">
        <f>76.9*$B$2</f>
        <v>51433.796000000009</v>
      </c>
      <c r="E2555" s="695" t="e">
        <f t="shared" si="301"/>
        <v>#REF!</v>
      </c>
      <c r="F2555" s="750"/>
      <c r="G2555" s="693" t="s">
        <v>399</v>
      </c>
      <c r="H2555" s="844" t="s">
        <v>529</v>
      </c>
      <c r="I2555" s="747" t="e">
        <f>VLOOKUP(H2551,'CNKT '!$D$179:$AA$179,12,0)</f>
        <v>#REF!</v>
      </c>
      <c r="J2555" s="697">
        <f>76.9*$B$2</f>
        <v>51433.796000000009</v>
      </c>
      <c r="K2555" s="695" t="e">
        <f t="shared" si="302"/>
        <v>#REF!</v>
      </c>
      <c r="L2555" s="690"/>
    </row>
    <row r="2556" spans="1:15" s="27" customFormat="1" ht="17.25" customHeight="1">
      <c r="A2556" s="693" t="s">
        <v>78</v>
      </c>
      <c r="B2556" s="844" t="s">
        <v>530</v>
      </c>
      <c r="C2556" s="747" t="e">
        <f>VLOOKUP(B2551,'CNKT '!$D$179:$AA$179,8,0)</f>
        <v>#REF!</v>
      </c>
      <c r="D2556" s="697" t="e">
        <f>IF(C2552="A",6.1,IF(C2552="B",5.8,IF(C2552="C",5.5,IF(C2552="C.",5.5,IF(C2552="D",5.2)))))*$B$2</f>
        <v>#REF!</v>
      </c>
      <c r="E2556" s="695" t="e">
        <f t="shared" si="301"/>
        <v>#REF!</v>
      </c>
      <c r="F2556" s="750"/>
      <c r="G2556" s="693" t="s">
        <v>78</v>
      </c>
      <c r="H2556" s="844" t="s">
        <v>530</v>
      </c>
      <c r="I2556" s="747" t="e">
        <f>VLOOKUP(H2551,'CNKT '!$D$179:$AA$179,8,0)</f>
        <v>#REF!</v>
      </c>
      <c r="J2556" s="697" t="e">
        <f>IF(I2552="A",6.1,IF(I2552="B",5.8,IF(I2552="C",5.5,IF(I2552="C.",5.5,IF(I2552="D",5.2)))))*$B$2</f>
        <v>#REF!</v>
      </c>
      <c r="K2556" s="695" t="e">
        <f t="shared" si="302"/>
        <v>#REF!</v>
      </c>
      <c r="L2556" s="690"/>
    </row>
    <row r="2557" spans="1:15" s="27" customFormat="1" ht="17.25" customHeight="1">
      <c r="A2557" s="693" t="s">
        <v>447</v>
      </c>
      <c r="B2557" s="844" t="s">
        <v>531</v>
      </c>
      <c r="C2557" s="747" t="e">
        <f>VLOOKUP(B2551,'CNKT '!$D$179:$AA$179,15,0)</f>
        <v>#REF!</v>
      </c>
      <c r="D2557" s="698">
        <f>92.2*$B$2</f>
        <v>61667.048000000003</v>
      </c>
      <c r="E2557" s="695" t="e">
        <f t="shared" si="301"/>
        <v>#REF!</v>
      </c>
      <c r="F2557" s="750"/>
      <c r="G2557" s="693" t="s">
        <v>447</v>
      </c>
      <c r="H2557" s="844" t="s">
        <v>531</v>
      </c>
      <c r="I2557" s="747" t="e">
        <f>VLOOKUP(H2551,'CNKT '!$D$179:$AA$179,15,0)</f>
        <v>#REF!</v>
      </c>
      <c r="J2557" s="698">
        <f>92.2*$B$2</f>
        <v>61667.048000000003</v>
      </c>
      <c r="K2557" s="695" t="e">
        <f t="shared" si="302"/>
        <v>#REF!</v>
      </c>
      <c r="L2557" s="690"/>
    </row>
    <row r="2558" spans="1:15" s="27" customFormat="1" ht="17.25" customHeight="1">
      <c r="A2558" s="693" t="s">
        <v>448</v>
      </c>
      <c r="B2558" s="844" t="s">
        <v>496</v>
      </c>
      <c r="C2558" s="747" t="e">
        <f>VLOOKUP(B2551,'CNKT '!$D$179:$AA$179,14,0)</f>
        <v>#REF!</v>
      </c>
      <c r="D2558" s="697">
        <f>153.6*$B$2</f>
        <v>102733.82400000001</v>
      </c>
      <c r="E2558" s="695" t="e">
        <f t="shared" si="301"/>
        <v>#REF!</v>
      </c>
      <c r="F2558" s="750"/>
      <c r="G2558" s="693" t="s">
        <v>448</v>
      </c>
      <c r="H2558" s="844" t="s">
        <v>496</v>
      </c>
      <c r="I2558" s="747" t="e">
        <f>VLOOKUP(H2551,'CNKT '!$D$179:$AA$179,14,0)</f>
        <v>#REF!</v>
      </c>
      <c r="J2558" s="697">
        <f>153.6*$B$2</f>
        <v>102733.82400000001</v>
      </c>
      <c r="K2558" s="695" t="e">
        <f t="shared" si="302"/>
        <v>#REF!</v>
      </c>
      <c r="L2558" s="690"/>
    </row>
    <row r="2559" spans="1:15" s="27" customFormat="1" ht="17.25" customHeight="1">
      <c r="A2559" s="693" t="s">
        <v>453</v>
      </c>
      <c r="B2559" s="844" t="s">
        <v>497</v>
      </c>
      <c r="C2559" s="747" t="e">
        <f>VLOOKUP(B2551,'CNKT '!#REF!,18,0)</f>
        <v>#REF!</v>
      </c>
      <c r="D2559" s="697">
        <v>10000</v>
      </c>
      <c r="E2559" s="695" t="e">
        <f>C2559*D2559</f>
        <v>#REF!</v>
      </c>
      <c r="F2559" s="750"/>
      <c r="G2559" s="693" t="s">
        <v>453</v>
      </c>
      <c r="H2559" s="844" t="s">
        <v>497</v>
      </c>
      <c r="I2559" s="747" t="e">
        <f>VLOOKUP(H2551,'CNKT '!#REF!,18,0)</f>
        <v>#REF!</v>
      </c>
      <c r="J2559" s="697">
        <v>10000</v>
      </c>
      <c r="K2559" s="695" t="e">
        <f>I2559*J2559</f>
        <v>#REF!</v>
      </c>
      <c r="L2559" s="690"/>
      <c r="M2559" s="726"/>
      <c r="O2559" s="736"/>
    </row>
    <row r="2560" spans="1:15" s="27" customFormat="1" ht="17.25" customHeight="1">
      <c r="A2560" s="693" t="s">
        <v>453</v>
      </c>
      <c r="B2560" s="844" t="s">
        <v>497</v>
      </c>
      <c r="C2560" s="747" t="e">
        <f>VLOOKUP(B2551,'CNKT '!#REF!,19,0)</f>
        <v>#REF!</v>
      </c>
      <c r="D2560" s="697">
        <v>20000</v>
      </c>
      <c r="E2560" s="695" t="e">
        <f>C2560*D2560</f>
        <v>#REF!</v>
      </c>
      <c r="F2560" s="750"/>
      <c r="G2560" s="693" t="s">
        <v>453</v>
      </c>
      <c r="H2560" s="844" t="s">
        <v>497</v>
      </c>
      <c r="I2560" s="747" t="e">
        <f>VLOOKUP(H2551,'CNKT '!#REF!,19,0)</f>
        <v>#REF!</v>
      </c>
      <c r="J2560" s="697">
        <v>20000</v>
      </c>
      <c r="K2560" s="695" t="e">
        <f>I2560*J2560</f>
        <v>#REF!</v>
      </c>
      <c r="L2560" s="690"/>
      <c r="M2560" s="726"/>
      <c r="O2560" s="736"/>
    </row>
    <row r="2561" spans="1:15" s="27" customFormat="1" ht="17.25" customHeight="1">
      <c r="A2561" s="699" t="s">
        <v>79</v>
      </c>
      <c r="B2561" s="845" t="s">
        <v>532</v>
      </c>
      <c r="C2561" s="700"/>
      <c r="D2561" s="701"/>
      <c r="E2561" s="700"/>
      <c r="F2561" s="750"/>
      <c r="G2561" s="699" t="s">
        <v>79</v>
      </c>
      <c r="H2561" s="845" t="s">
        <v>532</v>
      </c>
      <c r="I2561" s="700"/>
      <c r="J2561" s="701"/>
      <c r="K2561" s="700"/>
      <c r="L2561" s="690"/>
    </row>
    <row r="2562" spans="1:15" s="27" customFormat="1" ht="17.25" customHeight="1">
      <c r="A2562" s="702" t="s">
        <v>80</v>
      </c>
      <c r="B2562" s="846" t="s">
        <v>533</v>
      </c>
      <c r="C2562" s="700"/>
      <c r="D2562" s="700"/>
      <c r="E2562" s="700"/>
      <c r="F2562" s="750"/>
      <c r="G2562" s="702" t="s">
        <v>80</v>
      </c>
      <c r="H2562" s="846" t="s">
        <v>533</v>
      </c>
      <c r="I2562" s="700"/>
      <c r="J2562" s="700"/>
      <c r="K2562" s="700"/>
      <c r="L2562" s="725"/>
      <c r="M2562" s="726"/>
      <c r="N2562" s="674"/>
      <c r="O2562" s="736"/>
    </row>
    <row r="2563" spans="1:15" s="27" customFormat="1" ht="17.25" customHeight="1">
      <c r="A2563" s="702" t="s">
        <v>81</v>
      </c>
      <c r="B2563" s="847" t="s">
        <v>534</v>
      </c>
      <c r="C2563" s="700"/>
      <c r="D2563" s="700"/>
      <c r="E2563" s="695">
        <f>SUM(E2562)</f>
        <v>0</v>
      </c>
      <c r="F2563" s="749"/>
      <c r="G2563" s="702" t="s">
        <v>81</v>
      </c>
      <c r="H2563" s="847" t="s">
        <v>534</v>
      </c>
      <c r="I2563" s="700"/>
      <c r="J2563" s="700"/>
      <c r="K2563" s="695">
        <f>SUM(K2562)</f>
        <v>0</v>
      </c>
      <c r="L2563" s="690"/>
    </row>
    <row r="2564" spans="1:15" s="27" customFormat="1" ht="17.25" customHeight="1">
      <c r="A2564" s="704" t="s">
        <v>82</v>
      </c>
      <c r="B2564" s="848" t="s">
        <v>438</v>
      </c>
      <c r="C2564" s="705"/>
      <c r="D2564" s="705"/>
      <c r="E2564" s="705" t="e">
        <f>(E2553+E2554+E2555+E2556+E2557+E2558+E2559+E2560)-E2563</f>
        <v>#REF!</v>
      </c>
      <c r="F2564" s="749"/>
      <c r="G2564" s="704" t="s">
        <v>82</v>
      </c>
      <c r="H2564" s="848" t="s">
        <v>438</v>
      </c>
      <c r="I2564" s="705"/>
      <c r="J2564" s="705"/>
      <c r="K2564" s="705" t="e">
        <f>(K2553+K2554+K2555+K2556+K2557+K2558+K2559+K2560)-K2563</f>
        <v>#REF!</v>
      </c>
      <c r="L2564" s="707" t="e">
        <f>E2564+K2564</f>
        <v>#REF!</v>
      </c>
      <c r="M2564" s="703"/>
      <c r="N2564" s="703"/>
    </row>
    <row r="2565" spans="1:15" s="27" customFormat="1" ht="17.25" customHeight="1">
      <c r="H2565" s="703" t="e">
        <f>SUM(#REF!)</f>
        <v>#REF!</v>
      </c>
    </row>
    <row r="2566" spans="1:15" s="27" customFormat="1" ht="17.25" customHeight="1">
      <c r="A2566" s="759" t="str">
        <f>A2550</f>
        <v>LƯƠNG THÁNG 01/2025</v>
      </c>
      <c r="B2566" s="763"/>
      <c r="C2566" s="763"/>
      <c r="D2566" s="763"/>
      <c r="E2566" s="766" t="e">
        <f>VLOOKUP(B2567,'CNKT '!#REF!,26,0)</f>
        <v>#REF!</v>
      </c>
      <c r="F2566" s="750"/>
      <c r="G2566" s="759" t="str">
        <f>A2566</f>
        <v>LƯƠNG THÁNG 01/2025</v>
      </c>
      <c r="H2566" s="763"/>
      <c r="I2566" s="763"/>
      <c r="J2566" s="766"/>
      <c r="K2566" s="766" t="e">
        <f>VLOOKUP(H2567,'CNKT '!#REF!,26,0)</f>
        <v>#REF!</v>
      </c>
      <c r="L2566" s="703"/>
    </row>
    <row r="2567" spans="1:15" s="27" customFormat="1" ht="17.25" customHeight="1">
      <c r="A2567" s="709" t="s">
        <v>15</v>
      </c>
      <c r="B2567" s="840" t="e">
        <f>'CNKT '!#REF!</f>
        <v>#REF!</v>
      </c>
      <c r="C2567" s="694" t="e">
        <f>VLOOKUP(B2567,'BTH mủ tạp'!$D$161:$AN$161,36,0)</f>
        <v>#REF!</v>
      </c>
      <c r="D2567" s="694"/>
      <c r="E2567" s="753" t="s">
        <v>42</v>
      </c>
      <c r="F2567" s="750"/>
      <c r="G2567" s="709" t="s">
        <v>15</v>
      </c>
      <c r="H2567" s="840" t="e">
        <f>'CNKT '!#REF!</f>
        <v>#REF!</v>
      </c>
      <c r="I2567" s="694" t="e">
        <f>VLOOKUP(H2567,'BTH mủ tạp'!$D$161:$AN$161,36,0)</f>
        <v>#REF!</v>
      </c>
      <c r="J2567" s="753" t="s">
        <v>42</v>
      </c>
      <c r="K2567" s="749"/>
      <c r="L2567" s="703"/>
    </row>
    <row r="2568" spans="1:15" s="27" customFormat="1" ht="17.25" customHeight="1">
      <c r="A2568" s="693" t="s">
        <v>397</v>
      </c>
      <c r="B2568" s="842" t="s">
        <v>527</v>
      </c>
      <c r="C2568" s="694" t="e">
        <f>VLOOKUP(B2567,'BTH mủ tạp'!$D$161:$AN$161,36,0)</f>
        <v>#REF!</v>
      </c>
      <c r="D2568" s="695"/>
      <c r="E2568" s="695"/>
      <c r="F2568" s="750"/>
      <c r="G2568" s="693" t="s">
        <v>397</v>
      </c>
      <c r="H2568" s="842" t="s">
        <v>527</v>
      </c>
      <c r="I2568" s="694" t="e">
        <f>VLOOKUP(H2567,'BTH mủ tạp'!$D$161:$AN$161,36,0)</f>
        <v>#REF!</v>
      </c>
      <c r="J2568" s="695"/>
      <c r="K2568" s="695"/>
      <c r="L2568" s="674"/>
      <c r="M2568" s="736"/>
      <c r="N2568" s="736"/>
    </row>
    <row r="2569" spans="1:15" s="27" customFormat="1" ht="17.25" customHeight="1">
      <c r="A2569" s="693" t="s">
        <v>77</v>
      </c>
      <c r="B2569" s="843" t="s">
        <v>432</v>
      </c>
      <c r="C2569" s="696" t="e">
        <f>VLOOKUP(B2567,'CNKT '!$D$179:$AA$179,3,0)</f>
        <v>#REF!</v>
      </c>
      <c r="D2569" s="697">
        <v>25000</v>
      </c>
      <c r="E2569" s="695" t="e">
        <f t="shared" ref="E2569:E2574" si="303">C2569*D2569</f>
        <v>#REF!</v>
      </c>
      <c r="F2569" s="750"/>
      <c r="G2569" s="693" t="s">
        <v>77</v>
      </c>
      <c r="H2569" s="843" t="s">
        <v>432</v>
      </c>
      <c r="I2569" s="696" t="e">
        <f>VLOOKUP(H2567,'CNKT '!$D$179:$AA$179,3,0)</f>
        <v>#REF!</v>
      </c>
      <c r="J2569" s="697">
        <v>25000</v>
      </c>
      <c r="K2569" s="695" t="e">
        <f t="shared" ref="K2569:K2574" si="304">I2569*J2569</f>
        <v>#REF!</v>
      </c>
      <c r="L2569" s="674"/>
    </row>
    <row r="2570" spans="1:15" s="27" customFormat="1" ht="17.25" customHeight="1">
      <c r="A2570" s="693" t="s">
        <v>307</v>
      </c>
      <c r="B2570" s="844" t="s">
        <v>528</v>
      </c>
      <c r="C2570" s="747" t="e">
        <f>VLOOKUP(B2567,'CNKT '!$D$179:$AA$179,11,0)</f>
        <v>#REF!</v>
      </c>
      <c r="D2570" s="698">
        <f>46.1*$B$2</f>
        <v>30833.524000000001</v>
      </c>
      <c r="E2570" s="695" t="e">
        <f t="shared" si="303"/>
        <v>#REF!</v>
      </c>
      <c r="F2570" s="750"/>
      <c r="G2570" s="693" t="s">
        <v>307</v>
      </c>
      <c r="H2570" s="844" t="s">
        <v>528</v>
      </c>
      <c r="I2570" s="747" t="e">
        <f>VLOOKUP(H2567,'CNKT '!$D$179:$AA$179,11,0)</f>
        <v>#REF!</v>
      </c>
      <c r="J2570" s="698">
        <f>46.1*$B$2</f>
        <v>30833.524000000001</v>
      </c>
      <c r="K2570" s="695" t="e">
        <f t="shared" si="304"/>
        <v>#REF!</v>
      </c>
      <c r="L2570" s="674"/>
    </row>
    <row r="2571" spans="1:15" s="27" customFormat="1" ht="17.25" customHeight="1">
      <c r="A2571" s="693" t="s">
        <v>399</v>
      </c>
      <c r="B2571" s="844" t="s">
        <v>529</v>
      </c>
      <c r="C2571" s="747" t="e">
        <f>VLOOKUP(B2567,'CNKT '!$D$179:$AA$179,12,0)</f>
        <v>#REF!</v>
      </c>
      <c r="D2571" s="697">
        <f>76.9*$B$2</f>
        <v>51433.796000000009</v>
      </c>
      <c r="E2571" s="695" t="e">
        <f t="shared" si="303"/>
        <v>#REF!</v>
      </c>
      <c r="F2571" s="750"/>
      <c r="G2571" s="693" t="s">
        <v>399</v>
      </c>
      <c r="H2571" s="844" t="s">
        <v>529</v>
      </c>
      <c r="I2571" s="747" t="e">
        <f>VLOOKUP(H2567,'CNKT '!$D$179:$AA$179,12,0)</f>
        <v>#REF!</v>
      </c>
      <c r="J2571" s="697">
        <f>76.9*$B$2</f>
        <v>51433.796000000009</v>
      </c>
      <c r="K2571" s="695" t="e">
        <f t="shared" si="304"/>
        <v>#REF!</v>
      </c>
      <c r="L2571" s="674"/>
    </row>
    <row r="2572" spans="1:15" s="27" customFormat="1" ht="17.25" customHeight="1">
      <c r="A2572" s="693" t="s">
        <v>78</v>
      </c>
      <c r="B2572" s="844" t="s">
        <v>530</v>
      </c>
      <c r="C2572" s="747" t="e">
        <f>VLOOKUP(B2567,'CNKT '!$D$179:$AA$179,8,0)</f>
        <v>#REF!</v>
      </c>
      <c r="D2572" s="697" t="e">
        <f>IF(C2568="A",6.1,IF(C2568="B",5.8,IF(C2568="C",5.5,IF(C2568="C.",5.5,IF(C2568="D",5.2)))))*$B$2</f>
        <v>#REF!</v>
      </c>
      <c r="E2572" s="695" t="e">
        <f t="shared" si="303"/>
        <v>#REF!</v>
      </c>
      <c r="F2572" s="750"/>
      <c r="G2572" s="693" t="s">
        <v>78</v>
      </c>
      <c r="H2572" s="844" t="s">
        <v>530</v>
      </c>
      <c r="I2572" s="747" t="e">
        <f>VLOOKUP(H2567,'CNKT '!$D$179:$AA$179,8,0)</f>
        <v>#REF!</v>
      </c>
      <c r="J2572" s="697" t="e">
        <f>IF(I2568="A",6.1,IF(I2568="B",5.8,IF(I2568="C",5.5,IF(I2568="C.",5.5,IF(I2568="D",5.2)))))*$B$2</f>
        <v>#REF!</v>
      </c>
      <c r="K2572" s="695" t="e">
        <f t="shared" si="304"/>
        <v>#REF!</v>
      </c>
    </row>
    <row r="2573" spans="1:15" s="27" customFormat="1" ht="17.25" customHeight="1">
      <c r="A2573" s="693" t="s">
        <v>447</v>
      </c>
      <c r="B2573" s="844" t="s">
        <v>531</v>
      </c>
      <c r="C2573" s="747" t="e">
        <f>VLOOKUP(B2567,'CNKT '!$D$179:$AA$179,15,0)</f>
        <v>#REF!</v>
      </c>
      <c r="D2573" s="698">
        <f>92.2*$B$2</f>
        <v>61667.048000000003</v>
      </c>
      <c r="E2573" s="695" t="e">
        <f t="shared" si="303"/>
        <v>#REF!</v>
      </c>
      <c r="F2573" s="750"/>
      <c r="G2573" s="693" t="s">
        <v>447</v>
      </c>
      <c r="H2573" s="844" t="s">
        <v>531</v>
      </c>
      <c r="I2573" s="747" t="e">
        <f>VLOOKUP(H2567,'CNKT '!$D$179:$AA$179,15,0)</f>
        <v>#REF!</v>
      </c>
      <c r="J2573" s="698">
        <f>92.2*$B$2</f>
        <v>61667.048000000003</v>
      </c>
      <c r="K2573" s="695" t="e">
        <f t="shared" si="304"/>
        <v>#REF!</v>
      </c>
    </row>
    <row r="2574" spans="1:15" s="27" customFormat="1" ht="17.25" customHeight="1">
      <c r="A2574" s="693" t="s">
        <v>448</v>
      </c>
      <c r="B2574" s="844" t="s">
        <v>496</v>
      </c>
      <c r="C2574" s="747" t="e">
        <f>VLOOKUP(B2567,'CNKT '!$D$179:$AA$179,14,0)</f>
        <v>#REF!</v>
      </c>
      <c r="D2574" s="697">
        <f>153.6*$B$2</f>
        <v>102733.82400000001</v>
      </c>
      <c r="E2574" s="695" t="e">
        <f t="shared" si="303"/>
        <v>#REF!</v>
      </c>
      <c r="F2574" s="750"/>
      <c r="G2574" s="693" t="s">
        <v>448</v>
      </c>
      <c r="H2574" s="844" t="s">
        <v>496</v>
      </c>
      <c r="I2574" s="747" t="e">
        <f>VLOOKUP(H2567,'CNKT '!$D$179:$AA$179,14,0)</f>
        <v>#REF!</v>
      </c>
      <c r="J2574" s="697">
        <f>153.6*$B$2</f>
        <v>102733.82400000001</v>
      </c>
      <c r="K2574" s="695" t="e">
        <f t="shared" si="304"/>
        <v>#REF!</v>
      </c>
      <c r="L2574" s="726"/>
      <c r="M2574" s="736"/>
    </row>
    <row r="2575" spans="1:15" s="27" customFormat="1" ht="17.25" customHeight="1">
      <c r="A2575" s="693" t="s">
        <v>453</v>
      </c>
      <c r="B2575" s="844" t="s">
        <v>497</v>
      </c>
      <c r="C2575" s="747" t="e">
        <f>VLOOKUP(B2567,'CNKT '!#REF!,18,0)</f>
        <v>#REF!</v>
      </c>
      <c r="D2575" s="697">
        <v>10000</v>
      </c>
      <c r="E2575" s="695" t="e">
        <f>C2575*D2575</f>
        <v>#REF!</v>
      </c>
      <c r="F2575" s="750"/>
      <c r="G2575" s="693" t="s">
        <v>453</v>
      </c>
      <c r="H2575" s="844" t="s">
        <v>497</v>
      </c>
      <c r="I2575" s="747" t="e">
        <f>VLOOKUP(H2567,'CNKT '!#REF!,18,0)</f>
        <v>#REF!</v>
      </c>
      <c r="J2575" s="697">
        <v>10000</v>
      </c>
      <c r="K2575" s="695" t="e">
        <f>I2575*J2575</f>
        <v>#REF!</v>
      </c>
    </row>
    <row r="2576" spans="1:15" s="27" customFormat="1" ht="17.25" customHeight="1">
      <c r="A2576" s="693" t="s">
        <v>453</v>
      </c>
      <c r="B2576" s="844" t="s">
        <v>497</v>
      </c>
      <c r="C2576" s="747" t="e">
        <f>VLOOKUP(B2567,'CNKT '!#REF!,19,0)</f>
        <v>#REF!</v>
      </c>
      <c r="D2576" s="697">
        <v>20000</v>
      </c>
      <c r="E2576" s="695" t="e">
        <f>C2576*D2576</f>
        <v>#REF!</v>
      </c>
      <c r="F2576" s="750"/>
      <c r="G2576" s="693" t="s">
        <v>453</v>
      </c>
      <c r="H2576" s="844" t="s">
        <v>497</v>
      </c>
      <c r="I2576" s="747" t="e">
        <f>VLOOKUP(H2567,'CNKT '!#REF!,19,0)</f>
        <v>#REF!</v>
      </c>
      <c r="J2576" s="697">
        <v>20000</v>
      </c>
      <c r="K2576" s="695" t="e">
        <f>I2576*J2576</f>
        <v>#REF!</v>
      </c>
    </row>
    <row r="2577" spans="1:12" s="27" customFormat="1" ht="17.25" customHeight="1">
      <c r="A2577" s="699" t="s">
        <v>79</v>
      </c>
      <c r="B2577" s="845" t="s">
        <v>532</v>
      </c>
      <c r="C2577" s="700"/>
      <c r="D2577" s="701"/>
      <c r="E2577" s="700"/>
      <c r="F2577" s="750"/>
      <c r="G2577" s="699" t="s">
        <v>79</v>
      </c>
      <c r="H2577" s="845" t="s">
        <v>532</v>
      </c>
      <c r="I2577" s="700"/>
      <c r="J2577" s="701"/>
      <c r="K2577" s="700"/>
    </row>
    <row r="2578" spans="1:12" s="27" customFormat="1" ht="17.25" customHeight="1">
      <c r="A2578" s="702" t="s">
        <v>80</v>
      </c>
      <c r="B2578" s="846" t="s">
        <v>533</v>
      </c>
      <c r="C2578" s="700"/>
      <c r="D2578" s="700"/>
      <c r="E2578" s="700"/>
      <c r="F2578" s="750"/>
      <c r="G2578" s="702" t="s">
        <v>80</v>
      </c>
      <c r="H2578" s="846" t="s">
        <v>533</v>
      </c>
      <c r="I2578" s="700"/>
      <c r="J2578" s="700"/>
      <c r="K2578" s="700"/>
    </row>
    <row r="2579" spans="1:12" s="27" customFormat="1" ht="17.25" customHeight="1">
      <c r="A2579" s="702" t="s">
        <v>81</v>
      </c>
      <c r="B2579" s="847" t="s">
        <v>534</v>
      </c>
      <c r="C2579" s="700"/>
      <c r="D2579" s="700"/>
      <c r="E2579" s="695">
        <f>SUM(E2578)</f>
        <v>0</v>
      </c>
      <c r="F2579" s="749"/>
      <c r="G2579" s="702" t="s">
        <v>81</v>
      </c>
      <c r="H2579" s="847" t="s">
        <v>534</v>
      </c>
      <c r="I2579" s="700"/>
      <c r="J2579" s="700"/>
      <c r="K2579" s="695">
        <f>SUM(K2578)</f>
        <v>0</v>
      </c>
    </row>
    <row r="2580" spans="1:12" s="27" customFormat="1" ht="17.25" customHeight="1">
      <c r="A2580" s="704" t="s">
        <v>82</v>
      </c>
      <c r="B2580" s="848" t="s">
        <v>438</v>
      </c>
      <c r="C2580" s="705"/>
      <c r="D2580" s="705"/>
      <c r="E2580" s="705" t="e">
        <f>(E2569+E2570+E2571+E2572+E2573+E2574+E2575+E2576)-E2579</f>
        <v>#REF!</v>
      </c>
      <c r="F2580" s="749"/>
      <c r="G2580" s="704" t="s">
        <v>82</v>
      </c>
      <c r="H2580" s="848" t="s">
        <v>438</v>
      </c>
      <c r="I2580" s="705"/>
      <c r="J2580" s="705"/>
      <c r="K2580" s="705" t="e">
        <f>(K2569+K2570+K2571+K2572+K2573+K2574+K2575+K2576)-K2579</f>
        <v>#REF!</v>
      </c>
      <c r="L2580" s="707" t="e">
        <f>E2580+K2580</f>
        <v>#REF!</v>
      </c>
    </row>
    <row r="2581" spans="1:12" s="27" customFormat="1" ht="17.25" customHeight="1"/>
    <row r="2582" spans="1:12" s="27" customFormat="1" ht="17.25" customHeight="1">
      <c r="A2582" s="759" t="str">
        <f>A2566</f>
        <v>LƯƠNG THÁNG 01/2025</v>
      </c>
      <c r="B2582" s="763"/>
      <c r="C2582" s="763"/>
      <c r="D2582" s="763"/>
      <c r="E2582" s="766" t="e">
        <f>VLOOKUP(B2583,'CNKT '!#REF!,26,0)</f>
        <v>#REF!</v>
      </c>
      <c r="F2582" s="750"/>
      <c r="G2582" s="759" t="str">
        <f>A2582</f>
        <v>LƯƠNG THÁNG 01/2025</v>
      </c>
      <c r="H2582" s="763"/>
      <c r="I2582" s="763"/>
      <c r="J2582" s="766"/>
      <c r="K2582" s="766" t="e">
        <f>VLOOKUP(H2583,'CNKT '!#REF!,26,0)</f>
        <v>#REF!</v>
      </c>
    </row>
    <row r="2583" spans="1:12" s="27" customFormat="1" ht="17.25" customHeight="1">
      <c r="A2583" s="709" t="s">
        <v>15</v>
      </c>
      <c r="B2583" s="840" t="e">
        <f>'CNKT '!#REF!</f>
        <v>#REF!</v>
      </c>
      <c r="C2583" s="694" t="s">
        <v>38</v>
      </c>
      <c r="D2583" s="694"/>
      <c r="E2583" s="753" t="s">
        <v>42</v>
      </c>
      <c r="F2583" s="750"/>
      <c r="G2583" s="709" t="s">
        <v>15</v>
      </c>
      <c r="H2583" s="840" t="e">
        <f>'CNKT '!#REF!</f>
        <v>#REF!</v>
      </c>
      <c r="I2583" s="694"/>
      <c r="J2583" s="753" t="s">
        <v>42</v>
      </c>
      <c r="K2583" s="749"/>
    </row>
    <row r="2584" spans="1:12" s="27" customFormat="1" ht="17.25" customHeight="1">
      <c r="A2584" s="693" t="s">
        <v>397</v>
      </c>
      <c r="B2584" s="842" t="s">
        <v>527</v>
      </c>
      <c r="C2584" s="694"/>
      <c r="D2584" s="695"/>
      <c r="E2584" s="695"/>
      <c r="F2584" s="750"/>
      <c r="G2584" s="693" t="s">
        <v>397</v>
      </c>
      <c r="H2584" s="842" t="s">
        <v>527</v>
      </c>
      <c r="I2584" s="694"/>
      <c r="J2584" s="695"/>
      <c r="K2584" s="695"/>
    </row>
    <row r="2585" spans="1:12" s="27" customFormat="1" ht="17.25" customHeight="1">
      <c r="A2585" s="693" t="s">
        <v>77</v>
      </c>
      <c r="B2585" s="843" t="s">
        <v>432</v>
      </c>
      <c r="C2585" s="696" t="e">
        <f>VLOOKUP(B2583,'CNKT '!$D$179:$AA$179,3,0)</f>
        <v>#REF!</v>
      </c>
      <c r="D2585" s="697">
        <v>25000</v>
      </c>
      <c r="E2585" s="695" t="e">
        <f t="shared" ref="E2585:E2590" si="305">C2585*D2585</f>
        <v>#REF!</v>
      </c>
      <c r="F2585" s="750"/>
      <c r="G2585" s="693" t="s">
        <v>77</v>
      </c>
      <c r="H2585" s="843" t="s">
        <v>432</v>
      </c>
      <c r="I2585" s="696" t="e">
        <f>VLOOKUP(H2583,'CNKT '!$D$179:$AA$179,3,0)</f>
        <v>#REF!</v>
      </c>
      <c r="J2585" s="697">
        <v>25000</v>
      </c>
      <c r="K2585" s="695" t="e">
        <f t="shared" ref="K2585:K2590" si="306">I2585*J2585</f>
        <v>#REF!</v>
      </c>
    </row>
    <row r="2586" spans="1:12" s="27" customFormat="1" ht="17.25" customHeight="1">
      <c r="A2586" s="693" t="s">
        <v>307</v>
      </c>
      <c r="B2586" s="844" t="s">
        <v>528</v>
      </c>
      <c r="C2586" s="747" t="e">
        <f>VLOOKUP(B2583,'CNKT '!$D$179:$AA$179,11,0)</f>
        <v>#REF!</v>
      </c>
      <c r="D2586" s="698">
        <f>46.1*$B$2</f>
        <v>30833.524000000001</v>
      </c>
      <c r="E2586" s="695" t="e">
        <f t="shared" si="305"/>
        <v>#REF!</v>
      </c>
      <c r="F2586" s="750"/>
      <c r="G2586" s="693" t="s">
        <v>307</v>
      </c>
      <c r="H2586" s="844" t="s">
        <v>528</v>
      </c>
      <c r="I2586" s="747" t="e">
        <f>VLOOKUP(H2583,'CNKT '!$D$179:$AA$179,11,0)</f>
        <v>#REF!</v>
      </c>
      <c r="J2586" s="698">
        <f>46.1*$B$2</f>
        <v>30833.524000000001</v>
      </c>
      <c r="K2586" s="695" t="e">
        <f t="shared" si="306"/>
        <v>#REF!</v>
      </c>
    </row>
    <row r="2587" spans="1:12" s="27" customFormat="1" ht="17.25" customHeight="1">
      <c r="A2587" s="693" t="s">
        <v>399</v>
      </c>
      <c r="B2587" s="844" t="s">
        <v>529</v>
      </c>
      <c r="C2587" s="747" t="e">
        <f>VLOOKUP(B2583,'CNKT '!$D$179:$AA$179,12,0)</f>
        <v>#REF!</v>
      </c>
      <c r="D2587" s="697">
        <f>76.9*$B$2</f>
        <v>51433.796000000009</v>
      </c>
      <c r="E2587" s="695" t="e">
        <f t="shared" si="305"/>
        <v>#REF!</v>
      </c>
      <c r="F2587" s="750"/>
      <c r="G2587" s="693" t="s">
        <v>399</v>
      </c>
      <c r="H2587" s="844" t="s">
        <v>529</v>
      </c>
      <c r="I2587" s="747" t="e">
        <f>VLOOKUP(H2583,'CNKT '!$D$179:$AA$179,12,0)</f>
        <v>#REF!</v>
      </c>
      <c r="J2587" s="697">
        <f>76.9*$B$2</f>
        <v>51433.796000000009</v>
      </c>
      <c r="K2587" s="695" t="e">
        <f t="shared" si="306"/>
        <v>#REF!</v>
      </c>
    </row>
    <row r="2588" spans="1:12" s="27" customFormat="1" ht="17.25" customHeight="1">
      <c r="A2588" s="693" t="s">
        <v>78</v>
      </c>
      <c r="B2588" s="844" t="s">
        <v>530</v>
      </c>
      <c r="C2588" s="747" t="e">
        <f>VLOOKUP(B2583,'CNKT '!$D$179:$AA$179,8,0)</f>
        <v>#REF!</v>
      </c>
      <c r="D2588" s="697">
        <f>IF(C2584="A",6.1,IF(C2584="B",5.8,IF(C2584="C",5.5,IF(C2584="C.",5.5,IF(C2584="D",5.2)))))*$B$2</f>
        <v>0</v>
      </c>
      <c r="E2588" s="695" t="e">
        <f t="shared" si="305"/>
        <v>#REF!</v>
      </c>
      <c r="F2588" s="750"/>
      <c r="G2588" s="693" t="s">
        <v>78</v>
      </c>
      <c r="H2588" s="844" t="s">
        <v>530</v>
      </c>
      <c r="I2588" s="747" t="e">
        <f>VLOOKUP(H2583,'CNKT '!$D$179:$AA$179,8,0)</f>
        <v>#REF!</v>
      </c>
      <c r="J2588" s="697">
        <f>IF(I2584="A",6.1,IF(I2584="B",5.8,IF(I2584="C",5.5,IF(I2584="C.",5.5,IF(I2584="D",5.2)))))*$B$2</f>
        <v>0</v>
      </c>
      <c r="K2588" s="695" t="e">
        <f t="shared" si="306"/>
        <v>#REF!</v>
      </c>
    </row>
    <row r="2589" spans="1:12" s="27" customFormat="1" ht="17.25" customHeight="1">
      <c r="A2589" s="693" t="s">
        <v>447</v>
      </c>
      <c r="B2589" s="844" t="s">
        <v>531</v>
      </c>
      <c r="C2589" s="747" t="e">
        <f>VLOOKUP(B2583,'CNKT '!$D$179:$AA$179,15,0)</f>
        <v>#REF!</v>
      </c>
      <c r="D2589" s="698">
        <f>92.2*$B$2</f>
        <v>61667.048000000003</v>
      </c>
      <c r="E2589" s="695" t="e">
        <f t="shared" si="305"/>
        <v>#REF!</v>
      </c>
      <c r="F2589" s="750"/>
      <c r="G2589" s="693" t="s">
        <v>447</v>
      </c>
      <c r="H2589" s="844" t="s">
        <v>531</v>
      </c>
      <c r="I2589" s="747" t="e">
        <f>VLOOKUP(H2583,'CNKT '!$D$179:$AA$179,15,0)</f>
        <v>#REF!</v>
      </c>
      <c r="J2589" s="698">
        <f>92.2*$B$2</f>
        <v>61667.048000000003</v>
      </c>
      <c r="K2589" s="695" t="e">
        <f t="shared" si="306"/>
        <v>#REF!</v>
      </c>
    </row>
    <row r="2590" spans="1:12" s="27" customFormat="1" ht="17.25" customHeight="1">
      <c r="A2590" s="693" t="s">
        <v>448</v>
      </c>
      <c r="B2590" s="844" t="s">
        <v>496</v>
      </c>
      <c r="C2590" s="747" t="e">
        <f>VLOOKUP(B2583,'CNKT '!$D$179:$AA$179,14,0)</f>
        <v>#REF!</v>
      </c>
      <c r="D2590" s="697">
        <f>153.6*$B$2</f>
        <v>102733.82400000001</v>
      </c>
      <c r="E2590" s="695" t="e">
        <f t="shared" si="305"/>
        <v>#REF!</v>
      </c>
      <c r="F2590" s="750"/>
      <c r="G2590" s="693" t="s">
        <v>448</v>
      </c>
      <c r="H2590" s="844" t="s">
        <v>496</v>
      </c>
      <c r="I2590" s="747" t="e">
        <f>VLOOKUP(H2583,'CNKT '!$D$179:$AA$179,14,0)</f>
        <v>#REF!</v>
      </c>
      <c r="J2590" s="697">
        <f>153.6*$B$2</f>
        <v>102733.82400000001</v>
      </c>
      <c r="K2590" s="695" t="e">
        <f t="shared" si="306"/>
        <v>#REF!</v>
      </c>
    </row>
    <row r="2591" spans="1:12" s="27" customFormat="1" ht="17.25" customHeight="1">
      <c r="A2591" s="693" t="s">
        <v>453</v>
      </c>
      <c r="B2591" s="844" t="s">
        <v>497</v>
      </c>
      <c r="C2591" s="747" t="e">
        <f>VLOOKUP(B2583,'CNKT '!#REF!,18,0)</f>
        <v>#REF!</v>
      </c>
      <c r="D2591" s="697">
        <v>10000</v>
      </c>
      <c r="E2591" s="695" t="e">
        <f>C2591*D2591</f>
        <v>#REF!</v>
      </c>
      <c r="F2591" s="750"/>
      <c r="G2591" s="693" t="s">
        <v>453</v>
      </c>
      <c r="H2591" s="844" t="s">
        <v>497</v>
      </c>
      <c r="I2591" s="747" t="e">
        <f>VLOOKUP(H2583,'CNKT '!#REF!,18,0)</f>
        <v>#REF!</v>
      </c>
      <c r="J2591" s="697">
        <v>10000</v>
      </c>
      <c r="K2591" s="695" t="e">
        <f>I2591*J2591</f>
        <v>#REF!</v>
      </c>
    </row>
    <row r="2592" spans="1:12" s="27" customFormat="1" ht="17.25" customHeight="1">
      <c r="A2592" s="693" t="s">
        <v>453</v>
      </c>
      <c r="B2592" s="844" t="s">
        <v>497</v>
      </c>
      <c r="C2592" s="747" t="e">
        <f>VLOOKUP(B2583,'CNKT '!#REF!,19,0)</f>
        <v>#REF!</v>
      </c>
      <c r="D2592" s="697">
        <v>20000</v>
      </c>
      <c r="E2592" s="695" t="e">
        <f>C2592*D2592</f>
        <v>#REF!</v>
      </c>
      <c r="F2592" s="750"/>
      <c r="G2592" s="693" t="s">
        <v>453</v>
      </c>
      <c r="H2592" s="844" t="s">
        <v>497</v>
      </c>
      <c r="I2592" s="747" t="e">
        <f>VLOOKUP(H2583,'CNKT '!#REF!,19,0)</f>
        <v>#REF!</v>
      </c>
      <c r="J2592" s="697">
        <v>20000</v>
      </c>
      <c r="K2592" s="695" t="e">
        <f>I2592*J2592</f>
        <v>#REF!</v>
      </c>
    </row>
    <row r="2593" spans="1:14" s="27" customFormat="1" ht="17.25" customHeight="1">
      <c r="A2593" s="699" t="s">
        <v>79</v>
      </c>
      <c r="B2593" s="845" t="s">
        <v>532</v>
      </c>
      <c r="C2593" s="700"/>
      <c r="D2593" s="701"/>
      <c r="E2593" s="700"/>
      <c r="F2593" s="750"/>
      <c r="G2593" s="699" t="s">
        <v>79</v>
      </c>
      <c r="H2593" s="845" t="s">
        <v>532</v>
      </c>
      <c r="I2593" s="700"/>
      <c r="J2593" s="701"/>
      <c r="K2593" s="700"/>
    </row>
    <row r="2594" spans="1:14" s="27" customFormat="1" ht="17.25" customHeight="1">
      <c r="A2594" s="702" t="s">
        <v>80</v>
      </c>
      <c r="B2594" s="846" t="s">
        <v>533</v>
      </c>
      <c r="C2594" s="700"/>
      <c r="D2594" s="700"/>
      <c r="E2594" s="700"/>
      <c r="F2594" s="750"/>
      <c r="G2594" s="702" t="s">
        <v>80</v>
      </c>
      <c r="H2594" s="846" t="s">
        <v>533</v>
      </c>
      <c r="I2594" s="700"/>
      <c r="J2594" s="700"/>
      <c r="K2594" s="700"/>
    </row>
    <row r="2595" spans="1:14" s="27" customFormat="1" ht="17.25" customHeight="1">
      <c r="A2595" s="702" t="s">
        <v>81</v>
      </c>
      <c r="B2595" s="847" t="s">
        <v>534</v>
      </c>
      <c r="C2595" s="700"/>
      <c r="D2595" s="700"/>
      <c r="E2595" s="695">
        <f>SUM(E2594)</f>
        <v>0</v>
      </c>
      <c r="F2595" s="749"/>
      <c r="G2595" s="702" t="s">
        <v>81</v>
      </c>
      <c r="H2595" s="847" t="s">
        <v>534</v>
      </c>
      <c r="I2595" s="700"/>
      <c r="J2595" s="700"/>
      <c r="K2595" s="695">
        <f>SUM(K2594)</f>
        <v>0</v>
      </c>
    </row>
    <row r="2596" spans="1:14" s="27" customFormat="1" ht="17.25" customHeight="1">
      <c r="A2596" s="704" t="s">
        <v>82</v>
      </c>
      <c r="B2596" s="848" t="s">
        <v>438</v>
      </c>
      <c r="C2596" s="705"/>
      <c r="D2596" s="705"/>
      <c r="E2596" s="705" t="e">
        <f>(E2585+E2586+E2587+E2588+E2589+E2590+E2591+E2592)-E2595</f>
        <v>#REF!</v>
      </c>
      <c r="F2596" s="749"/>
      <c r="G2596" s="704" t="s">
        <v>82</v>
      </c>
      <c r="H2596" s="848" t="s">
        <v>438</v>
      </c>
      <c r="I2596" s="705"/>
      <c r="J2596" s="705"/>
      <c r="K2596" s="705" t="e">
        <f>(K2585+K2586+K2587+K2588+K2589+K2590+K2591+K2592)-K2595</f>
        <v>#REF!</v>
      </c>
      <c r="L2596" s="707" t="e">
        <f>E2596+K2596</f>
        <v>#REF!</v>
      </c>
    </row>
    <row r="2597" spans="1:14" s="27" customFormat="1" ht="17.25" customHeight="1"/>
    <row r="2598" spans="1:14" s="27" customFormat="1" ht="17.25" customHeight="1">
      <c r="A2598" s="759" t="str">
        <f>A2582</f>
        <v>LƯƠNG THÁNG 01/2025</v>
      </c>
      <c r="B2598" s="763"/>
      <c r="C2598" s="763"/>
      <c r="D2598" s="763"/>
      <c r="E2598" s="766"/>
      <c r="F2598" s="750"/>
      <c r="G2598" s="759" t="str">
        <f>A2598</f>
        <v>LƯƠNG THÁNG 01/2025</v>
      </c>
      <c r="H2598" s="763"/>
      <c r="I2598" s="763"/>
      <c r="J2598" s="766"/>
      <c r="K2598" s="749"/>
    </row>
    <row r="2599" spans="1:14" s="27" customFormat="1" ht="17.25" customHeight="1">
      <c r="A2599" s="709" t="s">
        <v>15</v>
      </c>
      <c r="B2599" s="840" t="e">
        <f>'CNKT '!#REF!</f>
        <v>#REF!</v>
      </c>
      <c r="C2599" s="694" t="s">
        <v>38</v>
      </c>
      <c r="D2599" s="694"/>
      <c r="E2599" s="753" t="s">
        <v>42</v>
      </c>
      <c r="F2599" s="750"/>
      <c r="G2599" s="709" t="s">
        <v>15</v>
      </c>
      <c r="H2599" s="840" t="e">
        <f>'CNKT '!#REF!</f>
        <v>#REF!</v>
      </c>
      <c r="I2599" s="694" t="s">
        <v>450</v>
      </c>
      <c r="J2599" s="753" t="s">
        <v>42</v>
      </c>
      <c r="K2599" s="749"/>
    </row>
    <row r="2600" spans="1:14" s="27" customFormat="1" ht="17.25" customHeight="1">
      <c r="A2600" s="693" t="s">
        <v>77</v>
      </c>
      <c r="B2600" s="600" t="s">
        <v>432</v>
      </c>
      <c r="C2600" s="696" t="e">
        <f>VLOOKUP(B2599,'CNKT '!$D$179:$AA$190,3,0)</f>
        <v>#REF!</v>
      </c>
      <c r="D2600" s="697">
        <v>25000</v>
      </c>
      <c r="E2600" s="695" t="e">
        <f t="shared" ref="E2600:E2605" si="307">C2600*D2600</f>
        <v>#REF!</v>
      </c>
      <c r="F2600" s="750"/>
      <c r="G2600" s="693" t="s">
        <v>77</v>
      </c>
      <c r="H2600" s="600" t="s">
        <v>432</v>
      </c>
      <c r="I2600" s="696" t="e">
        <f>VLOOKUP(H2599,'CNKT '!$D$179:$AA$190,3,0)</f>
        <v>#REF!</v>
      </c>
      <c r="J2600" s="697">
        <v>25000</v>
      </c>
      <c r="K2600" s="695" t="e">
        <f t="shared" ref="K2600:K2605" si="308">I2600*J2600</f>
        <v>#REF!</v>
      </c>
    </row>
    <row r="2601" spans="1:14" s="27" customFormat="1" ht="17.25" customHeight="1">
      <c r="A2601" s="693" t="s">
        <v>307</v>
      </c>
      <c r="B2601" s="601" t="s">
        <v>433</v>
      </c>
      <c r="C2601" s="747" t="e">
        <f>VLOOKUP(B2599,'CNKT '!$D$179:$AA$190,11,0)</f>
        <v>#REF!</v>
      </c>
      <c r="D2601" s="698">
        <f>46.1*$B$2</f>
        <v>30833.524000000001</v>
      </c>
      <c r="E2601" s="695" t="e">
        <f t="shared" si="307"/>
        <v>#REF!</v>
      </c>
      <c r="F2601" s="750"/>
      <c r="G2601" s="693" t="s">
        <v>307</v>
      </c>
      <c r="H2601" s="601" t="s">
        <v>433</v>
      </c>
      <c r="I2601" s="747" t="e">
        <f>VLOOKUP(H2599,'CNKT '!$D$179:$AA$190,11,0)</f>
        <v>#REF!</v>
      </c>
      <c r="J2601" s="698">
        <f>46.1*$B$2</f>
        <v>30833.524000000001</v>
      </c>
      <c r="K2601" s="695" t="e">
        <f t="shared" si="308"/>
        <v>#REF!</v>
      </c>
    </row>
    <row r="2602" spans="1:14" s="27" customFormat="1" ht="17.25" customHeight="1">
      <c r="A2602" s="693" t="s">
        <v>399</v>
      </c>
      <c r="B2602" s="601" t="s">
        <v>494</v>
      </c>
      <c r="C2602" s="747" t="e">
        <f>VLOOKUP(B2599,'CNKT '!$D$179:$AA$190,12,0)</f>
        <v>#REF!</v>
      </c>
      <c r="D2602" s="697">
        <f>76.9*$B$2</f>
        <v>51433.796000000009</v>
      </c>
      <c r="E2602" s="695" t="e">
        <f t="shared" si="307"/>
        <v>#REF!</v>
      </c>
      <c r="F2602" s="750"/>
      <c r="G2602" s="693" t="s">
        <v>399</v>
      </c>
      <c r="H2602" s="601" t="s">
        <v>494</v>
      </c>
      <c r="I2602" s="747" t="e">
        <f>VLOOKUP(H2599,'CNKT '!$D$179:$AA$190,12,0)</f>
        <v>#REF!</v>
      </c>
      <c r="J2602" s="697">
        <f>76.9*$B$2</f>
        <v>51433.796000000009</v>
      </c>
      <c r="K2602" s="695" t="e">
        <f t="shared" si="308"/>
        <v>#REF!</v>
      </c>
    </row>
    <row r="2603" spans="1:14" s="27" customFormat="1" ht="17.25" customHeight="1">
      <c r="A2603" s="693" t="s">
        <v>78</v>
      </c>
      <c r="B2603" s="601" t="s">
        <v>434</v>
      </c>
      <c r="C2603" s="747" t="e">
        <f>VLOOKUP(B2599,'CNKT '!$D$179:$AA$190,8,0)</f>
        <v>#REF!</v>
      </c>
      <c r="D2603" s="697">
        <f>IF(C2599="A",6.1,IF(C2599="B",5.8,IF(C2599="C",5.5,IF(C2599="C.",5.5,IF(C2599="D",5.2)))))*$B$2</f>
        <v>4079.924</v>
      </c>
      <c r="E2603" s="695" t="e">
        <f t="shared" si="307"/>
        <v>#REF!</v>
      </c>
      <c r="F2603" s="750"/>
      <c r="G2603" s="693" t="s">
        <v>78</v>
      </c>
      <c r="H2603" s="601" t="s">
        <v>434</v>
      </c>
      <c r="I2603" s="747" t="e">
        <f>VLOOKUP(H2599,'CNKT '!$D$179:$AA$190,8,0)</f>
        <v>#REF!</v>
      </c>
      <c r="J2603" s="697">
        <f>IF(I2599="A",6.1,IF(I2599="B",5.8,IF(I2599="C",5.5,IF(I2599="C.",5.5,IF(I2599="D",5.2)))))*$B$2</f>
        <v>3678.6200000000003</v>
      </c>
      <c r="K2603" s="695" t="e">
        <f t="shared" si="308"/>
        <v>#REF!</v>
      </c>
    </row>
    <row r="2604" spans="1:14" s="27" customFormat="1" ht="17.25" customHeight="1">
      <c r="A2604" s="693" t="s">
        <v>447</v>
      </c>
      <c r="B2604" s="601" t="s">
        <v>495</v>
      </c>
      <c r="C2604" s="747" t="e">
        <f>VLOOKUP(B2599,'CNKT '!$D$179:$AA$190,15,0)</f>
        <v>#REF!</v>
      </c>
      <c r="D2604" s="698">
        <f>92.2*$B$2</f>
        <v>61667.048000000003</v>
      </c>
      <c r="E2604" s="695" t="e">
        <f t="shared" si="307"/>
        <v>#REF!</v>
      </c>
      <c r="F2604" s="750"/>
      <c r="G2604" s="693" t="s">
        <v>447</v>
      </c>
      <c r="H2604" s="601" t="s">
        <v>495</v>
      </c>
      <c r="I2604" s="747" t="e">
        <f>VLOOKUP(H2599,'CNKT '!$D$179:$AA$190,15,0)</f>
        <v>#REF!</v>
      </c>
      <c r="J2604" s="698">
        <f>92.2*$B$2</f>
        <v>61667.048000000003</v>
      </c>
      <c r="K2604" s="695" t="e">
        <f t="shared" si="308"/>
        <v>#REF!</v>
      </c>
    </row>
    <row r="2605" spans="1:14" s="27" customFormat="1" ht="17.25" customHeight="1">
      <c r="A2605" s="693" t="s">
        <v>448</v>
      </c>
      <c r="B2605" s="601" t="s">
        <v>496</v>
      </c>
      <c r="C2605" s="747" t="e">
        <f>VLOOKUP(B2599,'CNKT '!$D$179:$AA$190,14,0)</f>
        <v>#REF!</v>
      </c>
      <c r="D2605" s="697">
        <f>153.6*$B$2</f>
        <v>102733.82400000001</v>
      </c>
      <c r="E2605" s="695" t="e">
        <f t="shared" si="307"/>
        <v>#REF!</v>
      </c>
      <c r="F2605" s="750"/>
      <c r="G2605" s="693" t="s">
        <v>448</v>
      </c>
      <c r="H2605" s="601" t="s">
        <v>496</v>
      </c>
      <c r="I2605" s="747" t="e">
        <f>VLOOKUP(H2599,'CNKT '!$D$179:$AA$190,14,0)</f>
        <v>#REF!</v>
      </c>
      <c r="J2605" s="697">
        <f>153.6*$B$2</f>
        <v>102733.82400000001</v>
      </c>
      <c r="K2605" s="695" t="e">
        <f t="shared" si="308"/>
        <v>#REF!</v>
      </c>
    </row>
    <row r="2606" spans="1:14" s="27" customFormat="1" ht="17.25" customHeight="1">
      <c r="A2606" s="693" t="s">
        <v>453</v>
      </c>
      <c r="B2606" s="601" t="s">
        <v>497</v>
      </c>
      <c r="C2606" s="747" t="e">
        <f>VLOOKUP(B2599,'CNKT '!#REF!,18,0)</f>
        <v>#REF!</v>
      </c>
      <c r="D2606" s="697">
        <v>10000</v>
      </c>
      <c r="E2606" s="695" t="e">
        <f>C2606*D2606</f>
        <v>#REF!</v>
      </c>
      <c r="F2606" s="750"/>
      <c r="G2606" s="693" t="s">
        <v>453</v>
      </c>
      <c r="H2606" s="601" t="s">
        <v>497</v>
      </c>
      <c r="I2606" s="747" t="e">
        <f>VLOOKUP(H2599,'CNKT '!#REF!,18,0)</f>
        <v>#REF!</v>
      </c>
      <c r="J2606" s="697">
        <v>10000</v>
      </c>
      <c r="K2606" s="695" t="e">
        <f>I2606*J2606</f>
        <v>#REF!</v>
      </c>
    </row>
    <row r="2607" spans="1:14" s="27" customFormat="1" ht="17.25" customHeight="1">
      <c r="A2607" s="693" t="s">
        <v>512</v>
      </c>
      <c r="B2607" s="601" t="s">
        <v>513</v>
      </c>
      <c r="C2607" s="747"/>
      <c r="D2607" s="697"/>
      <c r="E2607" s="695"/>
      <c r="F2607" s="750"/>
      <c r="G2607" s="693" t="s">
        <v>512</v>
      </c>
      <c r="H2607" s="601" t="s">
        <v>513</v>
      </c>
      <c r="I2607" s="747"/>
      <c r="J2607" s="697"/>
      <c r="K2607" s="695"/>
      <c r="N2607" s="726"/>
    </row>
    <row r="2608" spans="1:14" s="27" customFormat="1" ht="17.25" customHeight="1">
      <c r="A2608" s="693"/>
      <c r="B2608" s="601"/>
      <c r="C2608" s="747"/>
      <c r="D2608" s="697"/>
      <c r="E2608" s="695"/>
      <c r="F2608" s="750"/>
      <c r="G2608" s="693"/>
      <c r="H2608" s="601"/>
      <c r="I2608" s="747"/>
      <c r="J2608" s="697"/>
      <c r="K2608" s="695"/>
      <c r="N2608" s="726"/>
    </row>
    <row r="2609" spans="1:15" s="27" customFormat="1" ht="17.25" customHeight="1">
      <c r="A2609" s="699" t="s">
        <v>79</v>
      </c>
      <c r="B2609" s="602" t="s">
        <v>435</v>
      </c>
      <c r="C2609" s="700"/>
      <c r="D2609" s="701"/>
      <c r="E2609" s="700"/>
      <c r="F2609" s="750"/>
      <c r="G2609" s="699" t="s">
        <v>79</v>
      </c>
      <c r="H2609" s="602" t="s">
        <v>435</v>
      </c>
      <c r="I2609" s="700"/>
      <c r="J2609" s="701"/>
      <c r="K2609" s="700"/>
      <c r="L2609" s="690"/>
      <c r="M2609" s="726" t="e">
        <f>SUM(L2056:L2612)</f>
        <v>#REF!</v>
      </c>
      <c r="N2609" s="726">
        <v>392320913</v>
      </c>
      <c r="O2609" s="736"/>
    </row>
    <row r="2610" spans="1:15" s="27" customFormat="1" ht="17.25" customHeight="1">
      <c r="A2610" s="702" t="s">
        <v>80</v>
      </c>
      <c r="B2610" s="603" t="s">
        <v>436</v>
      </c>
      <c r="C2610" s="700"/>
      <c r="D2610" s="700"/>
      <c r="E2610" s="700"/>
      <c r="F2610" s="750"/>
      <c r="G2610" s="702" t="s">
        <v>80</v>
      </c>
      <c r="H2610" s="603" t="s">
        <v>436</v>
      </c>
      <c r="I2610" s="700"/>
      <c r="J2610" s="700"/>
      <c r="K2610" s="700"/>
      <c r="L2610" s="690"/>
      <c r="N2610" s="726">
        <v>9600000</v>
      </c>
    </row>
    <row r="2611" spans="1:15" s="27" customFormat="1" ht="17.25" customHeight="1">
      <c r="A2611" s="702" t="s">
        <v>81</v>
      </c>
      <c r="B2611" s="604" t="s">
        <v>437</v>
      </c>
      <c r="C2611" s="700"/>
      <c r="D2611" s="700"/>
      <c r="E2611" s="695">
        <f>SUM(E2610)</f>
        <v>0</v>
      </c>
      <c r="F2611" s="749"/>
      <c r="G2611" s="702" t="s">
        <v>81</v>
      </c>
      <c r="H2611" s="604" t="s">
        <v>437</v>
      </c>
      <c r="I2611" s="700"/>
      <c r="J2611" s="700"/>
      <c r="K2611" s="695">
        <f>SUM(K2610)</f>
        <v>0</v>
      </c>
      <c r="M2611" s="726" t="e">
        <f>SUM(M54:M2609)</f>
        <v>#REF!</v>
      </c>
      <c r="N2611" s="726">
        <v>312166698</v>
      </c>
      <c r="O2611" s="736" t="e">
        <f>N2611-M2609</f>
        <v>#REF!</v>
      </c>
    </row>
    <row r="2612" spans="1:15" s="27" customFormat="1" ht="17.25" customHeight="1">
      <c r="A2612" s="704" t="s">
        <v>82</v>
      </c>
      <c r="B2612" s="636" t="s">
        <v>438</v>
      </c>
      <c r="C2612" s="705"/>
      <c r="D2612" s="705"/>
      <c r="E2612" s="705" t="e">
        <f>(E2600+E2601+E2602+E2603+E2604+E2605+E2606+E2607)-E2611</f>
        <v>#REF!</v>
      </c>
      <c r="F2612" s="749"/>
      <c r="G2612" s="704" t="s">
        <v>82</v>
      </c>
      <c r="H2612" s="636" t="s">
        <v>438</v>
      </c>
      <c r="I2612" s="705"/>
      <c r="J2612" s="705"/>
      <c r="K2612" s="705" t="e">
        <f>(K2600+K2601+K2602+K2603+K2604+K2605+K2606+K2607)-K2611</f>
        <v>#REF!</v>
      </c>
      <c r="L2612" s="707" t="e">
        <f>E2612+K2612</f>
        <v>#REF!</v>
      </c>
    </row>
    <row r="2613" spans="1:15" ht="16.5" customHeight="1">
      <c r="L2613" s="597"/>
      <c r="M2613" s="540"/>
      <c r="N2613" s="540"/>
    </row>
    <row r="2615" spans="1:15" ht="21" customHeight="1">
      <c r="L2615" s="598" t="e">
        <f>SUM(L8:L2613)</f>
        <v>#REF!</v>
      </c>
      <c r="M2615" s="123"/>
      <c r="N2615" s="123"/>
      <c r="O2615" s="123"/>
    </row>
    <row r="2616" spans="1:15" ht="21" customHeight="1">
      <c r="L2616" s="540"/>
    </row>
    <row r="2617" spans="1:15" ht="21" customHeight="1">
      <c r="L2617" s="538">
        <v>475097563</v>
      </c>
      <c r="M2617" s="541"/>
      <c r="N2617" s="541"/>
    </row>
    <row r="2618" spans="1:15" ht="21" customHeight="1">
      <c r="L2618" s="538">
        <v>526735269</v>
      </c>
    </row>
    <row r="2619" spans="1:15" ht="21" customHeight="1">
      <c r="L2619" s="538">
        <v>418349018</v>
      </c>
    </row>
    <row r="2620" spans="1:15" ht="21" customHeight="1">
      <c r="L2620" s="538">
        <v>312166698</v>
      </c>
    </row>
    <row r="2621" spans="1:15" ht="21" customHeight="1">
      <c r="L2621" s="538"/>
    </row>
    <row r="2622" spans="1:15" ht="21" customHeight="1">
      <c r="L2622" s="637">
        <f>SUM(L2617:L2620)+L2621</f>
        <v>1732348548</v>
      </c>
      <c r="M2622" s="538" t="e">
        <f>L2622-L2615</f>
        <v>#REF!</v>
      </c>
    </row>
    <row r="2623" spans="1:15" ht="21" customHeight="1">
      <c r="M2623" s="12" t="s">
        <v>833</v>
      </c>
    </row>
    <row r="2624" spans="1:15" ht="21" customHeight="1">
      <c r="L2624" s="123"/>
      <c r="M2624" s="541" t="e">
        <f>L2622-L2615</f>
        <v>#REF!</v>
      </c>
    </row>
  </sheetData>
  <mergeCells count="135">
    <mergeCell ref="G4:J4"/>
    <mergeCell ref="A226:D226"/>
    <mergeCell ref="A243:D243"/>
    <mergeCell ref="A260:D260"/>
    <mergeCell ref="A277:D277"/>
    <mergeCell ref="A294:D294"/>
    <mergeCell ref="A311:D311"/>
    <mergeCell ref="A329:D329"/>
    <mergeCell ref="A4:D4"/>
    <mergeCell ref="A21:D21"/>
    <mergeCell ref="A38:D38"/>
    <mergeCell ref="A55:D55"/>
    <mergeCell ref="A72:D72"/>
    <mergeCell ref="A89:D89"/>
    <mergeCell ref="A106:D106"/>
    <mergeCell ref="A123:D123"/>
    <mergeCell ref="A140:D140"/>
    <mergeCell ref="G226:J226"/>
    <mergeCell ref="G243:J243"/>
    <mergeCell ref="G21:J21"/>
    <mergeCell ref="G38:J38"/>
    <mergeCell ref="G106:J106"/>
    <mergeCell ref="G123:J123"/>
    <mergeCell ref="G140:J140"/>
    <mergeCell ref="A1214:E1214"/>
    <mergeCell ref="G1214:J1214"/>
    <mergeCell ref="A1180:E1180"/>
    <mergeCell ref="G1180:J1180"/>
    <mergeCell ref="A1231:E1231"/>
    <mergeCell ref="G1231:J1231"/>
    <mergeCell ref="A721:D721"/>
    <mergeCell ref="G721:J721"/>
    <mergeCell ref="A740:D740"/>
    <mergeCell ref="A757:D757"/>
    <mergeCell ref="G757:J757"/>
    <mergeCell ref="A774:D774"/>
    <mergeCell ref="G774:J774"/>
    <mergeCell ref="A858:B858"/>
    <mergeCell ref="G858:H858"/>
    <mergeCell ref="G875:H875"/>
    <mergeCell ref="A875:B875"/>
    <mergeCell ref="G892:H892"/>
    <mergeCell ref="A892:B892"/>
    <mergeCell ref="A1095:E1095"/>
    <mergeCell ref="G1095:J1095"/>
    <mergeCell ref="A1112:E1112"/>
    <mergeCell ref="A1146:E1146"/>
    <mergeCell ref="G1146:J1146"/>
    <mergeCell ref="A1163:E1163"/>
    <mergeCell ref="G1163:J1163"/>
    <mergeCell ref="A1129:E1129"/>
    <mergeCell ref="G1129:J1129"/>
    <mergeCell ref="A1010:E1010"/>
    <mergeCell ref="G1010:J1010"/>
    <mergeCell ref="A1197:E1197"/>
    <mergeCell ref="G1197:J1197"/>
    <mergeCell ref="A1044:E1044"/>
    <mergeCell ref="G1044:J1044"/>
    <mergeCell ref="A1061:E1061"/>
    <mergeCell ref="G1061:J1061"/>
    <mergeCell ref="A1027:E1027"/>
    <mergeCell ref="G1027:J1027"/>
    <mergeCell ref="A791:D791"/>
    <mergeCell ref="G791:J791"/>
    <mergeCell ref="A1078:E1078"/>
    <mergeCell ref="G1078:J1078"/>
    <mergeCell ref="G706:K706"/>
    <mergeCell ref="A738:J738"/>
    <mergeCell ref="A739:E739"/>
    <mergeCell ref="G739:J739"/>
    <mergeCell ref="G740:J740"/>
    <mergeCell ref="A993:E993"/>
    <mergeCell ref="G993:J993"/>
    <mergeCell ref="A976:E976"/>
    <mergeCell ref="G976:J976"/>
    <mergeCell ref="A808:D808"/>
    <mergeCell ref="G638:J638"/>
    <mergeCell ref="G655:J655"/>
    <mergeCell ref="A638:D638"/>
    <mergeCell ref="A655:D655"/>
    <mergeCell ref="A672:D672"/>
    <mergeCell ref="G672:J672"/>
    <mergeCell ref="G689:J689"/>
    <mergeCell ref="A689:D689"/>
    <mergeCell ref="A706:D706"/>
    <mergeCell ref="G586:J586"/>
    <mergeCell ref="G603:J603"/>
    <mergeCell ref="G620:J620"/>
    <mergeCell ref="G535:J535"/>
    <mergeCell ref="G552:J552"/>
    <mergeCell ref="G569:J569"/>
    <mergeCell ref="A535:D535"/>
    <mergeCell ref="A552:D552"/>
    <mergeCell ref="A569:D569"/>
    <mergeCell ref="A586:D586"/>
    <mergeCell ref="A603:D603"/>
    <mergeCell ref="A620:D620"/>
    <mergeCell ref="G502:J502"/>
    <mergeCell ref="G519:J519"/>
    <mergeCell ref="G449:J449"/>
    <mergeCell ref="G467:J467"/>
    <mergeCell ref="G485:J485"/>
    <mergeCell ref="A449:D449"/>
    <mergeCell ref="A467:D467"/>
    <mergeCell ref="A485:D485"/>
    <mergeCell ref="A502:D502"/>
    <mergeCell ref="A519:D519"/>
    <mergeCell ref="G55:J55"/>
    <mergeCell ref="G72:J72"/>
    <mergeCell ref="G89:J89"/>
    <mergeCell ref="G157:J157"/>
    <mergeCell ref="G174:J174"/>
    <mergeCell ref="G191:J191"/>
    <mergeCell ref="A157:D157"/>
    <mergeCell ref="A174:D174"/>
    <mergeCell ref="A191:D191"/>
    <mergeCell ref="G208:J208"/>
    <mergeCell ref="G416:J416"/>
    <mergeCell ref="G433:J433"/>
    <mergeCell ref="G364:J364"/>
    <mergeCell ref="G381:J381"/>
    <mergeCell ref="G399:J399"/>
    <mergeCell ref="A364:D364"/>
    <mergeCell ref="A381:D381"/>
    <mergeCell ref="A399:D399"/>
    <mergeCell ref="A416:D416"/>
    <mergeCell ref="A433:D433"/>
    <mergeCell ref="A208:D208"/>
    <mergeCell ref="G311:J311"/>
    <mergeCell ref="G329:J329"/>
    <mergeCell ref="G347:J347"/>
    <mergeCell ref="G260:J260"/>
    <mergeCell ref="G277:J277"/>
    <mergeCell ref="G294:J294"/>
    <mergeCell ref="A347:D347"/>
  </mergeCells>
  <printOptions horizontalCentered="1"/>
  <pageMargins left="0.19685039370078741" right="0.19685039370078741" top="0.19685039370078741" bottom="0.19685039370078741" header="0.19685039370078741" footer="0.19685039370078741"/>
  <pageSetup paperSize="9" scale="58" orientation="portrait" r:id="rId1"/>
  <headerFooter scaleWithDoc="0" alignWithMargins="0">
    <oddHeader xml:space="preserve">&amp;L                            </oddHeader>
    <oddFooter>Page &amp;P</oddFooter>
  </headerFooter>
  <colBreaks count="1" manualBreakCount="1">
    <brk id="11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4"/>
  <sheetViews>
    <sheetView topLeftCell="A4" workbookViewId="0">
      <selection activeCell="A15" sqref="A15:H16"/>
    </sheetView>
  </sheetViews>
  <sheetFormatPr defaultColWidth="9.140625" defaultRowHeight="16.5"/>
  <cols>
    <col min="1" max="1" width="6" style="569" customWidth="1"/>
    <col min="2" max="2" width="7" style="569" hidden="1" customWidth="1"/>
    <col min="3" max="3" width="5.7109375" style="569" hidden="1" customWidth="1"/>
    <col min="4" max="4" width="27.42578125" style="569" customWidth="1"/>
    <col min="5" max="5" width="18.42578125" style="569" customWidth="1"/>
    <col min="6" max="6" width="23.85546875" style="569" customWidth="1"/>
    <col min="7" max="7" width="23" style="569" customWidth="1"/>
    <col min="8" max="8" width="30.5703125" style="569" customWidth="1"/>
    <col min="9" max="9" width="10.28515625" style="569" customWidth="1"/>
    <col min="10" max="10" width="7.42578125" style="569" customWidth="1"/>
    <col min="11" max="11" width="10" style="569" bestFit="1" customWidth="1"/>
    <col min="12" max="12" width="17.85546875" style="569" customWidth="1"/>
    <col min="13" max="13" width="15.7109375" style="569" bestFit="1" customWidth="1"/>
    <col min="14" max="16384" width="9.140625" style="569"/>
  </cols>
  <sheetData>
    <row r="1" spans="1:13">
      <c r="A1" s="1577" t="s">
        <v>478</v>
      </c>
      <c r="B1" s="1577"/>
      <c r="C1" s="1577"/>
      <c r="D1" s="1577"/>
      <c r="E1" s="1577"/>
      <c r="F1" s="1577"/>
      <c r="G1" s="1577"/>
      <c r="H1" s="1577"/>
    </row>
    <row r="2" spans="1:13">
      <c r="A2" s="1577" t="s">
        <v>479</v>
      </c>
      <c r="B2" s="1577"/>
      <c r="C2" s="1577"/>
      <c r="D2" s="1577"/>
      <c r="E2" s="1577"/>
      <c r="F2" s="1577"/>
      <c r="G2" s="1577"/>
      <c r="H2" s="1577"/>
    </row>
    <row r="3" spans="1:13">
      <c r="A3" s="1578" t="s">
        <v>480</v>
      </c>
      <c r="B3" s="1577"/>
      <c r="C3" s="1577"/>
      <c r="D3" s="1577"/>
      <c r="E3" s="1577"/>
      <c r="F3" s="1577"/>
      <c r="G3" s="1577"/>
      <c r="H3" s="1577"/>
    </row>
    <row r="4" spans="1:13">
      <c r="A4" s="1577" t="s">
        <v>598</v>
      </c>
      <c r="B4" s="1577"/>
      <c r="C4" s="1577"/>
      <c r="D4" s="1577"/>
      <c r="E4" s="1577"/>
      <c r="F4" s="1577"/>
      <c r="G4" s="570"/>
      <c r="H4" s="570"/>
    </row>
    <row r="5" spans="1:13">
      <c r="A5" s="1577" t="s">
        <v>576</v>
      </c>
      <c r="B5" s="1577"/>
      <c r="C5" s="1577"/>
      <c r="D5" s="1577"/>
      <c r="E5" s="1577"/>
      <c r="F5" s="1577"/>
      <c r="G5" s="570"/>
      <c r="H5" s="570"/>
    </row>
    <row r="6" spans="1:13">
      <c r="A6" s="1577"/>
      <c r="B6" s="1577"/>
      <c r="C6" s="1577"/>
      <c r="D6" s="1577"/>
      <c r="E6" s="1577"/>
      <c r="F6" s="1577"/>
      <c r="G6" s="1577"/>
      <c r="H6" s="1577"/>
    </row>
    <row r="7" spans="1:13" ht="20.25">
      <c r="A7" s="1579" t="s">
        <v>868</v>
      </c>
      <c r="B7" s="1579"/>
      <c r="C7" s="1579"/>
      <c r="D7" s="1579"/>
      <c r="E7" s="1579"/>
      <c r="F7" s="1579"/>
      <c r="G7" s="1579"/>
      <c r="H7" s="1579"/>
      <c r="I7" s="571"/>
    </row>
    <row r="8" spans="1:13">
      <c r="I8" s="572"/>
      <c r="J8" s="572">
        <v>31</v>
      </c>
    </row>
    <row r="9" spans="1:13" ht="31.5" customHeight="1">
      <c r="A9" s="573" t="s">
        <v>4</v>
      </c>
      <c r="B9" s="574" t="s">
        <v>139</v>
      </c>
      <c r="C9" s="1580" t="s">
        <v>481</v>
      </c>
      <c r="D9" s="1581"/>
      <c r="E9" s="574" t="s">
        <v>482</v>
      </c>
      <c r="F9" s="574" t="s">
        <v>483</v>
      </c>
      <c r="G9" s="574" t="s">
        <v>484</v>
      </c>
      <c r="H9" s="575" t="s">
        <v>469</v>
      </c>
      <c r="I9" s="576"/>
    </row>
    <row r="10" spans="1:13" s="585" customFormat="1" ht="18" customHeight="1">
      <c r="A10" s="577">
        <v>1</v>
      </c>
      <c r="B10" s="578" t="s">
        <v>488</v>
      </c>
      <c r="C10" s="579"/>
      <c r="D10" s="579" t="str">
        <f>'lương gián tiếp'!B13</f>
        <v>Thảo Văn Vông</v>
      </c>
      <c r="E10" s="579" t="s">
        <v>605</v>
      </c>
      <c r="F10" s="580">
        <f>VLOOKUP(D10,'lương gián tiếp'!$B$13:$G$14,6,0)</f>
        <v>6438728.2097560987</v>
      </c>
      <c r="G10" s="580">
        <f>VLOOKUP(D10,'lương gián tiếp'!B13:H14,7,0)</f>
        <v>328872.82097560988</v>
      </c>
      <c r="H10" s="581"/>
      <c r="I10" s="582"/>
      <c r="J10" s="583" t="s">
        <v>487</v>
      </c>
      <c r="K10" s="584" t="s">
        <v>489</v>
      </c>
      <c r="L10" s="583"/>
      <c r="M10" s="584"/>
    </row>
    <row r="11" spans="1:13" s="585" customFormat="1" ht="18" customHeight="1">
      <c r="A11" s="577">
        <v>2</v>
      </c>
      <c r="B11" s="578"/>
      <c r="C11" s="579" t="s">
        <v>485</v>
      </c>
      <c r="D11" s="579" t="str">
        <f>'lương gián tiếp'!B14</f>
        <v>Thảo Phôn Chay</v>
      </c>
      <c r="E11" s="579" t="s">
        <v>605</v>
      </c>
      <c r="F11" s="580">
        <f>VLOOKUP(D11,'lương gián tiếp'!$B$13:$G$14,6,0)</f>
        <v>6809999.3217391316</v>
      </c>
      <c r="G11" s="580">
        <f>VLOOKUP(D11,'lương gián tiếp'!B14:H14,7,0)</f>
        <v>365999.93217391317</v>
      </c>
      <c r="H11" s="581"/>
      <c r="I11" s="582"/>
      <c r="J11" s="583" t="s">
        <v>486</v>
      </c>
      <c r="K11" s="584"/>
      <c r="L11" s="583"/>
      <c r="M11" s="584"/>
    </row>
    <row r="12" spans="1:13" s="585" customFormat="1" ht="18" customHeight="1">
      <c r="A12" s="577">
        <v>3</v>
      </c>
      <c r="B12" s="578"/>
      <c r="C12" s="579" t="s">
        <v>485</v>
      </c>
      <c r="D12" s="579" t="str">
        <f>'Lương bảo vệ '!B15</f>
        <v xml:space="preserve">Thảo Mét </v>
      </c>
      <c r="E12" s="579" t="str">
        <f>'Lương bảo vệ '!C15</f>
        <v>Bảo vệ (VP)</v>
      </c>
      <c r="F12" s="580">
        <f>'Lương bảo vệ '!I15</f>
        <v>2600000</v>
      </c>
      <c r="G12" s="580">
        <f>'Lương bảo vệ '!J15</f>
        <v>65000</v>
      </c>
      <c r="H12" s="581"/>
      <c r="I12" s="582"/>
      <c r="J12" s="583" t="s">
        <v>486</v>
      </c>
      <c r="K12" s="584"/>
      <c r="L12" s="583"/>
      <c r="M12" s="584"/>
    </row>
    <row r="13" spans="1:13" s="585" customFormat="1" ht="18" customHeight="1">
      <c r="A13" s="577">
        <v>4</v>
      </c>
      <c r="B13" s="578" t="s">
        <v>488</v>
      </c>
      <c r="C13" s="579"/>
      <c r="D13" s="579" t="str">
        <f>'lương gián tiếp'!B16</f>
        <v>N. Nhung  ( VP)</v>
      </c>
      <c r="E13" s="579" t="s">
        <v>172</v>
      </c>
      <c r="F13" s="580">
        <f>VLOOKUP(D13,'lương gián tiếp'!B15:G16,6,0)</f>
        <v>2000000.0000000002</v>
      </c>
      <c r="G13" s="580">
        <f>VLOOKUP(D13,'lương gián tiếp'!$B$15:$H$16,7,0)</f>
        <v>35000.000000000015</v>
      </c>
      <c r="H13" s="581"/>
      <c r="I13" s="582"/>
      <c r="J13" s="583" t="s">
        <v>487</v>
      </c>
      <c r="K13" s="584" t="s">
        <v>489</v>
      </c>
      <c r="L13" s="583"/>
      <c r="M13" s="584"/>
    </row>
    <row r="14" spans="1:13" s="585" customFormat="1" ht="21.75" customHeight="1">
      <c r="A14" s="1582" t="s">
        <v>490</v>
      </c>
      <c r="B14" s="1582"/>
      <c r="C14" s="1582"/>
      <c r="D14" s="1582"/>
      <c r="E14" s="1582"/>
      <c r="F14" s="586">
        <f>SUM(F10:F13)</f>
        <v>17848727.531495232</v>
      </c>
      <c r="G14" s="586">
        <f>SUM(G10:G13)</f>
        <v>794872.75314952305</v>
      </c>
      <c r="H14" s="573"/>
      <c r="I14" s="587" t="e">
        <f>+#REF!/25</f>
        <v>#REF!</v>
      </c>
      <c r="J14" s="588"/>
      <c r="K14" s="584">
        <f>14*1200</f>
        <v>16800</v>
      </c>
      <c r="L14" s="589">
        <f>1700/31*26</f>
        <v>1425.8064516129032</v>
      </c>
      <c r="M14" s="584"/>
    </row>
    <row r="15" spans="1:13" s="570" customFormat="1" ht="23.25" customHeight="1">
      <c r="A15" s="1583" t="s">
        <v>869</v>
      </c>
      <c r="B15" s="1584"/>
      <c r="C15" s="1584"/>
      <c r="D15" s="1584"/>
      <c r="E15" s="1584"/>
      <c r="F15" s="1584"/>
      <c r="G15" s="1584"/>
      <c r="H15" s="1585"/>
      <c r="I15" s="590"/>
      <c r="J15" s="591"/>
      <c r="L15" s="592" t="e">
        <f>+L14/25+#REF!</f>
        <v>#REF!</v>
      </c>
    </row>
    <row r="16" spans="1:13" s="570" customFormat="1" ht="9" customHeight="1">
      <c r="E16" s="571"/>
      <c r="F16" s="571"/>
      <c r="G16" s="571"/>
      <c r="H16" s="571"/>
      <c r="I16" s="570">
        <f>900*14</f>
        <v>12600</v>
      </c>
      <c r="J16" s="591"/>
    </row>
    <row r="17" spans="1:11" ht="18" customHeight="1">
      <c r="A17" s="590"/>
      <c r="B17" s="590"/>
      <c r="D17" s="593"/>
      <c r="F17" s="1576" t="s">
        <v>620</v>
      </c>
      <c r="G17" s="1576"/>
      <c r="H17" s="1576"/>
      <c r="I17" s="594"/>
      <c r="J17" s="595"/>
      <c r="K17" s="596">
        <f>+F14*20</f>
        <v>356974550.62990463</v>
      </c>
    </row>
    <row r="18" spans="1:11" s="570" customFormat="1" ht="23.25" customHeight="1">
      <c r="A18" s="1505" t="s">
        <v>870</v>
      </c>
      <c r="B18" s="1505"/>
      <c r="C18" s="1505"/>
      <c r="D18" s="1505"/>
      <c r="E18" s="1505"/>
      <c r="F18" s="1505"/>
      <c r="G18" s="1505"/>
      <c r="H18" s="1505"/>
      <c r="I18" s="571"/>
    </row>
    <row r="21" spans="1:11" ht="57.75" customHeight="1"/>
    <row r="23" spans="1:11" s="570" customFormat="1">
      <c r="A23" s="1577"/>
      <c r="B23" s="1577"/>
      <c r="C23" s="1577"/>
      <c r="D23" s="1577"/>
      <c r="E23" s="1577"/>
      <c r="F23" s="1577"/>
    </row>
    <row r="24" spans="1:11">
      <c r="I24" s="571"/>
    </row>
  </sheetData>
  <mergeCells count="14">
    <mergeCell ref="F17:H17"/>
    <mergeCell ref="A23:D23"/>
    <mergeCell ref="E23:F23"/>
    <mergeCell ref="A1:H1"/>
    <mergeCell ref="A2:H2"/>
    <mergeCell ref="A3:H3"/>
    <mergeCell ref="A5:F5"/>
    <mergeCell ref="A6:H6"/>
    <mergeCell ref="A7:H7"/>
    <mergeCell ref="C9:D9"/>
    <mergeCell ref="A14:E14"/>
    <mergeCell ref="A15:H15"/>
    <mergeCell ref="A4:F4"/>
    <mergeCell ref="A18:H18"/>
  </mergeCells>
  <printOptions horizontalCentered="1"/>
  <pageMargins left="0.38" right="0.46" top="0.38" bottom="0.25" header="0.3" footer="0.2"/>
  <pageSetup paperSize="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W126"/>
  <sheetViews>
    <sheetView topLeftCell="A10" workbookViewId="0">
      <selection activeCell="J35" sqref="J35"/>
    </sheetView>
  </sheetViews>
  <sheetFormatPr defaultColWidth="9.140625" defaultRowHeight="15"/>
  <cols>
    <col min="1" max="1" width="4.85546875" style="1" customWidth="1"/>
    <col min="2" max="2" width="20.5703125" style="1" customWidth="1"/>
    <col min="3" max="3" width="12.7109375" style="1" customWidth="1"/>
    <col min="4" max="4" width="15.85546875" style="1" customWidth="1"/>
    <col min="5" max="5" width="12" style="1" bestFit="1" customWidth="1"/>
    <col min="6" max="6" width="10.7109375" style="1" bestFit="1" customWidth="1"/>
    <col min="7" max="7" width="12.5703125" style="1" customWidth="1"/>
    <col min="8" max="8" width="10.28515625" style="1" customWidth="1"/>
    <col min="9" max="9" width="9.140625" style="1"/>
    <col min="10" max="10" width="12.7109375" style="1" customWidth="1"/>
    <col min="11" max="16384" width="9.140625" style="1"/>
  </cols>
  <sheetData>
    <row r="1" spans="1:23" ht="16.5">
      <c r="A1" s="1501" t="s">
        <v>54</v>
      </c>
      <c r="B1" s="1501"/>
      <c r="C1" s="1501"/>
      <c r="D1" s="1501"/>
      <c r="E1" s="1501"/>
      <c r="F1" s="1501"/>
      <c r="G1" s="1501"/>
      <c r="H1" s="1501"/>
    </row>
    <row r="2" spans="1:23" ht="16.5">
      <c r="A2" s="1501" t="s">
        <v>40</v>
      </c>
      <c r="B2" s="1501"/>
      <c r="C2" s="1501"/>
      <c r="D2" s="1501"/>
      <c r="E2" s="1501"/>
      <c r="F2" s="1501"/>
      <c r="G2" s="1501"/>
      <c r="H2" s="1501"/>
    </row>
    <row r="3" spans="1:23" ht="16.5">
      <c r="A3" s="1506" t="s">
        <v>292</v>
      </c>
      <c r="B3" s="1501"/>
      <c r="C3" s="1501"/>
      <c r="D3" s="1501"/>
      <c r="E3" s="1501"/>
      <c r="F3" s="1501"/>
      <c r="G3" s="1501"/>
      <c r="H3" s="1501"/>
    </row>
    <row r="4" spans="1:23" ht="16.5">
      <c r="A4" s="945"/>
      <c r="B4" s="945"/>
      <c r="C4" s="945"/>
      <c r="D4" s="945"/>
      <c r="E4" s="945"/>
      <c r="F4" s="945"/>
      <c r="G4" s="945"/>
      <c r="H4" s="945"/>
    </row>
    <row r="5" spans="1:23" ht="16.5">
      <c r="A5" s="1507" t="s">
        <v>598</v>
      </c>
      <c r="B5" s="1507"/>
      <c r="C5" s="1507"/>
      <c r="D5" s="1507"/>
      <c r="E5" s="1507"/>
      <c r="F5" s="236"/>
      <c r="G5" s="236"/>
      <c r="H5" s="236"/>
    </row>
    <row r="6" spans="1:23" ht="16.5">
      <c r="A6" s="1507" t="s">
        <v>583</v>
      </c>
      <c r="B6" s="1507"/>
      <c r="C6" s="1507"/>
      <c r="D6" s="1507"/>
      <c r="E6" s="1507"/>
      <c r="F6" s="298"/>
      <c r="G6" s="298"/>
      <c r="H6" s="298"/>
    </row>
    <row r="7" spans="1:23" ht="7.5" customHeight="1">
      <c r="A7" s="1593"/>
      <c r="B7" s="1593"/>
      <c r="C7" s="1593"/>
      <c r="D7" s="1593"/>
      <c r="E7" s="1593"/>
      <c r="F7" s="1593"/>
      <c r="G7" s="1593"/>
      <c r="H7" s="1593"/>
    </row>
    <row r="8" spans="1:23" ht="44.25" customHeight="1">
      <c r="A8" s="1594" t="s">
        <v>130</v>
      </c>
      <c r="B8" s="1594"/>
      <c r="C8" s="1594"/>
      <c r="D8" s="1594"/>
      <c r="E8" s="1594"/>
      <c r="F8" s="1594"/>
      <c r="G8" s="1594"/>
      <c r="H8" s="1594"/>
      <c r="I8" s="32"/>
      <c r="J8" s="32"/>
      <c r="K8" s="32"/>
    </row>
    <row r="9" spans="1:23" ht="21.75" customHeight="1">
      <c r="A9" s="1591" t="s">
        <v>4</v>
      </c>
      <c r="B9" s="1591" t="s">
        <v>108</v>
      </c>
      <c r="C9" s="1591" t="s">
        <v>85</v>
      </c>
      <c r="D9" s="1591" t="s">
        <v>76</v>
      </c>
      <c r="E9" s="1592" t="s">
        <v>817</v>
      </c>
      <c r="F9" s="1592"/>
      <c r="G9" s="1586" t="s">
        <v>74</v>
      </c>
      <c r="H9" s="1586" t="s">
        <v>75</v>
      </c>
      <c r="I9" s="32"/>
      <c r="J9" s="32"/>
      <c r="K9" s="32"/>
    </row>
    <row r="10" spans="1:23" ht="40.5" customHeight="1">
      <c r="A10" s="1591"/>
      <c r="B10" s="1591"/>
      <c r="C10" s="1591"/>
      <c r="D10" s="1591"/>
      <c r="E10" s="33" t="s">
        <v>86</v>
      </c>
      <c r="F10" s="545" t="s">
        <v>92</v>
      </c>
      <c r="G10" s="1586"/>
      <c r="H10" s="1586"/>
    </row>
    <row r="11" spans="1:23" ht="27" customHeight="1">
      <c r="A11" s="301">
        <v>1</v>
      </c>
      <c r="B11" s="302" t="s">
        <v>142</v>
      </c>
      <c r="C11" s="303" t="s">
        <v>89</v>
      </c>
      <c r="D11" s="304" t="s">
        <v>131</v>
      </c>
      <c r="E11" s="305"/>
      <c r="F11" s="306">
        <v>1000000</v>
      </c>
      <c r="G11" s="307"/>
      <c r="H11" s="308"/>
      <c r="I11" s="615" t="s">
        <v>499</v>
      </c>
      <c r="J11" s="615" t="s">
        <v>500</v>
      </c>
    </row>
    <row r="12" spans="1:23" s="16" customFormat="1" ht="27" customHeight="1">
      <c r="A12" s="301">
        <v>2</v>
      </c>
      <c r="B12" s="302" t="s">
        <v>111</v>
      </c>
      <c r="C12" s="303" t="s">
        <v>69</v>
      </c>
      <c r="D12" s="304" t="s">
        <v>87</v>
      </c>
      <c r="E12" s="305">
        <v>11</v>
      </c>
      <c r="F12" s="306">
        <v>500000</v>
      </c>
      <c r="G12" s="307"/>
      <c r="H12" s="308"/>
      <c r="I12" s="613" t="s">
        <v>501</v>
      </c>
      <c r="J12" s="614">
        <v>500000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</row>
    <row r="13" spans="1:23" ht="27" customHeight="1">
      <c r="A13" s="301">
        <v>3</v>
      </c>
      <c r="B13" s="302" t="s">
        <v>110</v>
      </c>
      <c r="C13" s="303" t="s">
        <v>73</v>
      </c>
      <c r="D13" s="304" t="s">
        <v>87</v>
      </c>
      <c r="E13" s="305">
        <v>6</v>
      </c>
      <c r="F13" s="306">
        <v>500000</v>
      </c>
      <c r="G13" s="307"/>
      <c r="H13" s="308"/>
      <c r="I13" s="613" t="s">
        <v>502</v>
      </c>
      <c r="J13" s="614">
        <v>600000</v>
      </c>
    </row>
    <row r="14" spans="1:23" ht="27" customHeight="1">
      <c r="A14" s="301">
        <v>4</v>
      </c>
      <c r="B14" s="302" t="s">
        <v>112</v>
      </c>
      <c r="C14" s="303" t="s">
        <v>88</v>
      </c>
      <c r="D14" s="304" t="s">
        <v>87</v>
      </c>
      <c r="E14" s="305">
        <v>4</v>
      </c>
      <c r="F14" s="306">
        <v>500000</v>
      </c>
      <c r="G14" s="307"/>
      <c r="H14" s="308"/>
      <c r="I14" s="613" t="s">
        <v>503</v>
      </c>
      <c r="J14" s="614">
        <v>700000</v>
      </c>
    </row>
    <row r="15" spans="1:23" ht="27" customHeight="1">
      <c r="A15" s="301">
        <v>5</v>
      </c>
      <c r="B15" s="302" t="s">
        <v>109</v>
      </c>
      <c r="C15" s="309" t="s">
        <v>89</v>
      </c>
      <c r="D15" s="310" t="s">
        <v>87</v>
      </c>
      <c r="E15" s="311">
        <v>14</v>
      </c>
      <c r="F15" s="306">
        <v>500000</v>
      </c>
      <c r="G15" s="312"/>
      <c r="H15" s="308"/>
    </row>
    <row r="16" spans="1:23" ht="27" customHeight="1">
      <c r="A16" s="301">
        <v>6</v>
      </c>
      <c r="B16" s="302" t="s">
        <v>90</v>
      </c>
      <c r="C16" s="303" t="s">
        <v>83</v>
      </c>
      <c r="D16" s="304" t="s">
        <v>87</v>
      </c>
      <c r="E16" s="305">
        <v>33</v>
      </c>
      <c r="F16" s="616">
        <v>600000</v>
      </c>
      <c r="G16" s="307"/>
      <c r="H16" s="308"/>
    </row>
    <row r="17" spans="1:8" ht="27" customHeight="1">
      <c r="A17" s="301">
        <v>7</v>
      </c>
      <c r="B17" s="302" t="s">
        <v>113</v>
      </c>
      <c r="C17" s="303" t="s">
        <v>84</v>
      </c>
      <c r="D17" s="304" t="s">
        <v>87</v>
      </c>
      <c r="E17" s="305">
        <v>16</v>
      </c>
      <c r="F17" s="306">
        <v>500000</v>
      </c>
      <c r="G17" s="307"/>
      <c r="H17" s="308"/>
    </row>
    <row r="18" spans="1:8" ht="27" customHeight="1">
      <c r="A18" s="301">
        <v>8</v>
      </c>
      <c r="B18" s="302" t="s">
        <v>119</v>
      </c>
      <c r="C18" s="303" t="s">
        <v>117</v>
      </c>
      <c r="D18" s="304" t="s">
        <v>87</v>
      </c>
      <c r="E18" s="305">
        <v>35</v>
      </c>
      <c r="F18" s="616">
        <v>600000</v>
      </c>
      <c r="G18" s="307"/>
      <c r="H18" s="308"/>
    </row>
    <row r="19" spans="1:8" ht="27" customHeight="1">
      <c r="A19" s="301">
        <v>9</v>
      </c>
      <c r="B19" s="302" t="s">
        <v>159</v>
      </c>
      <c r="C19" s="303" t="s">
        <v>118</v>
      </c>
      <c r="D19" s="304" t="s">
        <v>87</v>
      </c>
      <c r="E19" s="305">
        <v>16</v>
      </c>
      <c r="F19" s="306">
        <v>500000</v>
      </c>
      <c r="G19" s="307"/>
      <c r="H19" s="308"/>
    </row>
    <row r="20" spans="1:8" ht="27" customHeight="1">
      <c r="A20" s="301">
        <v>10</v>
      </c>
      <c r="B20" s="302" t="s">
        <v>352</v>
      </c>
      <c r="C20" s="302" t="s">
        <v>508</v>
      </c>
      <c r="D20" s="304" t="s">
        <v>87</v>
      </c>
      <c r="E20" s="305">
        <v>110</v>
      </c>
      <c r="F20" s="616">
        <v>700000</v>
      </c>
      <c r="G20" s="307"/>
      <c r="H20" s="308"/>
    </row>
    <row r="21" spans="1:8" ht="27" customHeight="1">
      <c r="A21" s="1587" t="s">
        <v>58</v>
      </c>
      <c r="B21" s="1587"/>
      <c r="C21" s="1587"/>
      <c r="D21" s="1587"/>
      <c r="E21" s="420">
        <f>SUM(E12:E20)</f>
        <v>245</v>
      </c>
      <c r="F21" s="420">
        <f>SUM(F11:F20)</f>
        <v>5900000</v>
      </c>
      <c r="G21" s="40"/>
      <c r="H21" s="39"/>
    </row>
    <row r="22" spans="1:8" ht="19.5" customHeight="1">
      <c r="A22" s="1588" t="s">
        <v>509</v>
      </c>
      <c r="B22" s="1589"/>
      <c r="C22" s="1589"/>
      <c r="D22" s="1589"/>
      <c r="E22" s="1589"/>
      <c r="F22" s="1589"/>
      <c r="G22" s="1589"/>
      <c r="H22" s="1590"/>
    </row>
    <row r="23" spans="1:8">
      <c r="C23" s="1596" t="s">
        <v>816</v>
      </c>
      <c r="D23" s="1596"/>
      <c r="E23" s="1596"/>
      <c r="F23" s="1596"/>
      <c r="G23" s="1596"/>
      <c r="H23" s="1596"/>
    </row>
    <row r="24" spans="1:8" ht="8.25" customHeight="1"/>
    <row r="25" spans="1:8">
      <c r="A25" s="1597" t="s">
        <v>621</v>
      </c>
      <c r="B25" s="1597"/>
      <c r="C25" s="1597"/>
      <c r="D25" s="1597"/>
      <c r="E25" s="1597"/>
      <c r="F25" s="1597"/>
      <c r="G25" s="1597"/>
      <c r="H25" s="1597"/>
    </row>
    <row r="26" spans="1:8">
      <c r="A26" s="993"/>
      <c r="B26" s="993"/>
      <c r="C26" s="993"/>
      <c r="D26" s="993"/>
      <c r="E26" s="993"/>
      <c r="F26" s="993"/>
      <c r="G26" s="994"/>
      <c r="H26" s="994"/>
    </row>
    <row r="27" spans="1:8">
      <c r="A27" s="993"/>
      <c r="B27" s="993"/>
      <c r="C27" s="993"/>
      <c r="D27" s="993"/>
      <c r="E27" s="993"/>
      <c r="F27" s="993"/>
      <c r="G27" s="994"/>
      <c r="H27" s="994"/>
    </row>
    <row r="28" spans="1:8">
      <c r="A28" s="993"/>
      <c r="B28" s="993"/>
      <c r="C28" s="993"/>
      <c r="D28" s="993"/>
      <c r="E28" s="993"/>
      <c r="F28" s="993"/>
      <c r="G28" s="994"/>
      <c r="H28" s="994"/>
    </row>
    <row r="29" spans="1:8">
      <c r="A29" s="993"/>
      <c r="B29" s="993"/>
      <c r="C29" s="993"/>
      <c r="D29" s="993"/>
      <c r="E29" s="993"/>
      <c r="F29" s="993"/>
      <c r="G29" s="994"/>
      <c r="H29" s="994"/>
    </row>
    <row r="30" spans="1:8">
      <c r="A30" s="993"/>
      <c r="B30" s="993"/>
      <c r="C30" s="993"/>
      <c r="D30" s="993"/>
      <c r="E30" s="993"/>
      <c r="F30" s="993"/>
      <c r="G30" s="994"/>
      <c r="H30" s="994"/>
    </row>
    <row r="31" spans="1:8">
      <c r="A31" s="993"/>
      <c r="B31" s="993"/>
      <c r="C31" s="993"/>
      <c r="D31" s="993"/>
      <c r="E31" s="993"/>
      <c r="F31" s="993"/>
      <c r="G31" s="994"/>
      <c r="H31" s="994"/>
    </row>
    <row r="32" spans="1:8" ht="8.25" customHeight="1">
      <c r="A32" s="1598"/>
      <c r="B32" s="1598"/>
      <c r="C32" s="993"/>
      <c r="D32" s="993"/>
      <c r="E32" s="993"/>
      <c r="F32" s="993"/>
      <c r="G32" s="994"/>
      <c r="H32" s="994"/>
    </row>
    <row r="33" spans="1:8" ht="19.5" customHeight="1">
      <c r="A33" s="1599" t="s">
        <v>622</v>
      </c>
      <c r="B33" s="1599"/>
      <c r="C33" s="1599"/>
      <c r="D33" s="1599"/>
      <c r="E33" s="1599"/>
      <c r="F33" s="1599"/>
      <c r="G33" s="1599"/>
      <c r="H33" s="1599"/>
    </row>
    <row r="34" spans="1:8">
      <c r="B34" s="10"/>
      <c r="C34" s="10"/>
      <c r="D34" s="10"/>
      <c r="E34" s="10"/>
      <c r="F34" s="10"/>
      <c r="G34" s="10"/>
      <c r="H34" s="10"/>
    </row>
    <row r="55" spans="1:8">
      <c r="A55" s="1595" t="s">
        <v>106</v>
      </c>
      <c r="B55" s="1595"/>
      <c r="C55" s="1595"/>
      <c r="D55" s="1595"/>
      <c r="E55" s="1595"/>
      <c r="F55" s="1595"/>
      <c r="G55" s="1" t="s">
        <v>107</v>
      </c>
    </row>
    <row r="57" spans="1:8" ht="15.75">
      <c r="G57" s="36" t="s">
        <v>103</v>
      </c>
      <c r="H57" s="38" t="s">
        <v>97</v>
      </c>
    </row>
    <row r="58" spans="1:8">
      <c r="G58" s="19"/>
      <c r="H58" s="19"/>
    </row>
    <row r="59" spans="1:8">
      <c r="G59" s="19"/>
      <c r="H59" s="19"/>
    </row>
    <row r="60" spans="1:8">
      <c r="G60" s="19"/>
      <c r="H60" s="19"/>
    </row>
    <row r="61" spans="1:8">
      <c r="G61" s="19"/>
      <c r="H61" s="19"/>
    </row>
    <row r="62" spans="1:8" ht="15.75">
      <c r="G62" s="36" t="s">
        <v>104</v>
      </c>
      <c r="H62" s="38" t="s">
        <v>68</v>
      </c>
    </row>
    <row r="63" spans="1:8">
      <c r="G63" s="19"/>
      <c r="H63" s="19"/>
    </row>
    <row r="64" spans="1:8">
      <c r="G64" s="19"/>
      <c r="H64" s="19"/>
    </row>
    <row r="65" spans="7:8">
      <c r="G65" s="19"/>
      <c r="H65" s="19"/>
    </row>
    <row r="66" spans="7:8">
      <c r="G66" s="19"/>
      <c r="H66" s="19"/>
    </row>
    <row r="67" spans="7:8">
      <c r="G67" s="19"/>
      <c r="H67" s="19"/>
    </row>
    <row r="68" spans="7:8">
      <c r="G68" s="19"/>
      <c r="H68" s="19"/>
    </row>
    <row r="69" spans="7:8">
      <c r="G69" s="19"/>
      <c r="H69" s="19"/>
    </row>
    <row r="70" spans="7:8">
      <c r="G70" s="19"/>
      <c r="H70" s="19"/>
    </row>
    <row r="71" spans="7:8">
      <c r="G71" s="19"/>
      <c r="H71" s="19"/>
    </row>
    <row r="72" spans="7:8">
      <c r="G72" s="19"/>
      <c r="H72" s="19"/>
    </row>
    <row r="73" spans="7:8">
      <c r="G73" s="19"/>
      <c r="H73" s="19"/>
    </row>
    <row r="74" spans="7:8">
      <c r="G74" s="19"/>
      <c r="H74" s="19"/>
    </row>
    <row r="75" spans="7:8">
      <c r="G75" s="19"/>
      <c r="H75" s="19"/>
    </row>
    <row r="76" spans="7:8">
      <c r="G76" s="19"/>
      <c r="H76" s="19"/>
    </row>
    <row r="77" spans="7:8">
      <c r="G77" s="19"/>
      <c r="H77" s="19"/>
    </row>
    <row r="78" spans="7:8">
      <c r="G78" s="19"/>
      <c r="H78" s="19"/>
    </row>
    <row r="79" spans="7:8">
      <c r="G79" s="19"/>
      <c r="H79" s="19"/>
    </row>
    <row r="80" spans="7:8">
      <c r="G80" s="19"/>
      <c r="H80" s="19"/>
    </row>
    <row r="81" spans="7:8">
      <c r="G81" s="19"/>
      <c r="H81" s="19"/>
    </row>
    <row r="82" spans="7:8">
      <c r="G82" s="19"/>
      <c r="H82" s="19"/>
    </row>
    <row r="83" spans="7:8">
      <c r="G83" s="19"/>
      <c r="H83" s="19"/>
    </row>
    <row r="84" spans="7:8">
      <c r="G84" s="19"/>
      <c r="H84" s="19"/>
    </row>
    <row r="85" spans="7:8">
      <c r="G85" s="19"/>
      <c r="H85" s="19"/>
    </row>
    <row r="86" spans="7:8">
      <c r="G86" s="19"/>
      <c r="H86" s="19"/>
    </row>
    <row r="87" spans="7:8">
      <c r="G87" s="19"/>
      <c r="H87" s="19"/>
    </row>
    <row r="88" spans="7:8">
      <c r="G88" s="19"/>
      <c r="H88" s="19"/>
    </row>
    <row r="89" spans="7:8">
      <c r="G89" s="19"/>
      <c r="H89" s="19"/>
    </row>
    <row r="90" spans="7:8">
      <c r="G90" s="19"/>
      <c r="H90" s="19"/>
    </row>
    <row r="91" spans="7:8">
      <c r="G91" s="19"/>
      <c r="H91" s="19"/>
    </row>
    <row r="92" spans="7:8">
      <c r="G92" s="19"/>
      <c r="H92" s="19"/>
    </row>
    <row r="93" spans="7:8">
      <c r="G93" s="19"/>
      <c r="H93" s="19"/>
    </row>
    <row r="94" spans="7:8">
      <c r="G94" s="19"/>
      <c r="H94" s="19"/>
    </row>
    <row r="95" spans="7:8">
      <c r="G95" s="19"/>
      <c r="H95" s="19"/>
    </row>
    <row r="96" spans="7:8">
      <c r="G96" s="19"/>
      <c r="H96" s="19"/>
    </row>
    <row r="97" spans="7:8">
      <c r="G97" s="19"/>
      <c r="H97" s="19"/>
    </row>
    <row r="98" spans="7:8">
      <c r="G98" s="19"/>
      <c r="H98" s="19"/>
    </row>
    <row r="99" spans="7:8">
      <c r="G99" s="19"/>
      <c r="H99" s="19"/>
    </row>
    <row r="100" spans="7:8">
      <c r="G100" s="19"/>
      <c r="H100" s="19"/>
    </row>
    <row r="101" spans="7:8">
      <c r="G101" s="19"/>
      <c r="H101" s="19"/>
    </row>
    <row r="102" spans="7:8">
      <c r="G102" s="19"/>
      <c r="H102" s="19"/>
    </row>
    <row r="103" spans="7:8">
      <c r="G103" s="19"/>
      <c r="H103" s="19"/>
    </row>
    <row r="104" spans="7:8">
      <c r="G104" s="19"/>
      <c r="H104" s="19"/>
    </row>
    <row r="105" spans="7:8">
      <c r="G105" s="19"/>
      <c r="H105" s="19"/>
    </row>
    <row r="106" spans="7:8">
      <c r="G106" s="19"/>
      <c r="H106" s="19"/>
    </row>
    <row r="107" spans="7:8">
      <c r="G107" s="19"/>
      <c r="H107" s="19"/>
    </row>
    <row r="108" spans="7:8">
      <c r="G108" s="19"/>
      <c r="H108" s="19"/>
    </row>
    <row r="109" spans="7:8">
      <c r="G109" s="19"/>
      <c r="H109" s="19"/>
    </row>
    <row r="110" spans="7:8">
      <c r="G110" s="19"/>
      <c r="H110" s="19"/>
    </row>
    <row r="111" spans="7:8">
      <c r="G111" s="19"/>
      <c r="H111" s="19"/>
    </row>
    <row r="112" spans="7:8">
      <c r="G112" s="19"/>
      <c r="H112" s="19"/>
    </row>
    <row r="113" spans="7:8">
      <c r="G113" s="19"/>
      <c r="H113" s="19"/>
    </row>
    <row r="114" spans="7:8">
      <c r="G114" s="19"/>
      <c r="H114" s="19"/>
    </row>
    <row r="115" spans="7:8">
      <c r="G115" s="19"/>
      <c r="H115" s="19"/>
    </row>
    <row r="116" spans="7:8">
      <c r="G116" s="19"/>
      <c r="H116" s="19"/>
    </row>
    <row r="117" spans="7:8" ht="15.75">
      <c r="G117" s="36" t="s">
        <v>102</v>
      </c>
      <c r="H117" s="37" t="s">
        <v>99</v>
      </c>
    </row>
    <row r="118" spans="7:8" ht="15.75">
      <c r="G118" s="36" t="s">
        <v>105</v>
      </c>
      <c r="H118" s="37" t="s">
        <v>96</v>
      </c>
    </row>
    <row r="119" spans="7:8" ht="31.5">
      <c r="G119" s="34">
        <v>382</v>
      </c>
      <c r="H119" s="35" t="s">
        <v>98</v>
      </c>
    </row>
    <row r="120" spans="7:8">
      <c r="G120" s="19"/>
      <c r="H120" s="19"/>
    </row>
    <row r="121" spans="7:8">
      <c r="G121" s="19"/>
      <c r="H121" s="19"/>
    </row>
    <row r="122" spans="7:8">
      <c r="G122" s="19"/>
      <c r="H122" s="19"/>
    </row>
    <row r="123" spans="7:8">
      <c r="G123" s="19"/>
      <c r="H123" s="19"/>
    </row>
    <row r="124" spans="7:8">
      <c r="G124" s="19"/>
      <c r="H124" s="19"/>
    </row>
    <row r="125" spans="7:8" ht="31.5">
      <c r="G125" s="34">
        <v>411</v>
      </c>
      <c r="H125" s="35" t="s">
        <v>100</v>
      </c>
    </row>
    <row r="126" spans="7:8">
      <c r="G126" s="19"/>
      <c r="H126" s="19"/>
    </row>
  </sheetData>
  <mergeCells count="21">
    <mergeCell ref="A55:F55"/>
    <mergeCell ref="C23:H23"/>
    <mergeCell ref="A25:H25"/>
    <mergeCell ref="A32:B32"/>
    <mergeCell ref="A33:H33"/>
    <mergeCell ref="A1:H1"/>
    <mergeCell ref="A2:H2"/>
    <mergeCell ref="A3:H3"/>
    <mergeCell ref="A7:H7"/>
    <mergeCell ref="A8:H8"/>
    <mergeCell ref="A5:E5"/>
    <mergeCell ref="A6:E6"/>
    <mergeCell ref="G9:G10"/>
    <mergeCell ref="H9:H10"/>
    <mergeCell ref="A21:D21"/>
    <mergeCell ref="A22:H22"/>
    <mergeCell ref="A9:A10"/>
    <mergeCell ref="B9:B10"/>
    <mergeCell ref="C9:C10"/>
    <mergeCell ref="D9:D10"/>
    <mergeCell ref="E9:F9"/>
  </mergeCells>
  <pageMargins left="0.24" right="0.2" top="0.2" bottom="0.2" header="0.2" footer="0.2"/>
  <pageSetup paperSize="9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Y25"/>
  <sheetViews>
    <sheetView workbookViewId="0">
      <selection activeCell="A23" sqref="A23:AN23"/>
    </sheetView>
  </sheetViews>
  <sheetFormatPr defaultColWidth="9.140625" defaultRowHeight="15"/>
  <cols>
    <col min="1" max="1" width="4.7109375" style="1" customWidth="1"/>
    <col min="2" max="2" width="20.85546875" style="1" customWidth="1"/>
    <col min="3" max="3" width="27" style="1" customWidth="1"/>
    <col min="4" max="4" width="23" style="1" customWidth="1"/>
    <col min="5" max="5" width="19" style="1" customWidth="1"/>
    <col min="6" max="6" width="29.42578125" style="1" customWidth="1"/>
    <col min="7" max="7" width="8.42578125" style="1" customWidth="1"/>
    <col min="8" max="8" width="12.85546875" style="1" customWidth="1"/>
    <col min="9" max="9" width="13.42578125" style="1" customWidth="1"/>
    <col min="10" max="11" width="7.85546875" style="1" customWidth="1"/>
    <col min="12" max="12" width="7.28515625" style="1" customWidth="1"/>
    <col min="13" max="13" width="7.42578125" style="1" customWidth="1"/>
    <col min="14" max="14" width="6.28515625" style="1" customWidth="1"/>
    <col min="15" max="15" width="5.7109375" style="1" customWidth="1"/>
    <col min="16" max="16" width="6" style="1" customWidth="1"/>
    <col min="17" max="17" width="4.85546875" style="1" customWidth="1"/>
    <col min="18" max="18" width="6" style="1" customWidth="1"/>
    <col min="19" max="19" width="6.5703125" style="1" customWidth="1"/>
    <col min="20" max="20" width="8.140625" style="1" customWidth="1"/>
    <col min="21" max="21" width="6" style="1" customWidth="1"/>
    <col min="22" max="22" width="8.140625" style="1" customWidth="1"/>
    <col min="23" max="23" width="15" style="1" bestFit="1" customWidth="1"/>
    <col min="24" max="24" width="17.85546875" style="1" bestFit="1" customWidth="1"/>
    <col min="25" max="25" width="12.85546875" style="1" bestFit="1" customWidth="1"/>
    <col min="26" max="16384" width="9.140625" style="1"/>
  </cols>
  <sheetData>
    <row r="2" spans="1:25" ht="16.5">
      <c r="A2" s="1501" t="s">
        <v>54</v>
      </c>
      <c r="B2" s="1501"/>
      <c r="C2" s="1501"/>
      <c r="D2" s="1501"/>
      <c r="E2" s="1501"/>
      <c r="F2" s="1501"/>
      <c r="G2" s="14"/>
      <c r="H2" s="14"/>
      <c r="I2" s="14"/>
      <c r="J2" s="11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5" ht="16.5">
      <c r="A3" s="1600" t="s">
        <v>40</v>
      </c>
      <c r="B3" s="1600"/>
      <c r="C3" s="1600"/>
      <c r="D3" s="1600"/>
      <c r="E3" s="1600"/>
      <c r="F3" s="1600"/>
      <c r="G3" s="15"/>
      <c r="H3" s="15"/>
      <c r="I3" s="15"/>
      <c r="J3" s="9"/>
      <c r="K3" s="6"/>
      <c r="M3" s="9"/>
      <c r="N3" s="9"/>
      <c r="O3" s="9"/>
      <c r="P3" s="9"/>
      <c r="Q3" s="9"/>
      <c r="R3" s="9"/>
      <c r="S3" s="9"/>
      <c r="T3" s="9"/>
      <c r="U3" s="9"/>
      <c r="V3" s="7"/>
    </row>
    <row r="4" spans="1:25" ht="16.5">
      <c r="A4" s="1506" t="s">
        <v>292</v>
      </c>
      <c r="B4" s="1501"/>
      <c r="C4" s="1501"/>
      <c r="D4" s="1501"/>
      <c r="E4" s="1501"/>
      <c r="F4" s="1501"/>
      <c r="G4" s="15"/>
      <c r="H4" s="15"/>
      <c r="I4" s="15"/>
      <c r="J4" s="9"/>
      <c r="K4" s="6"/>
      <c r="M4" s="9"/>
      <c r="N4" s="9"/>
      <c r="O4" s="9"/>
      <c r="P4" s="9"/>
      <c r="Q4" s="9"/>
      <c r="R4" s="9"/>
      <c r="S4" s="9"/>
      <c r="T4" s="9"/>
      <c r="U4" s="9"/>
      <c r="V4" s="7"/>
    </row>
    <row r="5" spans="1:25" ht="3.75" customHeight="1">
      <c r="A5" s="553"/>
      <c r="B5" s="553"/>
      <c r="C5" s="553"/>
      <c r="D5" s="553"/>
      <c r="E5" s="553"/>
      <c r="F5" s="553"/>
      <c r="G5" s="15"/>
      <c r="H5" s="15"/>
      <c r="I5" s="15"/>
      <c r="J5" s="9"/>
      <c r="K5" s="6"/>
      <c r="M5" s="9"/>
      <c r="N5" s="9"/>
      <c r="O5" s="9"/>
      <c r="P5" s="9"/>
      <c r="Q5" s="9"/>
      <c r="R5" s="9"/>
      <c r="S5" s="9"/>
      <c r="T5" s="9"/>
      <c r="U5" s="9"/>
      <c r="V5" s="7"/>
    </row>
    <row r="6" spans="1:25" ht="6" customHeight="1">
      <c r="E6" s="82"/>
      <c r="F6" s="82"/>
      <c r="G6" s="18"/>
      <c r="H6" s="18"/>
      <c r="I6" s="18"/>
      <c r="J6" s="291"/>
      <c r="K6" s="20"/>
      <c r="L6" s="21"/>
      <c r="M6" s="8"/>
      <c r="N6" s="8"/>
      <c r="O6" s="8"/>
      <c r="P6" s="8"/>
      <c r="Q6" s="8"/>
      <c r="R6" s="8"/>
      <c r="S6" s="8"/>
      <c r="T6" s="8"/>
      <c r="U6" s="8"/>
      <c r="V6" s="7"/>
      <c r="W6" s="22">
        <f>1372+388</f>
        <v>1760</v>
      </c>
      <c r="X6" s="1">
        <f>W6*30000</f>
        <v>52800000</v>
      </c>
      <c r="Y6" s="1" t="e">
        <f>X6+#REF!+#REF!</f>
        <v>#REF!</v>
      </c>
    </row>
    <row r="7" spans="1:25" ht="15.75">
      <c r="A7" s="3" t="s">
        <v>598</v>
      </c>
      <c r="B7" s="3"/>
      <c r="C7" s="3"/>
      <c r="D7" s="4"/>
      <c r="E7" s="82"/>
      <c r="F7" s="82"/>
      <c r="G7" s="18"/>
      <c r="H7" s="18"/>
      <c r="I7" s="18"/>
      <c r="J7" s="291"/>
      <c r="K7" s="20"/>
      <c r="L7" s="21"/>
      <c r="M7" s="8"/>
      <c r="N7" s="8"/>
      <c r="O7" s="8"/>
      <c r="P7" s="8"/>
      <c r="Q7" s="8"/>
      <c r="R7" s="8"/>
      <c r="S7" s="8"/>
      <c r="T7" s="8"/>
      <c r="U7" s="8"/>
      <c r="V7" s="7"/>
      <c r="W7" s="22"/>
    </row>
    <row r="8" spans="1:25" ht="15.75">
      <c r="A8" s="1403" t="s">
        <v>64</v>
      </c>
      <c r="B8" s="1403"/>
      <c r="C8" s="1403"/>
      <c r="D8" s="82"/>
      <c r="E8" s="82"/>
      <c r="F8" s="82"/>
      <c r="G8" s="18"/>
      <c r="H8" s="18"/>
      <c r="I8" s="18"/>
      <c r="J8" s="291"/>
      <c r="K8" s="20"/>
      <c r="L8" s="21"/>
      <c r="M8" s="8"/>
      <c r="N8" s="8"/>
      <c r="O8" s="8"/>
      <c r="P8" s="8"/>
      <c r="Q8" s="8"/>
      <c r="R8" s="8"/>
      <c r="S8" s="8"/>
      <c r="T8" s="8"/>
      <c r="U8" s="8"/>
      <c r="V8" s="7"/>
      <c r="W8" s="22"/>
    </row>
    <row r="9" spans="1:25" ht="15.75">
      <c r="A9" s="447"/>
      <c r="B9" s="447"/>
      <c r="C9" s="447"/>
      <c r="D9" s="82"/>
      <c r="E9" s="82"/>
      <c r="F9" s="82"/>
      <c r="G9" s="18"/>
      <c r="H9" s="18"/>
      <c r="I9" s="18"/>
      <c r="J9" s="291"/>
      <c r="K9" s="20"/>
      <c r="L9" s="21"/>
      <c r="M9" s="8"/>
      <c r="N9" s="8"/>
      <c r="O9" s="8"/>
      <c r="P9" s="8"/>
      <c r="Q9" s="8"/>
      <c r="R9" s="8"/>
      <c r="S9" s="8"/>
      <c r="T9" s="8"/>
      <c r="U9" s="8"/>
      <c r="V9" s="7"/>
      <c r="W9" s="22"/>
    </row>
    <row r="10" spans="1:25" ht="34.5" customHeight="1">
      <c r="A10" s="1601" t="s">
        <v>818</v>
      </c>
      <c r="B10" s="1298"/>
      <c r="C10" s="1298"/>
      <c r="D10" s="1298"/>
      <c r="E10" s="1298"/>
      <c r="F10" s="1298"/>
      <c r="G10" s="29"/>
      <c r="H10" s="29"/>
      <c r="I10" s="29"/>
      <c r="J10" s="29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</row>
    <row r="11" spans="1:25" ht="12" customHeight="1">
      <c r="A11" s="26"/>
      <c r="B11" s="27"/>
      <c r="C11" s="26"/>
      <c r="D11" s="26"/>
      <c r="E11" s="27"/>
      <c r="F11" s="27"/>
      <c r="G11" s="23"/>
      <c r="H11" s="24"/>
      <c r="I11" s="25"/>
    </row>
    <row r="12" spans="1:25" ht="15" customHeight="1">
      <c r="A12" s="1602" t="s">
        <v>4</v>
      </c>
      <c r="B12" s="1602" t="s">
        <v>50</v>
      </c>
      <c r="C12" s="1602" t="s">
        <v>8</v>
      </c>
      <c r="D12" s="1602" t="s">
        <v>18</v>
      </c>
      <c r="E12" s="1602" t="s">
        <v>10</v>
      </c>
      <c r="F12" s="1602" t="s">
        <v>67</v>
      </c>
      <c r="G12" s="294"/>
      <c r="H12" s="109"/>
      <c r="I12" s="110"/>
    </row>
    <row r="13" spans="1:25" ht="23.25" customHeight="1">
      <c r="A13" s="1602"/>
      <c r="B13" s="1602"/>
      <c r="C13" s="1602"/>
      <c r="D13" s="1602"/>
      <c r="E13" s="1602"/>
      <c r="F13" s="1602"/>
      <c r="G13" s="111"/>
      <c r="H13" s="109"/>
      <c r="I13" s="110"/>
    </row>
    <row r="14" spans="1:25" ht="39" customHeight="1">
      <c r="A14" s="107">
        <v>1</v>
      </c>
      <c r="B14" s="256" t="s">
        <v>311</v>
      </c>
      <c r="C14" s="299" t="s">
        <v>357</v>
      </c>
      <c r="D14" s="249">
        <v>500000</v>
      </c>
      <c r="E14" s="107"/>
      <c r="F14" s="107"/>
      <c r="G14" s="111"/>
      <c r="H14" s="235" t="e">
        <f>C14/10</f>
        <v>#VALUE!</v>
      </c>
      <c r="I14" s="113" t="e">
        <f>H14*25000</f>
        <v>#VALUE!</v>
      </c>
    </row>
    <row r="15" spans="1:25" ht="23.25" customHeight="1">
      <c r="A15" s="1602" t="s">
        <v>157</v>
      </c>
      <c r="B15" s="1602"/>
      <c r="C15" s="237"/>
      <c r="D15" s="300">
        <f>SUM(D14:D14)</f>
        <v>500000</v>
      </c>
      <c r="E15" s="551"/>
      <c r="F15" s="107"/>
      <c r="G15" s="111"/>
      <c r="H15" s="112"/>
      <c r="I15" s="113"/>
    </row>
    <row r="16" spans="1:25" ht="20.25" customHeight="1">
      <c r="A16" s="1603" t="s">
        <v>216</v>
      </c>
      <c r="B16" s="1589"/>
      <c r="C16" s="1589"/>
      <c r="D16" s="1589"/>
      <c r="E16" s="1589"/>
      <c r="F16" s="1590"/>
    </row>
    <row r="17" spans="1:6" ht="18" customHeight="1">
      <c r="D17" s="1604" t="s">
        <v>819</v>
      </c>
      <c r="E17" s="1604"/>
      <c r="F17" s="1604"/>
    </row>
    <row r="18" spans="1:6" ht="21" customHeight="1">
      <c r="A18" s="114"/>
      <c r="B18" s="552" t="s">
        <v>160</v>
      </c>
      <c r="C18" s="552" t="s">
        <v>161</v>
      </c>
      <c r="D18" s="1605" t="s">
        <v>415</v>
      </c>
      <c r="E18" s="1605"/>
      <c r="F18" s="552" t="s">
        <v>407</v>
      </c>
    </row>
    <row r="24" spans="1:6">
      <c r="D24" s="1526" t="s">
        <v>238</v>
      </c>
      <c r="E24" s="1526"/>
      <c r="F24" s="543" t="s">
        <v>43</v>
      </c>
    </row>
    <row r="25" spans="1:6">
      <c r="C25" s="1" t="s">
        <v>162</v>
      </c>
    </row>
  </sheetData>
  <mergeCells count="16">
    <mergeCell ref="D24:E24"/>
    <mergeCell ref="A2:F2"/>
    <mergeCell ref="A3:F3"/>
    <mergeCell ref="A4:F4"/>
    <mergeCell ref="A8:C8"/>
    <mergeCell ref="A10:F10"/>
    <mergeCell ref="A12:A13"/>
    <mergeCell ref="B12:B13"/>
    <mergeCell ref="C12:C13"/>
    <mergeCell ref="D12:D13"/>
    <mergeCell ref="E12:E13"/>
    <mergeCell ref="F12:F13"/>
    <mergeCell ref="A15:B15"/>
    <mergeCell ref="A16:F16"/>
    <mergeCell ref="D17:F17"/>
    <mergeCell ref="D18:E18"/>
  </mergeCells>
  <printOptions horizontalCentered="1"/>
  <pageMargins left="0.7" right="0.7" top="0.56000000000000005" bottom="0.75" header="0.3" footer="0.3"/>
  <pageSetup paperSize="9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00B0F0"/>
  </sheetPr>
  <dimension ref="A3:AA27"/>
  <sheetViews>
    <sheetView topLeftCell="A7" zoomScale="85" zoomScaleNormal="85" workbookViewId="0">
      <selection activeCell="A19" sqref="A19:H19"/>
    </sheetView>
  </sheetViews>
  <sheetFormatPr defaultColWidth="9.140625" defaultRowHeight="15"/>
  <cols>
    <col min="1" max="1" width="8.5703125" style="1" customWidth="1"/>
    <col min="2" max="2" width="27.5703125" style="1" customWidth="1"/>
    <col min="3" max="3" width="18.28515625" style="1" customWidth="1"/>
    <col min="4" max="4" width="16.85546875" style="1" customWidth="1"/>
    <col min="5" max="5" width="23" style="1" customWidth="1"/>
    <col min="6" max="6" width="17.85546875" style="1" customWidth="1"/>
    <col min="7" max="7" width="25.140625" style="1" customWidth="1"/>
    <col min="8" max="8" width="26.42578125" style="1" customWidth="1"/>
    <col min="9" max="9" width="8.42578125" style="1" customWidth="1"/>
    <col min="10" max="10" width="12.85546875" style="1" customWidth="1"/>
    <col min="11" max="11" width="13.42578125" style="1" customWidth="1"/>
    <col min="12" max="13" width="7.85546875" style="1" customWidth="1"/>
    <col min="14" max="14" width="7.28515625" style="1" customWidth="1"/>
    <col min="15" max="15" width="7.42578125" style="1" customWidth="1"/>
    <col min="16" max="16" width="6.28515625" style="1" customWidth="1"/>
    <col min="17" max="17" width="5.7109375" style="1" customWidth="1"/>
    <col min="18" max="18" width="6" style="1" customWidth="1"/>
    <col min="19" max="19" width="4.85546875" style="1" customWidth="1"/>
    <col min="20" max="20" width="6" style="1" customWidth="1"/>
    <col min="21" max="21" width="6.5703125" style="1" customWidth="1"/>
    <col min="22" max="22" width="8.140625" style="1" customWidth="1"/>
    <col min="23" max="23" width="6" style="1" customWidth="1"/>
    <col min="24" max="24" width="8.140625" style="1" customWidth="1"/>
    <col min="25" max="25" width="15" style="1" bestFit="1" customWidth="1"/>
    <col min="26" max="26" width="17.85546875" style="1" bestFit="1" customWidth="1"/>
    <col min="27" max="27" width="12.85546875" style="1" bestFit="1" customWidth="1"/>
    <col min="28" max="16384" width="9.140625" style="1"/>
  </cols>
  <sheetData>
    <row r="3" spans="1:27" ht="16.5">
      <c r="A3" s="1609" t="s">
        <v>54</v>
      </c>
      <c r="B3" s="1609"/>
      <c r="C3" s="1609"/>
      <c r="D3" s="1609"/>
      <c r="E3" s="1609"/>
      <c r="F3" s="1609"/>
      <c r="G3" s="1609"/>
      <c r="H3" s="1609"/>
      <c r="I3" s="14"/>
      <c r="J3" s="14"/>
      <c r="K3" s="14"/>
      <c r="L3" s="11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7" ht="16.5">
      <c r="A4" s="1609" t="s">
        <v>40</v>
      </c>
      <c r="B4" s="1609"/>
      <c r="C4" s="1609"/>
      <c r="D4" s="1609"/>
      <c r="E4" s="1609"/>
      <c r="F4" s="1609"/>
      <c r="G4" s="1609"/>
      <c r="H4" s="1609"/>
      <c r="I4" s="15"/>
      <c r="J4" s="15"/>
      <c r="K4" s="15"/>
      <c r="L4" s="9"/>
      <c r="M4" s="6"/>
      <c r="O4" s="9"/>
      <c r="P4" s="9"/>
      <c r="Q4" s="9"/>
      <c r="R4" s="9"/>
      <c r="S4" s="9"/>
      <c r="T4" s="9"/>
      <c r="U4" s="9"/>
      <c r="V4" s="9"/>
      <c r="W4" s="9"/>
      <c r="X4" s="7"/>
    </row>
    <row r="5" spans="1:27" ht="16.5">
      <c r="A5" s="1610" t="s">
        <v>403</v>
      </c>
      <c r="B5" s="1609"/>
      <c r="C5" s="1609"/>
      <c r="D5" s="1609"/>
      <c r="E5" s="1609"/>
      <c r="F5" s="1609"/>
      <c r="G5" s="1609"/>
      <c r="H5" s="1609"/>
      <c r="I5" s="15"/>
      <c r="J5" s="15"/>
      <c r="K5" s="15"/>
      <c r="L5" s="9"/>
      <c r="M5" s="6"/>
      <c r="O5" s="9"/>
      <c r="P5" s="9"/>
      <c r="Q5" s="9"/>
      <c r="R5" s="9"/>
      <c r="S5" s="9"/>
      <c r="T5" s="9"/>
      <c r="U5" s="9"/>
      <c r="V5" s="9"/>
      <c r="W5" s="9"/>
      <c r="X5" s="7"/>
    </row>
    <row r="6" spans="1:27" ht="9.75" customHeight="1">
      <c r="G6" s="82"/>
      <c r="H6" s="82"/>
      <c r="I6" s="18"/>
      <c r="J6" s="18"/>
      <c r="K6" s="18"/>
      <c r="L6" s="291"/>
      <c r="M6" s="20"/>
      <c r="N6" s="21"/>
      <c r="O6" s="8"/>
      <c r="P6" s="8"/>
      <c r="Q6" s="8"/>
      <c r="R6" s="8"/>
      <c r="S6" s="8"/>
      <c r="T6" s="8"/>
      <c r="U6" s="8"/>
      <c r="V6" s="8"/>
      <c r="W6" s="8"/>
      <c r="X6" s="7"/>
      <c r="Y6" s="22">
        <f>1372+388</f>
        <v>1760</v>
      </c>
      <c r="Z6" s="1">
        <f>Y6*30000</f>
        <v>52800000</v>
      </c>
      <c r="AA6" s="1" t="e">
        <f>Z6+#REF!+#REF!</f>
        <v>#REF!</v>
      </c>
    </row>
    <row r="7" spans="1:27" ht="16.5">
      <c r="A7" s="1502" t="s">
        <v>598</v>
      </c>
      <c r="B7" s="1502"/>
      <c r="C7" s="1502"/>
      <c r="D7" s="1502"/>
      <c r="E7" s="1502"/>
      <c r="F7" s="4"/>
      <c r="G7" s="82"/>
      <c r="H7" s="82"/>
      <c r="I7" s="18"/>
      <c r="J7" s="18"/>
      <c r="K7" s="18"/>
      <c r="L7" s="291"/>
      <c r="M7" s="20"/>
      <c r="N7" s="21"/>
      <c r="O7" s="8"/>
      <c r="P7" s="8"/>
      <c r="Q7" s="8"/>
      <c r="R7" s="8"/>
      <c r="S7" s="8"/>
      <c r="T7" s="8"/>
      <c r="U7" s="8"/>
      <c r="V7" s="8"/>
      <c r="W7" s="8"/>
      <c r="X7" s="7"/>
      <c r="Y7" s="22"/>
    </row>
    <row r="8" spans="1:27" ht="16.5">
      <c r="A8" s="1507" t="s">
        <v>576</v>
      </c>
      <c r="B8" s="1507"/>
      <c r="C8" s="1507"/>
      <c r="D8" s="1507"/>
      <c r="E8" s="1507"/>
      <c r="F8" s="82"/>
      <c r="G8" s="82"/>
      <c r="H8" s="82"/>
      <c r="I8" s="18"/>
      <c r="J8" s="18"/>
      <c r="K8" s="18"/>
      <c r="L8" s="291"/>
      <c r="M8" s="20"/>
      <c r="N8" s="21"/>
      <c r="O8" s="8"/>
      <c r="P8" s="8"/>
      <c r="Q8" s="8"/>
      <c r="R8" s="8"/>
      <c r="S8" s="8"/>
      <c r="T8" s="8"/>
      <c r="U8" s="8"/>
      <c r="V8" s="8"/>
      <c r="W8" s="8"/>
      <c r="X8" s="7"/>
      <c r="Y8" s="22"/>
    </row>
    <row r="9" spans="1:27" ht="15.75">
      <c r="A9" s="447"/>
      <c r="B9" s="447"/>
      <c r="C9" s="447"/>
      <c r="D9" s="447"/>
      <c r="E9" s="478"/>
      <c r="F9" s="82"/>
      <c r="G9" s="82"/>
      <c r="H9" s="82"/>
      <c r="I9" s="18"/>
      <c r="J9" s="18"/>
      <c r="K9" s="18"/>
      <c r="L9" s="291"/>
      <c r="M9" s="20"/>
      <c r="N9" s="21"/>
      <c r="O9" s="8"/>
      <c r="P9" s="8"/>
      <c r="Q9" s="8"/>
      <c r="R9" s="8"/>
      <c r="S9" s="8"/>
      <c r="T9" s="8"/>
      <c r="U9" s="8"/>
      <c r="V9" s="8"/>
      <c r="W9" s="8"/>
      <c r="X9" s="7"/>
      <c r="Y9" s="22"/>
    </row>
    <row r="10" spans="1:27" ht="32.25" customHeight="1">
      <c r="A10" s="1503" t="s">
        <v>820</v>
      </c>
      <c r="B10" s="1607"/>
      <c r="C10" s="1607"/>
      <c r="D10" s="1607"/>
      <c r="E10" s="1607"/>
      <c r="F10" s="1607"/>
      <c r="G10" s="1607"/>
      <c r="H10" s="1607"/>
      <c r="I10" s="29"/>
      <c r="J10" s="29"/>
      <c r="K10" s="29"/>
      <c r="L10" s="29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</row>
    <row r="11" spans="1:27" ht="12" customHeight="1">
      <c r="A11" s="479"/>
      <c r="B11" s="480"/>
      <c r="C11" s="480"/>
      <c r="D11" s="479"/>
      <c r="E11" s="479"/>
      <c r="F11" s="479"/>
      <c r="G11" s="480"/>
      <c r="H11" s="480"/>
      <c r="I11" s="23"/>
      <c r="J11" s="24"/>
      <c r="K11" s="25"/>
    </row>
    <row r="12" spans="1:27" ht="21" customHeight="1">
      <c r="A12" s="1513" t="s">
        <v>4</v>
      </c>
      <c r="B12" s="1513" t="s">
        <v>66</v>
      </c>
      <c r="C12" s="1513" t="s">
        <v>8</v>
      </c>
      <c r="D12" s="1513" t="s">
        <v>33</v>
      </c>
      <c r="E12" s="1513" t="s">
        <v>404</v>
      </c>
      <c r="F12" s="1513" t="s">
        <v>522</v>
      </c>
      <c r="G12" s="1513" t="s">
        <v>10</v>
      </c>
      <c r="H12" s="1513" t="s">
        <v>67</v>
      </c>
      <c r="I12" s="294"/>
      <c r="J12" s="109"/>
      <c r="K12" s="110"/>
    </row>
    <row r="13" spans="1:27" ht="27.75" customHeight="1">
      <c r="A13" s="1514"/>
      <c r="B13" s="1514"/>
      <c r="C13" s="1514"/>
      <c r="D13" s="1514"/>
      <c r="E13" s="1514"/>
      <c r="F13" s="1514"/>
      <c r="G13" s="1514"/>
      <c r="H13" s="1514"/>
      <c r="I13" s="111"/>
      <c r="J13" s="109"/>
      <c r="K13" s="110"/>
    </row>
    <row r="14" spans="1:27" ht="32.25" customHeight="1">
      <c r="A14" s="241">
        <v>1</v>
      </c>
      <c r="B14" s="442" t="str">
        <f>'PC xăng xe T4'!C13</f>
        <v>Lê Minh Trí</v>
      </c>
      <c r="C14" s="442" t="str">
        <f>'PC xăng xe T4'!D13</f>
        <v>Bảo vệ (T1)</v>
      </c>
      <c r="D14" s="482">
        <f>'PC xăng xe T4'!AJ13</f>
        <v>30</v>
      </c>
      <c r="E14" s="243">
        <v>20000</v>
      </c>
      <c r="F14" s="481">
        <f t="shared" ref="F14:F15" si="0">D14*E14</f>
        <v>600000</v>
      </c>
      <c r="G14" s="241"/>
      <c r="H14" s="241"/>
      <c r="I14" s="111"/>
      <c r="J14" s="112"/>
      <c r="K14" s="113"/>
    </row>
    <row r="15" spans="1:27" ht="32.25" customHeight="1">
      <c r="A15" s="241">
        <v>2</v>
      </c>
      <c r="B15" s="442" t="str">
        <f>'PC xăng xe T4'!C14</f>
        <v>Nguyễn Văn Cương</v>
      </c>
      <c r="C15" s="442" t="str">
        <f>'PC xăng xe T4'!D14</f>
        <v>Bảo vệ (T3)</v>
      </c>
      <c r="D15" s="482">
        <f>'PC xăng xe T4'!AJ14</f>
        <v>30</v>
      </c>
      <c r="E15" s="243">
        <v>20000</v>
      </c>
      <c r="F15" s="481">
        <f t="shared" si="0"/>
        <v>600000</v>
      </c>
      <c r="G15" s="241"/>
      <c r="H15" s="241"/>
      <c r="I15" s="111"/>
      <c r="J15" s="112"/>
      <c r="K15" s="113"/>
    </row>
    <row r="16" spans="1:27" ht="32.25" customHeight="1">
      <c r="A16" s="1512" t="s">
        <v>157</v>
      </c>
      <c r="B16" s="1512"/>
      <c r="C16" s="477"/>
      <c r="D16" s="296">
        <f>SUM(D14:D15)</f>
        <v>60</v>
      </c>
      <c r="E16" s="296"/>
      <c r="F16" s="296">
        <f>SUM(F14:F15)</f>
        <v>1200000</v>
      </c>
      <c r="G16" s="477"/>
      <c r="H16" s="241"/>
      <c r="I16" s="111"/>
      <c r="J16" s="112">
        <f>F16/25000</f>
        <v>48</v>
      </c>
      <c r="K16" s="113">
        <f>F16/25000</f>
        <v>48</v>
      </c>
    </row>
    <row r="17" spans="1:8" ht="27.75" customHeight="1">
      <c r="A17" s="1608" t="s">
        <v>851</v>
      </c>
      <c r="B17" s="1533"/>
      <c r="C17" s="1533"/>
      <c r="D17" s="1533"/>
      <c r="E17" s="1533"/>
      <c r="F17" s="1533"/>
      <c r="G17" s="1533"/>
      <c r="H17" s="1533"/>
    </row>
    <row r="18" spans="1:8" ht="17.25">
      <c r="A18" s="120"/>
      <c r="B18" s="120"/>
      <c r="C18" s="120"/>
      <c r="D18" s="120"/>
      <c r="E18" s="120"/>
      <c r="F18" s="1566" t="s">
        <v>623</v>
      </c>
      <c r="G18" s="1566"/>
      <c r="H18" s="1566"/>
    </row>
    <row r="19" spans="1:8" ht="16.5">
      <c r="A19" s="1606" t="s">
        <v>831</v>
      </c>
      <c r="B19" s="1606"/>
      <c r="C19" s="1606"/>
      <c r="D19" s="1606"/>
      <c r="E19" s="1606"/>
      <c r="F19" s="1606"/>
      <c r="G19" s="1606"/>
      <c r="H19" s="1606"/>
    </row>
    <row r="20" spans="1:8" ht="16.5">
      <c r="A20" s="120"/>
      <c r="B20" s="120"/>
      <c r="C20" s="120"/>
      <c r="D20" s="120"/>
      <c r="E20" s="120"/>
      <c r="F20" s="120"/>
      <c r="G20" s="120"/>
      <c r="H20" s="120"/>
    </row>
    <row r="26" spans="1:8" ht="16.5">
      <c r="B26" s="10"/>
      <c r="C26" s="10"/>
      <c r="D26" s="10"/>
      <c r="E26" s="42"/>
      <c r="F26" s="42"/>
      <c r="G26" s="244"/>
      <c r="H26" s="244"/>
    </row>
    <row r="27" spans="1:8">
      <c r="D27" s="1" t="s">
        <v>162</v>
      </c>
    </row>
  </sheetData>
  <mergeCells count="18">
    <mergeCell ref="A3:H3"/>
    <mergeCell ref="A4:H4"/>
    <mergeCell ref="A5:H5"/>
    <mergeCell ref="A7:E7"/>
    <mergeCell ref="A8:E8"/>
    <mergeCell ref="F18:H18"/>
    <mergeCell ref="A19:H19"/>
    <mergeCell ref="A10:H10"/>
    <mergeCell ref="C12:C13"/>
    <mergeCell ref="E12:E13"/>
    <mergeCell ref="F12:F13"/>
    <mergeCell ref="A16:B16"/>
    <mergeCell ref="A17:H17"/>
    <mergeCell ref="A12:A13"/>
    <mergeCell ref="B12:B13"/>
    <mergeCell ref="D12:D13"/>
    <mergeCell ref="G12:G13"/>
    <mergeCell ref="H12:H13"/>
  </mergeCells>
  <printOptions horizontalCentered="1"/>
  <pageMargins left="0.27559055118110198" right="0.196850393700787" top="0.196850393700787" bottom="0.23622047244094499" header="0.196850393700787" footer="0.196850393700787"/>
  <pageSetup paperSize="9" scale="85" fitToHeight="0" orientation="landscape" r:id="rId1"/>
  <headerFooter>
    <oddFooter>&amp;R&amp;P</oddFooter>
  </headerFooter>
  <colBreaks count="1" manualBreakCount="1">
    <brk id="10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00B0F0"/>
  </sheetPr>
  <dimension ref="A2:AP35"/>
  <sheetViews>
    <sheetView zoomScale="85" zoomScaleNormal="85" workbookViewId="0">
      <selection activeCell="AS21" sqref="AS21"/>
    </sheetView>
  </sheetViews>
  <sheetFormatPr defaultColWidth="5.28515625" defaultRowHeight="8.25"/>
  <cols>
    <col min="1" max="1" width="3.5703125" style="877" customWidth="1"/>
    <col min="2" max="2" width="0.140625" style="877" hidden="1" customWidth="1"/>
    <col min="3" max="3" width="21.140625" style="877" customWidth="1"/>
    <col min="4" max="4" width="14.42578125" style="877" customWidth="1"/>
    <col min="5" max="33" width="4.140625" style="877" customWidth="1"/>
    <col min="34" max="34" width="4.42578125" style="877" customWidth="1"/>
    <col min="35" max="35" width="4.140625" style="877" customWidth="1"/>
    <col min="36" max="36" width="8.28515625" style="877" customWidth="1"/>
    <col min="37" max="37" width="5.28515625" style="877" customWidth="1"/>
    <col min="38" max="38" width="7.5703125" style="878" customWidth="1"/>
    <col min="39" max="16384" width="5.28515625" style="877"/>
  </cols>
  <sheetData>
    <row r="2" spans="1:42" ht="20.25" customHeight="1">
      <c r="A2" s="1300" t="s">
        <v>54</v>
      </c>
      <c r="B2" s="1300"/>
      <c r="C2" s="1300"/>
      <c r="D2" s="1300"/>
      <c r="E2" s="1300"/>
      <c r="F2" s="1300"/>
      <c r="G2" s="1300"/>
      <c r="H2" s="1300"/>
      <c r="I2" s="1300"/>
      <c r="J2" s="1300"/>
      <c r="K2" s="1300"/>
      <c r="L2" s="1300"/>
      <c r="M2" s="1300"/>
      <c r="N2" s="1300"/>
      <c r="O2" s="1300"/>
      <c r="P2" s="1300"/>
      <c r="Q2" s="1300"/>
      <c r="R2" s="1300"/>
      <c r="S2" s="1300"/>
      <c r="T2" s="1300"/>
      <c r="U2" s="1300"/>
      <c r="V2" s="1300"/>
      <c r="W2" s="1300"/>
      <c r="X2" s="1300"/>
      <c r="Y2" s="1300"/>
      <c r="Z2" s="1300"/>
      <c r="AA2" s="1300"/>
      <c r="AB2" s="1300"/>
      <c r="AC2" s="1300"/>
      <c r="AD2" s="1300"/>
      <c r="AE2" s="1300"/>
      <c r="AF2" s="1300"/>
      <c r="AG2" s="1300"/>
      <c r="AH2" s="1300"/>
      <c r="AI2" s="1300"/>
      <c r="AJ2" s="1300"/>
    </row>
    <row r="3" spans="1:42" ht="20.25" customHeight="1">
      <c r="A3" s="1300" t="s">
        <v>55</v>
      </c>
      <c r="B3" s="1300"/>
      <c r="C3" s="1300"/>
      <c r="D3" s="1300"/>
      <c r="E3" s="1300"/>
      <c r="F3" s="1300"/>
      <c r="G3" s="1300"/>
      <c r="H3" s="1300"/>
      <c r="I3" s="1300"/>
      <c r="J3" s="1300"/>
      <c r="K3" s="1300"/>
      <c r="L3" s="1300"/>
      <c r="M3" s="1300"/>
      <c r="N3" s="1300"/>
      <c r="O3" s="1300"/>
      <c r="P3" s="1300"/>
      <c r="Q3" s="1300"/>
      <c r="R3" s="1300"/>
      <c r="S3" s="1300"/>
      <c r="T3" s="1300"/>
      <c r="U3" s="1300"/>
      <c r="V3" s="1300"/>
      <c r="W3" s="1300"/>
      <c r="X3" s="1300"/>
      <c r="Y3" s="1300"/>
      <c r="Z3" s="1300"/>
      <c r="AA3" s="1300"/>
      <c r="AB3" s="1300"/>
      <c r="AC3" s="1300"/>
      <c r="AD3" s="1300"/>
      <c r="AE3" s="1300"/>
      <c r="AF3" s="1300"/>
      <c r="AG3" s="1300"/>
      <c r="AH3" s="1300"/>
      <c r="AI3" s="1300"/>
      <c r="AJ3" s="1300"/>
    </row>
    <row r="4" spans="1:42" ht="20.25" customHeight="1">
      <c r="A4" s="1301" t="s">
        <v>292</v>
      </c>
      <c r="B4" s="1300"/>
      <c r="C4" s="1300"/>
      <c r="D4" s="1300"/>
      <c r="E4" s="1300"/>
      <c r="F4" s="1300"/>
      <c r="G4" s="1300"/>
      <c r="H4" s="1300"/>
      <c r="I4" s="1300"/>
      <c r="J4" s="1300"/>
      <c r="K4" s="1300"/>
      <c r="L4" s="1300"/>
      <c r="M4" s="1300"/>
      <c r="N4" s="1300"/>
      <c r="O4" s="1300"/>
      <c r="P4" s="1300"/>
      <c r="Q4" s="1300"/>
      <c r="R4" s="1300"/>
      <c r="S4" s="1300"/>
      <c r="T4" s="1300"/>
      <c r="U4" s="1300"/>
      <c r="V4" s="1300"/>
      <c r="W4" s="1300"/>
      <c r="X4" s="1300"/>
      <c r="Y4" s="1300"/>
      <c r="Z4" s="1300"/>
      <c r="AA4" s="1300"/>
      <c r="AB4" s="1300"/>
      <c r="AC4" s="1300"/>
      <c r="AD4" s="1300"/>
      <c r="AE4" s="1300"/>
      <c r="AF4" s="1300"/>
      <c r="AG4" s="1300"/>
      <c r="AH4" s="1300"/>
      <c r="AI4" s="1300"/>
      <c r="AJ4" s="1300"/>
    </row>
    <row r="5" spans="1:42" ht="20.25" customHeight="1">
      <c r="A5" s="934"/>
      <c r="B5" s="934"/>
      <c r="C5" s="934"/>
      <c r="D5" s="934"/>
      <c r="E5" s="934"/>
      <c r="F5" s="934"/>
      <c r="G5" s="934"/>
      <c r="H5" s="934"/>
      <c r="I5" s="934"/>
      <c r="J5" s="934"/>
      <c r="K5" s="934"/>
      <c r="L5" s="934"/>
      <c r="M5" s="934"/>
      <c r="N5" s="934"/>
      <c r="O5" s="934"/>
      <c r="P5" s="934"/>
      <c r="Q5" s="934"/>
      <c r="R5" s="934"/>
      <c r="S5" s="934"/>
      <c r="T5" s="934"/>
      <c r="U5" s="934"/>
      <c r="V5" s="934"/>
      <c r="W5" s="934"/>
      <c r="X5" s="934"/>
      <c r="Y5" s="934"/>
      <c r="Z5" s="934"/>
      <c r="AA5" s="934"/>
      <c r="AB5" s="934"/>
      <c r="AC5" s="934"/>
      <c r="AD5" s="934"/>
      <c r="AE5" s="934"/>
      <c r="AF5" s="934"/>
      <c r="AG5" s="934"/>
      <c r="AH5" s="934"/>
      <c r="AI5" s="934"/>
      <c r="AJ5" s="934"/>
    </row>
    <row r="6" spans="1:42" ht="20.25" customHeight="1">
      <c r="A6" s="1622" t="s">
        <v>598</v>
      </c>
      <c r="B6" s="1622"/>
      <c r="C6" s="1622"/>
      <c r="D6" s="1622"/>
      <c r="E6" s="1622"/>
      <c r="F6" s="1622"/>
      <c r="G6" s="1622"/>
      <c r="H6" s="1622"/>
      <c r="I6" s="1622"/>
      <c r="J6" s="1622"/>
      <c r="K6" s="1622"/>
      <c r="L6" s="1622"/>
      <c r="M6" s="293"/>
      <c r="N6" s="293"/>
      <c r="O6" s="293"/>
      <c r="P6" s="934"/>
      <c r="Q6" s="934"/>
      <c r="R6" s="934"/>
      <c r="S6" s="934"/>
      <c r="T6" s="934"/>
      <c r="U6" s="934"/>
      <c r="V6" s="934"/>
      <c r="W6" s="934"/>
      <c r="X6" s="934"/>
      <c r="Y6" s="934"/>
      <c r="Z6" s="934"/>
      <c r="AA6" s="934"/>
      <c r="AB6" s="934"/>
      <c r="AC6" s="934"/>
      <c r="AD6" s="934"/>
      <c r="AE6" s="934"/>
      <c r="AF6" s="934"/>
      <c r="AG6" s="934"/>
      <c r="AH6" s="934"/>
      <c r="AI6" s="934"/>
      <c r="AJ6" s="934"/>
    </row>
    <row r="7" spans="1:42" ht="20.25" customHeight="1">
      <c r="A7" s="1623" t="s">
        <v>576</v>
      </c>
      <c r="B7" s="1623"/>
      <c r="C7" s="1623"/>
      <c r="D7" s="1623"/>
      <c r="E7" s="1623"/>
      <c r="F7" s="1623"/>
      <c r="G7" s="1623"/>
      <c r="H7" s="1623"/>
      <c r="I7" s="1623"/>
      <c r="J7" s="1623"/>
      <c r="K7" s="1623"/>
      <c r="L7" s="1623"/>
      <c r="M7" s="293"/>
      <c r="N7" s="293"/>
      <c r="O7" s="293"/>
      <c r="P7" s="934"/>
      <c r="Q7" s="934"/>
      <c r="R7" s="934"/>
      <c r="S7" s="934"/>
      <c r="T7" s="934"/>
      <c r="U7" s="934"/>
      <c r="V7" s="934"/>
      <c r="W7" s="934"/>
      <c r="X7" s="934"/>
      <c r="Y7" s="934"/>
      <c r="Z7" s="934"/>
      <c r="AA7" s="934"/>
      <c r="AB7" s="934"/>
      <c r="AC7" s="934"/>
      <c r="AD7" s="934"/>
      <c r="AE7" s="934"/>
      <c r="AF7" s="934"/>
      <c r="AG7" s="934"/>
      <c r="AH7" s="934"/>
      <c r="AI7" s="934"/>
      <c r="AJ7" s="934"/>
    </row>
    <row r="8" spans="1:42" ht="20.25" customHeight="1">
      <c r="A8" s="881"/>
      <c r="B8" s="881"/>
      <c r="C8" s="881"/>
      <c r="D8" s="881"/>
      <c r="E8" s="881"/>
      <c r="F8" s="881"/>
      <c r="G8" s="881"/>
      <c r="H8" s="881"/>
      <c r="I8" s="881"/>
      <c r="J8" s="881"/>
      <c r="K8" s="881"/>
      <c r="L8" s="881"/>
      <c r="M8" s="880"/>
      <c r="N8" s="880"/>
      <c r="O8" s="880"/>
      <c r="P8" s="879"/>
      <c r="Q8" s="879"/>
      <c r="R8" s="879"/>
      <c r="S8" s="879"/>
      <c r="T8" s="879"/>
      <c r="U8" s="879"/>
      <c r="V8" s="879"/>
      <c r="W8" s="879"/>
      <c r="X8" s="879"/>
      <c r="Y8" s="879"/>
      <c r="Z8" s="879"/>
      <c r="AA8" s="879"/>
      <c r="AB8" s="879"/>
      <c r="AC8" s="879"/>
      <c r="AD8" s="879"/>
      <c r="AE8" s="879"/>
      <c r="AF8" s="879"/>
      <c r="AG8" s="879"/>
      <c r="AH8" s="879"/>
      <c r="AI8" s="879"/>
      <c r="AJ8" s="879"/>
    </row>
    <row r="9" spans="1:42" ht="21.75">
      <c r="A9" s="1624" t="s">
        <v>624</v>
      </c>
      <c r="B9" s="1624"/>
      <c r="C9" s="1624"/>
      <c r="D9" s="1624"/>
      <c r="E9" s="1624"/>
      <c r="F9" s="1624"/>
      <c r="G9" s="1624"/>
      <c r="H9" s="1624"/>
      <c r="I9" s="1624"/>
      <c r="J9" s="1624"/>
      <c r="K9" s="1624"/>
      <c r="L9" s="1624"/>
      <c r="M9" s="1624"/>
      <c r="N9" s="1624"/>
      <c r="O9" s="1624"/>
      <c r="P9" s="1624"/>
      <c r="Q9" s="1624"/>
      <c r="R9" s="1624"/>
      <c r="S9" s="1624"/>
      <c r="T9" s="1624"/>
      <c r="U9" s="1624"/>
      <c r="V9" s="1624"/>
      <c r="W9" s="1624"/>
      <c r="X9" s="1624"/>
      <c r="Y9" s="1624"/>
      <c r="Z9" s="1624"/>
      <c r="AA9" s="1624"/>
      <c r="AB9" s="1624"/>
      <c r="AC9" s="1624"/>
      <c r="AD9" s="1624"/>
      <c r="AE9" s="1624"/>
      <c r="AF9" s="1624"/>
      <c r="AG9" s="1624"/>
      <c r="AH9" s="1624"/>
      <c r="AI9" s="1624"/>
      <c r="AJ9" s="1624"/>
    </row>
    <row r="10" spans="1:42" ht="16.5">
      <c r="A10" s="882"/>
      <c r="B10" s="882"/>
      <c r="C10" s="882"/>
      <c r="D10" s="882"/>
      <c r="E10" s="882"/>
      <c r="F10" s="882"/>
      <c r="G10" s="882"/>
      <c r="H10" s="882"/>
      <c r="I10" s="882"/>
      <c r="J10" s="882"/>
      <c r="K10" s="882"/>
      <c r="L10" s="882"/>
      <c r="M10" s="882"/>
      <c r="N10" s="882"/>
      <c r="O10" s="882"/>
      <c r="P10" s="882"/>
      <c r="Q10" s="882"/>
      <c r="R10" s="882"/>
      <c r="S10" s="882"/>
      <c r="T10" s="882"/>
      <c r="U10" s="882"/>
      <c r="V10" s="882"/>
      <c r="W10" s="882"/>
      <c r="X10" s="882"/>
      <c r="Y10" s="882"/>
      <c r="Z10" s="882"/>
      <c r="AA10" s="882"/>
      <c r="AB10" s="882"/>
      <c r="AC10" s="882"/>
      <c r="AD10" s="882"/>
      <c r="AE10" s="882"/>
      <c r="AF10" s="882"/>
      <c r="AG10" s="882"/>
      <c r="AH10" s="882"/>
      <c r="AI10" s="882"/>
      <c r="AJ10" s="882"/>
    </row>
    <row r="11" spans="1:42" ht="15" customHeight="1">
      <c r="A11" s="1625" t="s">
        <v>56</v>
      </c>
      <c r="B11" s="1625" t="s">
        <v>402</v>
      </c>
      <c r="C11" s="1625" t="s">
        <v>57</v>
      </c>
      <c r="D11" s="1611" t="s">
        <v>8</v>
      </c>
      <c r="E11" s="1611">
        <v>1</v>
      </c>
      <c r="F11" s="1614">
        <v>2</v>
      </c>
      <c r="G11" s="1611">
        <v>3</v>
      </c>
      <c r="H11" s="1614">
        <v>4</v>
      </c>
      <c r="I11" s="1611">
        <v>5</v>
      </c>
      <c r="J11" s="1614">
        <v>6</v>
      </c>
      <c r="K11" s="1611">
        <v>7</v>
      </c>
      <c r="L11" s="1614">
        <v>8</v>
      </c>
      <c r="M11" s="1611">
        <v>9</v>
      </c>
      <c r="N11" s="1614">
        <v>10</v>
      </c>
      <c r="O11" s="1611">
        <v>11</v>
      </c>
      <c r="P11" s="1614">
        <v>12</v>
      </c>
      <c r="Q11" s="1611">
        <v>13</v>
      </c>
      <c r="R11" s="1614">
        <v>14</v>
      </c>
      <c r="S11" s="1611">
        <v>15</v>
      </c>
      <c r="T11" s="1614">
        <v>16</v>
      </c>
      <c r="U11" s="1611">
        <v>17</v>
      </c>
      <c r="V11" s="1614">
        <v>18</v>
      </c>
      <c r="W11" s="1611">
        <v>19</v>
      </c>
      <c r="X11" s="1614">
        <v>20</v>
      </c>
      <c r="Y11" s="1611">
        <v>21</v>
      </c>
      <c r="Z11" s="1614">
        <v>22</v>
      </c>
      <c r="AA11" s="1611">
        <v>23</v>
      </c>
      <c r="AB11" s="1614">
        <v>24</v>
      </c>
      <c r="AC11" s="1611">
        <v>25</v>
      </c>
      <c r="AD11" s="1614">
        <v>26</v>
      </c>
      <c r="AE11" s="1611">
        <v>27</v>
      </c>
      <c r="AF11" s="1614">
        <v>28</v>
      </c>
      <c r="AG11" s="1611">
        <v>29</v>
      </c>
      <c r="AH11" s="1614">
        <v>30</v>
      </c>
      <c r="AI11" s="1611">
        <v>31</v>
      </c>
      <c r="AJ11" s="1626" t="s">
        <v>33</v>
      </c>
    </row>
    <row r="12" spans="1:42" ht="23.25" customHeight="1">
      <c r="A12" s="1625"/>
      <c r="B12" s="1625"/>
      <c r="C12" s="1625"/>
      <c r="D12" s="1612"/>
      <c r="E12" s="1613"/>
      <c r="F12" s="1613"/>
      <c r="G12" s="1613"/>
      <c r="H12" s="1613"/>
      <c r="I12" s="1613"/>
      <c r="J12" s="1613"/>
      <c r="K12" s="1613"/>
      <c r="L12" s="1613"/>
      <c r="M12" s="1613"/>
      <c r="N12" s="1613"/>
      <c r="O12" s="1613"/>
      <c r="P12" s="1613"/>
      <c r="Q12" s="1613"/>
      <c r="R12" s="1613"/>
      <c r="S12" s="1613"/>
      <c r="T12" s="1613"/>
      <c r="U12" s="1613"/>
      <c r="V12" s="1613"/>
      <c r="W12" s="1613"/>
      <c r="X12" s="1613"/>
      <c r="Y12" s="1613"/>
      <c r="Z12" s="1613"/>
      <c r="AA12" s="1613"/>
      <c r="AB12" s="1613"/>
      <c r="AC12" s="1613"/>
      <c r="AD12" s="1613"/>
      <c r="AE12" s="1613"/>
      <c r="AF12" s="1613"/>
      <c r="AG12" s="1613"/>
      <c r="AH12" s="1613"/>
      <c r="AI12" s="1612"/>
      <c r="AJ12" s="1626"/>
    </row>
    <row r="13" spans="1:42" ht="22.5" customHeight="1">
      <c r="A13" s="883">
        <v>1</v>
      </c>
      <c r="B13" s="884"/>
      <c r="C13" s="876" t="s">
        <v>321</v>
      </c>
      <c r="D13" s="874" t="s">
        <v>625</v>
      </c>
      <c r="E13" s="873" t="s">
        <v>53</v>
      </c>
      <c r="F13" s="873" t="s">
        <v>53</v>
      </c>
      <c r="G13" s="873" t="s">
        <v>53</v>
      </c>
      <c r="H13" s="873" t="s">
        <v>53</v>
      </c>
      <c r="I13" s="873" t="s">
        <v>53</v>
      </c>
      <c r="J13" s="873" t="s">
        <v>53</v>
      </c>
      <c r="K13" s="873" t="s">
        <v>53</v>
      </c>
      <c r="L13" s="873" t="s">
        <v>53</v>
      </c>
      <c r="M13" s="873" t="s">
        <v>53</v>
      </c>
      <c r="N13" s="873" t="s">
        <v>53</v>
      </c>
      <c r="O13" s="873" t="s">
        <v>53</v>
      </c>
      <c r="P13" s="873" t="s">
        <v>53</v>
      </c>
      <c r="Q13" s="873" t="s">
        <v>53</v>
      </c>
      <c r="R13" s="873" t="s">
        <v>53</v>
      </c>
      <c r="S13" s="873" t="s">
        <v>53</v>
      </c>
      <c r="T13" s="873" t="s">
        <v>53</v>
      </c>
      <c r="U13" s="873" t="s">
        <v>53</v>
      </c>
      <c r="V13" s="873" t="s">
        <v>53</v>
      </c>
      <c r="W13" s="873" t="s">
        <v>53</v>
      </c>
      <c r="X13" s="873" t="s">
        <v>53</v>
      </c>
      <c r="Y13" s="873" t="s">
        <v>53</v>
      </c>
      <c r="Z13" s="873" t="s">
        <v>53</v>
      </c>
      <c r="AA13" s="873" t="s">
        <v>53</v>
      </c>
      <c r="AB13" s="873" t="s">
        <v>53</v>
      </c>
      <c r="AC13" s="873" t="s">
        <v>53</v>
      </c>
      <c r="AD13" s="873" t="s">
        <v>53</v>
      </c>
      <c r="AE13" s="873" t="s">
        <v>53</v>
      </c>
      <c r="AF13" s="873" t="s">
        <v>53</v>
      </c>
      <c r="AG13" s="873" t="s">
        <v>53</v>
      </c>
      <c r="AH13" s="873" t="s">
        <v>53</v>
      </c>
      <c r="AI13" s="873"/>
      <c r="AJ13" s="875">
        <f t="shared" ref="AJ13:AJ14" si="0">COUNTIF(E13:AI13,"x")+ COUNTIF(E13:AI13,"p")+COUNTIF(E13:AI13,"pt")+COUNTIF(E13:AI13,"T")+COUNTIF(E13:AI13,"VN")</f>
        <v>30</v>
      </c>
    </row>
    <row r="14" spans="1:42" ht="22.5" customHeight="1">
      <c r="A14" s="883">
        <v>2</v>
      </c>
      <c r="B14" s="884"/>
      <c r="C14" s="876" t="s">
        <v>320</v>
      </c>
      <c r="D14" s="874" t="s">
        <v>626</v>
      </c>
      <c r="E14" s="873" t="s">
        <v>53</v>
      </c>
      <c r="F14" s="873" t="s">
        <v>53</v>
      </c>
      <c r="G14" s="873" t="s">
        <v>53</v>
      </c>
      <c r="H14" s="873" t="s">
        <v>53</v>
      </c>
      <c r="I14" s="873" t="s">
        <v>53</v>
      </c>
      <c r="J14" s="873" t="s">
        <v>53</v>
      </c>
      <c r="K14" s="873" t="s">
        <v>53</v>
      </c>
      <c r="L14" s="873" t="s">
        <v>53</v>
      </c>
      <c r="M14" s="873" t="s">
        <v>53</v>
      </c>
      <c r="N14" s="873" t="s">
        <v>53</v>
      </c>
      <c r="O14" s="873" t="s">
        <v>53</v>
      </c>
      <c r="P14" s="873" t="s">
        <v>53</v>
      </c>
      <c r="Q14" s="873" t="s">
        <v>53</v>
      </c>
      <c r="R14" s="873" t="s">
        <v>53</v>
      </c>
      <c r="S14" s="873" t="s">
        <v>53</v>
      </c>
      <c r="T14" s="873" t="s">
        <v>53</v>
      </c>
      <c r="U14" s="873" t="s">
        <v>53</v>
      </c>
      <c r="V14" s="873" t="s">
        <v>53</v>
      </c>
      <c r="W14" s="873" t="s">
        <v>53</v>
      </c>
      <c r="X14" s="873" t="s">
        <v>53</v>
      </c>
      <c r="Y14" s="873" t="s">
        <v>53</v>
      </c>
      <c r="Z14" s="873" t="s">
        <v>53</v>
      </c>
      <c r="AA14" s="873" t="s">
        <v>53</v>
      </c>
      <c r="AB14" s="873" t="s">
        <v>53</v>
      </c>
      <c r="AC14" s="873" t="s">
        <v>53</v>
      </c>
      <c r="AD14" s="873" t="s">
        <v>53</v>
      </c>
      <c r="AE14" s="873" t="s">
        <v>53</v>
      </c>
      <c r="AF14" s="873" t="s">
        <v>53</v>
      </c>
      <c r="AG14" s="873" t="s">
        <v>53</v>
      </c>
      <c r="AH14" s="873" t="s">
        <v>53</v>
      </c>
      <c r="AI14" s="873"/>
      <c r="AJ14" s="875">
        <f t="shared" si="0"/>
        <v>30</v>
      </c>
    </row>
    <row r="15" spans="1:42" ht="30.75" customHeight="1">
      <c r="A15" s="1615" t="s">
        <v>58</v>
      </c>
      <c r="B15" s="1616"/>
      <c r="C15" s="1616"/>
      <c r="D15" s="1617"/>
      <c r="E15" s="885">
        <f t="shared" ref="E15:AI15" si="1">SUM(COUNTIF(E13:E14,"x"))</f>
        <v>2</v>
      </c>
      <c r="F15" s="885">
        <f t="shared" si="1"/>
        <v>2</v>
      </c>
      <c r="G15" s="885">
        <f t="shared" si="1"/>
        <v>2</v>
      </c>
      <c r="H15" s="885">
        <f t="shared" si="1"/>
        <v>2</v>
      </c>
      <c r="I15" s="885">
        <f t="shared" si="1"/>
        <v>2</v>
      </c>
      <c r="J15" s="885">
        <f t="shared" si="1"/>
        <v>2</v>
      </c>
      <c r="K15" s="885">
        <f t="shared" si="1"/>
        <v>2</v>
      </c>
      <c r="L15" s="885">
        <f t="shared" si="1"/>
        <v>2</v>
      </c>
      <c r="M15" s="885">
        <f t="shared" si="1"/>
        <v>2</v>
      </c>
      <c r="N15" s="885">
        <f t="shared" si="1"/>
        <v>2</v>
      </c>
      <c r="O15" s="885">
        <f t="shared" si="1"/>
        <v>2</v>
      </c>
      <c r="P15" s="885">
        <f t="shared" si="1"/>
        <v>2</v>
      </c>
      <c r="Q15" s="885">
        <f t="shared" si="1"/>
        <v>2</v>
      </c>
      <c r="R15" s="885">
        <f t="shared" si="1"/>
        <v>2</v>
      </c>
      <c r="S15" s="885">
        <f t="shared" si="1"/>
        <v>2</v>
      </c>
      <c r="T15" s="885">
        <f t="shared" si="1"/>
        <v>2</v>
      </c>
      <c r="U15" s="885">
        <f t="shared" si="1"/>
        <v>2</v>
      </c>
      <c r="V15" s="885">
        <f t="shared" si="1"/>
        <v>2</v>
      </c>
      <c r="W15" s="885">
        <f t="shared" si="1"/>
        <v>2</v>
      </c>
      <c r="X15" s="885">
        <f t="shared" si="1"/>
        <v>2</v>
      </c>
      <c r="Y15" s="885">
        <f t="shared" si="1"/>
        <v>2</v>
      </c>
      <c r="Z15" s="885">
        <f t="shared" si="1"/>
        <v>2</v>
      </c>
      <c r="AA15" s="885">
        <f t="shared" si="1"/>
        <v>2</v>
      </c>
      <c r="AB15" s="885">
        <f t="shared" si="1"/>
        <v>2</v>
      </c>
      <c r="AC15" s="885">
        <f t="shared" si="1"/>
        <v>2</v>
      </c>
      <c r="AD15" s="885">
        <f t="shared" si="1"/>
        <v>2</v>
      </c>
      <c r="AE15" s="885">
        <f t="shared" si="1"/>
        <v>2</v>
      </c>
      <c r="AF15" s="885">
        <f t="shared" si="1"/>
        <v>2</v>
      </c>
      <c r="AG15" s="885">
        <f t="shared" si="1"/>
        <v>2</v>
      </c>
      <c r="AH15" s="885">
        <f t="shared" si="1"/>
        <v>2</v>
      </c>
      <c r="AI15" s="885">
        <f t="shared" si="1"/>
        <v>0</v>
      </c>
      <c r="AJ15" s="1213">
        <f>SUM(AJ13:AJ14)</f>
        <v>60</v>
      </c>
      <c r="AK15" s="1618">
        <f>AJ15*20000</f>
        <v>1200000</v>
      </c>
      <c r="AL15" s="1618"/>
      <c r="AN15" s="877">
        <v>1658</v>
      </c>
      <c r="AO15" s="877">
        <v>320</v>
      </c>
      <c r="AP15" s="877">
        <v>1978</v>
      </c>
    </row>
    <row r="16" spans="1:42" ht="16.5">
      <c r="A16" s="151"/>
      <c r="B16" s="863"/>
      <c r="C16" s="863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621" t="s">
        <v>594</v>
      </c>
      <c r="Y16" s="1621"/>
      <c r="Z16" s="1621"/>
      <c r="AA16" s="1621"/>
      <c r="AB16" s="1621"/>
      <c r="AC16" s="1621"/>
      <c r="AD16" s="1621"/>
      <c r="AE16" s="1621"/>
      <c r="AF16" s="1621"/>
      <c r="AG16" s="1621"/>
      <c r="AH16" s="1621"/>
      <c r="AI16" s="1621"/>
      <c r="AJ16" s="1621"/>
      <c r="AL16" s="878" t="e">
        <f>#REF!+#REF!</f>
        <v>#REF!</v>
      </c>
      <c r="AN16" s="877">
        <v>1565</v>
      </c>
      <c r="AO16" s="877">
        <v>302</v>
      </c>
      <c r="AP16" s="877">
        <v>1867</v>
      </c>
    </row>
    <row r="17" spans="1:42" ht="16.5">
      <c r="A17" s="1606" t="s">
        <v>633</v>
      </c>
      <c r="B17" s="1606"/>
      <c r="C17" s="1606"/>
      <c r="D17" s="1606"/>
      <c r="E17" s="1606"/>
      <c r="F17" s="1606"/>
      <c r="G17" s="1606"/>
      <c r="H17" s="1606"/>
      <c r="I17" s="1606"/>
      <c r="J17" s="1606"/>
      <c r="K17" s="1606"/>
      <c r="L17" s="1606"/>
      <c r="M17" s="1606"/>
      <c r="N17" s="1606"/>
      <c r="O17" s="1606"/>
      <c r="P17" s="1606"/>
      <c r="Q17" s="1606"/>
      <c r="R17" s="1606"/>
      <c r="S17" s="1606"/>
      <c r="T17" s="1606"/>
      <c r="U17" s="1606"/>
      <c r="V17" s="1606"/>
      <c r="W17" s="1606"/>
      <c r="X17" s="1606"/>
      <c r="Y17" s="1606"/>
      <c r="Z17" s="1606"/>
      <c r="AA17" s="1606"/>
      <c r="AB17" s="1606"/>
      <c r="AC17" s="1606"/>
      <c r="AD17" s="1606"/>
      <c r="AE17" s="1606"/>
      <c r="AF17" s="1606"/>
      <c r="AG17" s="1606"/>
      <c r="AH17" s="1606"/>
      <c r="AI17" s="1606"/>
      <c r="AJ17" s="1606"/>
      <c r="AN17" s="877">
        <v>1153</v>
      </c>
      <c r="AO17" s="877">
        <v>223</v>
      </c>
      <c r="AP17" s="877">
        <v>1376</v>
      </c>
    </row>
    <row r="18" spans="1:42" ht="16.5">
      <c r="A18" s="151"/>
      <c r="B18" s="863"/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N18" s="877">
        <v>1096</v>
      </c>
      <c r="AO18" s="877">
        <v>210</v>
      </c>
      <c r="AP18" s="877">
        <v>1306</v>
      </c>
    </row>
    <row r="19" spans="1:42" ht="16.5">
      <c r="B19" s="569"/>
      <c r="D19" s="569"/>
      <c r="E19" s="569"/>
      <c r="F19" s="569"/>
      <c r="G19" s="569"/>
      <c r="H19" s="569"/>
      <c r="I19" s="886"/>
      <c r="J19" s="886"/>
      <c r="K19" s="886"/>
      <c r="L19" s="569"/>
      <c r="M19" s="886"/>
      <c r="N19" s="886"/>
      <c r="O19" s="886"/>
      <c r="P19" s="569"/>
      <c r="Q19" s="886"/>
      <c r="R19" s="569"/>
      <c r="S19" s="569"/>
      <c r="T19" s="887"/>
      <c r="U19" s="569"/>
      <c r="V19" s="569"/>
      <c r="W19" s="569"/>
      <c r="X19" s="569"/>
      <c r="Y19" s="569"/>
      <c r="Z19" s="569"/>
      <c r="AA19" s="569"/>
      <c r="AB19" s="569"/>
      <c r="AC19" s="569"/>
      <c r="AD19" s="569"/>
      <c r="AE19" s="569"/>
      <c r="AF19" s="569"/>
      <c r="AG19" s="569"/>
      <c r="AH19" s="569"/>
      <c r="AI19" s="569"/>
      <c r="AJ19" s="887"/>
      <c r="AN19" s="877">
        <f>SUM(AN15:AN18)</f>
        <v>5472</v>
      </c>
      <c r="AO19" s="877">
        <f>SUM(AO15:AO18)</f>
        <v>1055</v>
      </c>
      <c r="AP19" s="877">
        <f>SUM(AP15:AP18)</f>
        <v>6527</v>
      </c>
    </row>
    <row r="20" spans="1:42" ht="15.75" customHeight="1">
      <c r="B20" s="569"/>
      <c r="C20" s="569"/>
      <c r="D20" s="569"/>
      <c r="E20" s="569"/>
      <c r="F20" s="569"/>
      <c r="G20" s="569"/>
      <c r="H20" s="569"/>
      <c r="I20" s="886"/>
      <c r="J20" s="886"/>
      <c r="K20" s="569"/>
      <c r="L20" s="569"/>
      <c r="M20" s="886"/>
      <c r="N20" s="886"/>
      <c r="O20" s="569"/>
      <c r="P20" s="569"/>
      <c r="Q20" s="886"/>
      <c r="R20" s="569"/>
      <c r="S20" s="569"/>
      <c r="T20" s="887"/>
      <c r="U20" s="569"/>
      <c r="V20" s="569"/>
      <c r="W20" s="569"/>
      <c r="X20" s="569"/>
      <c r="Y20" s="569"/>
      <c r="Z20" s="569"/>
      <c r="AA20" s="569"/>
      <c r="AB20" s="569"/>
      <c r="AC20" s="569"/>
      <c r="AD20" s="569"/>
      <c r="AE20" s="569"/>
      <c r="AF20" s="569"/>
      <c r="AG20" s="569"/>
      <c r="AH20" s="569"/>
      <c r="AI20" s="569"/>
      <c r="AJ20" s="569"/>
    </row>
    <row r="21" spans="1:42" ht="16.5">
      <c r="B21" s="569"/>
      <c r="C21" s="569"/>
      <c r="D21" s="569"/>
      <c r="E21" s="569"/>
      <c r="F21" s="569"/>
      <c r="G21" s="569"/>
      <c r="H21" s="569"/>
      <c r="I21" s="886"/>
      <c r="J21" s="886"/>
      <c r="K21" s="886"/>
      <c r="L21" s="569"/>
      <c r="M21" s="569"/>
      <c r="N21" s="569"/>
      <c r="O21" s="569"/>
      <c r="P21" s="569"/>
      <c r="Q21" s="886"/>
      <c r="R21" s="569"/>
      <c r="S21" s="569"/>
      <c r="T21" s="887"/>
      <c r="U21" s="569"/>
      <c r="V21" s="569"/>
      <c r="W21" s="569"/>
      <c r="X21" s="569"/>
      <c r="Y21" s="569"/>
      <c r="Z21" s="569"/>
      <c r="AA21" s="569"/>
      <c r="AB21" s="569"/>
      <c r="AC21" s="569"/>
      <c r="AD21" s="569"/>
      <c r="AE21" s="569"/>
      <c r="AF21" s="569"/>
      <c r="AG21" s="569"/>
      <c r="AH21" s="569"/>
      <c r="AI21" s="569"/>
      <c r="AJ21" s="569"/>
    </row>
    <row r="22" spans="1:42" ht="16.5">
      <c r="B22" s="569"/>
      <c r="C22" s="569"/>
      <c r="D22" s="1620"/>
      <c r="E22" s="1620"/>
      <c r="F22" s="1620"/>
      <c r="G22" s="1620"/>
      <c r="H22" s="1620"/>
      <c r="I22" s="886"/>
      <c r="J22" s="886"/>
      <c r="K22" s="886"/>
      <c r="L22" s="569"/>
      <c r="M22" s="569"/>
      <c r="N22" s="569"/>
      <c r="O22" s="569"/>
      <c r="P22" s="569"/>
      <c r="Q22" s="569"/>
      <c r="R22" s="569"/>
      <c r="S22" s="569"/>
      <c r="T22" s="887"/>
      <c r="U22" s="569"/>
      <c r="V22" s="569"/>
      <c r="W22" s="569"/>
      <c r="X22" s="569"/>
      <c r="Y22" s="569"/>
      <c r="Z22" s="569"/>
      <c r="AA22" s="569"/>
      <c r="AB22" s="569"/>
      <c r="AC22" s="569"/>
      <c r="AD22" s="569"/>
      <c r="AE22" s="569"/>
      <c r="AF22" s="569"/>
      <c r="AG22" s="569"/>
      <c r="AH22" s="569"/>
      <c r="AI22" s="569"/>
    </row>
    <row r="23" spans="1:42">
      <c r="I23" s="888"/>
      <c r="J23" s="888"/>
      <c r="K23" s="888"/>
      <c r="L23" s="878"/>
      <c r="M23" s="878"/>
      <c r="N23" s="878"/>
      <c r="O23" s="878"/>
      <c r="P23" s="878"/>
      <c r="T23" s="889"/>
      <c r="AL23" s="877"/>
    </row>
    <row r="27" spans="1:42" ht="16.5">
      <c r="A27" s="1619"/>
      <c r="B27" s="1619"/>
      <c r="C27" s="1619"/>
    </row>
    <row r="28" spans="1:42" ht="16.5">
      <c r="A28" s="890"/>
      <c r="B28" s="590"/>
      <c r="C28" s="1619"/>
      <c r="D28" s="1619"/>
      <c r="E28" s="1619"/>
      <c r="F28" s="1619"/>
      <c r="G28" s="1619"/>
      <c r="H28" s="1619"/>
    </row>
    <row r="29" spans="1:42" ht="16.5">
      <c r="A29" s="890"/>
      <c r="B29" s="590"/>
      <c r="C29" s="1619"/>
      <c r="D29" s="1619"/>
      <c r="E29" s="1619"/>
      <c r="F29" s="1619"/>
      <c r="G29" s="1619"/>
      <c r="H29" s="1619"/>
    </row>
    <row r="30" spans="1:42" ht="16.5">
      <c r="A30" s="890"/>
      <c r="B30" s="590"/>
      <c r="C30" s="1619"/>
      <c r="D30" s="1619"/>
      <c r="E30" s="1619"/>
      <c r="F30" s="1619"/>
      <c r="G30" s="1619"/>
      <c r="H30" s="1619"/>
    </row>
    <row r="31" spans="1:42" ht="16.5">
      <c r="A31" s="890"/>
      <c r="B31" s="590"/>
      <c r="C31" s="1619"/>
      <c r="D31" s="1619"/>
      <c r="E31" s="1619"/>
      <c r="F31" s="1619"/>
      <c r="G31" s="1619"/>
      <c r="H31" s="1619"/>
    </row>
    <row r="32" spans="1:42" ht="16.5">
      <c r="A32" s="891"/>
      <c r="B32" s="569"/>
      <c r="C32" s="1619"/>
      <c r="D32" s="1619"/>
      <c r="E32" s="1619"/>
      <c r="F32" s="1619"/>
      <c r="G32" s="1619"/>
      <c r="H32" s="1619"/>
      <c r="AL32" s="877"/>
    </row>
    <row r="33" spans="1:38" ht="16.5">
      <c r="A33" s="891"/>
      <c r="B33" s="569"/>
      <c r="C33" s="1619"/>
      <c r="D33" s="1619"/>
      <c r="E33" s="1619"/>
      <c r="F33" s="1619"/>
      <c r="G33" s="1619"/>
      <c r="H33" s="1619"/>
      <c r="AL33" s="877"/>
    </row>
    <row r="34" spans="1:38" ht="16.5">
      <c r="A34" s="891"/>
      <c r="B34" s="569"/>
      <c r="C34" s="1619"/>
      <c r="D34" s="1619"/>
      <c r="E34" s="1619"/>
      <c r="F34" s="1619"/>
      <c r="G34" s="1619"/>
      <c r="H34" s="1619"/>
      <c r="AL34" s="877"/>
    </row>
    <row r="35" spans="1:38" ht="16.5">
      <c r="A35" s="891"/>
      <c r="B35" s="569"/>
      <c r="C35" s="1619"/>
      <c r="D35" s="1619"/>
      <c r="E35" s="1619"/>
      <c r="F35" s="1619"/>
      <c r="G35" s="1619"/>
      <c r="H35" s="1619"/>
      <c r="AL35" s="877"/>
    </row>
  </sheetData>
  <mergeCells count="56">
    <mergeCell ref="A9:AJ9"/>
    <mergeCell ref="A11:A12"/>
    <mergeCell ref="B11:B12"/>
    <mergeCell ref="C11:C12"/>
    <mergeCell ref="D11:D12"/>
    <mergeCell ref="AJ11:AJ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A2:AJ2"/>
    <mergeCell ref="A3:AJ3"/>
    <mergeCell ref="A4:AJ4"/>
    <mergeCell ref="A6:L6"/>
    <mergeCell ref="A7:L7"/>
    <mergeCell ref="A15:D15"/>
    <mergeCell ref="AK15:AL15"/>
    <mergeCell ref="C33:H33"/>
    <mergeCell ref="C34:H34"/>
    <mergeCell ref="C35:H35"/>
    <mergeCell ref="D22:H22"/>
    <mergeCell ref="A27:C27"/>
    <mergeCell ref="C28:H28"/>
    <mergeCell ref="C29:H29"/>
    <mergeCell ref="C30:H30"/>
    <mergeCell ref="C31:H31"/>
    <mergeCell ref="C32:H32"/>
    <mergeCell ref="X16:AJ16"/>
    <mergeCell ref="A17:AJ17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AI11:AI12"/>
    <mergeCell ref="Y11:Y12"/>
    <mergeCell ref="Z11:Z12"/>
    <mergeCell ref="AA11:AA12"/>
    <mergeCell ref="AB11:AB12"/>
    <mergeCell ref="AH11:AH12"/>
    <mergeCell ref="AC11:AC12"/>
    <mergeCell ref="AD11:AD12"/>
    <mergeCell ref="AE11:AE12"/>
    <mergeCell ref="AF11:AF12"/>
    <mergeCell ref="AG11:AG12"/>
  </mergeCells>
  <printOptions horizontalCentered="1"/>
  <pageMargins left="0.27559055118110198" right="0.196850393700787" top="0.39" bottom="0.51" header="0.33" footer="0.4"/>
  <pageSetup paperSize="9" scale="77" fitToHeight="0" orientation="landscape" r:id="rId1"/>
  <headerFooter>
    <oddFooter>&amp;R&amp;P</oddFooter>
  </headerFooter>
  <colBreaks count="1" manualBreakCount="1"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rgb="FFFFC000"/>
  </sheetPr>
  <dimension ref="A2:AA1429"/>
  <sheetViews>
    <sheetView zoomScale="62" zoomScaleNormal="62" workbookViewId="0">
      <selection activeCell="A23" sqref="A16:AN28"/>
    </sheetView>
  </sheetViews>
  <sheetFormatPr defaultColWidth="9.140625" defaultRowHeight="12.75" customHeight="1"/>
  <cols>
    <col min="1" max="1" width="4" customWidth="1"/>
    <col min="2" max="2" width="25.7109375" customWidth="1"/>
    <col min="3" max="3" width="16" customWidth="1"/>
    <col min="4" max="4" width="2.85546875" customWidth="1"/>
    <col min="5" max="5" width="4.85546875" customWidth="1"/>
    <col min="6" max="6" width="25.5703125" customWidth="1"/>
    <col min="7" max="7" width="16" customWidth="1"/>
    <col min="8" max="8" width="1" customWidth="1"/>
    <col min="9" max="9" width="5.28515625" customWidth="1"/>
    <col min="10" max="10" width="25.5703125" customWidth="1"/>
    <col min="11" max="11" width="14.85546875" customWidth="1"/>
    <col min="12" max="12" width="3.140625" customWidth="1"/>
    <col min="13" max="13" width="4" customWidth="1"/>
    <col min="14" max="14" width="25.85546875" customWidth="1"/>
    <col min="15" max="15" width="14.85546875" customWidth="1"/>
    <col min="16" max="16" width="20.7109375" customWidth="1"/>
    <col min="17" max="17" width="31" customWidth="1"/>
    <col min="18" max="18" width="14.28515625" customWidth="1"/>
    <col min="19" max="19" width="19" customWidth="1"/>
    <col min="20" max="20" width="17.85546875" customWidth="1"/>
    <col min="21" max="21" width="21.140625" customWidth="1"/>
    <col min="22" max="22" width="13.140625" customWidth="1"/>
    <col min="23" max="23" width="15.28515625" customWidth="1"/>
    <col min="24" max="24" width="13" customWidth="1"/>
    <col min="26" max="26" width="13.5703125" customWidth="1"/>
    <col min="27" max="27" width="15.5703125" customWidth="1"/>
  </cols>
  <sheetData>
    <row r="2" spans="1:24" ht="15.75">
      <c r="A2" s="1630" t="s">
        <v>238</v>
      </c>
      <c r="B2" s="1630"/>
      <c r="C2" s="1630"/>
      <c r="D2" s="1630"/>
      <c r="E2" s="1630" t="s">
        <v>362</v>
      </c>
      <c r="F2" s="1630"/>
      <c r="G2" s="1630"/>
      <c r="H2" s="362"/>
      <c r="I2" s="1630" t="s">
        <v>43</v>
      </c>
      <c r="J2" s="1630"/>
      <c r="K2" s="1630"/>
      <c r="L2" s="1630"/>
      <c r="M2" s="363"/>
      <c r="N2" s="1630" t="s">
        <v>44</v>
      </c>
      <c r="O2" s="1630"/>
    </row>
    <row r="3" spans="1:24" ht="15.75">
      <c r="A3" s="853">
        <v>1</v>
      </c>
      <c r="B3" s="363" t="s">
        <v>147</v>
      </c>
      <c r="C3" s="140">
        <v>900</v>
      </c>
      <c r="D3" s="1630"/>
      <c r="E3" s="853">
        <v>1</v>
      </c>
      <c r="F3" s="363" t="s">
        <v>147</v>
      </c>
      <c r="G3" s="140">
        <v>1095.56</v>
      </c>
      <c r="H3" s="363"/>
      <c r="I3" s="853">
        <v>1</v>
      </c>
      <c r="J3" s="363" t="s">
        <v>147</v>
      </c>
      <c r="K3" s="140">
        <v>768.15</v>
      </c>
      <c r="L3" s="1630"/>
      <c r="M3" s="363">
        <v>1</v>
      </c>
      <c r="N3" s="363" t="s">
        <v>147</v>
      </c>
      <c r="O3" s="140">
        <v>610</v>
      </c>
      <c r="P3" s="394">
        <f>C3+G3+K3+O3</f>
        <v>3373.71</v>
      </c>
      <c r="Q3" s="432">
        <f>C3+G3+K3+O3</f>
        <v>3373.71</v>
      </c>
      <c r="R3" s="364"/>
      <c r="S3" s="364"/>
      <c r="T3" s="364"/>
      <c r="U3" s="364"/>
      <c r="V3" s="364"/>
      <c r="W3" s="364"/>
      <c r="X3" s="364"/>
    </row>
    <row r="4" spans="1:24" ht="15.75">
      <c r="A4" s="853">
        <v>2</v>
      </c>
      <c r="B4" s="363" t="s">
        <v>308</v>
      </c>
      <c r="C4" s="365"/>
      <c r="D4" s="1630"/>
      <c r="E4" s="853">
        <v>2</v>
      </c>
      <c r="F4" s="363" t="s">
        <v>308</v>
      </c>
      <c r="G4" s="365"/>
      <c r="H4" s="363"/>
      <c r="I4" s="853">
        <v>2</v>
      </c>
      <c r="J4" s="363" t="s">
        <v>308</v>
      </c>
      <c r="K4" s="365"/>
      <c r="L4" s="1630"/>
      <c r="M4" s="363">
        <v>2</v>
      </c>
      <c r="N4" s="363" t="s">
        <v>308</v>
      </c>
      <c r="O4" s="365"/>
      <c r="P4" s="394">
        <f t="shared" ref="P4:P67" si="0">C4+G4+K4+O4</f>
        <v>0</v>
      </c>
      <c r="Q4" s="135"/>
      <c r="R4" s="435"/>
      <c r="S4" s="435"/>
      <c r="T4" s="137"/>
      <c r="U4" s="252"/>
      <c r="V4" s="135"/>
      <c r="W4" s="136"/>
      <c r="X4" s="135"/>
    </row>
    <row r="5" spans="1:24" ht="15.75">
      <c r="A5" s="853">
        <v>3</v>
      </c>
      <c r="B5" s="363" t="s">
        <v>149</v>
      </c>
      <c r="C5" s="366"/>
      <c r="D5" s="1630"/>
      <c r="E5" s="853">
        <v>3</v>
      </c>
      <c r="F5" s="363" t="s">
        <v>149</v>
      </c>
      <c r="G5" s="366"/>
      <c r="H5" s="363"/>
      <c r="I5" s="853">
        <v>3</v>
      </c>
      <c r="J5" s="363" t="s">
        <v>149</v>
      </c>
      <c r="K5" s="366"/>
      <c r="L5" s="1630"/>
      <c r="M5" s="363">
        <v>3</v>
      </c>
      <c r="N5" s="363" t="s">
        <v>155</v>
      </c>
      <c r="O5" s="366"/>
      <c r="P5" s="394">
        <f t="shared" si="0"/>
        <v>0</v>
      </c>
      <c r="Q5" s="135"/>
      <c r="R5" s="435"/>
      <c r="S5" s="435"/>
      <c r="T5" s="137"/>
      <c r="U5" s="139"/>
      <c r="V5" s="135"/>
      <c r="W5" s="136"/>
      <c r="X5" s="135"/>
    </row>
    <row r="6" spans="1:24" ht="15.75">
      <c r="A6" s="853">
        <v>4</v>
      </c>
      <c r="B6" s="362" t="s">
        <v>16</v>
      </c>
      <c r="C6" s="326">
        <f>SUM(C3:C5)</f>
        <v>900</v>
      </c>
      <c r="D6" s="1630"/>
      <c r="E6" s="853">
        <v>4</v>
      </c>
      <c r="F6" s="362" t="s">
        <v>16</v>
      </c>
      <c r="G6" s="326">
        <f>SUM(G3:G5)</f>
        <v>1095.56</v>
      </c>
      <c r="H6" s="363"/>
      <c r="I6" s="853">
        <v>4</v>
      </c>
      <c r="J6" s="362" t="s">
        <v>16</v>
      </c>
      <c r="K6" s="326">
        <f>SUM(K3:K5)</f>
        <v>768.15</v>
      </c>
      <c r="L6" s="1630"/>
      <c r="M6" s="363">
        <v>4</v>
      </c>
      <c r="N6" s="362" t="s">
        <v>16</v>
      </c>
      <c r="O6" s="326">
        <f>SUM(O3:O5)</f>
        <v>610</v>
      </c>
      <c r="P6" s="394">
        <f t="shared" si="0"/>
        <v>3373.71</v>
      </c>
      <c r="Q6" s="135"/>
      <c r="R6" s="435"/>
      <c r="S6" s="435"/>
      <c r="T6" s="137"/>
      <c r="U6" s="139"/>
      <c r="V6" s="135"/>
      <c r="W6" s="136"/>
      <c r="X6" s="135"/>
    </row>
    <row r="7" spans="1:24" ht="15.75">
      <c r="A7" s="1630" t="s">
        <v>138</v>
      </c>
      <c r="B7" s="1630"/>
      <c r="C7" s="1630"/>
      <c r="D7" s="1630"/>
      <c r="E7" s="1630" t="s">
        <v>138</v>
      </c>
      <c r="F7" s="1630"/>
      <c r="G7" s="1630"/>
      <c r="H7" s="851"/>
      <c r="I7" s="1630" t="s">
        <v>138</v>
      </c>
      <c r="J7" s="1630"/>
      <c r="K7" s="1630"/>
      <c r="L7" s="1630"/>
      <c r="M7" s="1630" t="s">
        <v>138</v>
      </c>
      <c r="N7" s="1630"/>
      <c r="O7" s="1630"/>
      <c r="P7" s="394">
        <f t="shared" si="0"/>
        <v>0</v>
      </c>
      <c r="Q7" s="135"/>
      <c r="R7" s="435"/>
      <c r="S7" s="436"/>
      <c r="T7" s="137"/>
      <c r="U7" s="139"/>
      <c r="V7" s="135"/>
      <c r="W7" s="136"/>
      <c r="X7" s="135"/>
    </row>
    <row r="8" spans="1:24" ht="15.75">
      <c r="A8" s="853">
        <v>6</v>
      </c>
      <c r="B8" s="363" t="s">
        <v>148</v>
      </c>
      <c r="C8" s="140"/>
      <c r="D8" s="1630"/>
      <c r="E8" s="853">
        <v>6</v>
      </c>
      <c r="F8" s="363" t="s">
        <v>148</v>
      </c>
      <c r="G8" s="140"/>
      <c r="H8" s="363"/>
      <c r="I8" s="853">
        <v>6</v>
      </c>
      <c r="J8" s="363" t="s">
        <v>148</v>
      </c>
      <c r="K8" s="140"/>
      <c r="L8" s="1630"/>
      <c r="M8" s="363">
        <v>6</v>
      </c>
      <c r="N8" s="363" t="s">
        <v>148</v>
      </c>
      <c r="O8" s="140"/>
      <c r="P8" s="394">
        <f t="shared" si="0"/>
        <v>0</v>
      </c>
      <c r="Q8" s="135"/>
      <c r="R8" s="435"/>
      <c r="S8" s="435"/>
      <c r="T8" s="137"/>
      <c r="U8" s="139"/>
      <c r="V8" s="135"/>
      <c r="W8" s="136"/>
      <c r="X8" s="135"/>
    </row>
    <row r="9" spans="1:24" ht="15.75">
      <c r="A9" s="853">
        <v>7</v>
      </c>
      <c r="B9" s="429" t="s">
        <v>361</v>
      </c>
      <c r="C9" s="367">
        <v>140.79</v>
      </c>
      <c r="D9" s="1630"/>
      <c r="E9" s="853">
        <v>7</v>
      </c>
      <c r="F9" s="429" t="s">
        <v>361</v>
      </c>
      <c r="G9" s="140">
        <v>171.83</v>
      </c>
      <c r="H9" s="363"/>
      <c r="I9" s="853">
        <v>7</v>
      </c>
      <c r="J9" s="429" t="s">
        <v>361</v>
      </c>
      <c r="K9" s="367">
        <v>102.04</v>
      </c>
      <c r="L9" s="1630"/>
      <c r="M9" s="363">
        <v>7</v>
      </c>
      <c r="N9" s="429" t="s">
        <v>361</v>
      </c>
      <c r="O9" s="367">
        <v>80.61</v>
      </c>
      <c r="P9" s="394">
        <f>C9+G9+K9+O9</f>
        <v>495.27000000000004</v>
      </c>
      <c r="Q9" s="135"/>
      <c r="R9" s="435">
        <f>C9+G9+O9+K9</f>
        <v>495.27000000000004</v>
      </c>
      <c r="S9" s="435"/>
      <c r="T9" s="137"/>
      <c r="U9" s="139"/>
      <c r="V9" s="135"/>
      <c r="W9" s="136"/>
      <c r="X9" s="135"/>
    </row>
    <row r="10" spans="1:24" ht="15.75">
      <c r="A10" s="853"/>
      <c r="B10" s="363" t="s">
        <v>267</v>
      </c>
      <c r="C10" s="367"/>
      <c r="D10" s="1630"/>
      <c r="E10" s="853"/>
      <c r="F10" s="363" t="s">
        <v>268</v>
      </c>
      <c r="G10" s="367"/>
      <c r="H10" s="363"/>
      <c r="I10" s="853"/>
      <c r="J10" s="363" t="s">
        <v>268</v>
      </c>
      <c r="K10" s="367"/>
      <c r="L10" s="1630"/>
      <c r="M10" s="363"/>
      <c r="N10" s="363" t="s">
        <v>268</v>
      </c>
      <c r="O10" s="367"/>
      <c r="P10" s="394">
        <f t="shared" si="0"/>
        <v>0</v>
      </c>
      <c r="Q10" s="429"/>
      <c r="R10" s="435"/>
      <c r="S10" s="435"/>
      <c r="T10" s="137"/>
      <c r="U10" s="139"/>
      <c r="V10" s="135"/>
      <c r="W10" s="136"/>
      <c r="X10" s="135"/>
    </row>
    <row r="11" spans="1:24" ht="15.75">
      <c r="A11" s="853">
        <v>8</v>
      </c>
      <c r="B11" s="363" t="s">
        <v>150</v>
      </c>
      <c r="C11" s="180"/>
      <c r="D11" s="1630"/>
      <c r="E11" s="853">
        <v>8</v>
      </c>
      <c r="F11" s="363" t="s">
        <v>150</v>
      </c>
      <c r="G11" s="368"/>
      <c r="H11" s="363"/>
      <c r="I11" s="853">
        <v>8</v>
      </c>
      <c r="J11" s="363" t="s">
        <v>150</v>
      </c>
      <c r="K11" s="180"/>
      <c r="L11" s="1630"/>
      <c r="M11" s="363">
        <v>8</v>
      </c>
      <c r="N11" s="363" t="s">
        <v>150</v>
      </c>
      <c r="O11" s="140"/>
      <c r="P11" s="394">
        <f t="shared" si="0"/>
        <v>0</v>
      </c>
      <c r="Q11" s="135"/>
      <c r="R11" s="435"/>
      <c r="S11" s="435"/>
      <c r="T11" s="137"/>
      <c r="U11" s="139"/>
      <c r="V11" s="135"/>
      <c r="W11" s="136"/>
      <c r="X11" s="135"/>
    </row>
    <row r="12" spans="1:24" ht="15.75">
      <c r="A12" s="853">
        <v>9</v>
      </c>
      <c r="B12" s="363" t="s">
        <v>151</v>
      </c>
      <c r="C12" s="140"/>
      <c r="D12" s="1630"/>
      <c r="E12" s="853">
        <v>9</v>
      </c>
      <c r="F12" s="363" t="s">
        <v>151</v>
      </c>
      <c r="G12" s="140"/>
      <c r="H12" s="363"/>
      <c r="I12" s="853">
        <v>9</v>
      </c>
      <c r="J12" s="363" t="s">
        <v>151</v>
      </c>
      <c r="K12" s="140"/>
      <c r="L12" s="1630"/>
      <c r="M12" s="363">
        <v>9</v>
      </c>
      <c r="N12" s="363" t="s">
        <v>151</v>
      </c>
      <c r="O12" s="140"/>
      <c r="P12" s="394">
        <f t="shared" si="0"/>
        <v>0</v>
      </c>
      <c r="Q12" s="135"/>
      <c r="R12" s="435"/>
      <c r="S12" s="435"/>
      <c r="T12" s="137"/>
      <c r="U12" s="139"/>
      <c r="V12" s="135"/>
      <c r="W12" s="136"/>
      <c r="X12" s="135"/>
    </row>
    <row r="13" spans="1:24" ht="15.75">
      <c r="A13" s="853">
        <v>10</v>
      </c>
      <c r="B13" s="363" t="s">
        <v>16</v>
      </c>
      <c r="C13" s="431">
        <f>SUM(C8:C12)</f>
        <v>140.79</v>
      </c>
      <c r="D13" s="1630"/>
      <c r="E13" s="853">
        <v>10</v>
      </c>
      <c r="F13" s="363" t="s">
        <v>16</v>
      </c>
      <c r="G13" s="431">
        <f>SUM(G8:G12)</f>
        <v>171.83</v>
      </c>
      <c r="H13" s="363"/>
      <c r="I13" s="853">
        <v>10</v>
      </c>
      <c r="J13" s="363" t="s">
        <v>16</v>
      </c>
      <c r="K13" s="431">
        <f>SUM(K8:K12)</f>
        <v>102.04</v>
      </c>
      <c r="L13" s="1630"/>
      <c r="M13" s="363">
        <v>10</v>
      </c>
      <c r="N13" s="363" t="s">
        <v>16</v>
      </c>
      <c r="O13" s="431">
        <f>SUM(O8:O12)</f>
        <v>80.61</v>
      </c>
      <c r="P13" s="394">
        <f t="shared" si="0"/>
        <v>495.27000000000004</v>
      </c>
      <c r="Q13" s="135"/>
      <c r="R13" s="435"/>
      <c r="S13" s="435"/>
      <c r="T13" s="137"/>
      <c r="U13" s="139"/>
      <c r="V13" s="135"/>
      <c r="W13" s="136"/>
      <c r="X13" s="135"/>
    </row>
    <row r="14" spans="1:24" ht="15.75">
      <c r="A14" s="853">
        <v>11</v>
      </c>
      <c r="B14" s="363" t="s">
        <v>152</v>
      </c>
      <c r="C14" s="855">
        <f>C6-C13</f>
        <v>759.21</v>
      </c>
      <c r="D14" s="1630"/>
      <c r="E14" s="853">
        <v>11</v>
      </c>
      <c r="F14" s="363" t="s">
        <v>152</v>
      </c>
      <c r="G14" s="855">
        <f>G6-G13</f>
        <v>923.7299999999999</v>
      </c>
      <c r="H14" s="363"/>
      <c r="I14" s="853">
        <v>11</v>
      </c>
      <c r="J14" s="363" t="s">
        <v>152</v>
      </c>
      <c r="K14" s="855">
        <f>K6-K13</f>
        <v>666.11</v>
      </c>
      <c r="L14" s="1630"/>
      <c r="M14" s="363">
        <v>11</v>
      </c>
      <c r="N14" s="363" t="s">
        <v>152</v>
      </c>
      <c r="O14" s="855">
        <f>O6-O13</f>
        <v>529.39</v>
      </c>
      <c r="P14" s="394">
        <f t="shared" si="0"/>
        <v>2878.44</v>
      </c>
      <c r="Q14" s="135"/>
      <c r="R14" s="435"/>
      <c r="S14" s="435"/>
      <c r="T14" s="137"/>
      <c r="U14" s="139"/>
      <c r="V14" s="135"/>
      <c r="W14" s="136"/>
      <c r="X14" s="135"/>
    </row>
    <row r="15" spans="1:24" ht="18" customHeight="1">
      <c r="A15" s="853"/>
      <c r="B15" s="853"/>
      <c r="C15" s="853"/>
      <c r="D15" s="853"/>
      <c r="E15" s="853"/>
      <c r="F15" s="853"/>
      <c r="G15" s="853"/>
      <c r="H15" s="853"/>
      <c r="I15" s="853"/>
      <c r="J15" s="853"/>
      <c r="K15" s="853"/>
      <c r="L15" s="853"/>
      <c r="M15" s="853"/>
      <c r="N15" s="853"/>
      <c r="O15" s="853"/>
      <c r="P15" s="394">
        <f t="shared" si="0"/>
        <v>0</v>
      </c>
      <c r="Q15" s="135"/>
      <c r="R15" s="435"/>
      <c r="S15" s="435"/>
      <c r="T15" s="137"/>
      <c r="U15" s="139"/>
      <c r="V15" s="135"/>
      <c r="W15" s="136"/>
      <c r="X15" s="135"/>
    </row>
    <row r="16" spans="1:24" ht="15.75">
      <c r="A16" s="1629" t="s">
        <v>45</v>
      </c>
      <c r="B16" s="1629"/>
      <c r="C16" s="1629"/>
      <c r="D16" s="1630"/>
      <c r="E16" s="1630" t="s">
        <v>295</v>
      </c>
      <c r="F16" s="1630"/>
      <c r="G16" s="1630"/>
      <c r="H16" s="1630"/>
      <c r="I16" s="1629" t="s">
        <v>198</v>
      </c>
      <c r="J16" s="1629"/>
      <c r="K16" s="1629"/>
      <c r="L16" s="1630"/>
      <c r="M16" s="1629" t="s">
        <v>270</v>
      </c>
      <c r="N16" s="1629"/>
      <c r="O16" s="1629"/>
      <c r="P16" s="394">
        <f t="shared" si="0"/>
        <v>0</v>
      </c>
      <c r="Q16" s="135"/>
      <c r="R16" s="435"/>
      <c r="S16" s="435"/>
      <c r="T16" s="137"/>
      <c r="U16" s="139"/>
      <c r="V16" s="135"/>
      <c r="W16" s="136"/>
      <c r="X16" s="135"/>
    </row>
    <row r="17" spans="1:27" ht="15.75">
      <c r="A17" s="363">
        <v>1</v>
      </c>
      <c r="B17" s="363" t="s">
        <v>147</v>
      </c>
      <c r="C17" s="140">
        <v>681.73</v>
      </c>
      <c r="D17" s="1630"/>
      <c r="E17" s="853">
        <v>1</v>
      </c>
      <c r="F17" s="363" t="s">
        <v>147</v>
      </c>
      <c r="G17" s="140">
        <v>460</v>
      </c>
      <c r="H17" s="1630"/>
      <c r="I17" s="853">
        <v>1</v>
      </c>
      <c r="J17" s="363" t="s">
        <v>147</v>
      </c>
      <c r="K17" s="140">
        <v>705.19</v>
      </c>
      <c r="L17" s="1630"/>
      <c r="M17" s="363">
        <v>1</v>
      </c>
      <c r="N17" s="363" t="s">
        <v>147</v>
      </c>
      <c r="O17" s="140">
        <v>360</v>
      </c>
      <c r="P17" s="394">
        <f t="shared" si="0"/>
        <v>2206.92</v>
      </c>
      <c r="Q17" s="432">
        <f>C17+G17+K17+O17</f>
        <v>2206.92</v>
      </c>
      <c r="R17" s="435"/>
      <c r="S17" s="435"/>
      <c r="T17" s="138"/>
      <c r="U17" s="139"/>
      <c r="V17" s="135"/>
      <c r="W17" s="136"/>
      <c r="X17" s="135"/>
    </row>
    <row r="18" spans="1:27" ht="15.75">
      <c r="A18" s="363">
        <v>2</v>
      </c>
      <c r="B18" s="363" t="s">
        <v>308</v>
      </c>
      <c r="C18" s="365"/>
      <c r="D18" s="1630"/>
      <c r="E18" s="853">
        <v>2</v>
      </c>
      <c r="F18" s="363" t="s">
        <v>308</v>
      </c>
      <c r="G18" s="365"/>
      <c r="H18" s="1630"/>
      <c r="I18" s="853">
        <v>2</v>
      </c>
      <c r="J18" s="363" t="s">
        <v>308</v>
      </c>
      <c r="K18" s="365"/>
      <c r="L18" s="1630"/>
      <c r="M18" s="363">
        <v>2</v>
      </c>
      <c r="N18" s="363" t="s">
        <v>308</v>
      </c>
      <c r="O18" s="365"/>
      <c r="P18" s="394">
        <f t="shared" si="0"/>
        <v>0</v>
      </c>
      <c r="Q18" s="141"/>
      <c r="R18" s="435"/>
      <c r="S18" s="435"/>
      <c r="T18" s="147"/>
      <c r="U18" s="138"/>
      <c r="V18" s="139"/>
      <c r="W18" s="136"/>
      <c r="X18" s="147"/>
    </row>
    <row r="19" spans="1:27" ht="15.75">
      <c r="A19" s="363">
        <v>3</v>
      </c>
      <c r="B19" s="363" t="s">
        <v>269</v>
      </c>
      <c r="C19" s="366"/>
      <c r="D19" s="1630"/>
      <c r="E19" s="853">
        <v>3</v>
      </c>
      <c r="F19" s="363" t="s">
        <v>149</v>
      </c>
      <c r="G19" s="366"/>
      <c r="H19" s="1630"/>
      <c r="I19" s="853">
        <v>3</v>
      </c>
      <c r="J19" s="363" t="s">
        <v>269</v>
      </c>
      <c r="K19" s="366"/>
      <c r="L19" s="1630"/>
      <c r="M19" s="363">
        <v>3</v>
      </c>
      <c r="N19" s="363" t="s">
        <v>149</v>
      </c>
      <c r="O19" s="366"/>
      <c r="P19" s="394">
        <f t="shared" si="0"/>
        <v>0</v>
      </c>
      <c r="Q19" s="141"/>
      <c r="R19" s="435"/>
      <c r="S19" s="435"/>
      <c r="T19" s="137"/>
      <c r="U19" s="139"/>
      <c r="V19" s="135"/>
      <c r="W19" s="136"/>
      <c r="X19" s="135"/>
    </row>
    <row r="20" spans="1:27" ht="15.75">
      <c r="A20" s="363">
        <v>4</v>
      </c>
      <c r="B20" s="362" t="s">
        <v>16</v>
      </c>
      <c r="C20" s="326">
        <f>SUM(C17:C19)</f>
        <v>681.73</v>
      </c>
      <c r="D20" s="1630"/>
      <c r="E20" s="853">
        <v>4</v>
      </c>
      <c r="F20" s="362" t="s">
        <v>16</v>
      </c>
      <c r="G20" s="326">
        <f>SUM(G17:G19)</f>
        <v>460</v>
      </c>
      <c r="H20" s="1630"/>
      <c r="I20" s="853">
        <v>4</v>
      </c>
      <c r="J20" s="362" t="s">
        <v>16</v>
      </c>
      <c r="K20" s="326">
        <f>SUM(K17:K19)</f>
        <v>705.19</v>
      </c>
      <c r="L20" s="1630"/>
      <c r="M20" s="363">
        <v>4</v>
      </c>
      <c r="N20" s="362" t="s">
        <v>16</v>
      </c>
      <c r="O20" s="326">
        <f>SUM(O17:O19)</f>
        <v>360</v>
      </c>
      <c r="P20" s="394">
        <f t="shared" si="0"/>
        <v>2206.92</v>
      </c>
      <c r="Q20" s="135"/>
      <c r="R20" s="435"/>
      <c r="S20" s="435"/>
      <c r="T20" s="137"/>
      <c r="U20" s="139"/>
      <c r="V20" s="135"/>
      <c r="W20" s="136"/>
      <c r="X20" s="135"/>
    </row>
    <row r="21" spans="1:27" ht="15.75">
      <c r="A21" s="1630" t="s">
        <v>138</v>
      </c>
      <c r="B21" s="1630"/>
      <c r="C21" s="1630"/>
      <c r="D21" s="1630"/>
      <c r="E21" s="1630" t="s">
        <v>138</v>
      </c>
      <c r="F21" s="1630"/>
      <c r="G21" s="1630"/>
      <c r="H21" s="1630"/>
      <c r="I21" s="1630" t="s">
        <v>138</v>
      </c>
      <c r="J21" s="1630"/>
      <c r="K21" s="1630"/>
      <c r="L21" s="1630"/>
      <c r="M21" s="1630" t="s">
        <v>138</v>
      </c>
      <c r="N21" s="1630"/>
      <c r="O21" s="1630"/>
      <c r="P21" s="394">
        <f t="shared" si="0"/>
        <v>0</v>
      </c>
      <c r="Q21" s="135"/>
      <c r="R21" s="435"/>
      <c r="S21" s="435"/>
      <c r="T21" s="137"/>
      <c r="U21" s="139"/>
      <c r="V21" s="135"/>
      <c r="W21" s="136"/>
      <c r="X21" s="135"/>
    </row>
    <row r="22" spans="1:27" ht="15.75">
      <c r="A22" s="853">
        <v>6</v>
      </c>
      <c r="B22" s="363" t="s">
        <v>148</v>
      </c>
      <c r="C22" s="140"/>
      <c r="D22" s="1630"/>
      <c r="E22" s="853">
        <v>6</v>
      </c>
      <c r="F22" s="363" t="s">
        <v>148</v>
      </c>
      <c r="G22" s="140"/>
      <c r="H22" s="1630"/>
      <c r="I22" s="853">
        <v>6</v>
      </c>
      <c r="J22" s="363" t="s">
        <v>148</v>
      </c>
      <c r="K22" s="180"/>
      <c r="L22" s="1630"/>
      <c r="M22" s="853">
        <v>6</v>
      </c>
      <c r="N22" s="363" t="s">
        <v>148</v>
      </c>
      <c r="O22" s="140"/>
      <c r="P22" s="394">
        <f t="shared" si="0"/>
        <v>0</v>
      </c>
      <c r="Q22" s="141"/>
      <c r="R22" s="435"/>
      <c r="S22" s="435"/>
      <c r="T22" s="138"/>
      <c r="U22" s="139"/>
      <c r="V22" s="135"/>
      <c r="W22" s="136"/>
      <c r="X22" s="135"/>
    </row>
    <row r="23" spans="1:27" ht="15.75">
      <c r="A23" s="853">
        <v>7</v>
      </c>
      <c r="B23" s="429" t="s">
        <v>361</v>
      </c>
      <c r="C23" s="367">
        <v>85.04</v>
      </c>
      <c r="D23" s="1630"/>
      <c r="E23" s="853">
        <v>7</v>
      </c>
      <c r="F23" s="429" t="s">
        <v>361</v>
      </c>
      <c r="G23" s="367">
        <v>54.34</v>
      </c>
      <c r="H23" s="1630"/>
      <c r="I23" s="853">
        <v>7</v>
      </c>
      <c r="J23" s="429" t="s">
        <v>361</v>
      </c>
      <c r="K23" s="369">
        <v>85.89</v>
      </c>
      <c r="L23" s="1630"/>
      <c r="M23" s="853">
        <v>7</v>
      </c>
      <c r="N23" s="429" t="s">
        <v>361</v>
      </c>
      <c r="O23" s="140">
        <v>25.1</v>
      </c>
      <c r="P23" s="394">
        <f t="shared" si="0"/>
        <v>250.36999999999998</v>
      </c>
      <c r="Q23" s="135"/>
      <c r="R23" s="435">
        <f>C23+G23+O23+K23</f>
        <v>250.37</v>
      </c>
      <c r="S23" s="435"/>
      <c r="T23" s="147"/>
      <c r="U23" s="138"/>
      <c r="V23" s="138"/>
      <c r="W23" s="136"/>
      <c r="X23" s="138"/>
    </row>
    <row r="24" spans="1:27" ht="15.75">
      <c r="A24" s="853"/>
      <c r="B24" s="363" t="s">
        <v>268</v>
      </c>
      <c r="C24" s="367"/>
      <c r="D24" s="1630"/>
      <c r="E24" s="853"/>
      <c r="F24" s="363" t="s">
        <v>268</v>
      </c>
      <c r="G24" s="367"/>
      <c r="H24" s="1630"/>
      <c r="I24" s="853"/>
      <c r="J24" s="363" t="s">
        <v>268</v>
      </c>
      <c r="K24" s="367"/>
      <c r="L24" s="1630"/>
      <c r="M24" s="853"/>
      <c r="N24" s="363" t="s">
        <v>268</v>
      </c>
      <c r="O24" s="140"/>
      <c r="P24" s="394">
        <f t="shared" si="0"/>
        <v>0</v>
      </c>
      <c r="Q24" s="135"/>
      <c r="R24" s="435"/>
      <c r="S24" s="435"/>
      <c r="T24" s="147"/>
      <c r="U24" s="138"/>
      <c r="V24" s="138"/>
      <c r="W24" s="136"/>
      <c r="X24" s="138"/>
    </row>
    <row r="25" spans="1:27" ht="15.75">
      <c r="A25" s="853">
        <v>8</v>
      </c>
      <c r="B25" s="363" t="s">
        <v>150</v>
      </c>
      <c r="C25" s="140"/>
      <c r="D25" s="1630"/>
      <c r="E25" s="853">
        <v>8</v>
      </c>
      <c r="F25" s="363" t="s">
        <v>150</v>
      </c>
      <c r="G25" s="180"/>
      <c r="H25" s="1630"/>
      <c r="I25" s="853">
        <v>8</v>
      </c>
      <c r="J25" s="363" t="s">
        <v>150</v>
      </c>
      <c r="K25" s="368"/>
      <c r="L25" s="1630"/>
      <c r="M25" s="853">
        <v>8</v>
      </c>
      <c r="N25" s="363" t="s">
        <v>150</v>
      </c>
      <c r="O25" s="180"/>
      <c r="P25" s="394">
        <f t="shared" si="0"/>
        <v>0</v>
      </c>
      <c r="Q25" s="142"/>
      <c r="R25" s="435"/>
      <c r="S25" s="435"/>
      <c r="T25" s="138"/>
      <c r="U25" s="138"/>
      <c r="V25" s="138"/>
      <c r="W25" s="136"/>
      <c r="X25" s="138"/>
    </row>
    <row r="26" spans="1:27" ht="15.75">
      <c r="A26" s="853">
        <v>9</v>
      </c>
      <c r="B26" s="363" t="s">
        <v>151</v>
      </c>
      <c r="C26" s="140"/>
      <c r="D26" s="1630"/>
      <c r="E26" s="853">
        <v>9</v>
      </c>
      <c r="F26" s="363" t="s">
        <v>151</v>
      </c>
      <c r="G26" s="140"/>
      <c r="H26" s="1630"/>
      <c r="I26" s="853">
        <v>9</v>
      </c>
      <c r="J26" s="363" t="s">
        <v>151</v>
      </c>
      <c r="K26" s="140"/>
      <c r="L26" s="1630"/>
      <c r="M26" s="853">
        <v>9</v>
      </c>
      <c r="N26" s="363" t="s">
        <v>151</v>
      </c>
      <c r="O26" s="180"/>
      <c r="P26" s="394">
        <f t="shared" si="0"/>
        <v>0</v>
      </c>
      <c r="Q26" s="143"/>
      <c r="R26" s="435"/>
      <c r="S26" s="435"/>
      <c r="T26" s="138"/>
      <c r="U26" s="138"/>
      <c r="V26" s="138"/>
      <c r="W26" s="136"/>
      <c r="X26" s="138"/>
    </row>
    <row r="27" spans="1:27" ht="15.75">
      <c r="A27" s="853">
        <v>10</v>
      </c>
      <c r="B27" s="363" t="s">
        <v>16</v>
      </c>
      <c r="C27" s="431">
        <f>SUM(C22:C26)</f>
        <v>85.04</v>
      </c>
      <c r="D27" s="1630"/>
      <c r="E27" s="853">
        <v>10</v>
      </c>
      <c r="F27" s="363" t="s">
        <v>16</v>
      </c>
      <c r="G27" s="431">
        <f>SUM(G22:G26)</f>
        <v>54.34</v>
      </c>
      <c r="H27" s="1630"/>
      <c r="I27" s="853">
        <v>10</v>
      </c>
      <c r="J27" s="363" t="s">
        <v>16</v>
      </c>
      <c r="K27" s="431">
        <f>SUM(K22:K26)</f>
        <v>85.89</v>
      </c>
      <c r="L27" s="1630"/>
      <c r="M27" s="853">
        <v>10</v>
      </c>
      <c r="N27" s="363" t="s">
        <v>16</v>
      </c>
      <c r="O27" s="431">
        <f>SUM(O22:O26)</f>
        <v>25.1</v>
      </c>
      <c r="P27" s="394">
        <f t="shared" si="0"/>
        <v>250.36999999999998</v>
      </c>
      <c r="Q27" s="135"/>
      <c r="R27" s="435"/>
      <c r="S27" s="435"/>
      <c r="T27" s="138"/>
      <c r="U27" s="138"/>
      <c r="V27" s="138"/>
      <c r="W27" s="138"/>
      <c r="X27" s="138"/>
    </row>
    <row r="28" spans="1:27" ht="15.75">
      <c r="A28" s="853">
        <v>11</v>
      </c>
      <c r="B28" s="363" t="s">
        <v>152</v>
      </c>
      <c r="C28" s="855">
        <f>C20-C27</f>
        <v>596.69000000000005</v>
      </c>
      <c r="D28" s="1630"/>
      <c r="E28" s="853">
        <v>11</v>
      </c>
      <c r="F28" s="363" t="s">
        <v>152</v>
      </c>
      <c r="G28" s="855">
        <f>G20-G27</f>
        <v>405.65999999999997</v>
      </c>
      <c r="H28" s="1630"/>
      <c r="I28" s="853">
        <v>11</v>
      </c>
      <c r="J28" s="363" t="s">
        <v>152</v>
      </c>
      <c r="K28" s="855">
        <f>K20-K27</f>
        <v>619.30000000000007</v>
      </c>
      <c r="L28" s="1630"/>
      <c r="M28" s="853">
        <v>11</v>
      </c>
      <c r="N28" s="363" t="s">
        <v>152</v>
      </c>
      <c r="O28" s="855">
        <f>O20-O27</f>
        <v>334.9</v>
      </c>
      <c r="P28" s="394">
        <f t="shared" si="0"/>
        <v>1956.5500000000002</v>
      </c>
      <c r="Q28" s="395"/>
      <c r="R28" s="370"/>
      <c r="S28" s="370"/>
      <c r="T28" s="370"/>
      <c r="U28" s="370"/>
      <c r="V28" s="371"/>
      <c r="W28" s="372"/>
      <c r="X28" s="372"/>
    </row>
    <row r="29" spans="1:27" ht="143.25" customHeight="1">
      <c r="A29" s="1632"/>
      <c r="B29" s="1632"/>
      <c r="C29" s="1632"/>
      <c r="D29" s="1632"/>
      <c r="E29" s="1632"/>
      <c r="F29" s="1632"/>
      <c r="G29" s="1632"/>
      <c r="H29" s="1632"/>
      <c r="I29" s="1632"/>
      <c r="J29" s="1632"/>
      <c r="K29" s="1632"/>
      <c r="L29" s="1632"/>
      <c r="M29" s="1632"/>
      <c r="N29" s="1632"/>
      <c r="O29" s="1632"/>
      <c r="P29" s="394">
        <f t="shared" si="0"/>
        <v>0</v>
      </c>
      <c r="Q29" s="396"/>
      <c r="R29" s="437"/>
      <c r="S29" s="438"/>
      <c r="T29" s="83"/>
      <c r="U29" s="83"/>
      <c r="V29" s="83"/>
      <c r="W29" s="83"/>
      <c r="X29" s="373"/>
    </row>
    <row r="30" spans="1:27" ht="15.75">
      <c r="A30" s="1629" t="s">
        <v>126</v>
      </c>
      <c r="B30" s="1629"/>
      <c r="C30" s="1629"/>
      <c r="D30" s="1630"/>
      <c r="E30" s="1628" t="s">
        <v>129</v>
      </c>
      <c r="F30" s="1628"/>
      <c r="G30" s="1628"/>
      <c r="H30" s="1630"/>
      <c r="I30" s="1629" t="s">
        <v>309</v>
      </c>
      <c r="J30" s="1629"/>
      <c r="K30" s="1629"/>
      <c r="L30" s="1630"/>
      <c r="M30" s="1629"/>
      <c r="N30" s="1629"/>
      <c r="O30" s="1629"/>
      <c r="P30" s="394"/>
      <c r="Q30" s="374"/>
      <c r="R30" s="439"/>
      <c r="S30" s="439"/>
    </row>
    <row r="31" spans="1:27" ht="15.75">
      <c r="A31" s="375">
        <v>1</v>
      </c>
      <c r="B31" s="376" t="s">
        <v>147</v>
      </c>
      <c r="C31" s="140">
        <v>702.4</v>
      </c>
      <c r="D31" s="1630"/>
      <c r="E31" s="369">
        <v>1</v>
      </c>
      <c r="F31" s="369" t="s">
        <v>147</v>
      </c>
      <c r="G31" s="140">
        <v>556.94000000000005</v>
      </c>
      <c r="H31" s="1630"/>
      <c r="I31" s="363">
        <v>1</v>
      </c>
      <c r="J31" s="363" t="s">
        <v>147</v>
      </c>
      <c r="K31" s="140">
        <v>507.95</v>
      </c>
      <c r="L31" s="1630"/>
      <c r="M31" s="363"/>
      <c r="N31" s="363"/>
      <c r="O31" s="140"/>
      <c r="P31" s="394"/>
      <c r="Q31" s="432">
        <f>C31+G31+K31+O31</f>
        <v>1767.2900000000002</v>
      </c>
      <c r="R31" s="439"/>
      <c r="S31" s="439"/>
      <c r="V31" s="373"/>
      <c r="X31" s="373"/>
      <c r="Z31" s="83"/>
    </row>
    <row r="32" spans="1:27" ht="15.75">
      <c r="A32" s="375">
        <v>2</v>
      </c>
      <c r="B32" s="363" t="s">
        <v>308</v>
      </c>
      <c r="C32" s="365"/>
      <c r="D32" s="1630"/>
      <c r="E32" s="369">
        <v>2</v>
      </c>
      <c r="F32" s="363" t="s">
        <v>308</v>
      </c>
      <c r="G32" s="365"/>
      <c r="H32" s="1630"/>
      <c r="I32" s="363">
        <v>2</v>
      </c>
      <c r="J32" s="363" t="s">
        <v>308</v>
      </c>
      <c r="K32" s="365"/>
      <c r="L32" s="1630"/>
      <c r="M32" s="363"/>
      <c r="N32" s="363"/>
      <c r="O32" s="365"/>
      <c r="P32" s="394"/>
      <c r="R32" s="439"/>
      <c r="S32" s="439"/>
      <c r="U32" s="373"/>
      <c r="Z32" s="83"/>
      <c r="AA32" s="377"/>
    </row>
    <row r="33" spans="1:26" ht="15.75">
      <c r="A33" s="375">
        <v>3</v>
      </c>
      <c r="B33" s="363" t="s">
        <v>269</v>
      </c>
      <c r="C33" s="366"/>
      <c r="D33" s="1630"/>
      <c r="E33" s="369">
        <v>3</v>
      </c>
      <c r="F33" s="369" t="s">
        <v>153</v>
      </c>
      <c r="G33" s="369"/>
      <c r="H33" s="1630"/>
      <c r="I33" s="363">
        <v>3</v>
      </c>
      <c r="J33" s="363" t="s">
        <v>149</v>
      </c>
      <c r="K33" s="366"/>
      <c r="L33" s="1630"/>
      <c r="M33" s="363"/>
      <c r="N33" s="363"/>
      <c r="O33" s="366"/>
      <c r="P33" s="394"/>
      <c r="R33" s="439"/>
      <c r="S33" s="439"/>
      <c r="Z33" s="83"/>
    </row>
    <row r="34" spans="1:26" ht="15.75">
      <c r="A34" s="375">
        <v>4</v>
      </c>
      <c r="B34" s="378" t="s">
        <v>16</v>
      </c>
      <c r="C34" s="441">
        <f>SUM(C31:C33)</f>
        <v>702.4</v>
      </c>
      <c r="D34" s="1630"/>
      <c r="E34" s="369">
        <v>4</v>
      </c>
      <c r="F34" s="379" t="s">
        <v>16</v>
      </c>
      <c r="G34" s="380">
        <f>SUM(G31:G33)</f>
        <v>556.94000000000005</v>
      </c>
      <c r="H34" s="1630"/>
      <c r="I34" s="363">
        <v>4</v>
      </c>
      <c r="J34" s="362" t="s">
        <v>16</v>
      </c>
      <c r="K34" s="326">
        <f>SUM(K31:K33)</f>
        <v>507.95</v>
      </c>
      <c r="L34" s="1630"/>
      <c r="M34" s="363"/>
      <c r="N34" s="362"/>
      <c r="O34" s="326"/>
      <c r="P34" s="394"/>
      <c r="R34" s="439"/>
      <c r="S34" s="439"/>
      <c r="T34" s="374"/>
      <c r="V34" s="1634"/>
      <c r="W34" s="1634"/>
      <c r="Z34" s="83"/>
    </row>
    <row r="35" spans="1:26" ht="15.75">
      <c r="A35" s="1633" t="s">
        <v>138</v>
      </c>
      <c r="B35" s="1633"/>
      <c r="C35" s="1633"/>
      <c r="D35" s="1630"/>
      <c r="E35" s="1628" t="s">
        <v>138</v>
      </c>
      <c r="F35" s="1628"/>
      <c r="G35" s="1628"/>
      <c r="H35" s="1630"/>
      <c r="I35" s="1630" t="s">
        <v>138</v>
      </c>
      <c r="J35" s="1630"/>
      <c r="K35" s="1630"/>
      <c r="L35" s="1630"/>
      <c r="M35" s="1630"/>
      <c r="N35" s="1630"/>
      <c r="O35" s="1630"/>
      <c r="P35" s="394"/>
      <c r="R35" s="439"/>
      <c r="S35" s="439"/>
      <c r="T35" s="374"/>
      <c r="Z35" s="83"/>
    </row>
    <row r="36" spans="1:26" ht="15.75">
      <c r="A36" s="375">
        <v>6</v>
      </c>
      <c r="B36" s="376" t="s">
        <v>148</v>
      </c>
      <c r="C36" s="140"/>
      <c r="D36" s="1630"/>
      <c r="E36" s="853">
        <v>6</v>
      </c>
      <c r="F36" s="369" t="s">
        <v>148</v>
      </c>
      <c r="G36" s="140"/>
      <c r="H36" s="1630"/>
      <c r="I36" s="853">
        <v>6</v>
      </c>
      <c r="J36" s="363" t="s">
        <v>148</v>
      </c>
      <c r="K36" s="140"/>
      <c r="L36" s="1630"/>
      <c r="M36" s="853"/>
      <c r="N36" s="363"/>
      <c r="O36" s="140"/>
      <c r="P36" s="394"/>
      <c r="R36" s="439"/>
      <c r="S36" s="439"/>
      <c r="V36" s="1635"/>
      <c r="W36" s="1636"/>
      <c r="Z36" s="83"/>
    </row>
    <row r="37" spans="1:26" ht="15.75">
      <c r="A37" s="375">
        <v>7</v>
      </c>
      <c r="B37" s="429" t="s">
        <v>361</v>
      </c>
      <c r="C37" s="140">
        <v>87.06</v>
      </c>
      <c r="D37" s="1630"/>
      <c r="E37" s="853">
        <v>7</v>
      </c>
      <c r="F37" s="429" t="s">
        <v>361</v>
      </c>
      <c r="G37" s="140">
        <v>71.41</v>
      </c>
      <c r="H37" s="1630"/>
      <c r="I37" s="853">
        <v>7</v>
      </c>
      <c r="J37" s="429" t="s">
        <v>361</v>
      </c>
      <c r="K37" s="140">
        <v>62.33</v>
      </c>
      <c r="L37" s="1630"/>
      <c r="M37" s="853"/>
      <c r="N37" s="429"/>
      <c r="O37" s="140"/>
      <c r="P37" s="394"/>
      <c r="R37" s="435">
        <f>C37+G37+O37+K37</f>
        <v>220.8</v>
      </c>
      <c r="S37" s="439"/>
      <c r="Z37" s="83"/>
    </row>
    <row r="38" spans="1:26" ht="15.75">
      <c r="A38" s="375"/>
      <c r="B38" s="363" t="s">
        <v>268</v>
      </c>
      <c r="C38" s="367"/>
      <c r="D38" s="1630"/>
      <c r="E38" s="853"/>
      <c r="F38" s="363" t="s">
        <v>268</v>
      </c>
      <c r="G38" s="367"/>
      <c r="H38" s="1630"/>
      <c r="I38" s="853"/>
      <c r="J38" s="363" t="s">
        <v>268</v>
      </c>
      <c r="K38" s="367"/>
      <c r="L38" s="1630"/>
      <c r="M38" s="853"/>
      <c r="N38" s="363"/>
      <c r="O38" s="367"/>
      <c r="P38" s="394"/>
      <c r="R38" s="439"/>
      <c r="S38" s="439"/>
      <c r="Z38" s="83"/>
    </row>
    <row r="39" spans="1:26" ht="15.75">
      <c r="A39" s="375">
        <v>8</v>
      </c>
      <c r="B39" s="376" t="s">
        <v>150</v>
      </c>
      <c r="C39" s="180"/>
      <c r="D39" s="1630"/>
      <c r="E39" s="853">
        <v>8</v>
      </c>
      <c r="F39" s="369" t="s">
        <v>150</v>
      </c>
      <c r="G39" s="383"/>
      <c r="H39" s="1630"/>
      <c r="I39" s="853">
        <v>8</v>
      </c>
      <c r="J39" s="363" t="s">
        <v>150</v>
      </c>
      <c r="K39" s="180"/>
      <c r="L39" s="1630"/>
      <c r="M39" s="853"/>
      <c r="N39" s="363"/>
      <c r="O39" s="180"/>
      <c r="P39" s="394"/>
      <c r="R39" s="439"/>
      <c r="S39" s="439"/>
      <c r="U39" s="536"/>
      <c r="Z39" s="384"/>
    </row>
    <row r="40" spans="1:26" ht="15.75">
      <c r="A40" s="375">
        <v>9</v>
      </c>
      <c r="B40" s="376" t="s">
        <v>151</v>
      </c>
      <c r="C40" s="140"/>
      <c r="D40" s="1630"/>
      <c r="E40" s="853">
        <v>9</v>
      </c>
      <c r="F40" s="369" t="s">
        <v>151</v>
      </c>
      <c r="G40" s="369"/>
      <c r="H40" s="1630"/>
      <c r="I40" s="853">
        <v>9</v>
      </c>
      <c r="J40" s="363" t="s">
        <v>151</v>
      </c>
      <c r="K40" s="140"/>
      <c r="L40" s="1630"/>
      <c r="M40" s="853"/>
      <c r="N40" s="363"/>
      <c r="O40" s="140"/>
      <c r="P40" s="394"/>
      <c r="R40" s="439"/>
      <c r="S40" s="439"/>
      <c r="U40" s="536">
        <v>2600000</v>
      </c>
      <c r="V40" s="1637"/>
      <c r="W40" s="1637"/>
      <c r="Z40" s="83"/>
    </row>
    <row r="41" spans="1:26" ht="15.75">
      <c r="A41" s="375">
        <v>10</v>
      </c>
      <c r="B41" s="376" t="s">
        <v>16</v>
      </c>
      <c r="C41" s="431">
        <f>SUM(C36:C40)</f>
        <v>87.06</v>
      </c>
      <c r="D41" s="1630"/>
      <c r="E41" s="853">
        <v>10</v>
      </c>
      <c r="F41" s="385" t="s">
        <v>16</v>
      </c>
      <c r="G41" s="431">
        <f>SUM(G36:G40)</f>
        <v>71.41</v>
      </c>
      <c r="H41" s="1630"/>
      <c r="I41" s="853">
        <v>10</v>
      </c>
      <c r="J41" s="363" t="s">
        <v>16</v>
      </c>
      <c r="K41" s="431">
        <f>SUM(K36:K40)</f>
        <v>62.33</v>
      </c>
      <c r="L41" s="1630"/>
      <c r="M41" s="853"/>
      <c r="N41" s="363"/>
      <c r="O41" s="431"/>
      <c r="P41" s="394"/>
      <c r="R41" s="439"/>
      <c r="S41" s="439"/>
      <c r="U41" s="536">
        <v>2206000</v>
      </c>
      <c r="Z41" s="83"/>
    </row>
    <row r="42" spans="1:26" ht="15.75">
      <c r="A42" s="375">
        <v>11</v>
      </c>
      <c r="B42" s="376" t="s">
        <v>152</v>
      </c>
      <c r="C42" s="858">
        <f>C34-C41</f>
        <v>615.33999999999992</v>
      </c>
      <c r="D42" s="1630"/>
      <c r="E42" s="853">
        <v>11</v>
      </c>
      <c r="F42" s="369" t="s">
        <v>152</v>
      </c>
      <c r="G42" s="856">
        <f>G34-G41</f>
        <v>485.53000000000009</v>
      </c>
      <c r="H42" s="1630"/>
      <c r="I42" s="853">
        <v>11</v>
      </c>
      <c r="J42" s="363" t="s">
        <v>152</v>
      </c>
      <c r="K42" s="857">
        <f>K34-K41</f>
        <v>445.62</v>
      </c>
      <c r="L42" s="1630"/>
      <c r="M42" s="853"/>
      <c r="N42" s="363"/>
      <c r="O42" s="559"/>
      <c r="P42" s="394"/>
      <c r="Q42" s="83"/>
      <c r="R42" s="439"/>
      <c r="S42" s="439"/>
      <c r="U42" s="536">
        <f>SUM(U40:U41)</f>
        <v>4806000</v>
      </c>
      <c r="Z42" s="83"/>
    </row>
    <row r="43" spans="1:26" ht="33" customHeight="1">
      <c r="A43" s="369"/>
      <c r="B43" s="369"/>
      <c r="C43" s="369"/>
      <c r="D43" s="369"/>
      <c r="E43" s="369"/>
      <c r="F43" s="369"/>
      <c r="G43" s="369"/>
      <c r="H43" s="369"/>
      <c r="I43" s="369"/>
      <c r="J43" s="369"/>
      <c r="K43" s="369"/>
      <c r="L43" s="369"/>
      <c r="M43" s="369"/>
      <c r="N43" s="369"/>
      <c r="O43" s="369"/>
      <c r="P43" s="394"/>
      <c r="R43" s="439"/>
      <c r="S43" s="439"/>
      <c r="U43" s="537"/>
      <c r="Z43" s="83"/>
    </row>
    <row r="44" spans="1:26" ht="26.25" customHeight="1">
      <c r="A44" s="1627" t="s">
        <v>319</v>
      </c>
      <c r="B44" s="1627"/>
      <c r="C44" s="1627"/>
      <c r="D44" s="850"/>
      <c r="E44" s="1627" t="s">
        <v>322</v>
      </c>
      <c r="F44" s="1627"/>
      <c r="G44" s="1627"/>
      <c r="H44" s="850"/>
      <c r="I44" s="1627" t="s">
        <v>344</v>
      </c>
      <c r="J44" s="1627"/>
      <c r="K44" s="1627"/>
      <c r="L44" s="393"/>
      <c r="M44" s="1627" t="s">
        <v>311</v>
      </c>
      <c r="N44" s="1627"/>
      <c r="O44" s="1627"/>
      <c r="P44" s="394">
        <f t="shared" si="0"/>
        <v>0</v>
      </c>
      <c r="R44" s="439"/>
      <c r="S44" s="439"/>
      <c r="T44" s="388"/>
    </row>
    <row r="45" spans="1:26" ht="15.75">
      <c r="A45" s="369">
        <v>1</v>
      </c>
      <c r="B45" s="369" t="s">
        <v>147</v>
      </c>
      <c r="C45" s="140">
        <v>642.22</v>
      </c>
      <c r="D45" s="369"/>
      <c r="E45" s="369">
        <v>1</v>
      </c>
      <c r="F45" s="369" t="s">
        <v>147</v>
      </c>
      <c r="G45" s="140">
        <v>579.26</v>
      </c>
      <c r="H45" s="369"/>
      <c r="I45" s="369">
        <v>1</v>
      </c>
      <c r="J45" s="369" t="s">
        <v>147</v>
      </c>
      <c r="K45" s="140">
        <v>520</v>
      </c>
      <c r="L45" s="430"/>
      <c r="M45" s="369">
        <v>1</v>
      </c>
      <c r="N45" s="369" t="s">
        <v>147</v>
      </c>
      <c r="O45" s="140">
        <v>541.48</v>
      </c>
      <c r="P45" s="394">
        <f t="shared" si="0"/>
        <v>2282.96</v>
      </c>
      <c r="Q45" s="432">
        <f>C45+G45+K45+O45</f>
        <v>2282.96</v>
      </c>
      <c r="R45" s="439"/>
      <c r="S45" s="439"/>
    </row>
    <row r="46" spans="1:26" ht="15.75">
      <c r="A46" s="369">
        <v>2</v>
      </c>
      <c r="B46" s="363" t="s">
        <v>308</v>
      </c>
      <c r="C46" s="365"/>
      <c r="D46" s="369"/>
      <c r="E46" s="369">
        <v>2</v>
      </c>
      <c r="F46" s="363" t="s">
        <v>308</v>
      </c>
      <c r="G46" s="365"/>
      <c r="H46" s="369"/>
      <c r="I46" s="369">
        <v>2</v>
      </c>
      <c r="J46" s="363" t="s">
        <v>308</v>
      </c>
      <c r="K46" s="365"/>
      <c r="L46" s="369"/>
      <c r="M46" s="369">
        <v>2</v>
      </c>
      <c r="N46" s="363" t="s">
        <v>308</v>
      </c>
      <c r="O46" s="365"/>
      <c r="P46" s="394">
        <f t="shared" si="0"/>
        <v>0</v>
      </c>
      <c r="R46" s="439"/>
      <c r="S46" s="439"/>
      <c r="T46" s="382"/>
    </row>
    <row r="47" spans="1:26" ht="15">
      <c r="A47" s="369">
        <v>3</v>
      </c>
      <c r="B47" s="369" t="s">
        <v>153</v>
      </c>
      <c r="C47" s="369"/>
      <c r="D47" s="369"/>
      <c r="E47" s="369">
        <v>3</v>
      </c>
      <c r="F47" s="369" t="s">
        <v>153</v>
      </c>
      <c r="G47" s="369"/>
      <c r="H47" s="369"/>
      <c r="I47" s="369">
        <v>3</v>
      </c>
      <c r="J47" s="369" t="s">
        <v>153</v>
      </c>
      <c r="K47" s="369"/>
      <c r="L47" s="369"/>
      <c r="M47" s="369">
        <v>3</v>
      </c>
      <c r="N47" s="369" t="s">
        <v>153</v>
      </c>
      <c r="O47" s="369"/>
      <c r="P47" s="394">
        <f t="shared" si="0"/>
        <v>0</v>
      </c>
      <c r="R47" s="439"/>
      <c r="S47" s="439"/>
    </row>
    <row r="48" spans="1:26" ht="15.75">
      <c r="A48" s="369">
        <v>4</v>
      </c>
      <c r="B48" s="379" t="s">
        <v>16</v>
      </c>
      <c r="C48" s="380">
        <f>SUM(C45:C47)</f>
        <v>642.22</v>
      </c>
      <c r="D48" s="369"/>
      <c r="E48" s="369">
        <v>4</v>
      </c>
      <c r="F48" s="379" t="s">
        <v>16</v>
      </c>
      <c r="G48" s="380">
        <f>SUM(G45:G47)</f>
        <v>579.26</v>
      </c>
      <c r="H48" s="369"/>
      <c r="I48" s="369">
        <v>4</v>
      </c>
      <c r="J48" s="379" t="s">
        <v>16</v>
      </c>
      <c r="K48" s="380">
        <f>SUM(K45:K47)</f>
        <v>520</v>
      </c>
      <c r="L48" s="380"/>
      <c r="M48" s="369">
        <v>4</v>
      </c>
      <c r="N48" s="379" t="s">
        <v>16</v>
      </c>
      <c r="O48" s="380">
        <f>SUM(O45:O47)</f>
        <v>541.48</v>
      </c>
      <c r="P48" s="394">
        <f t="shared" si="0"/>
        <v>2282.96</v>
      </c>
      <c r="R48" s="439"/>
      <c r="S48" s="439"/>
    </row>
    <row r="49" spans="1:26" ht="15.75">
      <c r="A49" s="1628" t="s">
        <v>138</v>
      </c>
      <c r="B49" s="1628"/>
      <c r="C49" s="1628"/>
      <c r="D49" s="850"/>
      <c r="E49" s="1628" t="s">
        <v>138</v>
      </c>
      <c r="F49" s="1628"/>
      <c r="G49" s="1628"/>
      <c r="H49" s="850"/>
      <c r="I49" s="1628" t="s">
        <v>138</v>
      </c>
      <c r="J49" s="1628"/>
      <c r="K49" s="1628"/>
      <c r="L49" s="392"/>
      <c r="M49" s="1628" t="s">
        <v>138</v>
      </c>
      <c r="N49" s="1628"/>
      <c r="O49" s="1628"/>
      <c r="P49" s="394">
        <f t="shared" si="0"/>
        <v>0</v>
      </c>
      <c r="R49" s="439"/>
      <c r="S49" s="439"/>
    </row>
    <row r="50" spans="1:26" ht="15.75">
      <c r="A50" s="853">
        <v>6</v>
      </c>
      <c r="B50" s="369" t="s">
        <v>148</v>
      </c>
      <c r="C50" s="381"/>
      <c r="D50" s="369"/>
      <c r="E50" s="853">
        <v>6</v>
      </c>
      <c r="F50" s="369" t="s">
        <v>148</v>
      </c>
      <c r="G50" s="140"/>
      <c r="H50" s="369"/>
      <c r="I50" s="853">
        <v>6</v>
      </c>
      <c r="J50" s="369" t="s">
        <v>148</v>
      </c>
      <c r="K50" s="140"/>
      <c r="L50" s="140"/>
      <c r="M50" s="853">
        <v>6</v>
      </c>
      <c r="N50" s="369" t="s">
        <v>148</v>
      </c>
      <c r="O50" s="140"/>
      <c r="P50" s="394">
        <f t="shared" si="0"/>
        <v>0</v>
      </c>
      <c r="R50" s="439"/>
      <c r="S50" s="439"/>
    </row>
    <row r="51" spans="1:26" ht="15.75">
      <c r="A51" s="853">
        <v>7</v>
      </c>
      <c r="B51" s="429" t="s">
        <v>361</v>
      </c>
      <c r="C51" s="140">
        <v>80.239999999999995</v>
      </c>
      <c r="D51" s="369"/>
      <c r="E51" s="853">
        <v>7</v>
      </c>
      <c r="F51" s="429" t="s">
        <v>361</v>
      </c>
      <c r="G51" s="140">
        <v>68.010000000000005</v>
      </c>
      <c r="H51" s="369"/>
      <c r="I51" s="853">
        <v>7</v>
      </c>
      <c r="J51" s="429" t="s">
        <v>361</v>
      </c>
      <c r="K51" s="140">
        <v>65.430000000000007</v>
      </c>
      <c r="L51" s="368"/>
      <c r="M51" s="853">
        <v>7</v>
      </c>
      <c r="N51" s="429" t="s">
        <v>361</v>
      </c>
      <c r="O51" s="140">
        <v>65.510000000000005</v>
      </c>
      <c r="P51" s="394">
        <f t="shared" si="0"/>
        <v>279.19</v>
      </c>
      <c r="R51" s="435">
        <f>C51+G51+O51+K51</f>
        <v>279.19</v>
      </c>
      <c r="S51" s="439"/>
    </row>
    <row r="52" spans="1:26" ht="15.75">
      <c r="A52" s="853"/>
      <c r="B52" s="363" t="s">
        <v>268</v>
      </c>
      <c r="C52" s="367"/>
      <c r="D52" s="369"/>
      <c r="E52" s="853"/>
      <c r="F52" s="363" t="s">
        <v>268</v>
      </c>
      <c r="G52" s="367"/>
      <c r="H52" s="369"/>
      <c r="I52" s="853"/>
      <c r="J52" s="363" t="s">
        <v>268</v>
      </c>
      <c r="K52" s="367"/>
      <c r="L52" s="367"/>
      <c r="M52" s="853"/>
      <c r="N52" s="363" t="s">
        <v>268</v>
      </c>
      <c r="O52" s="367"/>
      <c r="P52" s="394">
        <f t="shared" si="0"/>
        <v>0</v>
      </c>
      <c r="R52" s="439"/>
      <c r="S52" s="439"/>
    </row>
    <row r="53" spans="1:26" ht="15.75">
      <c r="A53" s="853">
        <v>8</v>
      </c>
      <c r="B53" s="369" t="s">
        <v>150</v>
      </c>
      <c r="C53" s="369"/>
      <c r="D53" s="369"/>
      <c r="E53" s="853">
        <v>8</v>
      </c>
      <c r="F53" s="369" t="s">
        <v>150</v>
      </c>
      <c r="G53" s="383"/>
      <c r="H53" s="369"/>
      <c r="I53" s="853">
        <v>8</v>
      </c>
      <c r="J53" s="369" t="s">
        <v>150</v>
      </c>
      <c r="K53" s="383"/>
      <c r="L53" s="383"/>
      <c r="M53" s="853">
        <v>8</v>
      </c>
      <c r="N53" s="369" t="s">
        <v>150</v>
      </c>
      <c r="O53" s="383"/>
      <c r="P53" s="394">
        <f t="shared" si="0"/>
        <v>0</v>
      </c>
      <c r="R53" s="439"/>
      <c r="S53" s="439"/>
    </row>
    <row r="54" spans="1:26" ht="15.75">
      <c r="A54" s="853">
        <v>9</v>
      </c>
      <c r="B54" s="369" t="s">
        <v>151</v>
      </c>
      <c r="C54" s="369"/>
      <c r="D54" s="369"/>
      <c r="E54" s="853">
        <v>9</v>
      </c>
      <c r="F54" s="369" t="s">
        <v>151</v>
      </c>
      <c r="G54" s="369"/>
      <c r="H54" s="369"/>
      <c r="I54" s="853">
        <v>9</v>
      </c>
      <c r="J54" s="369" t="s">
        <v>151</v>
      </c>
      <c r="K54" s="369"/>
      <c r="L54" s="369"/>
      <c r="M54" s="853">
        <v>9</v>
      </c>
      <c r="N54" s="369" t="s">
        <v>151</v>
      </c>
      <c r="O54" s="369"/>
      <c r="P54" s="394">
        <f t="shared" si="0"/>
        <v>0</v>
      </c>
      <c r="R54" s="439"/>
      <c r="S54" s="439"/>
    </row>
    <row r="55" spans="1:26" ht="15.75">
      <c r="A55" s="853">
        <v>10</v>
      </c>
      <c r="B55" s="385" t="s">
        <v>16</v>
      </c>
      <c r="C55" s="431">
        <f>SUM(C50:C54)</f>
        <v>80.239999999999995</v>
      </c>
      <c r="D55" s="369"/>
      <c r="E55" s="853">
        <v>10</v>
      </c>
      <c r="F55" s="385" t="s">
        <v>16</v>
      </c>
      <c r="G55" s="431">
        <f>SUM(G50:G54)</f>
        <v>68.010000000000005</v>
      </c>
      <c r="H55" s="369"/>
      <c r="I55" s="853">
        <v>10</v>
      </c>
      <c r="J55" s="385" t="s">
        <v>16</v>
      </c>
      <c r="K55" s="431">
        <f>SUM(K50:K54)</f>
        <v>65.430000000000007</v>
      </c>
      <c r="L55" s="386"/>
      <c r="M55" s="853">
        <v>10</v>
      </c>
      <c r="N55" s="385" t="s">
        <v>16</v>
      </c>
      <c r="O55" s="431">
        <f>SUM(O50:O54)</f>
        <v>65.510000000000005</v>
      </c>
      <c r="P55" s="394">
        <f t="shared" si="0"/>
        <v>279.19</v>
      </c>
      <c r="R55" s="439"/>
      <c r="S55" s="439"/>
    </row>
    <row r="56" spans="1:26" ht="15.75">
      <c r="A56" s="853">
        <v>11</v>
      </c>
      <c r="B56" s="369" t="s">
        <v>152</v>
      </c>
      <c r="C56" s="859">
        <f>C48-C55</f>
        <v>561.98</v>
      </c>
      <c r="D56" s="369"/>
      <c r="E56" s="853">
        <v>11</v>
      </c>
      <c r="F56" s="369" t="s">
        <v>152</v>
      </c>
      <c r="G56" s="856">
        <f>G48-G55</f>
        <v>511.25</v>
      </c>
      <c r="H56" s="369"/>
      <c r="I56" s="853">
        <v>11</v>
      </c>
      <c r="J56" s="369" t="s">
        <v>152</v>
      </c>
      <c r="K56" s="856">
        <f>K48-K55</f>
        <v>454.57</v>
      </c>
      <c r="L56" s="387"/>
      <c r="M56" s="853">
        <v>11</v>
      </c>
      <c r="N56" s="369" t="s">
        <v>152</v>
      </c>
      <c r="O56" s="856">
        <f>O48-O55</f>
        <v>475.97</v>
      </c>
      <c r="P56" s="394">
        <f t="shared" si="0"/>
        <v>2003.77</v>
      </c>
      <c r="R56" s="439"/>
      <c r="S56" s="439"/>
    </row>
    <row r="57" spans="1:26" ht="126.75" customHeight="1">
      <c r="A57" s="1631"/>
      <c r="B57" s="1631"/>
      <c r="C57" s="1631"/>
      <c r="D57" s="852"/>
      <c r="E57" s="1631"/>
      <c r="F57" s="1631"/>
      <c r="G57" s="1631"/>
      <c r="H57" s="852"/>
      <c r="L57" s="852"/>
      <c r="M57" s="1631"/>
      <c r="N57" s="1631"/>
      <c r="O57" s="1631"/>
      <c r="P57" s="394">
        <f t="shared" si="0"/>
        <v>0</v>
      </c>
      <c r="R57" s="439"/>
      <c r="S57" s="439"/>
    </row>
    <row r="58" spans="1:26" ht="15.75">
      <c r="A58" s="1627" t="s">
        <v>321</v>
      </c>
      <c r="B58" s="1627"/>
      <c r="C58" s="1627"/>
      <c r="E58" s="1627" t="s">
        <v>310</v>
      </c>
      <c r="F58" s="1627"/>
      <c r="G58" s="1627"/>
      <c r="I58" s="1627" t="s">
        <v>320</v>
      </c>
      <c r="J58" s="1627"/>
      <c r="K58" s="1627"/>
      <c r="M58" s="1627" t="s">
        <v>312</v>
      </c>
      <c r="N58" s="1627"/>
      <c r="O58" s="1627"/>
      <c r="P58" s="394">
        <f t="shared" si="0"/>
        <v>0</v>
      </c>
    </row>
    <row r="59" spans="1:26" ht="15.75">
      <c r="A59" s="369">
        <v>1</v>
      </c>
      <c r="B59" s="369" t="s">
        <v>147</v>
      </c>
      <c r="C59" s="140">
        <v>566.66999999999996</v>
      </c>
      <c r="E59" s="369">
        <v>1</v>
      </c>
      <c r="F59" s="369" t="s">
        <v>147</v>
      </c>
      <c r="G59" s="140">
        <v>566.66999999999996</v>
      </c>
      <c r="I59" s="369">
        <v>1</v>
      </c>
      <c r="J59" s="369" t="s">
        <v>147</v>
      </c>
      <c r="K59" s="140">
        <v>566.66999999999996</v>
      </c>
      <c r="M59" s="369">
        <v>1</v>
      </c>
      <c r="N59" s="369" t="s">
        <v>147</v>
      </c>
      <c r="O59" s="140">
        <v>566.66999999999996</v>
      </c>
      <c r="P59" s="394">
        <f>C59+G59+K59+O59</f>
        <v>2266.6799999999998</v>
      </c>
      <c r="Q59" s="432">
        <f>C59+G59+K59+O59</f>
        <v>2266.6799999999998</v>
      </c>
    </row>
    <row r="60" spans="1:26" ht="15.75">
      <c r="A60" s="369">
        <v>2</v>
      </c>
      <c r="B60" s="363" t="s">
        <v>308</v>
      </c>
      <c r="C60" s="365"/>
      <c r="E60" s="369">
        <v>2</v>
      </c>
      <c r="F60" s="363" t="s">
        <v>308</v>
      </c>
      <c r="G60" s="365"/>
      <c r="I60" s="369">
        <v>2</v>
      </c>
      <c r="J60" s="363" t="s">
        <v>308</v>
      </c>
      <c r="K60" s="365"/>
      <c r="M60" s="369">
        <v>2</v>
      </c>
      <c r="N60" s="363" t="s">
        <v>308</v>
      </c>
      <c r="O60" s="365"/>
      <c r="P60" s="394">
        <f t="shared" si="0"/>
        <v>0</v>
      </c>
    </row>
    <row r="61" spans="1:26" ht="15">
      <c r="A61" s="369">
        <v>3</v>
      </c>
      <c r="B61" s="369" t="s">
        <v>153</v>
      </c>
      <c r="C61" s="369"/>
      <c r="E61" s="369">
        <v>3</v>
      </c>
      <c r="F61" s="369" t="s">
        <v>153</v>
      </c>
      <c r="G61" s="369"/>
      <c r="I61" s="369">
        <v>3</v>
      </c>
      <c r="J61" s="369" t="s">
        <v>153</v>
      </c>
      <c r="K61" s="369"/>
      <c r="M61" s="369">
        <v>3</v>
      </c>
      <c r="N61" s="369" t="s">
        <v>153</v>
      </c>
      <c r="O61" s="369"/>
      <c r="P61" s="394">
        <f t="shared" si="0"/>
        <v>0</v>
      </c>
    </row>
    <row r="62" spans="1:26" ht="15.75">
      <c r="A62" s="369">
        <v>4</v>
      </c>
      <c r="B62" s="379" t="s">
        <v>16</v>
      </c>
      <c r="C62" s="380">
        <f>SUM(C59:C61)</f>
        <v>566.66999999999996</v>
      </c>
      <c r="D62" s="389"/>
      <c r="E62" s="369">
        <v>4</v>
      </c>
      <c r="F62" s="379" t="s">
        <v>16</v>
      </c>
      <c r="G62" s="380">
        <f>SUM(G59:G61)</f>
        <v>566.66999999999996</v>
      </c>
      <c r="H62" s="389"/>
      <c r="I62" s="369">
        <v>4</v>
      </c>
      <c r="J62" s="379" t="s">
        <v>16</v>
      </c>
      <c r="K62" s="380">
        <f>SUM(K59:K61)</f>
        <v>566.66999999999996</v>
      </c>
      <c r="L62" s="389"/>
      <c r="M62" s="369">
        <v>4</v>
      </c>
      <c r="N62" s="379" t="s">
        <v>16</v>
      </c>
      <c r="O62" s="380">
        <f>SUM(O59:O61)</f>
        <v>566.66999999999996</v>
      </c>
      <c r="P62" s="394">
        <f t="shared" si="0"/>
        <v>2266.6799999999998</v>
      </c>
    </row>
    <row r="63" spans="1:26" ht="16.5" customHeight="1">
      <c r="A63" s="1628" t="s">
        <v>138</v>
      </c>
      <c r="B63" s="1628"/>
      <c r="C63" s="1628"/>
      <c r="E63" s="1628" t="s">
        <v>138</v>
      </c>
      <c r="F63" s="1628"/>
      <c r="G63" s="1628"/>
      <c r="I63" s="1628" t="s">
        <v>138</v>
      </c>
      <c r="J63" s="1628"/>
      <c r="K63" s="1628"/>
      <c r="M63" s="1628" t="s">
        <v>138</v>
      </c>
      <c r="N63" s="1628"/>
      <c r="O63" s="1628"/>
      <c r="P63" s="394">
        <f t="shared" si="0"/>
        <v>0</v>
      </c>
      <c r="Q63" s="390"/>
      <c r="R63" s="118"/>
      <c r="S63" s="118"/>
      <c r="T63" s="118"/>
      <c r="U63" s="118"/>
      <c r="V63" s="118"/>
      <c r="W63" s="118"/>
      <c r="X63" s="118"/>
      <c r="Y63" s="118"/>
      <c r="Z63" s="391"/>
    </row>
    <row r="64" spans="1:26" ht="16.5" customHeight="1">
      <c r="A64" s="853">
        <v>6</v>
      </c>
      <c r="B64" s="369" t="s">
        <v>148</v>
      </c>
      <c r="C64" s="381"/>
      <c r="E64" s="853">
        <v>6</v>
      </c>
      <c r="F64" s="369" t="s">
        <v>148</v>
      </c>
      <c r="G64" s="381"/>
      <c r="I64" s="853">
        <v>6</v>
      </c>
      <c r="J64" s="369" t="s">
        <v>148</v>
      </c>
      <c r="K64" s="381"/>
      <c r="M64" s="853">
        <v>6</v>
      </c>
      <c r="N64" s="369" t="s">
        <v>148</v>
      </c>
      <c r="O64" s="381"/>
      <c r="P64" s="394">
        <f t="shared" si="0"/>
        <v>0</v>
      </c>
      <c r="Q64" s="390"/>
      <c r="R64" s="118"/>
      <c r="S64" s="118"/>
      <c r="T64" s="118"/>
      <c r="U64" s="118"/>
      <c r="V64" s="118"/>
      <c r="W64" s="118"/>
      <c r="X64" s="118"/>
      <c r="Y64" s="118"/>
      <c r="Z64" s="391"/>
    </row>
    <row r="65" spans="1:26" ht="16.5" customHeight="1">
      <c r="A65" s="853">
        <v>7</v>
      </c>
      <c r="B65" s="429" t="s">
        <v>361</v>
      </c>
      <c r="C65" s="854">
        <v>65.989999999999995</v>
      </c>
      <c r="E65" s="853">
        <v>7</v>
      </c>
      <c r="F65" s="429" t="s">
        <v>361</v>
      </c>
      <c r="G65" s="854">
        <v>47.67</v>
      </c>
      <c r="I65" s="853">
        <v>7</v>
      </c>
      <c r="J65" s="429" t="s">
        <v>361</v>
      </c>
      <c r="K65" s="854">
        <v>65.989999999999995</v>
      </c>
      <c r="M65" s="853">
        <v>7</v>
      </c>
      <c r="N65" s="429" t="s">
        <v>361</v>
      </c>
      <c r="O65" s="854">
        <v>65.989999999999995</v>
      </c>
      <c r="P65" s="394">
        <f t="shared" si="0"/>
        <v>245.64</v>
      </c>
      <c r="Q65" s="390"/>
      <c r="R65" s="137">
        <f>C65+G65+O65+K65</f>
        <v>245.64</v>
      </c>
      <c r="S65" s="118"/>
      <c r="T65" s="118"/>
      <c r="U65" s="118"/>
      <c r="V65" s="118"/>
      <c r="W65" s="118"/>
      <c r="X65" s="118"/>
      <c r="Y65" s="118"/>
      <c r="Z65" s="391"/>
    </row>
    <row r="66" spans="1:26" ht="16.5" customHeight="1">
      <c r="A66" s="853"/>
      <c r="B66" s="363" t="s">
        <v>268</v>
      </c>
      <c r="C66" s="367"/>
      <c r="E66" s="853"/>
      <c r="F66" s="363" t="s">
        <v>268</v>
      </c>
      <c r="G66" s="367"/>
      <c r="I66" s="853"/>
      <c r="J66" s="363" t="s">
        <v>268</v>
      </c>
      <c r="K66" s="367"/>
      <c r="M66" s="853"/>
      <c r="N66" s="363" t="s">
        <v>268</v>
      </c>
      <c r="O66" s="367"/>
      <c r="P66" s="394">
        <f t="shared" si="0"/>
        <v>0</v>
      </c>
      <c r="Q66" s="390"/>
      <c r="R66" s="118"/>
      <c r="S66" s="118"/>
      <c r="T66" s="118"/>
      <c r="U66" s="118"/>
      <c r="V66" s="118"/>
      <c r="W66" s="118"/>
      <c r="X66" s="118"/>
      <c r="Y66" s="118"/>
      <c r="Z66" s="391"/>
    </row>
    <row r="67" spans="1:26" ht="16.5" customHeight="1">
      <c r="A67" s="853">
        <v>8</v>
      </c>
      <c r="B67" s="369" t="s">
        <v>150</v>
      </c>
      <c r="C67" s="369"/>
      <c r="E67" s="853">
        <v>8</v>
      </c>
      <c r="F67" s="369" t="s">
        <v>150</v>
      </c>
      <c r="G67" s="369">
        <v>500</v>
      </c>
      <c r="I67" s="853">
        <v>8</v>
      </c>
      <c r="J67" s="369" t="s">
        <v>150</v>
      </c>
      <c r="K67" s="369"/>
      <c r="M67" s="853">
        <v>8</v>
      </c>
      <c r="N67" s="369" t="s">
        <v>150</v>
      </c>
      <c r="O67" s="369"/>
      <c r="P67" s="394">
        <f t="shared" si="0"/>
        <v>500</v>
      </c>
      <c r="Q67" s="390"/>
      <c r="R67" s="118"/>
      <c r="S67" s="118"/>
      <c r="T67" s="118"/>
      <c r="U67" s="118"/>
      <c r="V67" s="118"/>
      <c r="W67" s="118"/>
      <c r="X67" s="118"/>
      <c r="Y67" s="118"/>
      <c r="Z67" s="391"/>
    </row>
    <row r="68" spans="1:26" ht="16.5" customHeight="1">
      <c r="A68" s="853">
        <v>9</v>
      </c>
      <c r="B68" s="369" t="s">
        <v>151</v>
      </c>
      <c r="C68" s="369"/>
      <c r="E68" s="853">
        <v>9</v>
      </c>
      <c r="F68" s="369" t="s">
        <v>151</v>
      </c>
      <c r="G68" s="369"/>
      <c r="I68" s="853">
        <v>9</v>
      </c>
      <c r="J68" s="369" t="s">
        <v>151</v>
      </c>
      <c r="K68" s="369"/>
      <c r="M68" s="853">
        <v>9</v>
      </c>
      <c r="N68" s="369" t="s">
        <v>151</v>
      </c>
      <c r="O68" s="369"/>
      <c r="P68" s="394">
        <f t="shared" ref="P68" si="1">C68+G68+K68+O68</f>
        <v>0</v>
      </c>
      <c r="Q68" s="390"/>
      <c r="R68" s="118"/>
      <c r="S68" s="118"/>
      <c r="T68" s="118"/>
      <c r="U68" s="118"/>
      <c r="V68" s="118"/>
      <c r="W68" s="118"/>
      <c r="X68" s="118"/>
      <c r="Y68" s="118"/>
      <c r="Z68" s="391"/>
    </row>
    <row r="69" spans="1:26" ht="16.5" customHeight="1">
      <c r="A69" s="853">
        <v>10</v>
      </c>
      <c r="B69" s="385" t="s">
        <v>16</v>
      </c>
      <c r="C69" s="431">
        <f>SUM(C64:C68)</f>
        <v>65.989999999999995</v>
      </c>
      <c r="E69" s="853">
        <v>10</v>
      </c>
      <c r="F69" s="385" t="s">
        <v>16</v>
      </c>
      <c r="G69" s="431">
        <f>SUM(G64:G68)</f>
        <v>547.66999999999996</v>
      </c>
      <c r="I69" s="853">
        <v>10</v>
      </c>
      <c r="J69" s="385" t="s">
        <v>16</v>
      </c>
      <c r="K69" s="431">
        <f>SUM(K64:K68)</f>
        <v>65.989999999999995</v>
      </c>
      <c r="M69" s="853">
        <v>10</v>
      </c>
      <c r="N69" s="385" t="s">
        <v>16</v>
      </c>
      <c r="O69" s="431">
        <f>SUM(O64:O68)</f>
        <v>65.989999999999995</v>
      </c>
      <c r="P69" s="394">
        <f>C69+G69+K69+O69</f>
        <v>745.64</v>
      </c>
      <c r="Q69" s="390"/>
      <c r="R69" s="118"/>
      <c r="S69" s="118"/>
      <c r="T69" s="118"/>
      <c r="U69" s="118"/>
      <c r="V69" s="118"/>
      <c r="W69" s="118"/>
      <c r="X69" s="118"/>
      <c r="Y69" s="118"/>
      <c r="Z69" s="391"/>
    </row>
    <row r="70" spans="1:26" ht="16.5" customHeight="1">
      <c r="A70" s="853">
        <v>11</v>
      </c>
      <c r="B70" s="369" t="s">
        <v>152</v>
      </c>
      <c r="C70" s="856">
        <f>C62-C69</f>
        <v>500.67999999999995</v>
      </c>
      <c r="E70" s="853">
        <v>11</v>
      </c>
      <c r="F70" s="369" t="s">
        <v>152</v>
      </c>
      <c r="G70" s="856">
        <f>G62-G69</f>
        <v>19</v>
      </c>
      <c r="I70" s="853">
        <v>11</v>
      </c>
      <c r="J70" s="369" t="s">
        <v>152</v>
      </c>
      <c r="K70" s="856">
        <f>K62-K69</f>
        <v>500.67999999999995</v>
      </c>
      <c r="M70" s="853">
        <v>11</v>
      </c>
      <c r="N70" s="369" t="s">
        <v>152</v>
      </c>
      <c r="O70" s="856">
        <f>O62-O69</f>
        <v>500.67999999999995</v>
      </c>
      <c r="P70" s="394">
        <f>C70+G70+K70+O70</f>
        <v>1521.04</v>
      </c>
      <c r="Q70" s="390"/>
      <c r="R70" s="118"/>
      <c r="S70" s="118"/>
      <c r="T70" s="118"/>
      <c r="U70" s="118"/>
      <c r="V70" s="118"/>
      <c r="W70" s="118"/>
      <c r="X70" s="118"/>
      <c r="Y70" s="118"/>
      <c r="Z70" s="391"/>
    </row>
    <row r="71" spans="1:26" ht="26.25" customHeight="1">
      <c r="Q71" s="390"/>
      <c r="R71" s="118"/>
      <c r="S71" s="118"/>
      <c r="T71" s="118"/>
      <c r="U71" s="118"/>
      <c r="V71" s="118"/>
      <c r="W71" s="118"/>
      <c r="X71" s="118"/>
      <c r="Y71" s="118"/>
      <c r="Z71" s="391"/>
    </row>
    <row r="72" spans="1:26" ht="18.75" customHeight="1">
      <c r="A72" s="1627" t="s">
        <v>514</v>
      </c>
      <c r="B72" s="1627"/>
      <c r="C72" s="1627"/>
      <c r="E72" s="1627" t="s">
        <v>294</v>
      </c>
      <c r="F72" s="1627"/>
      <c r="G72" s="1627"/>
      <c r="I72" s="1627" t="s">
        <v>439</v>
      </c>
      <c r="J72" s="1627"/>
      <c r="K72" s="1627"/>
      <c r="Q72" s="390"/>
      <c r="R72" s="118"/>
      <c r="S72" s="118"/>
      <c r="T72" s="118"/>
      <c r="U72" s="118"/>
      <c r="V72" s="118"/>
      <c r="W72" s="118"/>
      <c r="X72" s="118"/>
      <c r="Y72" s="118"/>
      <c r="Z72" s="391"/>
    </row>
    <row r="73" spans="1:26" ht="18.75" customHeight="1">
      <c r="A73" s="369">
        <v>1</v>
      </c>
      <c r="B73" s="369" t="s">
        <v>147</v>
      </c>
      <c r="C73" s="140">
        <v>642.22</v>
      </c>
      <c r="E73" s="369">
        <v>1</v>
      </c>
      <c r="F73" s="369" t="s">
        <v>147</v>
      </c>
      <c r="G73" s="140">
        <v>500</v>
      </c>
      <c r="I73" s="369">
        <v>1</v>
      </c>
      <c r="J73" s="369" t="s">
        <v>147</v>
      </c>
      <c r="K73" s="140">
        <v>705.19</v>
      </c>
      <c r="P73" s="394"/>
      <c r="Q73" s="432">
        <f>C73+G73+K73+O73</f>
        <v>1847.41</v>
      </c>
      <c r="R73" s="118"/>
      <c r="S73" s="118"/>
      <c r="T73" s="118"/>
      <c r="U73" s="118"/>
      <c r="V73" s="118"/>
      <c r="W73" s="118"/>
      <c r="X73" s="118"/>
      <c r="Y73" s="118"/>
      <c r="Z73" s="391"/>
    </row>
    <row r="74" spans="1:26" ht="18.75" customHeight="1">
      <c r="A74" s="369">
        <v>2</v>
      </c>
      <c r="B74" s="363" t="s">
        <v>308</v>
      </c>
      <c r="C74" s="365"/>
      <c r="E74" s="369">
        <v>2</v>
      </c>
      <c r="F74" s="363" t="s">
        <v>308</v>
      </c>
      <c r="G74" s="365"/>
      <c r="I74" s="369">
        <v>2</v>
      </c>
      <c r="J74" s="363" t="s">
        <v>308</v>
      </c>
      <c r="K74" s="365"/>
      <c r="Q74" s="390"/>
      <c r="R74" s="118"/>
      <c r="S74" s="118"/>
      <c r="T74" s="118"/>
      <c r="U74" s="118"/>
      <c r="V74" s="118"/>
      <c r="W74" s="118"/>
      <c r="X74" s="118"/>
      <c r="Y74" s="118"/>
      <c r="Z74" s="391"/>
    </row>
    <row r="75" spans="1:26" ht="18.75" customHeight="1">
      <c r="A75" s="369">
        <v>3</v>
      </c>
      <c r="B75" s="369" t="s">
        <v>153</v>
      </c>
      <c r="C75" s="369"/>
      <c r="E75" s="369">
        <v>3</v>
      </c>
      <c r="F75" s="369" t="s">
        <v>153</v>
      </c>
      <c r="G75" s="369"/>
      <c r="I75" s="369">
        <v>3</v>
      </c>
      <c r="J75" s="369" t="s">
        <v>153</v>
      </c>
      <c r="K75" s="369"/>
      <c r="Q75" s="390"/>
      <c r="R75" s="118"/>
      <c r="S75" s="118"/>
      <c r="T75" s="118"/>
      <c r="U75" s="118"/>
      <c r="V75" s="118"/>
      <c r="W75" s="118"/>
      <c r="X75" s="118"/>
      <c r="Y75" s="118"/>
      <c r="Z75" s="391"/>
    </row>
    <row r="76" spans="1:26" ht="18.75" customHeight="1">
      <c r="A76" s="369">
        <v>4</v>
      </c>
      <c r="B76" s="379" t="s">
        <v>16</v>
      </c>
      <c r="C76" s="380">
        <f>SUM(C73:C75)</f>
        <v>642.22</v>
      </c>
      <c r="E76" s="369">
        <v>4</v>
      </c>
      <c r="F76" s="379" t="s">
        <v>16</v>
      </c>
      <c r="G76" s="380">
        <f>SUM(G73:G75)</f>
        <v>500</v>
      </c>
      <c r="I76" s="369">
        <v>4</v>
      </c>
      <c r="J76" s="379" t="s">
        <v>16</v>
      </c>
      <c r="K76" s="380">
        <f>SUM(K73:K75)</f>
        <v>705.19</v>
      </c>
      <c r="Q76" s="390"/>
      <c r="R76" s="118"/>
      <c r="S76" s="118"/>
      <c r="T76" s="118"/>
      <c r="U76" s="118"/>
      <c r="V76" s="118"/>
      <c r="W76" s="118"/>
      <c r="X76" s="118"/>
      <c r="Y76" s="118"/>
      <c r="Z76" s="391"/>
    </row>
    <row r="77" spans="1:26" ht="18.75" customHeight="1">
      <c r="A77" s="1628" t="s">
        <v>138</v>
      </c>
      <c r="B77" s="1628"/>
      <c r="C77" s="1628"/>
      <c r="E77" s="1628" t="s">
        <v>138</v>
      </c>
      <c r="F77" s="1628"/>
      <c r="G77" s="1628"/>
      <c r="I77" s="1628" t="s">
        <v>138</v>
      </c>
      <c r="J77" s="1628"/>
      <c r="K77" s="1628"/>
      <c r="Q77" s="390"/>
      <c r="R77" s="118"/>
      <c r="S77" s="118"/>
      <c r="T77" s="118"/>
      <c r="U77" s="118"/>
      <c r="V77" s="118"/>
      <c r="W77" s="118"/>
      <c r="X77" s="118"/>
      <c r="Y77" s="118"/>
      <c r="Z77" s="391"/>
    </row>
    <row r="78" spans="1:26" ht="18.75" customHeight="1">
      <c r="A78" s="853">
        <v>6</v>
      </c>
      <c r="B78" s="369" t="s">
        <v>148</v>
      </c>
      <c r="C78" s="381"/>
      <c r="E78" s="853">
        <v>6</v>
      </c>
      <c r="F78" s="369" t="s">
        <v>148</v>
      </c>
      <c r="G78" s="381"/>
      <c r="I78" s="853">
        <v>6</v>
      </c>
      <c r="J78" s="369" t="s">
        <v>148</v>
      </c>
      <c r="K78" s="381"/>
      <c r="Q78" s="390"/>
      <c r="R78" s="118"/>
      <c r="S78" s="118"/>
      <c r="T78" s="118"/>
      <c r="U78" s="118"/>
      <c r="V78" s="118"/>
      <c r="W78" s="118"/>
      <c r="X78" s="118"/>
      <c r="Y78" s="118"/>
      <c r="Z78" s="391"/>
    </row>
    <row r="79" spans="1:26" ht="18.75" customHeight="1">
      <c r="A79" s="853">
        <v>7</v>
      </c>
      <c r="B79" s="429" t="s">
        <v>361</v>
      </c>
      <c r="C79" s="854">
        <v>74.239999999999995</v>
      </c>
      <c r="E79" s="853">
        <v>7</v>
      </c>
      <c r="F79" s="429" t="s">
        <v>361</v>
      </c>
      <c r="G79" s="854">
        <v>67.78</v>
      </c>
      <c r="I79" s="853">
        <v>7</v>
      </c>
      <c r="J79" s="429" t="s">
        <v>361</v>
      </c>
      <c r="K79" s="854">
        <v>63.84</v>
      </c>
      <c r="Q79" s="390"/>
      <c r="R79" s="137">
        <f>C79+G79+O79+K79</f>
        <v>205.85999999999999</v>
      </c>
      <c r="S79" s="118"/>
      <c r="T79" s="118"/>
      <c r="U79" s="118"/>
      <c r="V79" s="118"/>
      <c r="W79" s="118"/>
      <c r="X79" s="118"/>
      <c r="Y79" s="118"/>
      <c r="Z79" s="391"/>
    </row>
    <row r="80" spans="1:26" ht="18.75" customHeight="1">
      <c r="A80" s="853"/>
      <c r="B80" s="363" t="s">
        <v>268</v>
      </c>
      <c r="C80" s="367"/>
      <c r="E80" s="853"/>
      <c r="F80" s="363" t="s">
        <v>268</v>
      </c>
      <c r="G80" s="367"/>
      <c r="I80" s="853"/>
      <c r="J80" s="363" t="s">
        <v>268</v>
      </c>
      <c r="K80" s="367"/>
      <c r="Q80" s="390"/>
      <c r="R80" s="118"/>
      <c r="S80" s="118"/>
      <c r="T80" s="118"/>
      <c r="U80" s="118"/>
      <c r="V80" s="118"/>
      <c r="W80" s="118"/>
      <c r="X80" s="118"/>
      <c r="Y80" s="118"/>
      <c r="Z80" s="391"/>
    </row>
    <row r="81" spans="1:24" ht="18.75" customHeight="1">
      <c r="A81" s="853">
        <v>8</v>
      </c>
      <c r="B81" s="369" t="s">
        <v>150</v>
      </c>
      <c r="C81" s="369"/>
      <c r="E81" s="853">
        <v>8</v>
      </c>
      <c r="F81" s="369" t="s">
        <v>150</v>
      </c>
      <c r="G81" s="369"/>
      <c r="I81" s="853">
        <v>8</v>
      </c>
      <c r="J81" s="369" t="s">
        <v>150</v>
      </c>
      <c r="K81" s="369"/>
      <c r="R81" s="377"/>
      <c r="S81" s="377"/>
      <c r="T81" s="377"/>
      <c r="U81" s="377"/>
      <c r="V81" s="377"/>
      <c r="W81" s="377"/>
      <c r="X81" s="377"/>
    </row>
    <row r="82" spans="1:24" ht="18.75" customHeight="1">
      <c r="A82" s="853">
        <v>9</v>
      </c>
      <c r="B82" s="369" t="s">
        <v>151</v>
      </c>
      <c r="C82" s="369"/>
      <c r="E82" s="853">
        <v>9</v>
      </c>
      <c r="F82" s="369" t="s">
        <v>151</v>
      </c>
      <c r="G82" s="369"/>
      <c r="I82" s="853">
        <v>9</v>
      </c>
      <c r="J82" s="369" t="s">
        <v>151</v>
      </c>
      <c r="K82" s="369"/>
      <c r="Q82" s="434">
        <f>Q3+Q17+Q31+Q45+Q59+Q73</f>
        <v>13744.970000000001</v>
      </c>
      <c r="R82" s="440">
        <f>R9+R23+R37+R51+R65+R79</f>
        <v>1697.1299999999999</v>
      </c>
      <c r="S82" s="396">
        <f>Q82-R82</f>
        <v>12047.840000000002</v>
      </c>
      <c r="W82" s="118"/>
      <c r="X82" s="377"/>
    </row>
    <row r="83" spans="1:24" ht="18.75" customHeight="1">
      <c r="A83" s="853">
        <v>10</v>
      </c>
      <c r="B83" s="385" t="s">
        <v>16</v>
      </c>
      <c r="C83" s="431">
        <f>SUM(C78:C82)</f>
        <v>74.239999999999995</v>
      </c>
      <c r="E83" s="853">
        <v>10</v>
      </c>
      <c r="F83" s="385" t="s">
        <v>16</v>
      </c>
      <c r="G83" s="431">
        <f>SUM(G78:G82)</f>
        <v>67.78</v>
      </c>
      <c r="I83" s="853">
        <v>10</v>
      </c>
      <c r="J83" s="385" t="s">
        <v>16</v>
      </c>
      <c r="K83" s="431">
        <f>SUM(K78:K82)</f>
        <v>63.84</v>
      </c>
      <c r="X83" s="377"/>
    </row>
    <row r="84" spans="1:24" ht="18.75" customHeight="1">
      <c r="A84" s="853">
        <v>11</v>
      </c>
      <c r="B84" s="369" t="s">
        <v>152</v>
      </c>
      <c r="C84" s="856">
        <f>C76-C83</f>
        <v>567.98</v>
      </c>
      <c r="E84" s="853">
        <v>11</v>
      </c>
      <c r="F84" s="369" t="s">
        <v>152</v>
      </c>
      <c r="G84" s="856">
        <f>G76-G83</f>
        <v>432.22</v>
      </c>
      <c r="I84" s="853">
        <v>11</v>
      </c>
      <c r="J84" s="369" t="s">
        <v>152</v>
      </c>
      <c r="K84" s="856">
        <f>K76-K83</f>
        <v>641.35</v>
      </c>
      <c r="S84" s="396"/>
      <c r="T84" s="638"/>
    </row>
    <row r="85" spans="1:24" ht="15">
      <c r="Q85" s="433">
        <f>Q82-11525.95</f>
        <v>2219.0200000000004</v>
      </c>
    </row>
    <row r="86" spans="1:24" ht="15"/>
    <row r="87" spans="1:24" ht="15"/>
    <row r="88" spans="1:24" ht="15"/>
    <row r="89" spans="1:24" ht="15"/>
    <row r="90" spans="1:24" ht="15"/>
    <row r="91" spans="1:24" ht="15"/>
    <row r="92" spans="1:24" ht="15"/>
    <row r="93" spans="1:24" ht="15"/>
    <row r="94" spans="1:24" ht="15"/>
    <row r="95" spans="1:24" ht="15"/>
    <row r="96" spans="1:24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05" ht="15"/>
    <row r="606" ht="15"/>
    <row r="607" ht="15"/>
    <row r="608" ht="15"/>
    <row r="609" ht="15"/>
    <row r="610" ht="15"/>
    <row r="611" ht="15"/>
    <row r="612" ht="15"/>
    <row r="613" ht="15"/>
    <row r="614" ht="15"/>
    <row r="615" ht="15"/>
    <row r="616" ht="15"/>
    <row r="617" ht="15"/>
    <row r="618" ht="15"/>
    <row r="619" ht="15"/>
    <row r="620" ht="15"/>
    <row r="621" ht="15"/>
    <row r="622" ht="15"/>
    <row r="623" ht="15"/>
    <row r="624" ht="15"/>
    <row r="625" ht="15"/>
    <row r="626" ht="15"/>
    <row r="627" ht="15"/>
    <row r="628" ht="15"/>
    <row r="629" ht="15"/>
    <row r="630" ht="15"/>
    <row r="631" ht="15"/>
    <row r="632" ht="15"/>
    <row r="633" ht="15"/>
    <row r="634" ht="15"/>
    <row r="635" ht="15"/>
    <row r="636" ht="15"/>
    <row r="637" ht="15"/>
    <row r="638" ht="15"/>
    <row r="639" ht="15"/>
    <row r="640" ht="15"/>
    <row r="641" ht="15"/>
    <row r="642" ht="15"/>
    <row r="643" ht="15"/>
    <row r="644" ht="15"/>
    <row r="645" ht="15"/>
    <row r="646" ht="15"/>
    <row r="647" ht="15"/>
    <row r="648" ht="15"/>
    <row r="649" ht="15"/>
    <row r="650" ht="15"/>
    <row r="651" ht="15"/>
    <row r="652" ht="15"/>
    <row r="653" ht="15"/>
    <row r="654" ht="15"/>
    <row r="655" ht="15"/>
    <row r="656" ht="15"/>
    <row r="657" ht="15"/>
    <row r="658" ht="15"/>
    <row r="659" ht="15"/>
    <row r="660" ht="15"/>
    <row r="661" ht="15"/>
    <row r="662" ht="15"/>
    <row r="663" ht="15"/>
    <row r="664" ht="15"/>
    <row r="665" ht="15"/>
    <row r="666" ht="15"/>
    <row r="667" ht="15"/>
    <row r="668" ht="15"/>
    <row r="669" ht="15"/>
    <row r="670" ht="15"/>
    <row r="671" ht="15"/>
    <row r="672" ht="15"/>
    <row r="673" ht="15"/>
    <row r="674" ht="15"/>
    <row r="675" ht="15"/>
    <row r="676" ht="15"/>
    <row r="677" ht="15"/>
    <row r="678" ht="15"/>
    <row r="679" ht="15"/>
    <row r="680" ht="15"/>
    <row r="681" ht="15"/>
    <row r="682" ht="15"/>
    <row r="683" ht="15"/>
    <row r="684" ht="15"/>
    <row r="685" ht="15"/>
    <row r="686" ht="15"/>
    <row r="687" ht="15"/>
    <row r="688" ht="15"/>
    <row r="689" ht="15"/>
    <row r="690" ht="15"/>
    <row r="691" ht="15"/>
    <row r="692" ht="15"/>
    <row r="693" ht="15"/>
    <row r="694" ht="15"/>
    <row r="695" ht="15"/>
    <row r="696" ht="15"/>
    <row r="697" ht="15"/>
    <row r="698" ht="15"/>
    <row r="699" ht="15"/>
    <row r="700" ht="15"/>
    <row r="701" ht="15"/>
    <row r="702" ht="15"/>
    <row r="703" ht="15"/>
    <row r="704" ht="15"/>
    <row r="705" ht="15"/>
    <row r="706" ht="15"/>
    <row r="707" ht="15"/>
    <row r="708" ht="15"/>
    <row r="709" ht="15"/>
    <row r="710" ht="15"/>
    <row r="711" ht="15"/>
    <row r="712" ht="15"/>
    <row r="713" ht="15"/>
    <row r="714" ht="15"/>
    <row r="715" ht="15"/>
    <row r="716" ht="15"/>
    <row r="717" ht="15"/>
    <row r="718" ht="15"/>
    <row r="719" ht="15"/>
    <row r="720" ht="15"/>
    <row r="721" ht="15"/>
    <row r="722" ht="15"/>
    <row r="723" ht="15"/>
    <row r="724" ht="15"/>
    <row r="725" ht="15"/>
    <row r="726" ht="15"/>
    <row r="727" ht="15"/>
    <row r="728" ht="15"/>
    <row r="729" ht="15"/>
    <row r="730" ht="15"/>
    <row r="731" ht="15"/>
    <row r="732" ht="15"/>
    <row r="733" ht="15"/>
    <row r="734" ht="15"/>
    <row r="735" ht="15"/>
    <row r="736" ht="15"/>
    <row r="737" ht="15"/>
    <row r="738" ht="15"/>
    <row r="739" ht="15"/>
    <row r="740" ht="15"/>
    <row r="741" ht="15"/>
    <row r="742" ht="15"/>
    <row r="743" ht="15"/>
    <row r="744" ht="15"/>
    <row r="745" ht="15"/>
    <row r="746" ht="15"/>
    <row r="747" ht="15"/>
    <row r="748" ht="15"/>
    <row r="749" ht="15"/>
    <row r="750" ht="15"/>
    <row r="751" ht="15"/>
    <row r="752" ht="15"/>
    <row r="753" ht="15"/>
    <row r="754" ht="15"/>
    <row r="755" ht="15"/>
    <row r="756" ht="15"/>
    <row r="757" ht="15"/>
    <row r="758" ht="15"/>
    <row r="759" ht="15"/>
    <row r="760" ht="15"/>
    <row r="761" ht="15"/>
    <row r="762" ht="15"/>
    <row r="763" ht="15"/>
    <row r="764" ht="15"/>
    <row r="765" ht="15"/>
    <row r="766" ht="15"/>
    <row r="767" ht="15"/>
    <row r="768" ht="15"/>
    <row r="769" ht="15"/>
    <row r="770" ht="15"/>
    <row r="771" ht="15"/>
    <row r="772" ht="15"/>
    <row r="773" ht="15"/>
    <row r="774" ht="15"/>
    <row r="775" ht="15"/>
    <row r="776" ht="15"/>
    <row r="777" ht="15"/>
    <row r="778" ht="15"/>
    <row r="779" ht="15"/>
    <row r="780" ht="15"/>
    <row r="781" ht="15"/>
    <row r="782" ht="15"/>
    <row r="783" ht="15"/>
    <row r="784" ht="15"/>
    <row r="785" ht="15"/>
    <row r="786" ht="15"/>
    <row r="787" ht="15"/>
    <row r="788" ht="15"/>
    <row r="789" ht="15"/>
    <row r="790" ht="15"/>
    <row r="791" ht="15"/>
    <row r="792" ht="15"/>
    <row r="793" ht="15"/>
    <row r="794" ht="15"/>
    <row r="795" ht="15"/>
    <row r="796" ht="15"/>
    <row r="797" ht="15"/>
    <row r="798" ht="15"/>
    <row r="799" ht="15"/>
    <row r="800" ht="15"/>
    <row r="801" ht="15"/>
    <row r="802" ht="15"/>
    <row r="803" ht="15"/>
    <row r="804" ht="15"/>
    <row r="805" ht="15"/>
    <row r="806" ht="15"/>
    <row r="807" ht="15"/>
    <row r="808" ht="15"/>
    <row r="809" ht="15"/>
    <row r="810" ht="15"/>
    <row r="811" ht="15"/>
    <row r="812" ht="15"/>
    <row r="813" ht="15"/>
    <row r="814" ht="15"/>
    <row r="815" ht="15"/>
    <row r="816" ht="15"/>
    <row r="817" ht="15"/>
    <row r="818" ht="15"/>
    <row r="819" ht="15"/>
    <row r="820" ht="15"/>
    <row r="821" ht="15"/>
    <row r="822" ht="15"/>
    <row r="823" ht="15"/>
    <row r="824" ht="15"/>
    <row r="825" ht="15"/>
    <row r="826" ht="15"/>
    <row r="827" ht="15"/>
    <row r="828" ht="15"/>
    <row r="829" ht="15"/>
    <row r="830" ht="15"/>
    <row r="831" ht="15"/>
    <row r="832" ht="15"/>
    <row r="833" ht="15"/>
    <row r="834" ht="15"/>
    <row r="835" ht="15"/>
    <row r="836" ht="15"/>
    <row r="837" ht="15"/>
    <row r="838" ht="15"/>
    <row r="839" ht="15"/>
    <row r="840" ht="15"/>
    <row r="841" ht="15"/>
    <row r="842" ht="15"/>
    <row r="843" ht="15"/>
    <row r="844" ht="15"/>
    <row r="845" ht="15"/>
    <row r="846" ht="15"/>
    <row r="847" ht="15"/>
    <row r="848" ht="15"/>
    <row r="849" ht="15"/>
    <row r="850" ht="15"/>
    <row r="851" ht="15"/>
    <row r="852" ht="15"/>
    <row r="853" ht="15"/>
    <row r="854" ht="15"/>
    <row r="855" ht="15"/>
    <row r="856" ht="15"/>
    <row r="857" ht="15"/>
    <row r="858" ht="15"/>
    <row r="859" ht="15"/>
    <row r="860" ht="15"/>
    <row r="861" ht="15"/>
    <row r="862" ht="15"/>
    <row r="863" ht="15"/>
    <row r="864" ht="15"/>
    <row r="865" ht="15"/>
    <row r="866" ht="15"/>
    <row r="867" ht="15"/>
    <row r="868" ht="15"/>
    <row r="869" ht="15"/>
    <row r="870" ht="15"/>
    <row r="871" ht="15"/>
    <row r="872" ht="15"/>
    <row r="873" ht="15"/>
    <row r="874" ht="15"/>
    <row r="875" ht="15"/>
    <row r="876" ht="15"/>
    <row r="877" ht="15"/>
    <row r="878" ht="15"/>
    <row r="879" ht="15"/>
    <row r="880" ht="15"/>
    <row r="881" ht="15"/>
    <row r="882" ht="15"/>
    <row r="883" ht="15"/>
    <row r="884" ht="15"/>
    <row r="885" ht="15"/>
    <row r="886" ht="15"/>
    <row r="887" ht="15"/>
    <row r="888" ht="15"/>
    <row r="889" ht="15"/>
    <row r="890" ht="15"/>
    <row r="891" ht="15"/>
    <row r="892" ht="15"/>
    <row r="893" ht="15"/>
    <row r="894" ht="15"/>
    <row r="895" ht="15"/>
    <row r="896" ht="15"/>
    <row r="897" ht="15"/>
    <row r="898" ht="15"/>
    <row r="899" ht="15"/>
    <row r="900" ht="15"/>
    <row r="901" ht="15"/>
    <row r="902" ht="15"/>
    <row r="903" ht="15"/>
    <row r="904" ht="15"/>
    <row r="905" ht="15"/>
    <row r="906" ht="15"/>
    <row r="907" ht="15"/>
    <row r="908" ht="15"/>
    <row r="909" ht="15"/>
    <row r="910" ht="15"/>
    <row r="911" ht="15"/>
    <row r="912" ht="15"/>
    <row r="913" ht="15"/>
    <row r="914" ht="15"/>
    <row r="915" ht="15"/>
    <row r="916" ht="15"/>
    <row r="917" ht="15"/>
    <row r="918" ht="15"/>
    <row r="919" ht="15"/>
    <row r="920" ht="15"/>
    <row r="921" ht="15"/>
    <row r="922" ht="15"/>
    <row r="923" ht="15"/>
    <row r="924" ht="15"/>
    <row r="925" ht="15"/>
    <row r="926" ht="15"/>
    <row r="927" ht="15"/>
    <row r="928" ht="15"/>
    <row r="929" ht="15"/>
    <row r="930" ht="15"/>
    <row r="931" ht="15"/>
    <row r="932" ht="15"/>
    <row r="933" ht="15"/>
    <row r="934" ht="15"/>
    <row r="935" ht="15"/>
    <row r="936" ht="15"/>
    <row r="937" ht="15"/>
    <row r="938" ht="15"/>
    <row r="939" ht="15"/>
    <row r="940" ht="15"/>
    <row r="941" ht="15"/>
    <row r="942" ht="15"/>
    <row r="943" ht="15"/>
    <row r="944" ht="15"/>
    <row r="945" ht="15"/>
    <row r="946" ht="15"/>
    <row r="947" ht="15"/>
    <row r="948" ht="15"/>
    <row r="949" ht="15"/>
    <row r="950" ht="15"/>
    <row r="951" ht="15"/>
    <row r="952" ht="15"/>
    <row r="953" ht="15"/>
    <row r="954" ht="15"/>
    <row r="955" ht="15"/>
    <row r="956" ht="15"/>
    <row r="957" ht="15"/>
    <row r="958" ht="15"/>
    <row r="959" ht="15"/>
    <row r="960" ht="15"/>
    <row r="961" ht="15"/>
    <row r="962" ht="15"/>
    <row r="963" ht="15"/>
    <row r="964" ht="15"/>
    <row r="965" ht="15"/>
    <row r="966" ht="15"/>
    <row r="967" ht="15"/>
    <row r="968" ht="15"/>
    <row r="969" ht="15"/>
    <row r="970" ht="15"/>
    <row r="971" ht="15"/>
    <row r="972" ht="15"/>
    <row r="973" ht="15"/>
    <row r="974" ht="15"/>
    <row r="975" ht="15"/>
    <row r="976" ht="15"/>
    <row r="977" ht="15"/>
    <row r="978" ht="15"/>
    <row r="979" ht="15"/>
    <row r="980" ht="15"/>
    <row r="981" ht="15"/>
    <row r="982" ht="15"/>
    <row r="983" ht="15"/>
    <row r="984" ht="15"/>
    <row r="985" ht="15"/>
    <row r="986" ht="15"/>
    <row r="987" ht="15"/>
    <row r="988" ht="15"/>
    <row r="989" ht="15"/>
    <row r="990" ht="15"/>
    <row r="991" ht="15"/>
    <row r="992" ht="15"/>
    <row r="993" ht="15"/>
    <row r="994" ht="15"/>
    <row r="995" ht="15"/>
    <row r="996" ht="15"/>
    <row r="997" ht="15"/>
    <row r="998" ht="15"/>
    <row r="999" ht="15"/>
    <row r="1000" ht="15"/>
    <row r="1001" ht="15"/>
    <row r="1002" ht="15"/>
    <row r="1003" ht="15"/>
    <row r="1004" ht="15"/>
    <row r="1005" ht="15"/>
    <row r="1006" ht="15"/>
    <row r="1007" ht="15"/>
    <row r="1008" ht="15"/>
    <row r="1009" ht="15"/>
    <row r="1010" ht="15"/>
    <row r="1011" ht="15"/>
    <row r="1012" ht="15"/>
    <row r="1013" ht="15"/>
    <row r="1014" ht="15"/>
    <row r="1015" ht="15"/>
    <row r="1016" ht="15"/>
    <row r="1017" ht="15"/>
    <row r="1018" ht="15"/>
    <row r="1019" ht="15"/>
    <row r="1020" ht="15"/>
    <row r="1021" ht="15"/>
    <row r="1022" ht="15"/>
    <row r="1023" ht="15"/>
    <row r="1024" ht="15"/>
    <row r="1025" ht="15"/>
    <row r="1026" ht="15"/>
    <row r="1027" ht="15"/>
    <row r="1028" ht="15"/>
    <row r="1029" ht="15"/>
    <row r="1030" ht="15"/>
    <row r="1031" ht="15"/>
    <row r="1032" ht="15"/>
    <row r="1033" ht="15"/>
    <row r="1034" ht="15"/>
    <row r="1035" ht="15"/>
    <row r="1036" ht="15"/>
    <row r="1037" ht="15"/>
    <row r="1038" ht="15"/>
    <row r="1039" ht="15"/>
    <row r="1040" ht="15"/>
    <row r="1041" ht="15"/>
    <row r="1042" ht="15"/>
    <row r="1043" ht="15"/>
    <row r="1044" ht="15"/>
    <row r="1045" ht="15"/>
    <row r="1046" ht="15"/>
    <row r="1047" ht="15"/>
    <row r="1048" ht="15"/>
    <row r="1049" ht="15"/>
    <row r="1050" ht="15"/>
    <row r="1051" ht="15"/>
    <row r="1052" ht="15"/>
    <row r="1053" ht="15"/>
    <row r="1054" ht="15"/>
    <row r="1055" ht="15"/>
    <row r="1056" ht="15"/>
    <row r="1057" ht="15"/>
    <row r="1058" ht="15"/>
    <row r="1059" ht="15"/>
    <row r="1060" ht="15"/>
    <row r="1061" ht="15"/>
    <row r="1062" ht="15"/>
    <row r="1063" ht="15"/>
    <row r="1064" ht="15"/>
    <row r="1065" ht="15"/>
    <row r="1066" ht="15"/>
    <row r="1067" ht="15"/>
    <row r="1068" ht="15"/>
    <row r="1069" ht="15"/>
    <row r="1070" ht="15"/>
    <row r="1071" ht="15"/>
    <row r="1072" ht="15"/>
    <row r="1073" ht="15"/>
    <row r="1074" ht="15"/>
    <row r="1075" ht="15"/>
    <row r="1076" ht="15"/>
    <row r="1077" ht="15"/>
    <row r="1078" ht="15"/>
    <row r="1079" ht="15"/>
    <row r="1080" ht="15"/>
    <row r="1081" ht="15"/>
    <row r="1082" ht="15"/>
    <row r="1083" ht="15"/>
    <row r="1084" ht="15"/>
    <row r="1085" ht="15"/>
    <row r="1086" ht="15"/>
    <row r="1087" ht="15"/>
    <row r="1088" ht="15"/>
    <row r="1089" ht="15"/>
    <row r="1090" ht="15"/>
    <row r="1091" ht="15"/>
    <row r="1092" ht="15"/>
    <row r="1093" ht="15"/>
    <row r="1094" ht="15"/>
    <row r="1095" ht="15"/>
    <row r="1096" ht="15"/>
    <row r="1097" ht="15"/>
    <row r="1098" ht="15"/>
    <row r="1099" ht="15"/>
    <row r="1100" ht="15"/>
    <row r="1101" ht="15"/>
    <row r="1102" ht="15"/>
    <row r="1103" ht="15"/>
    <row r="1104" ht="15"/>
    <row r="1105" ht="15"/>
    <row r="1106" ht="15"/>
    <row r="1107" ht="15"/>
    <row r="1108" ht="15"/>
    <row r="1109" ht="15"/>
    <row r="1110" ht="15"/>
    <row r="1111" ht="15"/>
    <row r="1112" ht="15"/>
    <row r="1113" ht="15"/>
    <row r="1114" ht="15"/>
    <row r="1115" ht="15"/>
    <row r="1116" ht="15"/>
    <row r="1117" ht="15"/>
    <row r="1118" ht="15"/>
    <row r="1119" ht="15"/>
    <row r="1120" ht="15"/>
    <row r="1121" ht="15"/>
    <row r="1122" ht="15"/>
    <row r="1123" ht="15"/>
    <row r="1124" ht="15"/>
    <row r="1125" ht="15"/>
    <row r="1126" ht="15"/>
    <row r="1127" ht="15"/>
    <row r="1128" ht="15"/>
    <row r="1129" ht="15"/>
    <row r="1130" ht="15"/>
    <row r="1131" ht="15"/>
    <row r="1132" ht="15"/>
    <row r="1133" ht="15"/>
    <row r="1134" ht="15"/>
    <row r="1135" ht="15"/>
    <row r="1136" ht="15"/>
    <row r="1137" ht="15"/>
    <row r="1138" ht="15"/>
    <row r="1139" ht="15"/>
    <row r="1140" ht="15"/>
    <row r="1141" ht="15"/>
    <row r="1142" ht="15"/>
    <row r="1143" ht="15"/>
    <row r="1144" ht="15"/>
    <row r="1145" ht="15"/>
    <row r="1146" ht="15"/>
    <row r="1147" ht="15"/>
    <row r="1148" ht="15"/>
    <row r="1149" ht="15"/>
    <row r="1150" ht="15"/>
    <row r="1151" ht="15"/>
    <row r="1152" ht="15"/>
    <row r="1153" ht="15"/>
    <row r="1154" ht="15"/>
    <row r="1155" ht="15"/>
    <row r="1156" ht="15"/>
    <row r="1157" ht="15"/>
    <row r="1158" ht="15"/>
    <row r="1159" ht="15"/>
    <row r="1160" ht="15"/>
    <row r="1161" ht="15"/>
    <row r="1162" ht="15"/>
    <row r="1163" ht="15"/>
    <row r="1164" ht="15"/>
    <row r="1165" ht="15"/>
    <row r="1166" ht="15"/>
    <row r="1167" ht="15"/>
    <row r="1168" ht="15"/>
    <row r="1169" ht="15"/>
    <row r="1170" ht="15"/>
    <row r="1171" ht="15"/>
    <row r="1172" ht="15"/>
    <row r="1173" ht="15"/>
    <row r="1174" ht="15"/>
    <row r="1175" ht="15"/>
    <row r="1176" ht="15"/>
    <row r="1177" ht="15"/>
    <row r="1178" ht="15"/>
    <row r="1179" ht="15"/>
    <row r="1180" ht="15"/>
    <row r="1181" ht="15"/>
    <row r="1182" ht="15"/>
    <row r="1183" ht="15"/>
    <row r="1184" ht="15"/>
    <row r="1185" ht="15"/>
    <row r="1186" ht="15"/>
    <row r="1187" ht="15"/>
    <row r="1188" ht="15"/>
    <row r="1189" ht="15"/>
    <row r="1190" ht="15"/>
    <row r="1191" ht="15"/>
    <row r="1192" ht="15"/>
    <row r="1193" ht="15"/>
    <row r="1194" ht="15"/>
    <row r="1195" ht="15"/>
    <row r="1196" ht="15"/>
    <row r="1197" ht="15"/>
    <row r="1198" ht="15"/>
    <row r="1199" ht="15"/>
    <row r="1200" ht="15"/>
    <row r="1201" ht="15"/>
    <row r="1202" ht="15"/>
    <row r="1203" ht="15"/>
    <row r="1204" ht="15"/>
    <row r="1205" ht="15"/>
    <row r="1206" ht="15"/>
    <row r="1207" ht="15"/>
    <row r="1208" ht="15"/>
    <row r="1209" ht="15"/>
    <row r="1210" ht="15"/>
    <row r="1211" ht="15"/>
    <row r="1212" ht="15"/>
    <row r="1213" ht="15"/>
    <row r="1214" ht="15"/>
    <row r="1215" ht="15"/>
    <row r="1216" ht="15"/>
    <row r="1217" ht="15"/>
    <row r="1218" ht="15"/>
    <row r="1219" ht="15"/>
    <row r="1220" ht="15"/>
    <row r="1221" ht="15"/>
    <row r="1222" ht="15"/>
    <row r="1223" ht="15"/>
    <row r="1224" ht="15"/>
    <row r="1225" ht="15"/>
    <row r="1226" ht="15"/>
    <row r="1227" ht="15"/>
    <row r="1228" ht="15"/>
    <row r="1229" ht="15"/>
    <row r="1230" ht="15"/>
    <row r="1231" ht="15"/>
    <row r="1232" ht="15"/>
    <row r="1233" ht="15"/>
    <row r="1234" ht="15"/>
    <row r="1235" ht="15"/>
    <row r="1236" ht="15"/>
    <row r="1237" ht="15"/>
    <row r="1238" ht="15"/>
    <row r="1239" ht="15"/>
    <row r="1240" ht="15"/>
    <row r="1241" ht="15"/>
    <row r="1242" ht="15"/>
    <row r="1243" ht="15"/>
    <row r="1244" ht="15"/>
    <row r="1245" ht="15"/>
    <row r="1246" ht="15"/>
    <row r="1247" ht="15"/>
    <row r="1248" ht="15"/>
    <row r="1249" ht="15"/>
    <row r="1250" ht="15"/>
    <row r="1251" ht="15"/>
    <row r="1252" ht="15"/>
    <row r="1253" ht="15"/>
    <row r="1254" ht="15"/>
    <row r="1255" ht="15"/>
    <row r="1256" ht="15"/>
    <row r="1257" ht="15"/>
    <row r="1258" ht="15"/>
    <row r="1259" ht="15"/>
    <row r="1260" ht="15"/>
    <row r="1261" ht="15"/>
    <row r="1262" ht="15"/>
    <row r="1263" ht="15"/>
    <row r="1264" ht="15"/>
    <row r="1265" ht="15"/>
    <row r="1266" ht="15"/>
    <row r="1267" ht="15"/>
    <row r="1268" ht="15"/>
    <row r="1269" ht="15"/>
    <row r="1270" ht="15"/>
    <row r="1271" ht="15"/>
    <row r="1272" ht="15"/>
    <row r="1273" ht="15"/>
    <row r="1274" ht="15"/>
    <row r="1275" ht="15"/>
    <row r="1276" ht="15"/>
    <row r="1277" ht="15"/>
    <row r="1278" ht="15"/>
    <row r="1279" ht="15"/>
    <row r="1280" ht="15"/>
    <row r="1281" ht="15"/>
    <row r="1282" ht="15"/>
    <row r="1283" ht="15"/>
    <row r="1284" ht="15"/>
    <row r="1285" ht="15"/>
    <row r="1286" ht="15"/>
    <row r="1287" ht="15"/>
    <row r="1288" ht="15"/>
    <row r="1289" ht="15"/>
    <row r="1290" ht="15"/>
    <row r="1291" ht="15"/>
    <row r="1292" ht="15"/>
    <row r="1293" ht="15"/>
    <row r="1294" ht="15"/>
    <row r="1295" ht="15"/>
    <row r="1296" ht="15"/>
    <row r="1297" ht="15"/>
    <row r="1298" ht="15"/>
    <row r="1299" ht="15"/>
    <row r="1300" ht="15"/>
    <row r="1301" ht="15"/>
    <row r="1302" ht="15"/>
    <row r="1303" ht="15"/>
    <row r="1304" ht="15"/>
    <row r="1305" ht="15"/>
    <row r="1306" ht="15"/>
    <row r="1307" ht="15"/>
    <row r="1308" ht="15"/>
    <row r="1309" ht="15"/>
    <row r="1310" ht="15"/>
    <row r="1311" ht="15"/>
    <row r="1312" ht="15"/>
    <row r="1313" ht="15"/>
    <row r="1314" ht="15"/>
    <row r="1315" ht="15"/>
    <row r="1316" ht="15"/>
    <row r="1317" ht="15"/>
    <row r="1318" ht="15"/>
    <row r="1319" ht="15"/>
    <row r="1320" ht="15"/>
    <row r="1321" ht="15"/>
    <row r="1322" ht="15"/>
    <row r="1323" ht="15"/>
    <row r="1324" ht="15"/>
    <row r="1325" ht="15"/>
    <row r="1326" ht="15"/>
    <row r="1327" ht="15"/>
    <row r="1328" ht="15"/>
    <row r="1329" ht="15"/>
    <row r="1330" ht="15"/>
    <row r="1331" ht="15"/>
    <row r="1332" ht="15"/>
    <row r="1333" ht="15"/>
    <row r="1334" ht="15"/>
    <row r="1335" ht="15"/>
    <row r="1336" ht="15"/>
    <row r="1337" ht="15"/>
    <row r="1338" ht="15"/>
    <row r="1339" ht="15"/>
    <row r="1340" ht="15"/>
    <row r="1341" ht="15"/>
    <row r="1342" ht="15"/>
    <row r="1343" ht="15"/>
    <row r="1344" ht="15"/>
    <row r="1345" ht="15"/>
    <row r="1346" ht="15"/>
    <row r="1347" ht="15"/>
    <row r="1348" ht="15"/>
    <row r="1349" ht="15"/>
    <row r="1350" ht="15"/>
    <row r="1351" ht="15"/>
    <row r="1352" ht="15"/>
    <row r="1353" ht="15"/>
    <row r="1354" ht="15"/>
    <row r="1355" ht="15"/>
    <row r="1356" ht="15"/>
    <row r="1357" ht="15"/>
    <row r="1358" ht="15"/>
    <row r="1359" ht="15"/>
    <row r="1360" ht="15"/>
    <row r="1361" ht="15"/>
    <row r="1362" ht="15"/>
    <row r="1363" ht="15"/>
    <row r="1364" ht="15"/>
    <row r="1365" ht="15"/>
    <row r="1366" ht="15"/>
    <row r="1367" ht="15"/>
    <row r="1368" ht="15"/>
    <row r="1369" ht="15"/>
    <row r="1370" ht="15"/>
    <row r="1371" ht="15"/>
    <row r="1372" ht="15"/>
    <row r="1373" ht="15"/>
    <row r="1374" ht="15"/>
    <row r="1375" ht="15"/>
    <row r="1376" ht="15"/>
    <row r="1377" ht="15"/>
    <row r="1378" ht="15"/>
    <row r="1379" ht="15"/>
    <row r="1380" ht="15"/>
    <row r="1381" ht="15"/>
    <row r="1382" ht="15"/>
    <row r="1383" ht="15"/>
    <row r="1384" ht="15"/>
    <row r="1385" ht="15"/>
    <row r="1386" ht="15"/>
    <row r="1387" ht="15"/>
    <row r="1388" ht="15"/>
    <row r="1389" ht="15"/>
    <row r="1390" ht="15"/>
    <row r="1391" ht="15"/>
    <row r="1392" ht="15"/>
    <row r="1393" ht="15"/>
    <row r="1394" ht="15"/>
    <row r="1395" ht="15"/>
    <row r="1396" ht="15"/>
    <row r="1397" ht="15"/>
    <row r="1398" ht="15"/>
    <row r="1399" ht="15"/>
    <row r="1400" ht="15"/>
    <row r="1401" ht="15"/>
    <row r="1402" ht="15"/>
    <row r="1403" ht="15"/>
    <row r="1404" ht="15"/>
    <row r="1405" ht="15"/>
    <row r="1406" ht="15"/>
    <row r="1407" ht="15"/>
    <row r="1408" ht="15"/>
    <row r="1409" ht="15"/>
    <row r="1410" ht="15"/>
    <row r="1411" ht="15"/>
    <row r="1412" ht="15"/>
    <row r="1413" ht="15"/>
    <row r="1414" ht="15"/>
    <row r="1415" ht="15"/>
    <row r="1416" ht="15"/>
    <row r="1417" ht="15"/>
    <row r="1418" ht="15"/>
    <row r="1419" ht="15"/>
    <row r="1420" ht="15"/>
    <row r="1421" ht="15"/>
    <row r="1422" ht="15"/>
    <row r="1423" ht="15"/>
    <row r="1424" ht="15"/>
    <row r="1425" ht="15"/>
    <row r="1426" ht="15"/>
    <row r="1427" ht="15"/>
    <row r="1428" ht="15"/>
    <row r="1429" ht="15"/>
  </sheetData>
  <mergeCells count="61">
    <mergeCell ref="M63:O63"/>
    <mergeCell ref="A58:C58"/>
    <mergeCell ref="A63:C63"/>
    <mergeCell ref="E58:G58"/>
    <mergeCell ref="E63:G63"/>
    <mergeCell ref="V34:W34"/>
    <mergeCell ref="V36:W36"/>
    <mergeCell ref="V40:W40"/>
    <mergeCell ref="I35:K35"/>
    <mergeCell ref="I58:K58"/>
    <mergeCell ref="M57:O57"/>
    <mergeCell ref="M49:O49"/>
    <mergeCell ref="I49:K49"/>
    <mergeCell ref="M58:O58"/>
    <mergeCell ref="A29:O29"/>
    <mergeCell ref="A35:C35"/>
    <mergeCell ref="E35:G35"/>
    <mergeCell ref="A16:C16"/>
    <mergeCell ref="E16:G16"/>
    <mergeCell ref="H16:H28"/>
    <mergeCell ref="M16:O16"/>
    <mergeCell ref="L16:L28"/>
    <mergeCell ref="I21:K21"/>
    <mergeCell ref="E21:G21"/>
    <mergeCell ref="A21:C21"/>
    <mergeCell ref="I16:K16"/>
    <mergeCell ref="M21:O21"/>
    <mergeCell ref="D16:D28"/>
    <mergeCell ref="M35:O35"/>
    <mergeCell ref="E30:G30"/>
    <mergeCell ref="M7:O7"/>
    <mergeCell ref="A2:C2"/>
    <mergeCell ref="D2:D14"/>
    <mergeCell ref="E2:G2"/>
    <mergeCell ref="I2:K2"/>
    <mergeCell ref="L2:L14"/>
    <mergeCell ref="N2:O2"/>
    <mergeCell ref="I7:K7"/>
    <mergeCell ref="A7:C7"/>
    <mergeCell ref="E7:G7"/>
    <mergeCell ref="M30:O30"/>
    <mergeCell ref="L30:L42"/>
    <mergeCell ref="M44:O44"/>
    <mergeCell ref="I44:K44"/>
    <mergeCell ref="A49:C49"/>
    <mergeCell ref="A44:C44"/>
    <mergeCell ref="D30:D42"/>
    <mergeCell ref="A30:C30"/>
    <mergeCell ref="E44:G44"/>
    <mergeCell ref="E49:G49"/>
    <mergeCell ref="E72:G72"/>
    <mergeCell ref="E77:G77"/>
    <mergeCell ref="A72:C72"/>
    <mergeCell ref="A77:C77"/>
    <mergeCell ref="I30:K30"/>
    <mergeCell ref="H30:H42"/>
    <mergeCell ref="A57:C57"/>
    <mergeCell ref="E57:G57"/>
    <mergeCell ref="I63:K63"/>
    <mergeCell ref="I72:K72"/>
    <mergeCell ref="I77:K77"/>
  </mergeCells>
  <phoneticPr fontId="25" type="noConversion"/>
  <printOptions horizontalCentered="1"/>
  <pageMargins left="0.38" right="0.41" top="0.19685039370078741" bottom="0.19685039370078741" header="0.19685039370078741" footer="0.19685039370078741"/>
  <pageSetup paperSize="9" orientation="portrait" r:id="rId1"/>
  <headerFooter scaleWithDoc="0" alignWithMargins="0">
    <oddHeader xml:space="preserve">&amp;L                            </oddHeader>
    <oddFooter>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2:I34"/>
  <sheetViews>
    <sheetView topLeftCell="A23" workbookViewId="0">
      <selection activeCell="D29" sqref="D29"/>
    </sheetView>
  </sheetViews>
  <sheetFormatPr defaultColWidth="9.140625" defaultRowHeight="15.75"/>
  <cols>
    <col min="1" max="1" width="5.85546875" style="4" customWidth="1"/>
    <col min="2" max="2" width="35.140625" style="4" customWidth="1"/>
    <col min="3" max="3" width="9.7109375" style="23" customWidth="1"/>
    <col min="4" max="4" width="22.28515625" style="131" customWidth="1"/>
    <col min="5" max="5" width="28.7109375" style="221" customWidth="1"/>
    <col min="6" max="6" width="11.7109375" style="4" bestFit="1" customWidth="1"/>
    <col min="7" max="7" width="29.140625" style="4" bestFit="1" customWidth="1"/>
    <col min="8" max="8" width="21.28515625" style="4" bestFit="1" customWidth="1"/>
    <col min="9" max="9" width="15.5703125" style="4" bestFit="1" customWidth="1"/>
    <col min="10" max="10" width="11.85546875" style="4" customWidth="1"/>
    <col min="11" max="16384" width="9.140625" style="4"/>
  </cols>
  <sheetData>
    <row r="2" spans="1:9">
      <c r="A2" s="1403" t="s">
        <v>54</v>
      </c>
      <c r="B2" s="1403"/>
      <c r="C2" s="1403"/>
      <c r="D2" s="1403"/>
      <c r="E2" s="1403"/>
    </row>
    <row r="3" spans="1:9">
      <c r="A3" s="1403" t="s">
        <v>0</v>
      </c>
      <c r="B3" s="1403"/>
      <c r="C3" s="1403"/>
      <c r="D3" s="1403"/>
      <c r="E3" s="1403"/>
    </row>
    <row r="4" spans="1:9">
      <c r="A4" s="1547" t="s">
        <v>293</v>
      </c>
      <c r="B4" s="1403"/>
      <c r="C4" s="1403"/>
      <c r="D4" s="1403"/>
      <c r="E4" s="1403"/>
    </row>
    <row r="5" spans="1:9" ht="13.5" customHeight="1">
      <c r="D5" s="211"/>
      <c r="E5" s="25"/>
    </row>
    <row r="6" spans="1:9" ht="18" customHeight="1">
      <c r="A6" s="1536" t="s">
        <v>598</v>
      </c>
      <c r="B6" s="1536"/>
      <c r="C6" s="1536"/>
      <c r="D6" s="1536"/>
      <c r="E6" s="25"/>
    </row>
    <row r="7" spans="1:9" ht="15" customHeight="1">
      <c r="A7" s="1403" t="s">
        <v>583</v>
      </c>
      <c r="B7" s="1403"/>
      <c r="C7" s="1403"/>
      <c r="D7" s="1403"/>
      <c r="E7" s="25"/>
    </row>
    <row r="8" spans="1:9" ht="15" customHeight="1">
      <c r="A8" s="447"/>
      <c r="B8" s="447"/>
      <c r="C8" s="447"/>
      <c r="D8" s="211"/>
      <c r="E8" s="25"/>
    </row>
    <row r="9" spans="1:9" s="3" customFormat="1" ht="20.25" customHeight="1">
      <c r="A9" s="1538" t="s">
        <v>821</v>
      </c>
      <c r="B9" s="1538"/>
      <c r="C9" s="1538"/>
      <c r="D9" s="1538"/>
      <c r="E9" s="1538"/>
    </row>
    <row r="10" spans="1:9" ht="15.75" customHeight="1">
      <c r="A10" s="1549" t="s">
        <v>811</v>
      </c>
      <c r="B10" s="1550"/>
      <c r="C10" s="1550"/>
      <c r="D10" s="1550"/>
      <c r="E10" s="1550"/>
    </row>
    <row r="11" spans="1:9" ht="15.75" customHeight="1">
      <c r="A11" s="351"/>
      <c r="B11" s="351"/>
      <c r="D11" s="211"/>
      <c r="E11" s="25"/>
      <c r="F11" s="4" t="e">
        <f>#REF!</f>
        <v>#REF!</v>
      </c>
    </row>
    <row r="12" spans="1:9" s="182" customFormat="1" ht="53.25" customHeight="1">
      <c r="A12" s="352" t="s">
        <v>4</v>
      </c>
      <c r="B12" s="352" t="s">
        <v>176</v>
      </c>
      <c r="C12" s="181" t="s">
        <v>9</v>
      </c>
      <c r="D12" s="212" t="s">
        <v>180</v>
      </c>
      <c r="E12" s="218" t="s">
        <v>67</v>
      </c>
    </row>
    <row r="13" spans="1:9" s="3" customFormat="1" ht="18.75" customHeight="1">
      <c r="A13" s="1640" t="s">
        <v>188</v>
      </c>
      <c r="B13" s="1641"/>
      <c r="C13" s="207"/>
      <c r="D13" s="214"/>
      <c r="E13" s="219"/>
    </row>
    <row r="14" spans="1:9" s="3" customFormat="1" ht="18.75" customHeight="1">
      <c r="A14" s="183">
        <v>1</v>
      </c>
      <c r="B14" s="200" t="s">
        <v>189</v>
      </c>
      <c r="C14" s="206" t="s">
        <v>114</v>
      </c>
      <c r="D14" s="213">
        <f>'tiền TB '!F21</f>
        <v>5900000</v>
      </c>
      <c r="E14" s="220"/>
      <c r="G14" s="4"/>
      <c r="H14" s="325">
        <v>4500000</v>
      </c>
    </row>
    <row r="15" spans="1:9" s="3" customFormat="1" ht="18.75" customHeight="1">
      <c r="A15" s="183">
        <v>2</v>
      </c>
      <c r="B15" s="200" t="s">
        <v>194</v>
      </c>
      <c r="C15" s="206" t="s">
        <v>114</v>
      </c>
      <c r="D15" s="213">
        <v>5000000</v>
      </c>
      <c r="E15" s="220"/>
      <c r="G15" s="4"/>
      <c r="H15" s="325">
        <v>5000000</v>
      </c>
      <c r="I15" s="3">
        <v>870</v>
      </c>
    </row>
    <row r="16" spans="1:9" s="3" customFormat="1" ht="18.75" hidden="1" customHeight="1">
      <c r="A16" s="183">
        <v>3</v>
      </c>
      <c r="B16" s="200" t="s">
        <v>196</v>
      </c>
      <c r="C16" s="206" t="s">
        <v>114</v>
      </c>
      <c r="D16" s="801"/>
      <c r="E16" s="220"/>
      <c r="G16" s="323" t="e">
        <f>D20-#REF!</f>
        <v>#REF!</v>
      </c>
      <c r="H16" s="325">
        <v>4356250</v>
      </c>
      <c r="I16" s="3">
        <v>600</v>
      </c>
    </row>
    <row r="17" spans="1:9" s="3" customFormat="1" ht="18.75" customHeight="1">
      <c r="A17" s="183">
        <v>3</v>
      </c>
      <c r="B17" s="200" t="s">
        <v>192</v>
      </c>
      <c r="C17" s="206" t="s">
        <v>114</v>
      </c>
      <c r="D17" s="213">
        <f>'TT CVK'!E16</f>
        <v>500000</v>
      </c>
      <c r="E17" s="220"/>
      <c r="G17" s="4"/>
      <c r="H17" s="325">
        <v>1573120</v>
      </c>
      <c r="I17" s="3">
        <v>4560</v>
      </c>
    </row>
    <row r="18" spans="1:9" s="3" customFormat="1" ht="18.75" hidden="1" customHeight="1">
      <c r="A18" s="183">
        <v>5</v>
      </c>
      <c r="B18" s="200" t="s">
        <v>197</v>
      </c>
      <c r="C18" s="206" t="s">
        <v>114</v>
      </c>
      <c r="D18" s="213"/>
      <c r="E18" s="220"/>
      <c r="G18" s="131">
        <v>1700000</v>
      </c>
      <c r="H18" s="325">
        <v>500000</v>
      </c>
    </row>
    <row r="19" spans="1:9" s="3" customFormat="1" ht="18.75" customHeight="1">
      <c r="A19" s="183">
        <v>4</v>
      </c>
      <c r="B19" s="200" t="s">
        <v>510</v>
      </c>
      <c r="C19" s="206" t="s">
        <v>114</v>
      </c>
      <c r="D19" s="213">
        <f>'Thanh toán XX'!F16</f>
        <v>1200000</v>
      </c>
      <c r="E19" s="220"/>
      <c r="G19" s="165" t="e">
        <f>#REF!</f>
        <v>#REF!</v>
      </c>
      <c r="H19" s="325">
        <v>6940000</v>
      </c>
    </row>
    <row r="20" spans="1:9" ht="22.5" customHeight="1">
      <c r="A20" s="1602" t="s">
        <v>190</v>
      </c>
      <c r="B20" s="1602"/>
      <c r="C20" s="299"/>
      <c r="D20" s="897">
        <f>SUM(D14:D19)</f>
        <v>12600000</v>
      </c>
      <c r="E20" s="219"/>
      <c r="G20" s="184" t="e">
        <f>#REF!</f>
        <v>#REF!</v>
      </c>
      <c r="H20" s="131">
        <f>SUM(H14:H19)</f>
        <v>22869370</v>
      </c>
      <c r="I20" s="165"/>
    </row>
    <row r="21" spans="1:9" ht="23.25" customHeight="1">
      <c r="A21" s="1553" t="s">
        <v>850</v>
      </c>
      <c r="B21" s="1554"/>
      <c r="C21" s="1554"/>
      <c r="D21" s="1554"/>
      <c r="E21" s="1555"/>
      <c r="G21" s="165">
        <v>5960000</v>
      </c>
      <c r="H21" s="324"/>
    </row>
    <row r="22" spans="1:9" ht="12" customHeight="1">
      <c r="A22" s="634"/>
      <c r="B22" s="634"/>
      <c r="C22" s="635"/>
      <c r="D22" s="635"/>
      <c r="E22" s="635"/>
      <c r="G22" s="165"/>
      <c r="H22" s="324"/>
    </row>
    <row r="23" spans="1:9" s="164" customFormat="1" ht="18.75">
      <c r="A23" s="185"/>
      <c r="B23" s="185"/>
      <c r="C23" s="1639" t="s">
        <v>822</v>
      </c>
      <c r="D23" s="1639"/>
      <c r="E23" s="1639"/>
      <c r="G23" s="196" t="e">
        <f>D20+#REF!</f>
        <v>#REF!</v>
      </c>
      <c r="H23" s="186"/>
      <c r="I23" s="187"/>
    </row>
    <row r="24" spans="1:9" s="164" customFormat="1" ht="10.5" customHeight="1">
      <c r="A24" s="197"/>
      <c r="B24" s="197"/>
      <c r="C24" s="209"/>
      <c r="D24" s="1556"/>
      <c r="E24" s="1556"/>
      <c r="G24" s="421">
        <v>5940000</v>
      </c>
      <c r="H24" s="188"/>
    </row>
    <row r="25" spans="1:9" s="189" customFormat="1" ht="18.75">
      <c r="A25" s="1638"/>
      <c r="B25" s="1638"/>
      <c r="C25" s="1638"/>
      <c r="D25" s="1638"/>
      <c r="E25" s="1638"/>
      <c r="G25" s="201" t="e">
        <f>SUM(G18:G21)</f>
        <v>#REF!</v>
      </c>
      <c r="H25" s="190"/>
    </row>
    <row r="26" spans="1:9" s="164" customFormat="1" ht="18.75">
      <c r="A26" s="1597" t="s">
        <v>621</v>
      </c>
      <c r="B26" s="1597"/>
      <c r="C26" s="1597"/>
      <c r="D26" s="1597"/>
      <c r="E26" s="1597"/>
      <c r="F26" s="1217"/>
      <c r="G26" s="1217"/>
      <c r="H26" s="1217"/>
    </row>
    <row r="27" spans="1:9" s="164" customFormat="1" ht="18.75">
      <c r="A27" s="993"/>
      <c r="B27" s="993"/>
      <c r="C27" s="993"/>
      <c r="D27" s="993"/>
      <c r="E27" s="993"/>
      <c r="F27" s="993"/>
      <c r="G27" s="994"/>
      <c r="H27" s="994"/>
    </row>
    <row r="28" spans="1:9" s="164" customFormat="1" ht="18.75">
      <c r="A28" s="993"/>
      <c r="B28" s="993"/>
      <c r="C28" s="993"/>
      <c r="D28" s="993"/>
      <c r="E28" s="993"/>
      <c r="F28" s="993"/>
      <c r="G28" s="994"/>
      <c r="H28" s="994"/>
    </row>
    <row r="29" spans="1:9" s="164" customFormat="1" ht="18.75">
      <c r="A29" s="993"/>
      <c r="B29" s="993"/>
      <c r="C29" s="993"/>
      <c r="D29" s="993"/>
      <c r="E29" s="993"/>
      <c r="F29" s="993"/>
      <c r="G29" s="994"/>
      <c r="H29" s="994"/>
    </row>
    <row r="30" spans="1:9" s="164" customFormat="1" ht="18.75">
      <c r="A30" s="993"/>
      <c r="B30" s="993"/>
      <c r="C30" s="993"/>
      <c r="D30" s="993"/>
      <c r="E30" s="993"/>
      <c r="F30" s="993"/>
      <c r="G30" s="994"/>
      <c r="H30" s="994"/>
    </row>
    <row r="31" spans="1:9">
      <c r="A31" s="993"/>
      <c r="B31" s="993"/>
      <c r="C31" s="993"/>
      <c r="D31" s="993"/>
      <c r="E31" s="993"/>
      <c r="F31" s="993"/>
      <c r="G31" s="994"/>
      <c r="H31" s="994"/>
    </row>
    <row r="32" spans="1:9">
      <c r="A32" s="993"/>
      <c r="B32" s="993"/>
      <c r="C32" s="993"/>
      <c r="D32" s="993"/>
      <c r="E32" s="993"/>
      <c r="F32" s="993"/>
      <c r="G32" s="994"/>
      <c r="H32" s="994"/>
    </row>
    <row r="33" spans="1:8">
      <c r="A33" s="1598"/>
      <c r="B33" s="1598"/>
      <c r="C33" s="993"/>
      <c r="D33" s="993"/>
      <c r="E33" s="993"/>
      <c r="F33" s="993"/>
      <c r="G33" s="994"/>
      <c r="H33" s="994"/>
    </row>
    <row r="34" spans="1:8">
      <c r="A34" s="1599" t="s">
        <v>622</v>
      </c>
      <c r="B34" s="1599"/>
      <c r="C34" s="1599"/>
      <c r="D34" s="1599"/>
      <c r="E34" s="1599"/>
      <c r="F34" s="1218"/>
      <c r="G34" s="1218"/>
      <c r="H34" s="1218"/>
    </row>
  </sheetData>
  <mergeCells count="16">
    <mergeCell ref="A13:B13"/>
    <mergeCell ref="A9:E9"/>
    <mergeCell ref="A10:E10"/>
    <mergeCell ref="A2:E2"/>
    <mergeCell ref="A3:E3"/>
    <mergeCell ref="A4:E4"/>
    <mergeCell ref="A6:D6"/>
    <mergeCell ref="A7:D7"/>
    <mergeCell ref="A33:B33"/>
    <mergeCell ref="A26:E26"/>
    <mergeCell ref="A34:E34"/>
    <mergeCell ref="A20:B20"/>
    <mergeCell ref="D24:E24"/>
    <mergeCell ref="A21:E21"/>
    <mergeCell ref="A25:E25"/>
    <mergeCell ref="C23:E23"/>
  </mergeCells>
  <printOptions horizontalCentered="1"/>
  <pageMargins left="0.196850393700787" right="0" top="0.196850393700787" bottom="0.196850393700787" header="0.2" footer="0.31496062992126"/>
  <pageSetup paperSize="9" fitToHeight="0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K40"/>
  <sheetViews>
    <sheetView topLeftCell="A13" workbookViewId="0">
      <selection activeCell="AD29" sqref="AD29"/>
    </sheetView>
  </sheetViews>
  <sheetFormatPr defaultColWidth="9.140625" defaultRowHeight="15"/>
  <cols>
    <col min="1" max="1" width="3.7109375" style="45" bestFit="1" customWidth="1"/>
    <col min="2" max="2" width="16.85546875" style="45" customWidth="1"/>
    <col min="3" max="3" width="12" style="45" customWidth="1"/>
    <col min="4" max="7" width="3" style="45" customWidth="1"/>
    <col min="8" max="8" width="3" style="55" customWidth="1"/>
    <col min="9" max="10" width="3" style="45" customWidth="1"/>
    <col min="11" max="11" width="3.5703125" style="45" customWidth="1"/>
    <col min="12" max="31" width="3" style="45" customWidth="1"/>
    <col min="32" max="32" width="3.5703125" style="45" customWidth="1"/>
    <col min="33" max="33" width="3.42578125" style="45" customWidth="1"/>
    <col min="34" max="34" width="3.7109375" style="45" hidden="1" customWidth="1"/>
    <col min="35" max="35" width="7.28515625" style="45" customWidth="1"/>
    <col min="36" max="36" width="10.7109375" style="45" customWidth="1"/>
    <col min="37" max="37" width="9.140625" style="45"/>
    <col min="38" max="38" width="14.85546875" style="45" bestFit="1" customWidth="1"/>
    <col min="39" max="43" width="9.140625" style="45"/>
    <col min="44" max="44" width="15.85546875" style="45" customWidth="1"/>
    <col min="45" max="16384" width="9.140625" style="45"/>
  </cols>
  <sheetData>
    <row r="1" spans="1:37" ht="15" customHeight="1">
      <c r="A1" s="1643" t="s">
        <v>54</v>
      </c>
      <c r="B1" s="1643"/>
      <c r="C1" s="1643"/>
      <c r="D1" s="1643"/>
      <c r="E1" s="1643"/>
      <c r="F1" s="1643"/>
      <c r="G1" s="1643"/>
      <c r="H1" s="1643"/>
      <c r="I1" s="1643"/>
      <c r="J1" s="1643"/>
      <c r="K1" s="1643"/>
      <c r="L1" s="1643"/>
      <c r="M1" s="1643"/>
      <c r="N1" s="1643"/>
      <c r="O1" s="1643"/>
      <c r="P1" s="1643"/>
      <c r="Q1" s="1643"/>
      <c r="R1" s="1643"/>
      <c r="S1" s="1643"/>
      <c r="T1" s="1643"/>
      <c r="U1" s="1643"/>
      <c r="V1" s="1643"/>
      <c r="W1" s="1643"/>
      <c r="X1" s="1643"/>
      <c r="Y1" s="1643"/>
      <c r="Z1" s="1643"/>
      <c r="AA1" s="1643"/>
      <c r="AB1" s="1643"/>
      <c r="AC1" s="1643"/>
      <c r="AD1" s="1643"/>
      <c r="AE1" s="1643"/>
      <c r="AF1" s="1643"/>
      <c r="AG1" s="1643"/>
      <c r="AH1" s="1643"/>
      <c r="AI1" s="1643"/>
      <c r="AJ1" s="1643"/>
    </row>
    <row r="2" spans="1:37" ht="15" customHeight="1">
      <c r="A2" s="1643" t="s">
        <v>48</v>
      </c>
      <c r="B2" s="1643"/>
      <c r="C2" s="1643"/>
      <c r="D2" s="1643"/>
      <c r="E2" s="1643"/>
      <c r="F2" s="1643"/>
      <c r="G2" s="1643"/>
      <c r="H2" s="1643"/>
      <c r="I2" s="1643"/>
      <c r="J2" s="1643"/>
      <c r="K2" s="1643"/>
      <c r="L2" s="1643"/>
      <c r="M2" s="1643"/>
      <c r="N2" s="1643"/>
      <c r="O2" s="1643"/>
      <c r="P2" s="1643"/>
      <c r="Q2" s="1643"/>
      <c r="R2" s="1643"/>
      <c r="S2" s="1643"/>
      <c r="T2" s="1643"/>
      <c r="U2" s="1643"/>
      <c r="V2" s="1643"/>
      <c r="W2" s="1643"/>
      <c r="X2" s="1643"/>
      <c r="Y2" s="1643"/>
      <c r="Z2" s="1643"/>
      <c r="AA2" s="1643"/>
      <c r="AB2" s="1643"/>
      <c r="AC2" s="1643"/>
      <c r="AD2" s="1643"/>
      <c r="AE2" s="1643"/>
      <c r="AF2" s="1643"/>
      <c r="AG2" s="1643"/>
      <c r="AH2" s="1643"/>
      <c r="AI2" s="1643"/>
      <c r="AJ2" s="1643"/>
    </row>
    <row r="3" spans="1:37" ht="17.25" customHeight="1">
      <c r="A3" s="1644" t="s">
        <v>292</v>
      </c>
      <c r="B3" s="1644"/>
      <c r="C3" s="1644"/>
      <c r="D3" s="1644"/>
      <c r="E3" s="1644"/>
      <c r="F3" s="1644"/>
      <c r="G3" s="1644"/>
      <c r="H3" s="1644"/>
      <c r="I3" s="1644"/>
      <c r="J3" s="1644"/>
      <c r="K3" s="1644"/>
      <c r="L3" s="1644"/>
      <c r="M3" s="1644"/>
      <c r="N3" s="1644"/>
      <c r="O3" s="1644"/>
      <c r="P3" s="1644"/>
      <c r="Q3" s="1644"/>
      <c r="R3" s="1644"/>
      <c r="S3" s="1644"/>
      <c r="T3" s="1644"/>
      <c r="U3" s="1644"/>
      <c r="V3" s="1644"/>
      <c r="W3" s="1644"/>
      <c r="X3" s="1644"/>
      <c r="Y3" s="1644"/>
      <c r="Z3" s="1644"/>
      <c r="AA3" s="1644"/>
      <c r="AB3" s="1644"/>
      <c r="AC3" s="1644"/>
      <c r="AD3" s="1644"/>
      <c r="AE3" s="1644"/>
      <c r="AF3" s="1644"/>
      <c r="AG3" s="1644"/>
      <c r="AH3" s="1644"/>
      <c r="AI3" s="1644"/>
      <c r="AJ3" s="1644"/>
    </row>
    <row r="4" spans="1:37" ht="9" customHeight="1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</row>
    <row r="5" spans="1:37" ht="23.25" customHeight="1">
      <c r="A5" s="1502" t="s">
        <v>598</v>
      </c>
      <c r="B5" s="1502"/>
      <c r="C5" s="1502"/>
      <c r="D5" s="1502"/>
      <c r="E5" s="1502"/>
      <c r="F5" s="1502"/>
      <c r="G5" s="1502"/>
      <c r="H5" s="1502"/>
      <c r="I5" s="1502"/>
      <c r="J5" s="1502"/>
      <c r="K5" s="1502"/>
      <c r="L5" s="1502"/>
      <c r="M5" s="1502"/>
      <c r="N5" s="1502"/>
      <c r="O5" s="1502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</row>
    <row r="6" spans="1:37" ht="18" customHeight="1">
      <c r="A6" s="1296" t="s">
        <v>583</v>
      </c>
      <c r="B6" s="1296"/>
      <c r="C6" s="1296"/>
      <c r="D6" s="1296"/>
      <c r="E6" s="1296"/>
      <c r="F6" s="1296"/>
      <c r="G6" s="1296"/>
      <c r="H6" s="1296"/>
      <c r="I6" s="1296"/>
      <c r="J6" s="1296"/>
      <c r="K6" s="1296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</row>
    <row r="7" spans="1:37" ht="12" customHeight="1">
      <c r="A7" s="292"/>
      <c r="B7" s="292"/>
      <c r="C7" s="292"/>
      <c r="D7" s="292"/>
      <c r="E7" s="292"/>
      <c r="F7" s="292"/>
      <c r="G7" s="292"/>
      <c r="H7" s="292"/>
      <c r="I7" s="292"/>
      <c r="J7" s="292"/>
      <c r="K7" s="292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</row>
    <row r="8" spans="1:37" ht="23.25" customHeight="1">
      <c r="A8" s="1642" t="s">
        <v>588</v>
      </c>
      <c r="B8" s="1642"/>
      <c r="C8" s="1642"/>
      <c r="D8" s="1642"/>
      <c r="E8" s="1642"/>
      <c r="F8" s="1642"/>
      <c r="G8" s="1642"/>
      <c r="H8" s="1642"/>
      <c r="I8" s="1642"/>
      <c r="J8" s="1642"/>
      <c r="K8" s="1642"/>
      <c r="L8" s="1642"/>
      <c r="M8" s="1642"/>
      <c r="N8" s="1642"/>
      <c r="O8" s="1642"/>
      <c r="P8" s="1642"/>
      <c r="Q8" s="1642"/>
      <c r="R8" s="1642"/>
      <c r="S8" s="1642"/>
      <c r="T8" s="1642"/>
      <c r="U8" s="1642"/>
      <c r="V8" s="1642"/>
      <c r="W8" s="1642"/>
      <c r="X8" s="1642"/>
      <c r="Y8" s="1642"/>
      <c r="Z8" s="1642"/>
      <c r="AA8" s="1642"/>
      <c r="AB8" s="1642"/>
      <c r="AC8" s="1642"/>
      <c r="AD8" s="1642"/>
      <c r="AE8" s="1642"/>
      <c r="AF8" s="1642"/>
      <c r="AG8" s="1642"/>
      <c r="AH8" s="1642"/>
      <c r="AI8" s="1642"/>
      <c r="AJ8" s="1642"/>
    </row>
    <row r="9" spans="1:37" ht="18" customHeight="1">
      <c r="A9" s="1646" t="s">
        <v>589</v>
      </c>
      <c r="B9" s="1646"/>
      <c r="C9" s="1646"/>
      <c r="D9" s="1646"/>
      <c r="E9" s="1646"/>
      <c r="F9" s="1646"/>
      <c r="G9" s="1646"/>
      <c r="H9" s="1646"/>
      <c r="I9" s="1646"/>
      <c r="J9" s="1646"/>
      <c r="K9" s="1646"/>
      <c r="L9" s="1646"/>
      <c r="M9" s="1646"/>
      <c r="N9" s="1646"/>
      <c r="O9" s="1646"/>
      <c r="P9" s="1646"/>
      <c r="Q9" s="1646"/>
      <c r="R9" s="1646"/>
      <c r="S9" s="1646"/>
      <c r="T9" s="1646"/>
      <c r="U9" s="1646"/>
      <c r="V9" s="1646"/>
      <c r="W9" s="1646"/>
      <c r="X9" s="1646"/>
      <c r="Y9" s="1646"/>
      <c r="Z9" s="1646"/>
      <c r="AA9" s="1646"/>
      <c r="AB9" s="1646"/>
      <c r="AC9" s="1646"/>
      <c r="AD9" s="1646"/>
      <c r="AE9" s="1646"/>
      <c r="AF9" s="1646"/>
      <c r="AG9" s="1646"/>
      <c r="AH9" s="1646"/>
      <c r="AI9" s="1646"/>
      <c r="AJ9" s="1646"/>
    </row>
    <row r="10" spans="1:37" ht="15" customHeight="1">
      <c r="A10" s="1647" t="s">
        <v>49</v>
      </c>
      <c r="B10" s="1647" t="s">
        <v>50</v>
      </c>
      <c r="C10" s="1647" t="s">
        <v>51</v>
      </c>
      <c r="D10" s="1649" t="s">
        <v>52</v>
      </c>
      <c r="E10" s="1649"/>
      <c r="F10" s="1649"/>
      <c r="G10" s="1649"/>
      <c r="H10" s="1649"/>
      <c r="I10" s="1649"/>
      <c r="J10" s="1649"/>
      <c r="K10" s="1649"/>
      <c r="L10" s="1649"/>
      <c r="M10" s="1649"/>
      <c r="N10" s="1649"/>
      <c r="O10" s="1649"/>
      <c r="P10" s="1649"/>
      <c r="Q10" s="1649"/>
      <c r="R10" s="1649"/>
      <c r="S10" s="1649"/>
      <c r="T10" s="1649"/>
      <c r="U10" s="1649"/>
      <c r="V10" s="1649"/>
      <c r="W10" s="1649"/>
      <c r="X10" s="1649"/>
      <c r="Y10" s="1649"/>
      <c r="Z10" s="1649"/>
      <c r="AA10" s="1649"/>
      <c r="AB10" s="1649"/>
      <c r="AC10" s="1649"/>
      <c r="AD10" s="1649"/>
      <c r="AE10" s="1649"/>
      <c r="AF10" s="1649"/>
      <c r="AG10" s="1649"/>
      <c r="AH10" s="942"/>
      <c r="AI10" s="1401" t="s">
        <v>35</v>
      </c>
      <c r="AJ10" s="1401" t="s">
        <v>353</v>
      </c>
      <c r="AK10" s="427">
        <v>27</v>
      </c>
    </row>
    <row r="11" spans="1:37" ht="15" customHeight="1">
      <c r="A11" s="1647"/>
      <c r="B11" s="1647"/>
      <c r="C11" s="1647"/>
      <c r="D11" s="942">
        <v>1</v>
      </c>
      <c r="E11" s="942">
        <v>2</v>
      </c>
      <c r="F11" s="942">
        <v>3</v>
      </c>
      <c r="G11" s="942">
        <v>4</v>
      </c>
      <c r="H11" s="942">
        <v>5</v>
      </c>
      <c r="I11" s="942">
        <v>6</v>
      </c>
      <c r="J11" s="942">
        <v>7</v>
      </c>
      <c r="K11" s="942">
        <v>8</v>
      </c>
      <c r="L11" s="942">
        <v>9</v>
      </c>
      <c r="M11" s="942">
        <v>10</v>
      </c>
      <c r="N11" s="942">
        <v>11</v>
      </c>
      <c r="O11" s="942">
        <v>12</v>
      </c>
      <c r="P11" s="942">
        <v>13</v>
      </c>
      <c r="Q11" s="942">
        <v>14</v>
      </c>
      <c r="R11" s="942">
        <v>15</v>
      </c>
      <c r="S11" s="942">
        <v>16</v>
      </c>
      <c r="T11" s="942">
        <v>17</v>
      </c>
      <c r="U11" s="942">
        <v>18</v>
      </c>
      <c r="V11" s="942">
        <v>19</v>
      </c>
      <c r="W11" s="942">
        <v>20</v>
      </c>
      <c r="X11" s="942">
        <v>21</v>
      </c>
      <c r="Y11" s="942">
        <v>22</v>
      </c>
      <c r="Z11" s="942">
        <v>23</v>
      </c>
      <c r="AA11" s="942">
        <v>24</v>
      </c>
      <c r="AB11" s="942">
        <v>25</v>
      </c>
      <c r="AC11" s="942">
        <v>26</v>
      </c>
      <c r="AD11" s="942">
        <v>27</v>
      </c>
      <c r="AE11" s="942">
        <v>28</v>
      </c>
      <c r="AF11" s="942">
        <v>29</v>
      </c>
      <c r="AG11" s="942">
        <v>30</v>
      </c>
      <c r="AH11" s="942">
        <v>31</v>
      </c>
      <c r="AI11" s="1401"/>
      <c r="AJ11" s="1401"/>
    </row>
    <row r="12" spans="1:37" ht="15" customHeight="1">
      <c r="A12" s="950" t="s">
        <v>359</v>
      </c>
      <c r="B12" s="1649" t="s">
        <v>590</v>
      </c>
      <c r="C12" s="1649"/>
      <c r="D12" s="1649"/>
      <c r="E12" s="1649"/>
      <c r="F12" s="1649"/>
      <c r="G12" s="1649"/>
      <c r="H12" s="1649"/>
      <c r="I12" s="1649"/>
      <c r="J12" s="1649"/>
      <c r="K12" s="1649"/>
      <c r="L12" s="1649"/>
      <c r="M12" s="1649"/>
      <c r="N12" s="1649"/>
      <c r="O12" s="1649"/>
      <c r="P12" s="1649"/>
      <c r="Q12" s="1649"/>
      <c r="R12" s="1649"/>
      <c r="S12" s="1649"/>
      <c r="T12" s="1649"/>
      <c r="U12" s="1649"/>
      <c r="V12" s="1649"/>
      <c r="W12" s="1649"/>
      <c r="X12" s="1649"/>
      <c r="Y12" s="1649"/>
      <c r="Z12" s="1649"/>
      <c r="AA12" s="1649"/>
      <c r="AB12" s="1649"/>
      <c r="AC12" s="1649"/>
      <c r="AD12" s="1649"/>
      <c r="AE12" s="1649"/>
      <c r="AF12" s="1649"/>
      <c r="AG12" s="1649"/>
      <c r="AH12" s="942"/>
      <c r="AI12" s="205">
        <f>SUM(AI13:AI14)</f>
        <v>60</v>
      </c>
      <c r="AJ12" s="941"/>
    </row>
    <row r="13" spans="1:37" ht="23.25" customHeight="1">
      <c r="A13" s="97">
        <v>1</v>
      </c>
      <c r="B13" s="89" t="s">
        <v>2</v>
      </c>
      <c r="C13" s="89" t="s">
        <v>591</v>
      </c>
      <c r="D13" s="203" t="s">
        <v>53</v>
      </c>
      <c r="E13" s="203" t="s">
        <v>53</v>
      </c>
      <c r="F13" s="203" t="s">
        <v>53</v>
      </c>
      <c r="G13" s="203" t="s">
        <v>53</v>
      </c>
      <c r="H13" s="203" t="s">
        <v>53</v>
      </c>
      <c r="I13" s="203" t="s">
        <v>53</v>
      </c>
      <c r="J13" s="203" t="s">
        <v>53</v>
      </c>
      <c r="K13" s="203" t="s">
        <v>53</v>
      </c>
      <c r="L13" s="203" t="s">
        <v>53</v>
      </c>
      <c r="M13" s="203" t="s">
        <v>53</v>
      </c>
      <c r="N13" s="203" t="s">
        <v>53</v>
      </c>
      <c r="O13" s="203" t="s">
        <v>53</v>
      </c>
      <c r="P13" s="203" t="s">
        <v>53</v>
      </c>
      <c r="Q13" s="203" t="s">
        <v>53</v>
      </c>
      <c r="R13" s="203" t="s">
        <v>53</v>
      </c>
      <c r="S13" s="203" t="s">
        <v>53</v>
      </c>
      <c r="T13" s="203" t="s">
        <v>53</v>
      </c>
      <c r="U13" s="203" t="s">
        <v>53</v>
      </c>
      <c r="V13" s="203" t="s">
        <v>53</v>
      </c>
      <c r="W13" s="203" t="s">
        <v>53</v>
      </c>
      <c r="X13" s="203" t="s">
        <v>53</v>
      </c>
      <c r="Y13" s="203" t="s">
        <v>53</v>
      </c>
      <c r="Z13" s="203" t="s">
        <v>53</v>
      </c>
      <c r="AA13" s="203" t="s">
        <v>53</v>
      </c>
      <c r="AB13" s="203" t="s">
        <v>53</v>
      </c>
      <c r="AC13" s="203" t="s">
        <v>53</v>
      </c>
      <c r="AD13" s="203" t="s">
        <v>53</v>
      </c>
      <c r="AE13" s="203" t="s">
        <v>53</v>
      </c>
      <c r="AF13" s="203" t="s">
        <v>53</v>
      </c>
      <c r="AG13" s="203" t="s">
        <v>53</v>
      </c>
      <c r="AH13" s="203"/>
      <c r="AI13" s="204">
        <f>COUNTIF(D13:AH13,"x")+ COUNTIF(D13:AH13,"p")+COUNTIF(D13:AH13,"mn")+COUNTIF(D13:AH13,"T")+COUNTIF(D13:AH13,"VN")</f>
        <v>30</v>
      </c>
      <c r="AJ13" s="204"/>
    </row>
    <row r="14" spans="1:37" ht="23.25" customHeight="1">
      <c r="A14" s="97">
        <v>2</v>
      </c>
      <c r="B14" s="89" t="s">
        <v>168</v>
      </c>
      <c r="C14" s="89" t="s">
        <v>591</v>
      </c>
      <c r="D14" s="203" t="s">
        <v>53</v>
      </c>
      <c r="E14" s="203" t="s">
        <v>53</v>
      </c>
      <c r="F14" s="203" t="s">
        <v>53</v>
      </c>
      <c r="G14" s="203" t="s">
        <v>53</v>
      </c>
      <c r="H14" s="203" t="s">
        <v>53</v>
      </c>
      <c r="I14" s="203" t="s">
        <v>53</v>
      </c>
      <c r="J14" s="203" t="s">
        <v>53</v>
      </c>
      <c r="K14" s="203" t="s">
        <v>53</v>
      </c>
      <c r="L14" s="203" t="s">
        <v>53</v>
      </c>
      <c r="M14" s="203" t="s">
        <v>53</v>
      </c>
      <c r="N14" s="203" t="s">
        <v>53</v>
      </c>
      <c r="O14" s="203" t="s">
        <v>53</v>
      </c>
      <c r="P14" s="203" t="s">
        <v>53</v>
      </c>
      <c r="Q14" s="203" t="s">
        <v>53</v>
      </c>
      <c r="R14" s="203" t="s">
        <v>53</v>
      </c>
      <c r="S14" s="203" t="s">
        <v>53</v>
      </c>
      <c r="T14" s="203" t="s">
        <v>53</v>
      </c>
      <c r="U14" s="203" t="s">
        <v>53</v>
      </c>
      <c r="V14" s="203" t="s">
        <v>53</v>
      </c>
      <c r="W14" s="203" t="s">
        <v>53</v>
      </c>
      <c r="X14" s="203" t="s">
        <v>53</v>
      </c>
      <c r="Y14" s="203" t="s">
        <v>53</v>
      </c>
      <c r="Z14" s="203" t="s">
        <v>53</v>
      </c>
      <c r="AA14" s="203" t="s">
        <v>53</v>
      </c>
      <c r="AB14" s="203" t="s">
        <v>53</v>
      </c>
      <c r="AC14" s="203" t="s">
        <v>53</v>
      </c>
      <c r="AD14" s="203" t="s">
        <v>53</v>
      </c>
      <c r="AE14" s="203" t="s">
        <v>53</v>
      </c>
      <c r="AF14" s="203" t="s">
        <v>53</v>
      </c>
      <c r="AG14" s="203" t="s">
        <v>53</v>
      </c>
      <c r="AH14" s="203"/>
      <c r="AI14" s="204">
        <f>COUNTIF(D14:AH14,"x")+ COUNTIF(D14:AH14,"p")+COUNTIF(D14:AH14,"mn")+COUNTIF(D14:AH14,"T")+COUNTIF(D14:AH14,"VN")</f>
        <v>30</v>
      </c>
      <c r="AJ14" s="204"/>
    </row>
    <row r="15" spans="1:37" ht="23.25" customHeight="1">
      <c r="A15" s="950" t="s">
        <v>62</v>
      </c>
      <c r="B15" s="1647" t="s">
        <v>358</v>
      </c>
      <c r="C15" s="1647"/>
      <c r="D15" s="1647"/>
      <c r="E15" s="1647"/>
      <c r="F15" s="1647"/>
      <c r="G15" s="1647"/>
      <c r="H15" s="1647"/>
      <c r="I15" s="1647"/>
      <c r="J15" s="1647"/>
      <c r="K15" s="1647"/>
      <c r="L15" s="1647"/>
      <c r="M15" s="1647"/>
      <c r="N15" s="1647"/>
      <c r="O15" s="1647"/>
      <c r="P15" s="1647"/>
      <c r="Q15" s="1647"/>
      <c r="R15" s="1647"/>
      <c r="S15" s="1647"/>
      <c r="T15" s="1647"/>
      <c r="U15" s="1647"/>
      <c r="V15" s="1647"/>
      <c r="W15" s="1647"/>
      <c r="X15" s="1647"/>
      <c r="Y15" s="1647"/>
      <c r="Z15" s="1647"/>
      <c r="AA15" s="1647"/>
      <c r="AB15" s="1647"/>
      <c r="AC15" s="1647"/>
      <c r="AD15" s="1647"/>
      <c r="AE15" s="1647"/>
      <c r="AF15" s="1647"/>
      <c r="AG15" s="1647"/>
      <c r="AH15" s="942"/>
      <c r="AI15" s="205">
        <f>SUM(AI16:AI18)</f>
        <v>90</v>
      </c>
      <c r="AJ15" s="204"/>
    </row>
    <row r="16" spans="1:37" ht="23.25" customHeight="1">
      <c r="A16" s="422">
        <v>1</v>
      </c>
      <c r="B16" s="225" t="s">
        <v>592</v>
      </c>
      <c r="C16" s="91" t="s">
        <v>806</v>
      </c>
      <c r="D16" s="422" t="s">
        <v>53</v>
      </c>
      <c r="E16" s="422" t="s">
        <v>53</v>
      </c>
      <c r="F16" s="422" t="s">
        <v>53</v>
      </c>
      <c r="G16" s="422" t="s">
        <v>53</v>
      </c>
      <c r="H16" s="422" t="s">
        <v>53</v>
      </c>
      <c r="I16" s="422" t="s">
        <v>53</v>
      </c>
      <c r="J16" s="422" t="s">
        <v>53</v>
      </c>
      <c r="K16" s="422" t="s">
        <v>53</v>
      </c>
      <c r="L16" s="422" t="s">
        <v>53</v>
      </c>
      <c r="M16" s="422" t="s">
        <v>53</v>
      </c>
      <c r="N16" s="422" t="s">
        <v>53</v>
      </c>
      <c r="O16" s="422" t="s">
        <v>53</v>
      </c>
      <c r="P16" s="422" t="s">
        <v>53</v>
      </c>
      <c r="Q16" s="422" t="s">
        <v>53</v>
      </c>
      <c r="R16" s="422" t="s">
        <v>53</v>
      </c>
      <c r="S16" s="422" t="s">
        <v>53</v>
      </c>
      <c r="T16" s="422" t="s">
        <v>53</v>
      </c>
      <c r="U16" s="422" t="s">
        <v>53</v>
      </c>
      <c r="V16" s="422" t="s">
        <v>53</v>
      </c>
      <c r="W16" s="422" t="s">
        <v>53</v>
      </c>
      <c r="X16" s="422" t="s">
        <v>53</v>
      </c>
      <c r="Y16" s="422" t="s">
        <v>53</v>
      </c>
      <c r="Z16" s="422" t="s">
        <v>53</v>
      </c>
      <c r="AA16" s="422" t="s">
        <v>53</v>
      </c>
      <c r="AB16" s="422" t="s">
        <v>53</v>
      </c>
      <c r="AC16" s="422" t="s">
        <v>53</v>
      </c>
      <c r="AD16" s="422" t="s">
        <v>53</v>
      </c>
      <c r="AE16" s="422" t="s">
        <v>53</v>
      </c>
      <c r="AF16" s="422" t="s">
        <v>53</v>
      </c>
      <c r="AG16" s="422" t="s">
        <v>53</v>
      </c>
      <c r="AH16" s="422"/>
      <c r="AI16" s="204">
        <f>COUNTIF(D16:AH16,"x")+ COUNTIF(D16:AH16,"p")+COUNTIF(D16:AH16,"mn")+COUNTIF(D16:AH16,"T")+COUNTIF(D16:AH16,"VN")</f>
        <v>30</v>
      </c>
      <c r="AJ16" s="204"/>
    </row>
    <row r="17" spans="1:36" ht="23.25" customHeight="1">
      <c r="A17" s="422">
        <v>2</v>
      </c>
      <c r="B17" s="91" t="s">
        <v>175</v>
      </c>
      <c r="C17" s="91" t="s">
        <v>807</v>
      </c>
      <c r="D17" s="422" t="s">
        <v>53</v>
      </c>
      <c r="E17" s="422" t="s">
        <v>53</v>
      </c>
      <c r="F17" s="422" t="s">
        <v>53</v>
      </c>
      <c r="G17" s="422" t="s">
        <v>53</v>
      </c>
      <c r="H17" s="422" t="s">
        <v>53</v>
      </c>
      <c r="I17" s="422" t="s">
        <v>53</v>
      </c>
      <c r="J17" s="422" t="s">
        <v>53</v>
      </c>
      <c r="K17" s="422" t="s">
        <v>53</v>
      </c>
      <c r="L17" s="422" t="s">
        <v>53</v>
      </c>
      <c r="M17" s="422" t="s">
        <v>53</v>
      </c>
      <c r="N17" s="422" t="s">
        <v>53</v>
      </c>
      <c r="O17" s="422" t="s">
        <v>53</v>
      </c>
      <c r="P17" s="422" t="s">
        <v>53</v>
      </c>
      <c r="Q17" s="422" t="s">
        <v>53</v>
      </c>
      <c r="R17" s="422" t="s">
        <v>53</v>
      </c>
      <c r="S17" s="422" t="s">
        <v>53</v>
      </c>
      <c r="T17" s="422" t="s">
        <v>53</v>
      </c>
      <c r="U17" s="422" t="s">
        <v>53</v>
      </c>
      <c r="V17" s="422" t="s">
        <v>53</v>
      </c>
      <c r="W17" s="422" t="s">
        <v>53</v>
      </c>
      <c r="X17" s="422" t="s">
        <v>53</v>
      </c>
      <c r="Y17" s="422" t="s">
        <v>53</v>
      </c>
      <c r="Z17" s="422" t="s">
        <v>53</v>
      </c>
      <c r="AA17" s="422" t="s">
        <v>53</v>
      </c>
      <c r="AB17" s="422" t="s">
        <v>53</v>
      </c>
      <c r="AC17" s="422" t="s">
        <v>53</v>
      </c>
      <c r="AD17" s="422" t="s">
        <v>53</v>
      </c>
      <c r="AE17" s="422" t="s">
        <v>53</v>
      </c>
      <c r="AF17" s="422" t="s">
        <v>53</v>
      </c>
      <c r="AG17" s="422" t="s">
        <v>53</v>
      </c>
      <c r="AH17" s="422"/>
      <c r="AI17" s="204">
        <f>COUNTIF(D17:AH17,"x")+ COUNTIF(D17:AH17,"p")+COUNTIF(D17:AH17,"mn")+COUNTIF(D17:AH17,"T")+COUNTIF(D17:AH17,"VN")</f>
        <v>30</v>
      </c>
      <c r="AJ17" s="204"/>
    </row>
    <row r="18" spans="1:36" ht="23.25" customHeight="1">
      <c r="A18" s="422">
        <v>3</v>
      </c>
      <c r="B18" s="91" t="s">
        <v>593</v>
      </c>
      <c r="C18" s="91" t="s">
        <v>808</v>
      </c>
      <c r="D18" s="422" t="s">
        <v>53</v>
      </c>
      <c r="E18" s="422" t="s">
        <v>53</v>
      </c>
      <c r="F18" s="422" t="s">
        <v>53</v>
      </c>
      <c r="G18" s="422" t="s">
        <v>53</v>
      </c>
      <c r="H18" s="422" t="s">
        <v>53</v>
      </c>
      <c r="I18" s="422" t="s">
        <v>53</v>
      </c>
      <c r="J18" s="422" t="s">
        <v>53</v>
      </c>
      <c r="K18" s="422" t="s">
        <v>53</v>
      </c>
      <c r="L18" s="422" t="s">
        <v>53</v>
      </c>
      <c r="M18" s="422" t="s">
        <v>53</v>
      </c>
      <c r="N18" s="422" t="s">
        <v>53</v>
      </c>
      <c r="O18" s="422" t="s">
        <v>53</v>
      </c>
      <c r="P18" s="422" t="s">
        <v>53</v>
      </c>
      <c r="Q18" s="422" t="s">
        <v>53</v>
      </c>
      <c r="R18" s="422" t="s">
        <v>53</v>
      </c>
      <c r="S18" s="422" t="s">
        <v>53</v>
      </c>
      <c r="T18" s="422" t="s">
        <v>53</v>
      </c>
      <c r="U18" s="422" t="s">
        <v>53</v>
      </c>
      <c r="V18" s="422" t="s">
        <v>53</v>
      </c>
      <c r="W18" s="422" t="s">
        <v>53</v>
      </c>
      <c r="X18" s="422" t="s">
        <v>53</v>
      </c>
      <c r="Y18" s="422" t="s">
        <v>53</v>
      </c>
      <c r="Z18" s="422" t="s">
        <v>53</v>
      </c>
      <c r="AA18" s="422" t="s">
        <v>53</v>
      </c>
      <c r="AB18" s="422" t="s">
        <v>53</v>
      </c>
      <c r="AC18" s="422" t="s">
        <v>53</v>
      </c>
      <c r="AD18" s="422" t="s">
        <v>53</v>
      </c>
      <c r="AE18" s="422" t="s">
        <v>53</v>
      </c>
      <c r="AF18" s="422" t="s">
        <v>53</v>
      </c>
      <c r="AG18" s="422" t="s">
        <v>53</v>
      </c>
      <c r="AH18" s="422"/>
      <c r="AI18" s="204">
        <f t="shared" ref="AI18" si="0">COUNTIF(D18:AH18,"x")+ COUNTIF(D18:AH18,"p")+COUNTIF(D18:AH18,"mn")+COUNTIF(D18:AH18,"T")+COUNTIF(D18:AH18,"VN")</f>
        <v>30</v>
      </c>
      <c r="AJ18" s="204"/>
    </row>
    <row r="19" spans="1:36" ht="24.75" customHeight="1">
      <c r="A19" s="444" t="s">
        <v>94</v>
      </c>
      <c r="B19" s="1401" t="s">
        <v>314</v>
      </c>
      <c r="C19" s="1401"/>
      <c r="D19" s="1401"/>
      <c r="E19" s="1401"/>
      <c r="F19" s="1401"/>
      <c r="G19" s="1401"/>
      <c r="H19" s="1401"/>
      <c r="I19" s="1401"/>
      <c r="J19" s="1401"/>
      <c r="K19" s="1401"/>
      <c r="L19" s="1401"/>
      <c r="M19" s="1401"/>
      <c r="N19" s="1401"/>
      <c r="O19" s="1401"/>
      <c r="P19" s="1401"/>
      <c r="Q19" s="1401"/>
      <c r="R19" s="1401"/>
      <c r="S19" s="1401"/>
      <c r="T19" s="1401"/>
      <c r="U19" s="1401"/>
      <c r="V19" s="1401"/>
      <c r="W19" s="1401"/>
      <c r="X19" s="1401"/>
      <c r="Y19" s="1401"/>
      <c r="Z19" s="1401"/>
      <c r="AA19" s="1401"/>
      <c r="AB19" s="1401"/>
      <c r="AC19" s="1401"/>
      <c r="AD19" s="1401"/>
      <c r="AE19" s="1401"/>
      <c r="AF19" s="1401"/>
      <c r="AG19" s="1401"/>
      <c r="AH19" s="941"/>
      <c r="AI19" s="445">
        <f>SUM(AI20:AI20)</f>
        <v>30</v>
      </c>
      <c r="AJ19" s="445"/>
    </row>
    <row r="20" spans="1:36" ht="23.25" customHeight="1">
      <c r="A20" s="97">
        <v>1</v>
      </c>
      <c r="B20" s="91" t="s">
        <v>389</v>
      </c>
      <c r="C20" s="91" t="s">
        <v>173</v>
      </c>
      <c r="D20" s="422" t="s">
        <v>53</v>
      </c>
      <c r="E20" s="422" t="s">
        <v>53</v>
      </c>
      <c r="F20" s="422" t="s">
        <v>53</v>
      </c>
      <c r="G20" s="422" t="s">
        <v>53</v>
      </c>
      <c r="H20" s="422" t="s">
        <v>53</v>
      </c>
      <c r="I20" s="422" t="s">
        <v>53</v>
      </c>
      <c r="J20" s="422" t="s">
        <v>53</v>
      </c>
      <c r="K20" s="422" t="s">
        <v>53</v>
      </c>
      <c r="L20" s="422" t="s">
        <v>53</v>
      </c>
      <c r="M20" s="422" t="s">
        <v>53</v>
      </c>
      <c r="N20" s="422" t="s">
        <v>53</v>
      </c>
      <c r="O20" s="422" t="s">
        <v>53</v>
      </c>
      <c r="P20" s="422" t="s">
        <v>53</v>
      </c>
      <c r="Q20" s="422" t="s">
        <v>53</v>
      </c>
      <c r="R20" s="422" t="s">
        <v>53</v>
      </c>
      <c r="S20" s="422" t="s">
        <v>53</v>
      </c>
      <c r="T20" s="422" t="s">
        <v>53</v>
      </c>
      <c r="U20" s="422" t="s">
        <v>53</v>
      </c>
      <c r="V20" s="422" t="s">
        <v>53</v>
      </c>
      <c r="W20" s="422" t="s">
        <v>53</v>
      </c>
      <c r="X20" s="422" t="s">
        <v>53</v>
      </c>
      <c r="Y20" s="422" t="s">
        <v>53</v>
      </c>
      <c r="Z20" s="422" t="s">
        <v>53</v>
      </c>
      <c r="AA20" s="422" t="s">
        <v>53</v>
      </c>
      <c r="AB20" s="422" t="s">
        <v>53</v>
      </c>
      <c r="AC20" s="422" t="s">
        <v>53</v>
      </c>
      <c r="AD20" s="422" t="s">
        <v>53</v>
      </c>
      <c r="AE20" s="422" t="s">
        <v>53</v>
      </c>
      <c r="AF20" s="422" t="s">
        <v>53</v>
      </c>
      <c r="AG20" s="422" t="s">
        <v>53</v>
      </c>
      <c r="AH20" s="422"/>
      <c r="AI20" s="204">
        <f>COUNTIF(D20:AH20,"x")+ COUNTIF(D20:AH20,"p")+COUNTIF(D20:AH20,"mn")+COUNTIF(D20:AH20,"T")+COUNTIF(D20:AH20,"VN")</f>
        <v>30</v>
      </c>
      <c r="AJ20" s="204"/>
    </row>
    <row r="21" spans="1:36" ht="15.75" customHeight="1"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1648" t="s">
        <v>594</v>
      </c>
      <c r="U21" s="1648"/>
      <c r="V21" s="1648"/>
      <c r="W21" s="1648"/>
      <c r="X21" s="1648"/>
      <c r="Y21" s="1648"/>
      <c r="Z21" s="1648"/>
      <c r="AA21" s="1648"/>
      <c r="AB21" s="1648"/>
      <c r="AC21" s="1648"/>
      <c r="AD21" s="1648"/>
      <c r="AE21" s="1648"/>
      <c r="AF21" s="1648"/>
      <c r="AG21" s="1648"/>
      <c r="AH21" s="1648"/>
      <c r="AI21" s="1648"/>
      <c r="AJ21" s="1648"/>
    </row>
    <row r="22" spans="1:36" ht="15.75" customHeight="1">
      <c r="B22" s="56" t="s">
        <v>422</v>
      </c>
      <c r="C22" s="1645" t="s">
        <v>423</v>
      </c>
      <c r="D22" s="1645"/>
      <c r="E22" s="1645"/>
      <c r="F22" s="1645"/>
      <c r="G22" s="1645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952"/>
      <c r="U22" s="952"/>
      <c r="V22" s="952"/>
      <c r="W22" s="952"/>
      <c r="X22" s="952"/>
      <c r="Y22" s="952"/>
      <c r="Z22" s="952"/>
      <c r="AA22" s="952"/>
      <c r="AB22" s="952"/>
      <c r="AC22" s="952"/>
      <c r="AD22" s="952"/>
      <c r="AE22" s="952"/>
      <c r="AF22" s="952"/>
      <c r="AG22" s="952"/>
      <c r="AH22" s="952"/>
      <c r="AI22" s="952"/>
      <c r="AJ22" s="952"/>
    </row>
    <row r="23" spans="1:36" ht="13.5" customHeight="1">
      <c r="B23" s="56"/>
      <c r="C23" s="1645" t="s">
        <v>498</v>
      </c>
      <c r="D23" s="1645"/>
      <c r="E23" s="1645"/>
      <c r="F23" s="1645"/>
      <c r="G23" s="1645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952"/>
      <c r="U23" s="952"/>
      <c r="V23" s="952"/>
      <c r="W23" s="952"/>
      <c r="X23" s="952"/>
      <c r="Y23" s="952"/>
      <c r="Z23" s="952"/>
      <c r="AA23" s="952"/>
      <c r="AB23" s="952"/>
      <c r="AC23" s="952"/>
      <c r="AD23" s="952"/>
      <c r="AE23" s="952"/>
      <c r="AF23" s="952"/>
      <c r="AG23" s="952"/>
      <c r="AH23" s="952"/>
      <c r="AI23" s="952"/>
      <c r="AJ23" s="952"/>
    </row>
    <row r="24" spans="1:36" ht="17.25" customHeight="1">
      <c r="A24" s="1606" t="s">
        <v>595</v>
      </c>
      <c r="B24" s="1606"/>
      <c r="C24" s="1606"/>
      <c r="D24" s="1606"/>
      <c r="E24" s="1606"/>
      <c r="F24" s="1606"/>
      <c r="G24" s="1606"/>
      <c r="H24" s="1606"/>
      <c r="I24" s="1606"/>
      <c r="J24" s="1606"/>
      <c r="K24" s="1606"/>
      <c r="L24" s="1606"/>
      <c r="M24" s="1606"/>
      <c r="N24" s="1606"/>
      <c r="O24" s="1606"/>
      <c r="P24" s="1606"/>
      <c r="Q24" s="1606"/>
      <c r="R24" s="1606"/>
      <c r="S24" s="1606"/>
      <c r="T24" s="1606"/>
      <c r="U24" s="1606"/>
      <c r="V24" s="1606"/>
      <c r="W24" s="1606"/>
      <c r="X24" s="1606"/>
      <c r="Y24" s="1606"/>
      <c r="Z24" s="1606"/>
      <c r="AA24" s="1606"/>
      <c r="AB24" s="1606"/>
      <c r="AC24" s="1606"/>
      <c r="AD24" s="1606"/>
      <c r="AE24" s="1606"/>
      <c r="AF24" s="1606"/>
      <c r="AG24" s="1606"/>
      <c r="AH24" s="1606"/>
      <c r="AI24" s="1606"/>
      <c r="AJ24" s="1606"/>
    </row>
    <row r="25" spans="1:36" ht="15" customHeight="1">
      <c r="A25" s="43"/>
      <c r="B25" s="41"/>
      <c r="C25" s="951"/>
      <c r="D25" s="43"/>
      <c r="E25" s="43"/>
      <c r="F25" s="43"/>
      <c r="G25" s="43"/>
      <c r="H25" s="43"/>
      <c r="I25" s="46"/>
      <c r="J25" s="46"/>
      <c r="K25" s="46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</row>
    <row r="26" spans="1:36" ht="13.5" customHeight="1">
      <c r="A26" s="43"/>
      <c r="B26" s="247"/>
      <c r="C26" s="951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54"/>
      <c r="O26" s="54"/>
      <c r="P26" s="54"/>
      <c r="Q26" s="46"/>
      <c r="R26" s="46"/>
      <c r="S26" s="46"/>
      <c r="T26" s="46"/>
      <c r="U26" s="46"/>
      <c r="V26" s="46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46"/>
      <c r="AJ26" s="46"/>
    </row>
    <row r="27" spans="1:36" ht="13.5" customHeight="1">
      <c r="A27" s="43"/>
      <c r="B27" s="247"/>
      <c r="C27" s="951"/>
      <c r="D27" s="43"/>
      <c r="E27" s="43"/>
      <c r="F27" s="43"/>
      <c r="G27" s="43"/>
      <c r="H27" s="43"/>
      <c r="I27" s="46"/>
      <c r="J27" s="46"/>
      <c r="K27" s="46"/>
      <c r="L27" s="43"/>
      <c r="M27" s="43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</row>
    <row r="28" spans="1:36" ht="13.5" customHeight="1">
      <c r="A28" s="43"/>
      <c r="B28" s="247"/>
      <c r="C28" s="951"/>
      <c r="D28" s="43"/>
      <c r="E28" s="43"/>
      <c r="F28" s="43"/>
      <c r="G28" s="43"/>
      <c r="H28" s="43"/>
      <c r="I28" s="43"/>
      <c r="J28" s="43"/>
      <c r="K28" s="46"/>
      <c r="L28" s="43"/>
      <c r="M28" s="43"/>
      <c r="N28" s="54"/>
      <c r="O28" s="54"/>
      <c r="P28" s="54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</row>
    <row r="29" spans="1:36" ht="12" customHeight="1">
      <c r="A29" s="43"/>
      <c r="B29" s="247"/>
      <c r="C29" s="43"/>
      <c r="D29" s="43"/>
      <c r="E29" s="43"/>
      <c r="F29" s="43"/>
      <c r="G29" s="43"/>
      <c r="H29" s="43"/>
      <c r="I29" s="43"/>
      <c r="J29" s="43"/>
      <c r="K29" s="46"/>
      <c r="L29" s="43"/>
      <c r="M29" s="43"/>
      <c r="N29" s="54"/>
      <c r="O29" s="54"/>
      <c r="P29" s="54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</row>
    <row r="30" spans="1:36" ht="15.75" customHeight="1">
      <c r="A30" s="43"/>
      <c r="B30" s="959"/>
      <c r="C30" s="959"/>
      <c r="D30" s="959"/>
      <c r="E30" s="959"/>
      <c r="F30" s="959"/>
      <c r="G30" s="959"/>
      <c r="H30" s="959"/>
      <c r="I30" s="959"/>
      <c r="J30" s="959"/>
      <c r="L30" s="43"/>
      <c r="N30" s="46"/>
      <c r="O30" s="46"/>
      <c r="P30" s="46"/>
      <c r="Q30" s="46"/>
      <c r="R30" s="46"/>
      <c r="S30" s="46"/>
      <c r="T30" s="46"/>
      <c r="U30" s="46"/>
      <c r="V30" s="46"/>
      <c r="W30" s="54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</row>
    <row r="31" spans="1:36" ht="13.5" customHeight="1">
      <c r="A31" s="43"/>
      <c r="H31" s="45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</row>
    <row r="32" spans="1:36" ht="13.5" customHeight="1">
      <c r="A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</row>
    <row r="33" spans="1:11" ht="16.5">
      <c r="A33" s="51"/>
      <c r="B33" s="43"/>
      <c r="C33" s="52"/>
      <c r="D33" s="52"/>
      <c r="E33" s="43"/>
      <c r="F33" s="43"/>
      <c r="G33" s="43"/>
      <c r="H33" s="43"/>
      <c r="I33" s="53"/>
      <c r="J33" s="53"/>
      <c r="K33" s="43"/>
    </row>
    <row r="34" spans="1:11" ht="15.75">
      <c r="A34" s="43"/>
      <c r="B34" s="41"/>
      <c r="C34" s="951"/>
      <c r="D34" s="43"/>
      <c r="E34" s="43"/>
      <c r="F34" s="43"/>
      <c r="G34" s="43"/>
      <c r="H34" s="43"/>
      <c r="I34" s="46"/>
      <c r="J34" s="46"/>
      <c r="K34" s="46"/>
    </row>
    <row r="35" spans="1:11">
      <c r="A35" s="43"/>
      <c r="B35" s="247"/>
      <c r="C35" s="951"/>
      <c r="D35" s="43"/>
      <c r="E35" s="43"/>
      <c r="F35" s="43"/>
      <c r="G35" s="43"/>
      <c r="H35" s="43"/>
      <c r="I35" s="43"/>
      <c r="J35" s="43"/>
      <c r="K35" s="43"/>
    </row>
    <row r="36" spans="1:11" ht="15.75">
      <c r="A36" s="43"/>
      <c r="B36" s="247"/>
      <c r="C36" s="951"/>
      <c r="D36" s="43"/>
      <c r="E36" s="43"/>
      <c r="F36" s="43"/>
      <c r="G36" s="43"/>
      <c r="H36" s="43"/>
      <c r="I36" s="46"/>
      <c r="J36" s="46"/>
      <c r="K36" s="46"/>
    </row>
    <row r="37" spans="1:11" ht="15.75">
      <c r="A37" s="43"/>
      <c r="B37" s="247"/>
      <c r="C37" s="951"/>
      <c r="D37" s="43"/>
      <c r="E37" s="43"/>
      <c r="F37" s="43"/>
      <c r="G37" s="43"/>
      <c r="H37" s="43"/>
      <c r="I37" s="43"/>
      <c r="J37" s="43"/>
      <c r="K37" s="46"/>
    </row>
    <row r="38" spans="1:11" ht="15.75">
      <c r="A38" s="43"/>
      <c r="B38" s="247"/>
      <c r="C38" s="43"/>
      <c r="D38" s="43"/>
      <c r="E38" s="43"/>
      <c r="F38" s="43"/>
      <c r="G38" s="43"/>
      <c r="H38" s="43"/>
      <c r="I38" s="43"/>
      <c r="J38" s="43"/>
      <c r="K38" s="46"/>
    </row>
    <row r="39" spans="1:11">
      <c r="A39" s="43"/>
      <c r="B39" s="247"/>
      <c r="C39" s="43"/>
      <c r="D39" s="43"/>
      <c r="E39" s="43"/>
      <c r="F39" s="43"/>
      <c r="G39" s="43"/>
      <c r="H39" s="43"/>
      <c r="I39" s="43"/>
      <c r="J39" s="43"/>
    </row>
    <row r="40" spans="1:11">
      <c r="A40" s="43"/>
      <c r="H40" s="45"/>
    </row>
  </sheetData>
  <mergeCells count="20">
    <mergeCell ref="C22:G22"/>
    <mergeCell ref="C23:G23"/>
    <mergeCell ref="A24:AJ24"/>
    <mergeCell ref="A9:AJ9"/>
    <mergeCell ref="B15:AG15"/>
    <mergeCell ref="B19:AG19"/>
    <mergeCell ref="T21:AJ21"/>
    <mergeCell ref="AJ10:AJ11"/>
    <mergeCell ref="B12:AG12"/>
    <mergeCell ref="A10:A11"/>
    <mergeCell ref="B10:B11"/>
    <mergeCell ref="C10:C11"/>
    <mergeCell ref="D10:AG10"/>
    <mergeCell ref="AI10:AI11"/>
    <mergeCell ref="A8:AJ8"/>
    <mergeCell ref="A1:AJ1"/>
    <mergeCell ref="A2:AJ2"/>
    <mergeCell ref="A3:AJ3"/>
    <mergeCell ref="A5:O5"/>
    <mergeCell ref="A6:K6"/>
  </mergeCells>
  <printOptions horizontalCentered="1"/>
  <pageMargins left="0.43" right="0.196850393700787" top="0.511811023622047" bottom="0.35433070866141703" header="0.196850393700787" footer="0.23622047244094499"/>
  <pageSetup paperSize="9" scale="96" orientation="landscape" r:id="rId1"/>
  <headerFooter alignWithMargins="0"/>
  <colBreaks count="1" manualBreakCount="1">
    <brk id="36" max="1048575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L39"/>
  <sheetViews>
    <sheetView topLeftCell="A19" workbookViewId="0">
      <selection activeCell="U14" sqref="U14"/>
    </sheetView>
  </sheetViews>
  <sheetFormatPr defaultColWidth="9.140625" defaultRowHeight="15"/>
  <cols>
    <col min="1" max="1" width="3" style="45" customWidth="1"/>
    <col min="2" max="2" width="16.7109375" style="45" customWidth="1"/>
    <col min="3" max="3" width="10.42578125" style="45" customWidth="1"/>
    <col min="4" max="7" width="3" style="45" customWidth="1"/>
    <col min="8" max="8" width="3" style="55" customWidth="1"/>
    <col min="9" max="31" width="3" style="45" customWidth="1"/>
    <col min="32" max="32" width="3.5703125" style="45" customWidth="1"/>
    <col min="33" max="34" width="3.42578125" style="45" customWidth="1"/>
    <col min="35" max="35" width="6.5703125" style="45" customWidth="1"/>
    <col min="36" max="36" width="9.28515625" style="45" customWidth="1"/>
    <col min="37" max="37" width="9.140625" style="45"/>
    <col min="38" max="38" width="14.85546875" style="45" bestFit="1" customWidth="1"/>
    <col min="39" max="43" width="9.140625" style="45"/>
    <col min="44" max="44" width="15.85546875" style="45" customWidth="1"/>
    <col min="45" max="16384" width="9.140625" style="45"/>
  </cols>
  <sheetData>
    <row r="1" spans="1:37" ht="15" customHeight="1">
      <c r="A1" s="1643" t="s">
        <v>54</v>
      </c>
      <c r="B1" s="1643"/>
      <c r="C1" s="1643"/>
      <c r="D1" s="1643"/>
      <c r="E1" s="1643"/>
      <c r="F1" s="1643"/>
      <c r="G1" s="1643"/>
      <c r="H1" s="1643"/>
      <c r="I1" s="1643"/>
      <c r="J1" s="1643"/>
      <c r="K1" s="1643"/>
      <c r="L1" s="1643"/>
      <c r="M1" s="1643"/>
      <c r="N1" s="1643"/>
      <c r="O1" s="1643"/>
      <c r="P1" s="1643"/>
      <c r="Q1" s="1643"/>
      <c r="R1" s="1643"/>
      <c r="S1" s="1643"/>
      <c r="T1" s="1643"/>
      <c r="U1" s="1643"/>
      <c r="V1" s="1643"/>
      <c r="W1" s="1643"/>
      <c r="X1" s="1643"/>
      <c r="Y1" s="1643"/>
      <c r="Z1" s="1643"/>
      <c r="AA1" s="1643"/>
      <c r="AB1" s="1643"/>
      <c r="AC1" s="1643"/>
      <c r="AD1" s="1643"/>
      <c r="AE1" s="1643"/>
      <c r="AF1" s="1643"/>
      <c r="AG1" s="1643"/>
      <c r="AH1" s="1643"/>
      <c r="AI1" s="1643"/>
      <c r="AJ1" s="947"/>
    </row>
    <row r="2" spans="1:37" ht="15" customHeight="1">
      <c r="A2" s="1643" t="s">
        <v>48</v>
      </c>
      <c r="B2" s="1643"/>
      <c r="C2" s="1643"/>
      <c r="D2" s="1643"/>
      <c r="E2" s="1643"/>
      <c r="F2" s="1643"/>
      <c r="G2" s="1643"/>
      <c r="H2" s="1643"/>
      <c r="I2" s="1643"/>
      <c r="J2" s="1643"/>
      <c r="K2" s="1643"/>
      <c r="L2" s="1643"/>
      <c r="M2" s="1643"/>
      <c r="N2" s="1643"/>
      <c r="O2" s="1643"/>
      <c r="P2" s="1643"/>
      <c r="Q2" s="1643"/>
      <c r="R2" s="1643"/>
      <c r="S2" s="1643"/>
      <c r="T2" s="1643"/>
      <c r="U2" s="1643"/>
      <c r="V2" s="1643"/>
      <c r="W2" s="1643"/>
      <c r="X2" s="1643"/>
      <c r="Y2" s="1643"/>
      <c r="Z2" s="1643"/>
      <c r="AA2" s="1643"/>
      <c r="AB2" s="1643"/>
      <c r="AC2" s="1643"/>
      <c r="AD2" s="1643"/>
      <c r="AE2" s="1643"/>
      <c r="AF2" s="1643"/>
      <c r="AG2" s="1643"/>
      <c r="AH2" s="1643"/>
      <c r="AI2" s="1643"/>
      <c r="AJ2" s="947"/>
    </row>
    <row r="3" spans="1:37" ht="17.25" customHeight="1">
      <c r="A3" s="1644" t="s">
        <v>292</v>
      </c>
      <c r="B3" s="1296"/>
      <c r="C3" s="1296"/>
      <c r="D3" s="1296"/>
      <c r="E3" s="1296"/>
      <c r="F3" s="1296"/>
      <c r="G3" s="1296"/>
      <c r="H3" s="1296"/>
      <c r="I3" s="1296"/>
      <c r="J3" s="1296"/>
      <c r="K3" s="1296"/>
      <c r="L3" s="1296"/>
      <c r="M3" s="1296"/>
      <c r="N3" s="1296"/>
      <c r="O3" s="1296"/>
      <c r="P3" s="1296"/>
      <c r="Q3" s="1296"/>
      <c r="R3" s="1296"/>
      <c r="S3" s="1296"/>
      <c r="T3" s="1296"/>
      <c r="U3" s="1296"/>
      <c r="V3" s="1296"/>
      <c r="W3" s="1296"/>
      <c r="X3" s="1296"/>
      <c r="Y3" s="1296"/>
      <c r="Z3" s="1296"/>
      <c r="AA3" s="1296"/>
      <c r="AB3" s="1296"/>
      <c r="AC3" s="1296"/>
      <c r="AD3" s="1296"/>
      <c r="AE3" s="1296"/>
      <c r="AF3" s="1296"/>
      <c r="AG3" s="1296"/>
      <c r="AH3" s="1296"/>
      <c r="AI3" s="1296"/>
      <c r="AJ3" s="948"/>
    </row>
    <row r="4" spans="1:37" ht="9" customHeight="1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</row>
    <row r="5" spans="1:37" ht="23.25" customHeight="1">
      <c r="A5" s="1655" t="s">
        <v>598</v>
      </c>
      <c r="B5" s="1655"/>
      <c r="C5" s="1655"/>
      <c r="D5" s="1655"/>
      <c r="E5" s="1655"/>
      <c r="F5" s="1655"/>
      <c r="G5" s="1655"/>
      <c r="H5" s="1655"/>
      <c r="I5" s="1655"/>
      <c r="J5" s="1655"/>
      <c r="K5" s="1655"/>
      <c r="L5" s="1655"/>
      <c r="M5" s="1655"/>
      <c r="N5" s="1655"/>
      <c r="O5" s="1655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</row>
    <row r="6" spans="1:37" ht="18" customHeight="1">
      <c r="A6" s="1655" t="s">
        <v>583</v>
      </c>
      <c r="B6" s="1655"/>
      <c r="C6" s="1655"/>
      <c r="D6" s="1655"/>
      <c r="E6" s="1655"/>
      <c r="F6" s="1655"/>
      <c r="G6" s="1655"/>
      <c r="H6" s="1655"/>
      <c r="I6" s="1655"/>
      <c r="J6" s="1655"/>
      <c r="K6" s="1655"/>
      <c r="L6" s="54"/>
      <c r="M6" s="54"/>
      <c r="N6" s="54"/>
      <c r="O6" s="54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</row>
    <row r="7" spans="1:37" ht="12" customHeight="1">
      <c r="A7" s="292"/>
      <c r="B7" s="292"/>
      <c r="C7" s="292"/>
      <c r="D7" s="292"/>
      <c r="E7" s="292"/>
      <c r="F7" s="292"/>
      <c r="G7" s="292"/>
      <c r="H7" s="292"/>
      <c r="I7" s="292"/>
      <c r="J7" s="292"/>
      <c r="K7" s="292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</row>
    <row r="8" spans="1:37" ht="23.25" customHeight="1">
      <c r="A8" s="1654" t="s">
        <v>857</v>
      </c>
      <c r="B8" s="1654"/>
      <c r="C8" s="1654"/>
      <c r="D8" s="1654"/>
      <c r="E8" s="1654"/>
      <c r="F8" s="1654"/>
      <c r="G8" s="1654"/>
      <c r="H8" s="1654"/>
      <c r="I8" s="1654"/>
      <c r="J8" s="1654"/>
      <c r="K8" s="1654"/>
      <c r="L8" s="1654"/>
      <c r="M8" s="1654"/>
      <c r="N8" s="1654"/>
      <c r="O8" s="1654"/>
      <c r="P8" s="1654"/>
      <c r="Q8" s="1654"/>
      <c r="R8" s="1654"/>
      <c r="S8" s="1654"/>
      <c r="T8" s="1654"/>
      <c r="U8" s="1654"/>
      <c r="V8" s="1654"/>
      <c r="W8" s="1654"/>
      <c r="X8" s="1654"/>
      <c r="Y8" s="1654"/>
      <c r="Z8" s="1654"/>
      <c r="AA8" s="1654"/>
      <c r="AB8" s="1654"/>
      <c r="AC8" s="1654"/>
      <c r="AD8" s="1654"/>
      <c r="AE8" s="1654"/>
      <c r="AF8" s="1654"/>
      <c r="AG8" s="1654"/>
      <c r="AH8" s="1654"/>
      <c r="AI8" s="1654"/>
      <c r="AJ8" s="946"/>
    </row>
    <row r="9" spans="1:37" ht="18" customHeight="1">
      <c r="A9" s="1296" t="s">
        <v>627</v>
      </c>
      <c r="B9" s="1296"/>
      <c r="C9" s="1296"/>
      <c r="D9" s="1296"/>
      <c r="E9" s="1296"/>
      <c r="F9" s="1296"/>
      <c r="G9" s="1296"/>
      <c r="H9" s="1296"/>
      <c r="I9" s="1296"/>
      <c r="J9" s="1296"/>
      <c r="K9" s="1296"/>
      <c r="L9" s="1296"/>
      <c r="M9" s="1296"/>
      <c r="N9" s="1296"/>
      <c r="O9" s="1296"/>
      <c r="P9" s="1296"/>
      <c r="Q9" s="1296"/>
      <c r="R9" s="1296"/>
      <c r="S9" s="1296"/>
      <c r="T9" s="1296"/>
      <c r="U9" s="1296"/>
      <c r="V9" s="1296"/>
      <c r="W9" s="1296"/>
      <c r="X9" s="1296"/>
      <c r="Y9" s="1296"/>
      <c r="Z9" s="1296"/>
      <c r="AA9" s="1296"/>
      <c r="AB9" s="1296"/>
      <c r="AC9" s="1296"/>
      <c r="AD9" s="1296"/>
      <c r="AE9" s="1296"/>
      <c r="AF9" s="1296"/>
      <c r="AG9" s="1296"/>
      <c r="AH9" s="1296"/>
      <c r="AI9" s="1296"/>
      <c r="AJ9" s="949"/>
    </row>
    <row r="10" spans="1:37" ht="15" customHeight="1">
      <c r="A10" s="1647" t="s">
        <v>49</v>
      </c>
      <c r="B10" s="1647" t="s">
        <v>50</v>
      </c>
      <c r="C10" s="1647" t="s">
        <v>51</v>
      </c>
      <c r="D10" s="1649" t="s">
        <v>52</v>
      </c>
      <c r="E10" s="1649"/>
      <c r="F10" s="1649"/>
      <c r="G10" s="1649"/>
      <c r="H10" s="1649"/>
      <c r="I10" s="1649"/>
      <c r="J10" s="1649"/>
      <c r="K10" s="1649"/>
      <c r="L10" s="1649"/>
      <c r="M10" s="1649"/>
      <c r="N10" s="1649"/>
      <c r="O10" s="1649"/>
      <c r="P10" s="1649"/>
      <c r="Q10" s="1649"/>
      <c r="R10" s="1649"/>
      <c r="S10" s="1649"/>
      <c r="T10" s="1649"/>
      <c r="U10" s="1649"/>
      <c r="V10" s="1649"/>
      <c r="W10" s="1649"/>
      <c r="X10" s="1649"/>
      <c r="Y10" s="1649"/>
      <c r="Z10" s="1649"/>
      <c r="AA10" s="1649"/>
      <c r="AB10" s="1649"/>
      <c r="AC10" s="1649"/>
      <c r="AD10" s="1649"/>
      <c r="AE10" s="1649"/>
      <c r="AF10" s="1649"/>
      <c r="AG10" s="1649"/>
      <c r="AH10" s="942"/>
      <c r="AI10" s="1401" t="s">
        <v>35</v>
      </c>
      <c r="AJ10" s="1401" t="s">
        <v>353</v>
      </c>
      <c r="AK10" s="427" t="e">
        <f>#REF!</f>
        <v>#REF!</v>
      </c>
    </row>
    <row r="11" spans="1:37" ht="36.75" customHeight="1">
      <c r="A11" s="1647"/>
      <c r="B11" s="1647"/>
      <c r="C11" s="1647"/>
      <c r="D11" s="1215">
        <v>1</v>
      </c>
      <c r="E11" s="942">
        <v>2</v>
      </c>
      <c r="F11" s="942">
        <v>3</v>
      </c>
      <c r="G11" s="942">
        <v>4</v>
      </c>
      <c r="H11" s="942">
        <v>5</v>
      </c>
      <c r="I11" s="942">
        <v>6</v>
      </c>
      <c r="J11" s="942">
        <v>7</v>
      </c>
      <c r="K11" s="1215">
        <v>8</v>
      </c>
      <c r="L11" s="942">
        <v>9</v>
      </c>
      <c r="M11" s="942">
        <v>10</v>
      </c>
      <c r="N11" s="942">
        <v>11</v>
      </c>
      <c r="O11" s="942">
        <v>12</v>
      </c>
      <c r="P11" s="942">
        <v>13</v>
      </c>
      <c r="Q11" s="942">
        <v>14</v>
      </c>
      <c r="R11" s="1215">
        <v>15</v>
      </c>
      <c r="S11" s="942">
        <v>16</v>
      </c>
      <c r="T11" s="942">
        <v>17</v>
      </c>
      <c r="U11" s="942">
        <v>18</v>
      </c>
      <c r="V11" s="942">
        <v>19</v>
      </c>
      <c r="W11" s="942">
        <v>20</v>
      </c>
      <c r="X11" s="942">
        <v>21</v>
      </c>
      <c r="Y11" s="1215">
        <v>22</v>
      </c>
      <c r="Z11" s="942">
        <v>23</v>
      </c>
      <c r="AA11" s="942">
        <v>24</v>
      </c>
      <c r="AB11" s="942">
        <v>25</v>
      </c>
      <c r="AC11" s="942">
        <v>26</v>
      </c>
      <c r="AD11" s="942">
        <v>27</v>
      </c>
      <c r="AE11" s="942">
        <v>28</v>
      </c>
      <c r="AF11" s="1215">
        <v>29</v>
      </c>
      <c r="AG11" s="942">
        <v>30</v>
      </c>
      <c r="AH11" s="942">
        <v>31</v>
      </c>
      <c r="AI11" s="1401"/>
      <c r="AJ11" s="1401"/>
    </row>
    <row r="12" spans="1:37" ht="19.149999999999999" customHeight="1">
      <c r="A12" s="950" t="s">
        <v>71</v>
      </c>
      <c r="B12" s="1647" t="s">
        <v>93</v>
      </c>
      <c r="C12" s="1647"/>
      <c r="D12" s="1647"/>
      <c r="E12" s="1647"/>
      <c r="F12" s="1647"/>
      <c r="G12" s="1647"/>
      <c r="H12" s="1647"/>
      <c r="I12" s="1647"/>
      <c r="J12" s="1647"/>
      <c r="K12" s="1647"/>
      <c r="L12" s="1647"/>
      <c r="M12" s="1647"/>
      <c r="N12" s="1647"/>
      <c r="O12" s="1647"/>
      <c r="P12" s="1647"/>
      <c r="Q12" s="1647"/>
      <c r="R12" s="1647"/>
      <c r="S12" s="1647"/>
      <c r="T12" s="1647"/>
      <c r="U12" s="1647"/>
      <c r="V12" s="1647"/>
      <c r="W12" s="1647"/>
      <c r="X12" s="1647"/>
      <c r="Y12" s="1647"/>
      <c r="Z12" s="1647"/>
      <c r="AA12" s="1647"/>
      <c r="AB12" s="1647"/>
      <c r="AC12" s="1647"/>
      <c r="AD12" s="1647"/>
      <c r="AE12" s="1647"/>
      <c r="AF12" s="1647"/>
      <c r="AG12" s="1647"/>
      <c r="AH12" s="950"/>
      <c r="AI12" s="928">
        <f>SUM(AI13:AI15)</f>
        <v>75</v>
      </c>
      <c r="AJ12" s="928"/>
    </row>
    <row r="13" spans="1:37" ht="19.149999999999999" customHeight="1">
      <c r="A13" s="203">
        <v>1</v>
      </c>
      <c r="B13" s="91" t="s">
        <v>362</v>
      </c>
      <c r="C13" s="91" t="s">
        <v>199</v>
      </c>
      <c r="D13" s="203" t="s">
        <v>116</v>
      </c>
      <c r="E13" s="203" t="s">
        <v>53</v>
      </c>
      <c r="F13" s="203" t="s">
        <v>53</v>
      </c>
      <c r="G13" s="203" t="s">
        <v>53</v>
      </c>
      <c r="H13" s="203" t="s">
        <v>53</v>
      </c>
      <c r="I13" s="203" t="s">
        <v>53</v>
      </c>
      <c r="J13" s="203" t="s">
        <v>53</v>
      </c>
      <c r="K13" s="203" t="s">
        <v>116</v>
      </c>
      <c r="L13" s="203" t="s">
        <v>53</v>
      </c>
      <c r="M13" s="203" t="s">
        <v>53</v>
      </c>
      <c r="N13" s="203" t="s">
        <v>53</v>
      </c>
      <c r="O13" s="203" t="s">
        <v>53</v>
      </c>
      <c r="P13" s="203" t="s">
        <v>53</v>
      </c>
      <c r="Q13" s="203" t="s">
        <v>53</v>
      </c>
      <c r="R13" s="203" t="s">
        <v>116</v>
      </c>
      <c r="S13" s="203" t="s">
        <v>53</v>
      </c>
      <c r="T13" s="203" t="s">
        <v>53</v>
      </c>
      <c r="U13" s="203" t="s">
        <v>53</v>
      </c>
      <c r="V13" s="203" t="s">
        <v>53</v>
      </c>
      <c r="W13" s="203" t="s">
        <v>53</v>
      </c>
      <c r="X13" s="203" t="s">
        <v>53</v>
      </c>
      <c r="Y13" s="203" t="s">
        <v>116</v>
      </c>
      <c r="Z13" s="203" t="s">
        <v>53</v>
      </c>
      <c r="AA13" s="203" t="s">
        <v>53</v>
      </c>
      <c r="AB13" s="203" t="s">
        <v>53</v>
      </c>
      <c r="AC13" s="203" t="s">
        <v>53</v>
      </c>
      <c r="AD13" s="203" t="s">
        <v>53</v>
      </c>
      <c r="AE13" s="203" t="s">
        <v>53</v>
      </c>
      <c r="AF13" s="203" t="s">
        <v>116</v>
      </c>
      <c r="AG13" s="203" t="s">
        <v>53</v>
      </c>
      <c r="AH13" s="203"/>
      <c r="AI13" s="204">
        <f t="shared" ref="AI13:AI19" si="0">COUNTIF(D13:AH13,"x")+ COUNTIF(D13:AH13,"p")+COUNTIF(D13:AH13,"pt")+COUNTIF(D13:AH13,"T")+COUNTIF(D13:AH13,"VN")</f>
        <v>25</v>
      </c>
      <c r="AJ13" s="204"/>
    </row>
    <row r="14" spans="1:37" ht="18.75" customHeight="1">
      <c r="A14" s="203">
        <v>2</v>
      </c>
      <c r="B14" s="89" t="s">
        <v>43</v>
      </c>
      <c r="C14" s="89" t="s">
        <v>628</v>
      </c>
      <c r="D14" s="203" t="s">
        <v>116</v>
      </c>
      <c r="E14" s="203" t="s">
        <v>53</v>
      </c>
      <c r="F14" s="203" t="s">
        <v>53</v>
      </c>
      <c r="G14" s="203" t="s">
        <v>53</v>
      </c>
      <c r="H14" s="203" t="s">
        <v>53</v>
      </c>
      <c r="I14" s="203" t="s">
        <v>53</v>
      </c>
      <c r="J14" s="203" t="s">
        <v>53</v>
      </c>
      <c r="K14" s="203" t="s">
        <v>116</v>
      </c>
      <c r="L14" s="203" t="s">
        <v>53</v>
      </c>
      <c r="M14" s="203" t="s">
        <v>53</v>
      </c>
      <c r="N14" s="203" t="s">
        <v>53</v>
      </c>
      <c r="O14" s="203" t="s">
        <v>53</v>
      </c>
      <c r="P14" s="203" t="s">
        <v>53</v>
      </c>
      <c r="Q14" s="203" t="s">
        <v>53</v>
      </c>
      <c r="R14" s="203" t="s">
        <v>116</v>
      </c>
      <c r="S14" s="203" t="s">
        <v>53</v>
      </c>
      <c r="T14" s="203" t="s">
        <v>53</v>
      </c>
      <c r="U14" s="203" t="s">
        <v>53</v>
      </c>
      <c r="V14" s="203" t="s">
        <v>53</v>
      </c>
      <c r="W14" s="203" t="s">
        <v>53</v>
      </c>
      <c r="X14" s="203" t="s">
        <v>53</v>
      </c>
      <c r="Y14" s="203" t="s">
        <v>116</v>
      </c>
      <c r="Z14" s="203" t="s">
        <v>53</v>
      </c>
      <c r="AA14" s="203" t="s">
        <v>53</v>
      </c>
      <c r="AB14" s="203" t="s">
        <v>53</v>
      </c>
      <c r="AC14" s="203" t="s">
        <v>53</v>
      </c>
      <c r="AD14" s="203" t="s">
        <v>53</v>
      </c>
      <c r="AE14" s="203" t="s">
        <v>53</v>
      </c>
      <c r="AF14" s="203" t="s">
        <v>116</v>
      </c>
      <c r="AG14" s="203" t="s">
        <v>53</v>
      </c>
      <c r="AH14" s="203"/>
      <c r="AI14" s="204">
        <f t="shared" si="0"/>
        <v>25</v>
      </c>
      <c r="AJ14" s="204"/>
    </row>
    <row r="15" spans="1:37" ht="17.45" customHeight="1">
      <c r="A15" s="203">
        <v>3</v>
      </c>
      <c r="B15" s="89" t="s">
        <v>322</v>
      </c>
      <c r="C15" s="89" t="s">
        <v>832</v>
      </c>
      <c r="D15" s="203" t="s">
        <v>116</v>
      </c>
      <c r="E15" s="203" t="s">
        <v>53</v>
      </c>
      <c r="F15" s="203" t="s">
        <v>53</v>
      </c>
      <c r="G15" s="203" t="s">
        <v>53</v>
      </c>
      <c r="H15" s="203" t="s">
        <v>53</v>
      </c>
      <c r="I15" s="203" t="s">
        <v>53</v>
      </c>
      <c r="J15" s="203" t="s">
        <v>53</v>
      </c>
      <c r="K15" s="203" t="s">
        <v>116</v>
      </c>
      <c r="L15" s="203" t="s">
        <v>53</v>
      </c>
      <c r="M15" s="203" t="s">
        <v>53</v>
      </c>
      <c r="N15" s="203" t="s">
        <v>53</v>
      </c>
      <c r="O15" s="203" t="s">
        <v>53</v>
      </c>
      <c r="P15" s="203" t="s">
        <v>53</v>
      </c>
      <c r="Q15" s="203" t="s">
        <v>53</v>
      </c>
      <c r="R15" s="203" t="s">
        <v>116</v>
      </c>
      <c r="S15" s="203" t="s">
        <v>53</v>
      </c>
      <c r="T15" s="203" t="s">
        <v>53</v>
      </c>
      <c r="U15" s="203" t="s">
        <v>53</v>
      </c>
      <c r="V15" s="203" t="s">
        <v>53</v>
      </c>
      <c r="W15" s="203" t="s">
        <v>53</v>
      </c>
      <c r="X15" s="203" t="s">
        <v>53</v>
      </c>
      <c r="Y15" s="203" t="s">
        <v>116</v>
      </c>
      <c r="Z15" s="203" t="s">
        <v>53</v>
      </c>
      <c r="AA15" s="203" t="s">
        <v>53</v>
      </c>
      <c r="AB15" s="203" t="s">
        <v>53</v>
      </c>
      <c r="AC15" s="203" t="s">
        <v>53</v>
      </c>
      <c r="AD15" s="203" t="s">
        <v>53</v>
      </c>
      <c r="AE15" s="203" t="s">
        <v>53</v>
      </c>
      <c r="AF15" s="203" t="s">
        <v>116</v>
      </c>
      <c r="AG15" s="203" t="s">
        <v>53</v>
      </c>
      <c r="AH15" s="203"/>
      <c r="AI15" s="204">
        <f t="shared" si="0"/>
        <v>25</v>
      </c>
      <c r="AJ15" s="204"/>
    </row>
    <row r="16" spans="1:37" ht="17.45" customHeight="1">
      <c r="A16" s="203">
        <v>4</v>
      </c>
      <c r="B16" s="89" t="s">
        <v>630</v>
      </c>
      <c r="C16" s="89" t="s">
        <v>631</v>
      </c>
      <c r="D16" s="203" t="s">
        <v>116</v>
      </c>
      <c r="E16" s="203" t="s">
        <v>53</v>
      </c>
      <c r="F16" s="203" t="s">
        <v>53</v>
      </c>
      <c r="G16" s="203" t="s">
        <v>53</v>
      </c>
      <c r="H16" s="203" t="s">
        <v>53</v>
      </c>
      <c r="I16" s="203" t="s">
        <v>53</v>
      </c>
      <c r="J16" s="203" t="s">
        <v>53</v>
      </c>
      <c r="K16" s="203" t="s">
        <v>116</v>
      </c>
      <c r="L16" s="203" t="s">
        <v>53</v>
      </c>
      <c r="M16" s="203" t="s">
        <v>53</v>
      </c>
      <c r="N16" s="203" t="s">
        <v>53</v>
      </c>
      <c r="O16" s="203" t="s">
        <v>53</v>
      </c>
      <c r="P16" s="203" t="s">
        <v>53</v>
      </c>
      <c r="Q16" s="203" t="s">
        <v>53</v>
      </c>
      <c r="R16" s="203" t="s">
        <v>116</v>
      </c>
      <c r="S16" s="203" t="s">
        <v>53</v>
      </c>
      <c r="T16" s="203" t="s">
        <v>53</v>
      </c>
      <c r="U16" s="203" t="s">
        <v>53</v>
      </c>
      <c r="V16" s="203" t="s">
        <v>53</v>
      </c>
      <c r="W16" s="203" t="s">
        <v>53</v>
      </c>
      <c r="X16" s="203" t="s">
        <v>53</v>
      </c>
      <c r="Y16" s="203" t="s">
        <v>116</v>
      </c>
      <c r="Z16" s="203" t="s">
        <v>53</v>
      </c>
      <c r="AA16" s="203" t="s">
        <v>53</v>
      </c>
      <c r="AB16" s="203" t="s">
        <v>53</v>
      </c>
      <c r="AC16" s="203" t="s">
        <v>53</v>
      </c>
      <c r="AD16" s="203" t="s">
        <v>53</v>
      </c>
      <c r="AE16" s="203" t="s">
        <v>53</v>
      </c>
      <c r="AF16" s="203" t="s">
        <v>116</v>
      </c>
      <c r="AG16" s="203" t="s">
        <v>53</v>
      </c>
      <c r="AH16" s="203"/>
      <c r="AI16" s="204">
        <f t="shared" ref="AI16" si="1">COUNTIF(D16:AH16,"x")+ COUNTIF(D16:AH16,"p")+COUNTIF(D16:AH16,"pt")+COUNTIF(D16:AH16,"T")+COUNTIF(D16:AH16,"VN")</f>
        <v>25</v>
      </c>
      <c r="AJ16" s="204"/>
    </row>
    <row r="17" spans="1:38" ht="19.5" customHeight="1">
      <c r="A17" s="942" t="s">
        <v>62</v>
      </c>
      <c r="B17" s="1647" t="s">
        <v>360</v>
      </c>
      <c r="C17" s="1647"/>
      <c r="D17" s="1647"/>
      <c r="E17" s="1647"/>
      <c r="F17" s="1647"/>
      <c r="G17" s="1647"/>
      <c r="H17" s="1647"/>
      <c r="I17" s="1647"/>
      <c r="J17" s="1647"/>
      <c r="K17" s="1647"/>
      <c r="L17" s="1647"/>
      <c r="M17" s="1647"/>
      <c r="N17" s="1647"/>
      <c r="O17" s="1647"/>
      <c r="P17" s="1647"/>
      <c r="Q17" s="1647"/>
      <c r="R17" s="1647"/>
      <c r="S17" s="1647"/>
      <c r="T17" s="1647"/>
      <c r="U17" s="1647"/>
      <c r="V17" s="1647"/>
      <c r="W17" s="1647"/>
      <c r="X17" s="1647"/>
      <c r="Y17" s="1647"/>
      <c r="Z17" s="1647"/>
      <c r="AA17" s="1647"/>
      <c r="AB17" s="1647"/>
      <c r="AC17" s="1647"/>
      <c r="AD17" s="1647"/>
      <c r="AE17" s="1647"/>
      <c r="AF17" s="1647"/>
      <c r="AG17" s="1647"/>
      <c r="AH17" s="942"/>
      <c r="AI17" s="929">
        <f>SUM(AI18:AI19)</f>
        <v>50</v>
      </c>
      <c r="AJ17" s="929"/>
    </row>
    <row r="18" spans="1:38" ht="23.25" customHeight="1">
      <c r="A18" s="97">
        <v>1</v>
      </c>
      <c r="B18" s="89" t="s">
        <v>321</v>
      </c>
      <c r="C18" s="91" t="s">
        <v>400</v>
      </c>
      <c r="D18" s="203" t="s">
        <v>116</v>
      </c>
      <c r="E18" s="203" t="s">
        <v>53</v>
      </c>
      <c r="F18" s="203" t="s">
        <v>53</v>
      </c>
      <c r="G18" s="203" t="s">
        <v>53</v>
      </c>
      <c r="H18" s="203" t="s">
        <v>53</v>
      </c>
      <c r="I18" s="203" t="s">
        <v>53</v>
      </c>
      <c r="J18" s="203" t="s">
        <v>53</v>
      </c>
      <c r="K18" s="203" t="s">
        <v>116</v>
      </c>
      <c r="L18" s="203" t="s">
        <v>53</v>
      </c>
      <c r="M18" s="203" t="s">
        <v>53</v>
      </c>
      <c r="N18" s="203" t="s">
        <v>53</v>
      </c>
      <c r="O18" s="203" t="s">
        <v>53</v>
      </c>
      <c r="P18" s="203" t="s">
        <v>53</v>
      </c>
      <c r="Q18" s="203" t="s">
        <v>53</v>
      </c>
      <c r="R18" s="203" t="s">
        <v>116</v>
      </c>
      <c r="S18" s="203" t="s">
        <v>53</v>
      </c>
      <c r="T18" s="203" t="s">
        <v>53</v>
      </c>
      <c r="U18" s="203" t="s">
        <v>53</v>
      </c>
      <c r="V18" s="203" t="s">
        <v>53</v>
      </c>
      <c r="W18" s="203" t="s">
        <v>53</v>
      </c>
      <c r="X18" s="203" t="s">
        <v>53</v>
      </c>
      <c r="Y18" s="203" t="s">
        <v>116</v>
      </c>
      <c r="Z18" s="203" t="s">
        <v>53</v>
      </c>
      <c r="AA18" s="203" t="s">
        <v>53</v>
      </c>
      <c r="AB18" s="203" t="s">
        <v>53</v>
      </c>
      <c r="AC18" s="203" t="s">
        <v>53</v>
      </c>
      <c r="AD18" s="203" t="s">
        <v>53</v>
      </c>
      <c r="AE18" s="203" t="s">
        <v>53</v>
      </c>
      <c r="AF18" s="203" t="s">
        <v>116</v>
      </c>
      <c r="AG18" s="203" t="s">
        <v>53</v>
      </c>
      <c r="AH18" s="203"/>
      <c r="AI18" s="204">
        <f t="shared" si="0"/>
        <v>25</v>
      </c>
      <c r="AJ18" s="204"/>
    </row>
    <row r="19" spans="1:38" ht="23.25" customHeight="1">
      <c r="A19" s="97">
        <v>2</v>
      </c>
      <c r="B19" s="89" t="s">
        <v>320</v>
      </c>
      <c r="C19" s="91" t="s">
        <v>401</v>
      </c>
      <c r="D19" s="203" t="s">
        <v>116</v>
      </c>
      <c r="E19" s="203" t="s">
        <v>53</v>
      </c>
      <c r="F19" s="203" t="s">
        <v>53</v>
      </c>
      <c r="G19" s="203" t="s">
        <v>53</v>
      </c>
      <c r="H19" s="203" t="s">
        <v>53</v>
      </c>
      <c r="I19" s="203" t="s">
        <v>53</v>
      </c>
      <c r="J19" s="203" t="s">
        <v>53</v>
      </c>
      <c r="K19" s="203" t="s">
        <v>116</v>
      </c>
      <c r="L19" s="203" t="s">
        <v>53</v>
      </c>
      <c r="M19" s="203" t="s">
        <v>53</v>
      </c>
      <c r="N19" s="203" t="s">
        <v>53</v>
      </c>
      <c r="O19" s="203" t="s">
        <v>53</v>
      </c>
      <c r="P19" s="203" t="s">
        <v>53</v>
      </c>
      <c r="Q19" s="203" t="s">
        <v>53</v>
      </c>
      <c r="R19" s="203" t="s">
        <v>116</v>
      </c>
      <c r="S19" s="203" t="s">
        <v>53</v>
      </c>
      <c r="T19" s="203" t="s">
        <v>53</v>
      </c>
      <c r="U19" s="203" t="s">
        <v>53</v>
      </c>
      <c r="V19" s="203" t="s">
        <v>53</v>
      </c>
      <c r="W19" s="203" t="s">
        <v>53</v>
      </c>
      <c r="X19" s="203" t="s">
        <v>53</v>
      </c>
      <c r="Y19" s="203" t="s">
        <v>116</v>
      </c>
      <c r="Z19" s="203" t="s">
        <v>53</v>
      </c>
      <c r="AA19" s="203" t="s">
        <v>53</v>
      </c>
      <c r="AB19" s="203" t="s">
        <v>53</v>
      </c>
      <c r="AC19" s="203" t="s">
        <v>53</v>
      </c>
      <c r="AD19" s="203" t="s">
        <v>53</v>
      </c>
      <c r="AE19" s="203" t="s">
        <v>53</v>
      </c>
      <c r="AF19" s="203" t="s">
        <v>116</v>
      </c>
      <c r="AG19" s="203" t="s">
        <v>53</v>
      </c>
      <c r="AH19" s="203"/>
      <c r="AI19" s="204">
        <f t="shared" si="0"/>
        <v>25</v>
      </c>
      <c r="AJ19" s="204"/>
    </row>
    <row r="20" spans="1:38" ht="23.25" customHeight="1">
      <c r="A20" s="444" t="s">
        <v>94</v>
      </c>
      <c r="B20" s="1647" t="s">
        <v>132</v>
      </c>
      <c r="C20" s="1647"/>
      <c r="D20" s="1647"/>
      <c r="E20" s="1647"/>
      <c r="F20" s="1647"/>
      <c r="G20" s="1647"/>
      <c r="H20" s="1647"/>
      <c r="I20" s="1647"/>
      <c r="J20" s="1647"/>
      <c r="K20" s="1647"/>
      <c r="L20" s="1647"/>
      <c r="M20" s="1647"/>
      <c r="N20" s="1647"/>
      <c r="O20" s="1647"/>
      <c r="P20" s="1647"/>
      <c r="Q20" s="1647"/>
      <c r="R20" s="1647"/>
      <c r="S20" s="1647"/>
      <c r="T20" s="1647"/>
      <c r="U20" s="1647"/>
      <c r="V20" s="1647"/>
      <c r="W20" s="1647"/>
      <c r="X20" s="1647"/>
      <c r="Y20" s="1647"/>
      <c r="Z20" s="1647"/>
      <c r="AA20" s="1647"/>
      <c r="AB20" s="1647"/>
      <c r="AC20" s="1647"/>
      <c r="AD20" s="1647"/>
      <c r="AE20" s="1647"/>
      <c r="AF20" s="1647"/>
      <c r="AG20" s="1647"/>
      <c r="AH20" s="203"/>
      <c r="AI20" s="205">
        <f>SUM(AI21:AI22)</f>
        <v>50</v>
      </c>
      <c r="AJ20" s="204"/>
      <c r="AL20" s="930"/>
    </row>
    <row r="21" spans="1:38" ht="23.25" customHeight="1">
      <c r="A21" s="97">
        <v>1</v>
      </c>
      <c r="B21" s="89" t="s">
        <v>129</v>
      </c>
      <c r="C21" s="89" t="s">
        <v>229</v>
      </c>
      <c r="D21" s="203" t="s">
        <v>116</v>
      </c>
      <c r="E21" s="203" t="s">
        <v>53</v>
      </c>
      <c r="F21" s="203" t="s">
        <v>53</v>
      </c>
      <c r="G21" s="203" t="s">
        <v>53</v>
      </c>
      <c r="H21" s="203" t="s">
        <v>53</v>
      </c>
      <c r="I21" s="203" t="s">
        <v>53</v>
      </c>
      <c r="J21" s="203" t="s">
        <v>53</v>
      </c>
      <c r="K21" s="203" t="s">
        <v>116</v>
      </c>
      <c r="L21" s="203" t="s">
        <v>53</v>
      </c>
      <c r="M21" s="203" t="s">
        <v>53</v>
      </c>
      <c r="N21" s="203" t="s">
        <v>53</v>
      </c>
      <c r="O21" s="203" t="s">
        <v>53</v>
      </c>
      <c r="P21" s="203" t="s">
        <v>53</v>
      </c>
      <c r="Q21" s="203" t="s">
        <v>53</v>
      </c>
      <c r="R21" s="203" t="s">
        <v>116</v>
      </c>
      <c r="S21" s="203" t="s">
        <v>53</v>
      </c>
      <c r="T21" s="203" t="s">
        <v>53</v>
      </c>
      <c r="U21" s="203" t="s">
        <v>53</v>
      </c>
      <c r="V21" s="203" t="s">
        <v>53</v>
      </c>
      <c r="W21" s="203" t="s">
        <v>53</v>
      </c>
      <c r="X21" s="203" t="s">
        <v>53</v>
      </c>
      <c r="Y21" s="203" t="s">
        <v>116</v>
      </c>
      <c r="Z21" s="203" t="s">
        <v>53</v>
      </c>
      <c r="AA21" s="203" t="s">
        <v>53</v>
      </c>
      <c r="AB21" s="203" t="s">
        <v>53</v>
      </c>
      <c r="AC21" s="203" t="s">
        <v>53</v>
      </c>
      <c r="AD21" s="203" t="s">
        <v>53</v>
      </c>
      <c r="AE21" s="203" t="s">
        <v>53</v>
      </c>
      <c r="AF21" s="203" t="s">
        <v>116</v>
      </c>
      <c r="AG21" s="203" t="s">
        <v>53</v>
      </c>
      <c r="AH21" s="203"/>
      <c r="AI21" s="204">
        <f>COUNTIF(D21:AH21,"x")+ COUNTIF(D21:AH21,"p")+COUNTIF(D21:AH21,"pt")+COUNTIF(D21:AH21,"T")+COUNTIF(D21:AH21,"VN")</f>
        <v>25</v>
      </c>
      <c r="AJ21" s="204"/>
      <c r="AL21" s="930"/>
    </row>
    <row r="22" spans="1:38" ht="23.25" customHeight="1">
      <c r="A22" s="97">
        <v>2</v>
      </c>
      <c r="B22" s="89" t="s">
        <v>45</v>
      </c>
      <c r="C22" s="89" t="s">
        <v>229</v>
      </c>
      <c r="D22" s="203" t="s">
        <v>116</v>
      </c>
      <c r="E22" s="1216" t="s">
        <v>535</v>
      </c>
      <c r="F22" s="1216" t="s">
        <v>535</v>
      </c>
      <c r="G22" s="203" t="s">
        <v>53</v>
      </c>
      <c r="H22" s="203" t="s">
        <v>53</v>
      </c>
      <c r="I22" s="203" t="s">
        <v>53</v>
      </c>
      <c r="J22" s="203" t="s">
        <v>53</v>
      </c>
      <c r="K22" s="203" t="s">
        <v>116</v>
      </c>
      <c r="L22" s="203" t="s">
        <v>53</v>
      </c>
      <c r="M22" s="203" t="s">
        <v>53</v>
      </c>
      <c r="N22" s="203" t="s">
        <v>53</v>
      </c>
      <c r="O22" s="203" t="s">
        <v>53</v>
      </c>
      <c r="P22" s="203" t="s">
        <v>53</v>
      </c>
      <c r="Q22" s="203" t="s">
        <v>53</v>
      </c>
      <c r="R22" s="203" t="s">
        <v>116</v>
      </c>
      <c r="S22" s="203" t="s">
        <v>53</v>
      </c>
      <c r="T22" s="203" t="s">
        <v>53</v>
      </c>
      <c r="U22" s="203" t="s">
        <v>53</v>
      </c>
      <c r="V22" s="203" t="s">
        <v>53</v>
      </c>
      <c r="W22" s="203" t="s">
        <v>53</v>
      </c>
      <c r="X22" s="203" t="s">
        <v>53</v>
      </c>
      <c r="Y22" s="203" t="s">
        <v>116</v>
      </c>
      <c r="Z22" s="203" t="s">
        <v>53</v>
      </c>
      <c r="AA22" s="203" t="s">
        <v>53</v>
      </c>
      <c r="AB22" s="203" t="s">
        <v>53</v>
      </c>
      <c r="AC22" s="203" t="s">
        <v>53</v>
      </c>
      <c r="AD22" s="203" t="s">
        <v>53</v>
      </c>
      <c r="AE22" s="203" t="s">
        <v>53</v>
      </c>
      <c r="AF22" s="203" t="s">
        <v>116</v>
      </c>
      <c r="AG22" s="203" t="s">
        <v>53</v>
      </c>
      <c r="AH22" s="203"/>
      <c r="AI22" s="204">
        <f>COUNTIF(D22:AH22,"x")+ COUNTIF(D22:AH22,"p")+COUNTIF(D22:AH22,"pt")+COUNTIF(D22:AH22,"T")+COUNTIF(D22:AH22,"VN")</f>
        <v>25</v>
      </c>
      <c r="AJ22" s="204"/>
      <c r="AL22" s="930"/>
    </row>
    <row r="23" spans="1:38" ht="16.5" customHeight="1">
      <c r="A23" s="1290" t="s">
        <v>157</v>
      </c>
      <c r="B23" s="1290"/>
      <c r="C23" s="1290"/>
      <c r="D23" s="606"/>
      <c r="E23" s="606"/>
      <c r="F23" s="606"/>
      <c r="G23" s="606"/>
      <c r="H23" s="606"/>
      <c r="I23" s="606"/>
      <c r="J23" s="606"/>
      <c r="K23" s="606"/>
      <c r="L23" s="606"/>
      <c r="M23" s="606"/>
      <c r="N23" s="606"/>
      <c r="O23" s="606"/>
      <c r="P23" s="606"/>
      <c r="Q23" s="606"/>
      <c r="R23" s="606"/>
      <c r="S23" s="606"/>
      <c r="T23" s="606"/>
      <c r="U23" s="606"/>
      <c r="V23" s="606"/>
      <c r="W23" s="606"/>
      <c r="X23" s="606"/>
      <c r="Y23" s="606"/>
      <c r="Z23" s="606"/>
      <c r="AA23" s="606"/>
      <c r="AB23" s="606"/>
      <c r="AC23" s="606"/>
      <c r="AD23" s="606"/>
      <c r="AE23" s="606"/>
      <c r="AF23" s="606"/>
      <c r="AG23" s="606"/>
      <c r="AH23" s="606"/>
      <c r="AI23" s="777">
        <f>AI12+AI17+AI20</f>
        <v>175</v>
      </c>
      <c r="AJ23" s="204"/>
    </row>
    <row r="24" spans="1:38" ht="15.75" customHeight="1"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1653" t="s">
        <v>629</v>
      </c>
      <c r="U24" s="1653"/>
      <c r="V24" s="1653"/>
      <c r="W24" s="1653"/>
      <c r="X24" s="1653"/>
      <c r="Y24" s="1653"/>
      <c r="Z24" s="1653"/>
      <c r="AA24" s="1653"/>
      <c r="AB24" s="1653"/>
      <c r="AC24" s="1653"/>
      <c r="AD24" s="1653"/>
      <c r="AE24" s="1653"/>
      <c r="AF24" s="1653"/>
      <c r="AG24" s="1653"/>
      <c r="AH24" s="1653"/>
      <c r="AI24" s="1653"/>
      <c r="AJ24" s="952"/>
    </row>
    <row r="25" spans="1:38" ht="17.25" customHeight="1">
      <c r="A25" s="1650" t="s">
        <v>632</v>
      </c>
      <c r="B25" s="1650"/>
      <c r="C25" s="1650"/>
      <c r="D25" s="1650"/>
      <c r="E25" s="1650"/>
      <c r="F25" s="1650"/>
      <c r="G25" s="1650"/>
      <c r="H25" s="1650"/>
      <c r="I25" s="1650"/>
      <c r="J25" s="1650"/>
      <c r="K25" s="1650"/>
      <c r="L25" s="1650"/>
      <c r="M25" s="1650"/>
      <c r="N25" s="1650"/>
      <c r="O25" s="1650"/>
      <c r="P25" s="1650"/>
      <c r="Q25" s="1650"/>
      <c r="R25" s="1650"/>
      <c r="S25" s="1650"/>
      <c r="T25" s="1650"/>
      <c r="U25" s="1650"/>
      <c r="V25" s="1650"/>
      <c r="W25" s="1650"/>
      <c r="X25" s="1650"/>
      <c r="Y25" s="1650"/>
      <c r="Z25" s="1650"/>
      <c r="AA25" s="1650"/>
      <c r="AB25" s="1650"/>
      <c r="AC25" s="1650"/>
      <c r="AD25" s="1650"/>
      <c r="AE25" s="1650"/>
      <c r="AF25" s="1650"/>
      <c r="AG25" s="1650"/>
      <c r="AH25" s="1650"/>
      <c r="AI25" s="1650"/>
      <c r="AJ25" s="1650"/>
    </row>
    <row r="26" spans="1:38" ht="15" customHeight="1">
      <c r="A26" s="43"/>
      <c r="B26" s="41"/>
      <c r="C26" s="951"/>
      <c r="D26" s="43"/>
      <c r="E26" s="43"/>
      <c r="F26" s="43"/>
      <c r="G26" s="43"/>
      <c r="H26" s="43"/>
      <c r="I26" s="46"/>
      <c r="J26" s="46"/>
      <c r="K26" s="46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</row>
    <row r="27" spans="1:38" ht="13.5" customHeight="1">
      <c r="A27" s="43"/>
      <c r="B27" s="247"/>
      <c r="C27" s="951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54"/>
      <c r="O27" s="54"/>
      <c r="P27" s="54"/>
      <c r="Q27" s="46"/>
      <c r="R27" s="46"/>
      <c r="S27" s="46"/>
      <c r="T27" s="46"/>
      <c r="U27" s="46"/>
      <c r="V27" s="46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46"/>
      <c r="AJ27" s="46"/>
    </row>
    <row r="28" spans="1:38" ht="13.5" customHeight="1">
      <c r="A28" s="43"/>
      <c r="B28" s="247"/>
      <c r="C28" s="951"/>
      <c r="D28" s="43"/>
      <c r="E28" s="43"/>
      <c r="F28" s="43"/>
      <c r="G28" s="43"/>
      <c r="H28" s="43"/>
      <c r="I28" s="46"/>
      <c r="J28" s="46"/>
      <c r="K28" s="46"/>
      <c r="L28" s="43"/>
      <c r="M28" s="43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</row>
    <row r="29" spans="1:38" ht="13.5" customHeight="1">
      <c r="A29" s="43"/>
      <c r="B29" s="247"/>
      <c r="C29" s="951"/>
      <c r="D29" s="43"/>
      <c r="E29" s="43"/>
      <c r="F29" s="43"/>
      <c r="G29" s="43"/>
      <c r="H29" s="43"/>
      <c r="I29" s="43"/>
      <c r="J29" s="43"/>
      <c r="K29" s="46"/>
      <c r="L29" s="43"/>
      <c r="M29" s="43"/>
      <c r="N29" s="54"/>
      <c r="O29" s="54"/>
      <c r="P29" s="54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</row>
    <row r="30" spans="1:38" ht="12" customHeight="1">
      <c r="A30" s="43"/>
      <c r="B30" s="247"/>
      <c r="C30" s="43"/>
      <c r="D30" s="43"/>
      <c r="E30" s="43"/>
      <c r="F30" s="43"/>
      <c r="G30" s="43"/>
      <c r="H30" s="43"/>
      <c r="I30" s="43"/>
      <c r="J30" s="43"/>
      <c r="K30" s="46"/>
      <c r="L30" s="43"/>
      <c r="M30" s="43"/>
      <c r="N30" s="54"/>
      <c r="O30" s="54"/>
      <c r="P30" s="54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</row>
    <row r="31" spans="1:38" ht="15.75" customHeight="1">
      <c r="A31" s="43"/>
      <c r="B31" s="247"/>
      <c r="C31" s="43"/>
      <c r="D31" s="43"/>
      <c r="E31" s="43"/>
      <c r="F31" s="43"/>
      <c r="G31" s="43"/>
      <c r="H31" s="43"/>
      <c r="I31" s="43"/>
      <c r="J31" s="43"/>
      <c r="L31" s="43"/>
      <c r="M31" s="959"/>
      <c r="N31" s="959"/>
      <c r="O31" s="959"/>
      <c r="P31" s="959"/>
      <c r="Q31" s="959"/>
      <c r="R31" s="959"/>
      <c r="S31" s="959"/>
      <c r="T31" s="959"/>
      <c r="U31" s="959"/>
      <c r="V31" s="959"/>
      <c r="W31" s="54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953"/>
    </row>
    <row r="32" spans="1:38" ht="13.5" customHeight="1">
      <c r="A32" s="43"/>
      <c r="H32" s="45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</row>
    <row r="33" spans="1:36" ht="13.5" customHeight="1">
      <c r="A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</row>
    <row r="34" spans="1:36" ht="15.75" customHeight="1">
      <c r="A34" s="43"/>
      <c r="B34" s="41" t="s">
        <v>425</v>
      </c>
      <c r="C34" s="1651" t="s">
        <v>428</v>
      </c>
      <c r="D34" s="1651"/>
      <c r="E34" s="1651"/>
      <c r="F34" s="1651"/>
      <c r="G34" s="1651"/>
      <c r="H34" s="1651"/>
      <c r="I34" s="1651"/>
      <c r="J34" s="1651"/>
      <c r="K34" s="1651"/>
      <c r="L34" s="1651"/>
    </row>
    <row r="35" spans="1:36">
      <c r="A35" s="43"/>
      <c r="B35" s="247"/>
      <c r="C35" s="1652" t="s">
        <v>429</v>
      </c>
      <c r="D35" s="1652"/>
      <c r="E35" s="1652"/>
      <c r="F35" s="1652"/>
      <c r="G35" s="1652"/>
      <c r="H35" s="1652"/>
      <c r="I35" s="1652"/>
      <c r="J35" s="1652"/>
      <c r="K35" s="1652"/>
      <c r="L35" s="1652"/>
    </row>
    <row r="36" spans="1:36">
      <c r="C36" s="1651" t="s">
        <v>427</v>
      </c>
      <c r="D36" s="1651"/>
      <c r="E36" s="1651"/>
      <c r="F36" s="1651"/>
      <c r="G36" s="1651"/>
      <c r="H36" s="1651"/>
      <c r="I36" s="1651"/>
      <c r="J36" s="1651"/>
      <c r="K36" s="1651"/>
      <c r="L36" s="1651"/>
    </row>
    <row r="37" spans="1:36">
      <c r="C37" s="1651" t="s">
        <v>521</v>
      </c>
      <c r="D37" s="1651"/>
      <c r="E37" s="1651"/>
      <c r="F37" s="1651"/>
      <c r="G37" s="1651"/>
      <c r="H37" s="1651"/>
      <c r="I37" s="1651"/>
      <c r="J37" s="1651"/>
      <c r="K37" s="1651"/>
      <c r="L37" s="1651"/>
    </row>
    <row r="38" spans="1:36">
      <c r="C38" s="45" t="s">
        <v>520</v>
      </c>
    </row>
    <row r="39" spans="1:36">
      <c r="C39" s="45" t="s">
        <v>536</v>
      </c>
    </row>
  </sheetData>
  <mergeCells count="23">
    <mergeCell ref="A8:AI8"/>
    <mergeCell ref="A1:AI1"/>
    <mergeCell ref="A2:AI2"/>
    <mergeCell ref="A3:AI3"/>
    <mergeCell ref="A5:O5"/>
    <mergeCell ref="A6:K6"/>
    <mergeCell ref="T24:AI24"/>
    <mergeCell ref="A9:AI9"/>
    <mergeCell ref="A10:A11"/>
    <mergeCell ref="B10:B11"/>
    <mergeCell ref="C10:C11"/>
    <mergeCell ref="D10:AG10"/>
    <mergeCell ref="AI10:AI11"/>
    <mergeCell ref="AJ10:AJ11"/>
    <mergeCell ref="B12:AG12"/>
    <mergeCell ref="B17:AG17"/>
    <mergeCell ref="B20:AG20"/>
    <mergeCell ref="A23:C23"/>
    <mergeCell ref="A25:AJ25"/>
    <mergeCell ref="C34:L34"/>
    <mergeCell ref="C35:L35"/>
    <mergeCell ref="C36:L36"/>
    <mergeCell ref="C37:L37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137"/>
  <sheetViews>
    <sheetView topLeftCell="A73" workbookViewId="0">
      <selection activeCell="A23" sqref="A23:AN23"/>
    </sheetView>
  </sheetViews>
  <sheetFormatPr defaultRowHeight="15"/>
  <cols>
    <col min="1" max="1" width="4.42578125" customWidth="1"/>
    <col min="2" max="2" width="27" bestFit="1" customWidth="1"/>
    <col min="3" max="3" width="22.7109375" bestFit="1" customWidth="1"/>
    <col min="4" max="4" width="18.85546875" style="1030" customWidth="1"/>
    <col min="5" max="5" width="20.5703125" customWidth="1"/>
    <col min="6" max="6" width="19.28515625" customWidth="1"/>
    <col min="7" max="7" width="15.42578125" customWidth="1"/>
    <col min="8" max="8" width="18" customWidth="1"/>
    <col min="9" max="9" width="10.28515625" customWidth="1"/>
    <col min="10" max="10" width="20.5703125" customWidth="1"/>
  </cols>
  <sheetData>
    <row r="1" spans="1:13" s="999" customFormat="1" ht="16.5">
      <c r="A1" s="995" t="s">
        <v>4</v>
      </c>
      <c r="B1" s="996" t="s">
        <v>635</v>
      </c>
      <c r="C1" s="996" t="s">
        <v>636</v>
      </c>
      <c r="D1" s="477" t="s">
        <v>637</v>
      </c>
      <c r="E1" s="996" t="s">
        <v>638</v>
      </c>
      <c r="F1" s="996" t="s">
        <v>639</v>
      </c>
      <c r="G1" s="477" t="s">
        <v>640</v>
      </c>
      <c r="H1" s="954" t="s">
        <v>641</v>
      </c>
      <c r="I1" s="997" t="s">
        <v>402</v>
      </c>
      <c r="J1" s="996" t="s">
        <v>642</v>
      </c>
      <c r="K1" s="998"/>
      <c r="L1" s="996"/>
      <c r="M1" s="996"/>
    </row>
    <row r="2" spans="1:13" s="1006" customFormat="1" ht="16.5">
      <c r="A2" s="1000"/>
      <c r="B2" s="1656" t="s">
        <v>578</v>
      </c>
      <c r="C2" s="1656"/>
      <c r="D2" s="1656"/>
      <c r="E2" s="1001"/>
      <c r="F2" s="1001"/>
      <c r="G2" s="1002"/>
      <c r="H2" s="1003"/>
      <c r="I2" s="1004"/>
      <c r="J2" s="1001"/>
      <c r="K2" s="1005"/>
      <c r="L2" s="1005"/>
      <c r="M2" s="1005"/>
    </row>
    <row r="3" spans="1:13">
      <c r="A3" s="1007">
        <v>1</v>
      </c>
      <c r="B3" s="1008" t="s">
        <v>323</v>
      </c>
      <c r="C3" s="1008"/>
      <c r="D3" s="1009">
        <v>2003</v>
      </c>
      <c r="E3" s="1010"/>
      <c r="F3" s="1010" t="s">
        <v>643</v>
      </c>
      <c r="G3" s="1008"/>
      <c r="H3" s="1008" t="s">
        <v>644</v>
      </c>
      <c r="I3" s="124" t="s">
        <v>645</v>
      </c>
      <c r="J3" s="1011"/>
    </row>
    <row r="4" spans="1:13">
      <c r="A4" s="1007">
        <v>2</v>
      </c>
      <c r="B4" s="1008" t="s">
        <v>405</v>
      </c>
      <c r="C4" s="1008"/>
      <c r="D4" s="1009">
        <v>1992</v>
      </c>
      <c r="E4" s="1010"/>
      <c r="F4" s="1010" t="s">
        <v>643</v>
      </c>
      <c r="G4" s="1008"/>
      <c r="H4" s="1008" t="s">
        <v>646</v>
      </c>
      <c r="I4" s="124" t="s">
        <v>647</v>
      </c>
      <c r="J4" s="1011"/>
    </row>
    <row r="5" spans="1:13">
      <c r="A5" s="1007">
        <v>3</v>
      </c>
      <c r="B5" s="1008" t="s">
        <v>214</v>
      </c>
      <c r="C5" s="1008"/>
      <c r="D5" s="1009">
        <v>2002</v>
      </c>
      <c r="E5" s="1010"/>
      <c r="F5" s="1010" t="s">
        <v>643</v>
      </c>
      <c r="G5" s="1008"/>
      <c r="H5" s="1008" t="s">
        <v>648</v>
      </c>
      <c r="I5" s="124" t="s">
        <v>649</v>
      </c>
      <c r="J5" s="1011"/>
    </row>
    <row r="6" spans="1:13">
      <c r="A6" s="1007">
        <v>4</v>
      </c>
      <c r="B6" s="1008" t="s">
        <v>551</v>
      </c>
      <c r="C6" s="1008"/>
      <c r="D6" s="1009">
        <v>1990</v>
      </c>
      <c r="E6" s="1010"/>
      <c r="F6" s="1010" t="s">
        <v>643</v>
      </c>
      <c r="G6" s="1008"/>
      <c r="H6" s="1008" t="s">
        <v>650</v>
      </c>
      <c r="I6" s="124" t="s">
        <v>651</v>
      </c>
      <c r="J6" s="1011"/>
    </row>
    <row r="7" spans="1:13">
      <c r="A7" s="1007">
        <v>5</v>
      </c>
      <c r="B7" s="1008" t="s">
        <v>239</v>
      </c>
      <c r="C7" s="1008"/>
      <c r="D7" s="1012">
        <v>2000</v>
      </c>
      <c r="E7" s="1010"/>
      <c r="F7" s="1010" t="s">
        <v>652</v>
      </c>
      <c r="G7" s="1008"/>
      <c r="H7" s="1008" t="s">
        <v>644</v>
      </c>
      <c r="I7" s="124" t="s">
        <v>653</v>
      </c>
      <c r="J7" s="1011"/>
    </row>
    <row r="8" spans="1:13">
      <c r="A8" s="1007">
        <v>6</v>
      </c>
      <c r="B8" s="1008" t="s">
        <v>552</v>
      </c>
      <c r="C8" s="1008"/>
      <c r="D8" s="1012">
        <v>2004</v>
      </c>
      <c r="E8" s="1010"/>
      <c r="F8" s="1010" t="s">
        <v>652</v>
      </c>
      <c r="G8" s="1008"/>
      <c r="H8" s="1008" t="s">
        <v>650</v>
      </c>
      <c r="I8" s="124" t="s">
        <v>654</v>
      </c>
      <c r="J8" s="1011"/>
    </row>
    <row r="9" spans="1:13">
      <c r="A9" s="1007">
        <v>7</v>
      </c>
      <c r="B9" s="1008" t="s">
        <v>553</v>
      </c>
      <c r="C9" s="1008"/>
      <c r="D9" s="1012">
        <v>2003</v>
      </c>
      <c r="E9" s="1010"/>
      <c r="F9" s="1010" t="s">
        <v>643</v>
      </c>
      <c r="G9" s="1008"/>
      <c r="H9" s="1008" t="s">
        <v>644</v>
      </c>
      <c r="I9" s="124" t="s">
        <v>655</v>
      </c>
      <c r="J9" s="1011"/>
    </row>
    <row r="10" spans="1:13">
      <c r="A10" s="1007">
        <v>8</v>
      </c>
      <c r="B10" s="1008" t="s">
        <v>324</v>
      </c>
      <c r="C10" s="1008"/>
      <c r="D10" s="1012">
        <v>1980</v>
      </c>
      <c r="E10" s="1010"/>
      <c r="F10" s="1010" t="s">
        <v>643</v>
      </c>
      <c r="G10" s="1008"/>
      <c r="H10" s="1008" t="s">
        <v>644</v>
      </c>
      <c r="I10" s="124" t="s">
        <v>656</v>
      </c>
      <c r="J10" s="1011"/>
    </row>
    <row r="11" spans="1:13">
      <c r="A11" s="1007">
        <v>9</v>
      </c>
      <c r="B11" s="1008" t="s">
        <v>241</v>
      </c>
      <c r="C11" s="1008"/>
      <c r="D11" s="1012">
        <v>1984</v>
      </c>
      <c r="E11" s="1010"/>
      <c r="F11" s="1010" t="s">
        <v>643</v>
      </c>
      <c r="G11" s="1008"/>
      <c r="H11" s="1008" t="s">
        <v>644</v>
      </c>
      <c r="I11" s="124" t="s">
        <v>657</v>
      </c>
      <c r="J11" s="1011"/>
    </row>
    <row r="12" spans="1:13">
      <c r="A12" s="1007">
        <v>10</v>
      </c>
      <c r="B12" s="1008" t="s">
        <v>240</v>
      </c>
      <c r="C12" s="1008"/>
      <c r="D12" s="1012">
        <v>1991</v>
      </c>
      <c r="E12" s="1010"/>
      <c r="F12" s="1010" t="s">
        <v>652</v>
      </c>
      <c r="G12" s="1008"/>
      <c r="H12" s="1008" t="s">
        <v>644</v>
      </c>
      <c r="I12" s="124" t="s">
        <v>658</v>
      </c>
      <c r="J12" s="1011"/>
    </row>
    <row r="13" spans="1:13">
      <c r="A13" s="1007">
        <v>11</v>
      </c>
      <c r="B13" s="1008" t="s">
        <v>242</v>
      </c>
      <c r="C13" s="1008"/>
      <c r="D13" s="1012">
        <v>1996</v>
      </c>
      <c r="E13" s="1010"/>
      <c r="F13" s="1010" t="s">
        <v>643</v>
      </c>
      <c r="G13" s="1008"/>
      <c r="H13" s="1008" t="s">
        <v>644</v>
      </c>
      <c r="I13" s="124" t="s">
        <v>659</v>
      </c>
      <c r="J13" s="1011"/>
    </row>
    <row r="14" spans="1:13">
      <c r="A14" s="1007">
        <v>12</v>
      </c>
      <c r="B14" s="1008" t="s">
        <v>249</v>
      </c>
      <c r="C14" s="1008"/>
      <c r="D14" s="1012">
        <v>1981</v>
      </c>
      <c r="E14" s="1010"/>
      <c r="F14" s="1010" t="s">
        <v>652</v>
      </c>
      <c r="G14" s="1008"/>
      <c r="H14" s="1008" t="s">
        <v>650</v>
      </c>
      <c r="I14" s="124" t="s">
        <v>660</v>
      </c>
      <c r="J14" s="1011"/>
    </row>
    <row r="15" spans="1:13">
      <c r="A15" s="1007">
        <v>13</v>
      </c>
      <c r="B15" s="1008" t="s">
        <v>230</v>
      </c>
      <c r="C15" s="1007"/>
      <c r="D15" s="1013">
        <v>1999</v>
      </c>
      <c r="E15" s="1010"/>
      <c r="F15" s="1010" t="s">
        <v>643</v>
      </c>
      <c r="G15" s="1014"/>
      <c r="H15" s="1014" t="s">
        <v>69</v>
      </c>
      <c r="I15" s="124" t="s">
        <v>661</v>
      </c>
      <c r="J15" s="1011"/>
    </row>
    <row r="16" spans="1:13" ht="15.75">
      <c r="A16" s="1007">
        <v>14</v>
      </c>
      <c r="B16" s="1015" t="s">
        <v>219</v>
      </c>
      <c r="C16" s="1007"/>
      <c r="D16" s="1016">
        <v>1978</v>
      </c>
      <c r="E16" s="1017"/>
      <c r="F16" s="1010" t="s">
        <v>643</v>
      </c>
      <c r="G16" s="1015"/>
      <c r="H16" s="1007" t="s">
        <v>644</v>
      </c>
      <c r="I16" s="124" t="s">
        <v>662</v>
      </c>
      <c r="J16" s="1018"/>
    </row>
    <row r="17" spans="1:10" ht="15.75">
      <c r="A17" s="1007">
        <v>15</v>
      </c>
      <c r="B17" s="1014" t="s">
        <v>554</v>
      </c>
      <c r="C17" s="1007"/>
      <c r="D17" s="1016">
        <v>1995</v>
      </c>
      <c r="E17" s="1019"/>
      <c r="F17" s="1010" t="s">
        <v>652</v>
      </c>
      <c r="G17" s="1014"/>
      <c r="H17" s="1007" t="s">
        <v>650</v>
      </c>
      <c r="I17" s="124" t="s">
        <v>663</v>
      </c>
      <c r="J17" s="1020"/>
    </row>
    <row r="18" spans="1:10" ht="15.75">
      <c r="A18" s="1007">
        <v>16</v>
      </c>
      <c r="B18" s="1014" t="s">
        <v>220</v>
      </c>
      <c r="C18" s="1007"/>
      <c r="D18" s="1016">
        <v>1976</v>
      </c>
      <c r="E18" s="1019"/>
      <c r="F18" s="1010" t="s">
        <v>643</v>
      </c>
      <c r="G18" s="1014"/>
      <c r="H18" s="1007" t="s">
        <v>644</v>
      </c>
      <c r="I18" s="124" t="s">
        <v>664</v>
      </c>
      <c r="J18" s="1020"/>
    </row>
    <row r="19" spans="1:10" ht="15.75">
      <c r="A19" s="1007">
        <v>17</v>
      </c>
      <c r="B19" s="1014" t="s">
        <v>221</v>
      </c>
      <c r="C19" s="1007"/>
      <c r="D19" s="1016">
        <v>1999</v>
      </c>
      <c r="E19" s="1019"/>
      <c r="F19" s="1010" t="s">
        <v>643</v>
      </c>
      <c r="G19" s="1014"/>
      <c r="H19" s="1007" t="s">
        <v>644</v>
      </c>
      <c r="I19" s="124" t="s">
        <v>665</v>
      </c>
      <c r="J19" s="1020"/>
    </row>
    <row r="20" spans="1:10" ht="15.75">
      <c r="A20" s="1007">
        <v>18</v>
      </c>
      <c r="B20" s="1014" t="s">
        <v>200</v>
      </c>
      <c r="C20" s="1007"/>
      <c r="D20" s="1016">
        <v>1977</v>
      </c>
      <c r="E20" s="1019"/>
      <c r="F20" s="1010" t="s">
        <v>643</v>
      </c>
      <c r="G20" s="1014"/>
      <c r="H20" s="1007" t="s">
        <v>644</v>
      </c>
      <c r="I20" s="124" t="s">
        <v>666</v>
      </c>
      <c r="J20" s="1020"/>
    </row>
    <row r="21" spans="1:10" ht="15.75">
      <c r="A21" s="1007">
        <v>19</v>
      </c>
      <c r="B21" s="1014" t="s">
        <v>235</v>
      </c>
      <c r="C21" s="1007"/>
      <c r="D21" s="1016">
        <v>1975</v>
      </c>
      <c r="E21" s="1019"/>
      <c r="F21" s="1010" t="s">
        <v>652</v>
      </c>
      <c r="G21" s="1014"/>
      <c r="H21" s="1007" t="s">
        <v>644</v>
      </c>
      <c r="I21" s="124" t="s">
        <v>667</v>
      </c>
      <c r="J21" s="1020"/>
    </row>
    <row r="22" spans="1:10" ht="15.75">
      <c r="A22" s="1007">
        <v>20</v>
      </c>
      <c r="B22" s="1014" t="s">
        <v>243</v>
      </c>
      <c r="C22" s="1007"/>
      <c r="D22" s="1019">
        <v>2003</v>
      </c>
      <c r="E22" s="1019"/>
      <c r="F22" s="1010" t="s">
        <v>652</v>
      </c>
      <c r="G22" s="1014"/>
      <c r="H22" s="1007" t="s">
        <v>668</v>
      </c>
      <c r="I22" s="124" t="s">
        <v>669</v>
      </c>
      <c r="J22" s="1020"/>
    </row>
    <row r="23" spans="1:10" ht="15.75">
      <c r="A23" s="1007">
        <v>21</v>
      </c>
      <c r="B23" s="1014" t="s">
        <v>218</v>
      </c>
      <c r="C23" s="1007"/>
      <c r="D23" s="1019">
        <v>1999</v>
      </c>
      <c r="E23" s="1019"/>
      <c r="F23" s="1010" t="s">
        <v>652</v>
      </c>
      <c r="G23" s="1014"/>
      <c r="H23" s="1007" t="s">
        <v>644</v>
      </c>
      <c r="I23" s="124" t="s">
        <v>670</v>
      </c>
      <c r="J23" s="1020"/>
    </row>
    <row r="24" spans="1:10" ht="15.75">
      <c r="A24" s="1007">
        <v>22</v>
      </c>
      <c r="B24" s="1014" t="s">
        <v>555</v>
      </c>
      <c r="C24" s="1007"/>
      <c r="D24" s="1021">
        <v>1999</v>
      </c>
      <c r="E24" s="1019"/>
      <c r="F24" s="1022" t="s">
        <v>652</v>
      </c>
      <c r="G24" s="1014"/>
      <c r="H24" s="1007" t="s">
        <v>671</v>
      </c>
      <c r="I24" s="124" t="s">
        <v>672</v>
      </c>
      <c r="J24" s="1020"/>
    </row>
    <row r="25" spans="1:10" ht="15.75">
      <c r="A25" s="1007">
        <v>23</v>
      </c>
      <c r="B25" s="1014" t="s">
        <v>244</v>
      </c>
      <c r="C25" s="1007"/>
      <c r="D25" s="1019">
        <v>1994</v>
      </c>
      <c r="E25" s="1019"/>
      <c r="F25" s="1010" t="s">
        <v>643</v>
      </c>
      <c r="G25" s="1014"/>
      <c r="H25" s="1007" t="s">
        <v>644</v>
      </c>
      <c r="I25" s="124" t="s">
        <v>673</v>
      </c>
      <c r="J25" s="1020"/>
    </row>
    <row r="26" spans="1:10" ht="15.75">
      <c r="A26" s="1007">
        <v>24</v>
      </c>
      <c r="B26" s="1014" t="s">
        <v>245</v>
      </c>
      <c r="C26" s="1007"/>
      <c r="D26" s="1019">
        <v>1980</v>
      </c>
      <c r="E26" s="1019"/>
      <c r="F26" s="1010" t="s">
        <v>652</v>
      </c>
      <c r="G26" s="1014"/>
      <c r="H26" s="1007" t="s">
        <v>671</v>
      </c>
      <c r="I26" s="124" t="s">
        <v>674</v>
      </c>
      <c r="J26" s="1020"/>
    </row>
    <row r="27" spans="1:10" ht="15.75">
      <c r="A27" s="1007">
        <v>25</v>
      </c>
      <c r="B27" s="1014" t="s">
        <v>325</v>
      </c>
      <c r="C27" s="1007"/>
      <c r="D27" s="1019">
        <v>1999</v>
      </c>
      <c r="E27" s="1019"/>
      <c r="F27" s="1010" t="s">
        <v>652</v>
      </c>
      <c r="G27" s="1014"/>
      <c r="H27" s="1007" t="s">
        <v>668</v>
      </c>
      <c r="I27" s="124" t="s">
        <v>675</v>
      </c>
      <c r="J27" s="1020"/>
    </row>
    <row r="28" spans="1:10" ht="15.75">
      <c r="A28" s="1007">
        <v>26</v>
      </c>
      <c r="B28" s="1014" t="s">
        <v>193</v>
      </c>
      <c r="C28" s="1007"/>
      <c r="D28" s="1019">
        <v>1995</v>
      </c>
      <c r="E28" s="1019"/>
      <c r="F28" s="1010" t="s">
        <v>652</v>
      </c>
      <c r="G28" s="1014"/>
      <c r="H28" s="1007" t="s">
        <v>644</v>
      </c>
      <c r="I28" s="124" t="s">
        <v>676</v>
      </c>
      <c r="J28" s="1020"/>
    </row>
    <row r="29" spans="1:10" ht="15.75">
      <c r="A29" s="1007">
        <v>27</v>
      </c>
      <c r="B29" s="1014" t="s">
        <v>191</v>
      </c>
      <c r="C29" s="1007"/>
      <c r="D29" s="1019">
        <v>1992</v>
      </c>
      <c r="E29" s="1019"/>
      <c r="F29" s="1010" t="s">
        <v>643</v>
      </c>
      <c r="G29" s="1014"/>
      <c r="H29" s="1007" t="s">
        <v>644</v>
      </c>
      <c r="I29" s="124" t="s">
        <v>677</v>
      </c>
      <c r="J29" s="1020"/>
    </row>
    <row r="30" spans="1:10" ht="15.75">
      <c r="A30" s="1007">
        <v>28</v>
      </c>
      <c r="B30" s="1014" t="s">
        <v>171</v>
      </c>
      <c r="C30" s="1007"/>
      <c r="D30" s="1019">
        <v>1996</v>
      </c>
      <c r="E30" s="1019"/>
      <c r="F30" s="1010" t="s">
        <v>652</v>
      </c>
      <c r="G30" s="1014"/>
      <c r="H30" s="1007" t="s">
        <v>678</v>
      </c>
      <c r="I30" s="124" t="s">
        <v>679</v>
      </c>
      <c r="J30" s="1020"/>
    </row>
    <row r="31" spans="1:10" ht="15.75">
      <c r="A31" s="1007">
        <v>29</v>
      </c>
      <c r="B31" s="1014" t="s">
        <v>170</v>
      </c>
      <c r="C31" s="1007"/>
      <c r="D31" s="1019">
        <v>1986</v>
      </c>
      <c r="E31" s="1019"/>
      <c r="F31" s="1010" t="s">
        <v>643</v>
      </c>
      <c r="G31" s="1014"/>
      <c r="H31" s="1007" t="s">
        <v>678</v>
      </c>
      <c r="I31" s="124" t="s">
        <v>680</v>
      </c>
      <c r="J31" s="1020"/>
    </row>
    <row r="32" spans="1:10" ht="15.75">
      <c r="A32" s="1007">
        <v>30</v>
      </c>
      <c r="B32" s="1014" t="s">
        <v>231</v>
      </c>
      <c r="C32" s="1007"/>
      <c r="D32" s="1019">
        <v>2000</v>
      </c>
      <c r="E32" s="1019"/>
      <c r="F32" s="1010" t="s">
        <v>643</v>
      </c>
      <c r="G32" s="1014"/>
      <c r="H32" s="1007" t="s">
        <v>644</v>
      </c>
      <c r="I32" s="124" t="s">
        <v>681</v>
      </c>
      <c r="J32" s="1020"/>
    </row>
    <row r="33" spans="1:10" ht="15.75">
      <c r="A33" s="1007">
        <v>31</v>
      </c>
      <c r="B33" s="1014" t="s">
        <v>222</v>
      </c>
      <c r="C33" s="1007"/>
      <c r="D33" s="1019">
        <v>1992</v>
      </c>
      <c r="E33" s="1019"/>
      <c r="F33" s="1010" t="s">
        <v>643</v>
      </c>
      <c r="G33" s="1014"/>
      <c r="H33" s="1007" t="s">
        <v>668</v>
      </c>
      <c r="I33" s="124" t="s">
        <v>682</v>
      </c>
      <c r="J33" s="1020"/>
    </row>
    <row r="34" spans="1:10" ht="15.75">
      <c r="A34" s="1007">
        <v>32</v>
      </c>
      <c r="B34" s="1014" t="s">
        <v>223</v>
      </c>
      <c r="C34" s="1007"/>
      <c r="D34" s="1019">
        <v>1978</v>
      </c>
      <c r="E34" s="1019"/>
      <c r="F34" s="1010" t="s">
        <v>643</v>
      </c>
      <c r="G34" s="1014"/>
      <c r="H34" s="1007" t="s">
        <v>644</v>
      </c>
      <c r="I34" s="124" t="s">
        <v>683</v>
      </c>
      <c r="J34" s="1020"/>
    </row>
    <row r="35" spans="1:10" ht="15.75">
      <c r="A35" s="1007">
        <v>33</v>
      </c>
      <c r="B35" s="1014" t="s">
        <v>201</v>
      </c>
      <c r="C35" s="1007"/>
      <c r="D35" s="1019">
        <v>2003</v>
      </c>
      <c r="E35" s="1019"/>
      <c r="F35" s="1010" t="s">
        <v>643</v>
      </c>
      <c r="G35" s="1014"/>
      <c r="H35" s="1007" t="s">
        <v>644</v>
      </c>
      <c r="I35" s="124" t="s">
        <v>684</v>
      </c>
      <c r="J35" s="1020"/>
    </row>
    <row r="36" spans="1:10" ht="15.75">
      <c r="A36" s="1007">
        <v>34</v>
      </c>
      <c r="B36" s="1014" t="s">
        <v>246</v>
      </c>
      <c r="C36" s="1007"/>
      <c r="D36" s="1019">
        <v>1981</v>
      </c>
      <c r="E36" s="1019"/>
      <c r="F36" s="1010" t="s">
        <v>643</v>
      </c>
      <c r="G36" s="1014"/>
      <c r="H36" s="1007" t="s">
        <v>644</v>
      </c>
      <c r="I36" s="124" t="s">
        <v>685</v>
      </c>
      <c r="J36" s="1020"/>
    </row>
    <row r="37" spans="1:10" ht="15.75">
      <c r="A37" s="1007">
        <v>35</v>
      </c>
      <c r="B37" s="1014" t="s">
        <v>202</v>
      </c>
      <c r="C37" s="1007"/>
      <c r="D37" s="1019">
        <v>1995</v>
      </c>
      <c r="E37" s="1019"/>
      <c r="F37" s="1010" t="s">
        <v>652</v>
      </c>
      <c r="G37" s="1014"/>
      <c r="H37" s="1007" t="s">
        <v>644</v>
      </c>
      <c r="I37" s="124" t="s">
        <v>686</v>
      </c>
      <c r="J37" s="1020"/>
    </row>
    <row r="38" spans="1:10" ht="15.75">
      <c r="A38" s="1007">
        <v>36</v>
      </c>
      <c r="B38" s="1014" t="s">
        <v>203</v>
      </c>
      <c r="C38" s="1007"/>
      <c r="D38" s="1019">
        <v>1986</v>
      </c>
      <c r="E38" s="1019"/>
      <c r="F38" s="1010" t="s">
        <v>643</v>
      </c>
      <c r="G38" s="1014"/>
      <c r="H38" s="1007" t="s">
        <v>644</v>
      </c>
      <c r="I38" s="124" t="s">
        <v>687</v>
      </c>
      <c r="J38" s="1020"/>
    </row>
    <row r="39" spans="1:10" ht="15.75">
      <c r="A39" s="1007">
        <v>37</v>
      </c>
      <c r="B39" s="1014" t="s">
        <v>575</v>
      </c>
      <c r="C39" s="1007"/>
      <c r="D39" s="1019">
        <v>2000</v>
      </c>
      <c r="E39" s="1019"/>
      <c r="F39" s="1010" t="s">
        <v>643</v>
      </c>
      <c r="G39" s="1014"/>
      <c r="H39" s="1007" t="s">
        <v>644</v>
      </c>
      <c r="I39" s="124" t="s">
        <v>688</v>
      </c>
      <c r="J39" s="1020"/>
    </row>
    <row r="40" spans="1:10" ht="15.75">
      <c r="A40" s="1007">
        <v>38</v>
      </c>
      <c r="B40" s="1014" t="s">
        <v>247</v>
      </c>
      <c r="C40" s="1007"/>
      <c r="D40" s="1019">
        <v>1988</v>
      </c>
      <c r="E40" s="1019"/>
      <c r="F40" s="1010" t="s">
        <v>652</v>
      </c>
      <c r="G40" s="1014"/>
      <c r="H40" s="1007" t="s">
        <v>644</v>
      </c>
      <c r="I40" s="124" t="s">
        <v>689</v>
      </c>
      <c r="J40" s="1020"/>
    </row>
    <row r="41" spans="1:10" ht="15.75">
      <c r="A41" s="1007">
        <v>39</v>
      </c>
      <c r="B41" s="1014" t="s">
        <v>224</v>
      </c>
      <c r="C41" s="1007"/>
      <c r="D41" s="1019">
        <v>1994</v>
      </c>
      <c r="E41" s="1019"/>
      <c r="F41" s="1010" t="s">
        <v>652</v>
      </c>
      <c r="G41" s="1014"/>
      <c r="H41" s="1007" t="s">
        <v>668</v>
      </c>
      <c r="I41" s="124" t="s">
        <v>690</v>
      </c>
      <c r="J41" s="1020"/>
    </row>
    <row r="42" spans="1:10" ht="15.75">
      <c r="A42" s="1007">
        <v>40</v>
      </c>
      <c r="B42" s="1014" t="s">
        <v>232</v>
      </c>
      <c r="C42" s="1007"/>
      <c r="D42" s="1019">
        <v>1987</v>
      </c>
      <c r="E42" s="1019"/>
      <c r="F42" s="1010" t="s">
        <v>643</v>
      </c>
      <c r="G42" s="1014"/>
      <c r="H42" s="1007" t="s">
        <v>644</v>
      </c>
      <c r="I42" s="124" t="s">
        <v>691</v>
      </c>
      <c r="J42" s="1020"/>
    </row>
    <row r="43" spans="1:10" ht="15.75">
      <c r="A43" s="1007">
        <v>41</v>
      </c>
      <c r="B43" s="1014" t="s">
        <v>475</v>
      </c>
      <c r="C43" s="1007"/>
      <c r="D43" s="1019">
        <v>1994</v>
      </c>
      <c r="E43" s="1019"/>
      <c r="F43" s="1010" t="s">
        <v>643</v>
      </c>
      <c r="G43" s="1014"/>
      <c r="H43" s="1007" t="s">
        <v>644</v>
      </c>
      <c r="I43" s="124" t="s">
        <v>692</v>
      </c>
      <c r="J43" s="1020"/>
    </row>
    <row r="44" spans="1:10" ht="15.75">
      <c r="A44" s="1007">
        <v>42</v>
      </c>
      <c r="B44" s="1014" t="s">
        <v>215</v>
      </c>
      <c r="C44" s="1007"/>
      <c r="D44" s="1019">
        <v>1990</v>
      </c>
      <c r="E44" s="1019"/>
      <c r="F44" s="1010" t="s">
        <v>643</v>
      </c>
      <c r="G44" s="1014"/>
      <c r="H44" s="1007" t="s">
        <v>668</v>
      </c>
      <c r="I44" s="124" t="s">
        <v>693</v>
      </c>
      <c r="J44" s="1020"/>
    </row>
    <row r="45" spans="1:10" ht="15.75">
      <c r="A45" s="1007">
        <v>43</v>
      </c>
      <c r="B45" s="1014" t="s">
        <v>556</v>
      </c>
      <c r="C45" s="1007"/>
      <c r="D45" s="1019">
        <v>1997</v>
      </c>
      <c r="E45" s="1019"/>
      <c r="F45" s="1010" t="s">
        <v>643</v>
      </c>
      <c r="G45" s="1014"/>
      <c r="H45" s="1007" t="s">
        <v>668</v>
      </c>
      <c r="I45" s="124" t="s">
        <v>694</v>
      </c>
      <c r="J45" s="1020"/>
    </row>
    <row r="46" spans="1:10" ht="15.75">
      <c r="A46" s="1007">
        <v>44</v>
      </c>
      <c r="B46" s="1014" t="s">
        <v>255</v>
      </c>
      <c r="C46" s="1007"/>
      <c r="D46" s="1019">
        <v>2004</v>
      </c>
      <c r="E46" s="1019"/>
      <c r="F46" s="1010" t="s">
        <v>643</v>
      </c>
      <c r="G46" s="1014"/>
      <c r="H46" s="1007" t="s">
        <v>644</v>
      </c>
      <c r="I46" s="124" t="s">
        <v>695</v>
      </c>
      <c r="J46" s="1020"/>
    </row>
    <row r="47" spans="1:10" ht="15.75">
      <c r="A47" s="1007">
        <v>45</v>
      </c>
      <c r="B47" s="1014" t="s">
        <v>225</v>
      </c>
      <c r="C47" s="1007"/>
      <c r="D47" s="1019">
        <v>2005</v>
      </c>
      <c r="E47" s="1019"/>
      <c r="F47" s="1010" t="s">
        <v>643</v>
      </c>
      <c r="G47" s="1014"/>
      <c r="H47" s="1007" t="s">
        <v>644</v>
      </c>
      <c r="I47" s="124" t="s">
        <v>696</v>
      </c>
      <c r="J47" s="1020"/>
    </row>
    <row r="48" spans="1:10" ht="15.75">
      <c r="A48" s="1007">
        <v>46</v>
      </c>
      <c r="B48" s="1014" t="s">
        <v>327</v>
      </c>
      <c r="C48" s="1007"/>
      <c r="D48" s="1019">
        <v>2002</v>
      </c>
      <c r="E48" s="1019"/>
      <c r="F48" s="1010" t="s">
        <v>643</v>
      </c>
      <c r="G48" s="1014"/>
      <c r="H48" s="1007" t="s">
        <v>644</v>
      </c>
      <c r="I48" s="124" t="s">
        <v>697</v>
      </c>
      <c r="J48" s="1020"/>
    </row>
    <row r="49" spans="1:10" ht="15.75">
      <c r="A49" s="1007">
        <v>47</v>
      </c>
      <c r="B49" s="1014" t="s">
        <v>557</v>
      </c>
      <c r="C49" s="1007"/>
      <c r="D49" s="1019">
        <v>2003</v>
      </c>
      <c r="E49" s="1019"/>
      <c r="F49" s="1010" t="s">
        <v>652</v>
      </c>
      <c r="G49" s="1014"/>
      <c r="H49" s="1007" t="s">
        <v>644</v>
      </c>
      <c r="I49" s="124" t="s">
        <v>698</v>
      </c>
      <c r="J49" s="1020"/>
    </row>
    <row r="50" spans="1:10" ht="15.75">
      <c r="A50" s="1007">
        <v>48</v>
      </c>
      <c r="B50" s="1014" t="s">
        <v>145</v>
      </c>
      <c r="C50" s="1007"/>
      <c r="D50" s="1019">
        <v>1994</v>
      </c>
      <c r="E50" s="1019"/>
      <c r="F50" s="1010" t="s">
        <v>643</v>
      </c>
      <c r="G50" s="1014"/>
      <c r="H50" s="1007" t="s">
        <v>644</v>
      </c>
      <c r="I50" s="124" t="s">
        <v>699</v>
      </c>
      <c r="J50" s="1020"/>
    </row>
    <row r="51" spans="1:10" ht="15.75">
      <c r="A51" s="1007">
        <v>49</v>
      </c>
      <c r="B51" s="1014" t="s">
        <v>326</v>
      </c>
      <c r="C51" s="1007"/>
      <c r="D51" s="1019">
        <v>1992</v>
      </c>
      <c r="E51" s="1019"/>
      <c r="F51" s="1010" t="s">
        <v>652</v>
      </c>
      <c r="G51" s="1014"/>
      <c r="H51" s="1007" t="s">
        <v>646</v>
      </c>
      <c r="I51" s="124" t="s">
        <v>700</v>
      </c>
      <c r="J51" s="1020"/>
    </row>
    <row r="52" spans="1:10" ht="15.75">
      <c r="A52" s="1007">
        <v>50</v>
      </c>
      <c r="B52" s="1014" t="s">
        <v>558</v>
      </c>
      <c r="C52" s="1007"/>
      <c r="D52" s="1019">
        <v>1988</v>
      </c>
      <c r="E52" s="1019"/>
      <c r="F52" s="1010" t="s">
        <v>652</v>
      </c>
      <c r="G52" s="1014"/>
      <c r="H52" s="1007" t="s">
        <v>644</v>
      </c>
      <c r="I52" s="124" t="s">
        <v>701</v>
      </c>
      <c r="J52" s="1020"/>
    </row>
    <row r="53" spans="1:10" ht="15.75">
      <c r="A53" s="1007">
        <v>51</v>
      </c>
      <c r="B53" s="1014" t="s">
        <v>217</v>
      </c>
      <c r="C53" s="1007"/>
      <c r="D53" s="1019">
        <v>2000</v>
      </c>
      <c r="E53" s="1019"/>
      <c r="F53" s="1010" t="s">
        <v>643</v>
      </c>
      <c r="G53" s="1014"/>
      <c r="H53" s="1007" t="s">
        <v>644</v>
      </c>
      <c r="I53" s="124" t="s">
        <v>702</v>
      </c>
      <c r="J53" s="1020"/>
    </row>
    <row r="54" spans="1:10" ht="15.75">
      <c r="A54" s="1007">
        <v>52</v>
      </c>
      <c r="B54" s="1014" t="s">
        <v>328</v>
      </c>
      <c r="C54" s="1007"/>
      <c r="D54" s="1019">
        <v>2004</v>
      </c>
      <c r="E54" s="1019"/>
      <c r="F54" s="1010" t="s">
        <v>652</v>
      </c>
      <c r="G54" s="1014"/>
      <c r="H54" s="1007" t="s">
        <v>644</v>
      </c>
      <c r="I54" s="124" t="s">
        <v>703</v>
      </c>
      <c r="J54" s="1020"/>
    </row>
    <row r="55" spans="1:10" ht="15.75">
      <c r="A55" s="1007">
        <v>53</v>
      </c>
      <c r="B55" s="1014" t="s">
        <v>146</v>
      </c>
      <c r="C55" s="1007"/>
      <c r="D55" s="1019">
        <v>1980</v>
      </c>
      <c r="E55" s="1019"/>
      <c r="F55" s="1010" t="s">
        <v>643</v>
      </c>
      <c r="G55" s="1014"/>
      <c r="H55" s="1007" t="s">
        <v>644</v>
      </c>
      <c r="I55" s="124" t="s">
        <v>704</v>
      </c>
      <c r="J55" s="1020"/>
    </row>
    <row r="56" spans="1:10" ht="15.75">
      <c r="A56" s="1007">
        <v>54</v>
      </c>
      <c r="B56" s="1014" t="s">
        <v>559</v>
      </c>
      <c r="C56" s="1007"/>
      <c r="D56" s="1019">
        <v>2004</v>
      </c>
      <c r="E56" s="1019"/>
      <c r="F56" s="1010" t="s">
        <v>643</v>
      </c>
      <c r="G56" s="1014"/>
      <c r="H56" s="1007" t="s">
        <v>69</v>
      </c>
      <c r="I56" s="124" t="s">
        <v>705</v>
      </c>
      <c r="J56" s="1020"/>
    </row>
    <row r="57" spans="1:10" ht="15.75">
      <c r="A57" s="1007">
        <v>55</v>
      </c>
      <c r="B57" s="1014" t="s">
        <v>354</v>
      </c>
      <c r="C57" s="1007"/>
      <c r="D57" s="1019">
        <v>2005</v>
      </c>
      <c r="E57" s="1019"/>
      <c r="F57" s="1010" t="s">
        <v>652</v>
      </c>
      <c r="G57" s="1014"/>
      <c r="H57" s="1007" t="s">
        <v>644</v>
      </c>
      <c r="I57" s="124" t="s">
        <v>706</v>
      </c>
      <c r="J57" s="1020"/>
    </row>
    <row r="58" spans="1:10" ht="15.75">
      <c r="A58" s="1007">
        <v>56</v>
      </c>
      <c r="B58" s="1014" t="s">
        <v>329</v>
      </c>
      <c r="C58" s="1007"/>
      <c r="D58" s="1019">
        <v>2004</v>
      </c>
      <c r="E58" s="1019"/>
      <c r="F58" s="1010" t="s">
        <v>643</v>
      </c>
      <c r="G58" s="1014"/>
      <c r="H58" s="1007" t="s">
        <v>650</v>
      </c>
      <c r="I58" s="124" t="s">
        <v>707</v>
      </c>
      <c r="J58" s="1020"/>
    </row>
    <row r="59" spans="1:10" ht="15.75">
      <c r="A59" s="1007">
        <v>57</v>
      </c>
      <c r="B59" s="1014" t="s">
        <v>330</v>
      </c>
      <c r="C59" s="1007"/>
      <c r="D59" s="1019">
        <v>1988</v>
      </c>
      <c r="E59" s="1019"/>
      <c r="F59" s="1010" t="s">
        <v>643</v>
      </c>
      <c r="G59" s="1014"/>
      <c r="H59" s="1007" t="s">
        <v>650</v>
      </c>
      <c r="I59" s="124" t="s">
        <v>708</v>
      </c>
      <c r="J59" s="1020"/>
    </row>
    <row r="60" spans="1:10" ht="15.75">
      <c r="A60" s="1007">
        <v>58</v>
      </c>
      <c r="B60" s="1014" t="s">
        <v>507</v>
      </c>
      <c r="C60" s="1007"/>
      <c r="D60" s="1019">
        <v>1996</v>
      </c>
      <c r="E60" s="1019"/>
      <c r="F60" s="1010" t="s">
        <v>652</v>
      </c>
      <c r="G60" s="1014"/>
      <c r="H60" s="1007" t="s">
        <v>650</v>
      </c>
      <c r="I60" s="124" t="s">
        <v>709</v>
      </c>
      <c r="J60" s="1020"/>
    </row>
    <row r="61" spans="1:10" ht="15.75">
      <c r="A61" s="1007">
        <v>59</v>
      </c>
      <c r="B61" s="1014" t="s">
        <v>234</v>
      </c>
      <c r="C61" s="1007"/>
      <c r="D61" s="1019">
        <v>1993</v>
      </c>
      <c r="E61" s="1019"/>
      <c r="F61" s="1010" t="s">
        <v>643</v>
      </c>
      <c r="G61" s="1014"/>
      <c r="H61" s="1007" t="s">
        <v>644</v>
      </c>
      <c r="I61" s="124" t="s">
        <v>710</v>
      </c>
      <c r="J61" s="1020"/>
    </row>
    <row r="62" spans="1:10" ht="15.75">
      <c r="A62" s="1007">
        <v>60</v>
      </c>
      <c r="B62" s="1014" t="s">
        <v>560</v>
      </c>
      <c r="C62" s="1007"/>
      <c r="D62" s="1019">
        <v>1999</v>
      </c>
      <c r="E62" s="1019"/>
      <c r="F62" s="1010" t="s">
        <v>643</v>
      </c>
      <c r="G62" s="1014"/>
      <c r="H62" s="1007" t="s">
        <v>678</v>
      </c>
      <c r="I62" s="124" t="s">
        <v>711</v>
      </c>
      <c r="J62" s="1020"/>
    </row>
    <row r="63" spans="1:10" ht="15.75">
      <c r="A63" s="1007">
        <v>61</v>
      </c>
      <c r="B63" s="1014" t="s">
        <v>256</v>
      </c>
      <c r="C63" s="1007"/>
      <c r="D63" s="1019">
        <v>1985</v>
      </c>
      <c r="E63" s="1019"/>
      <c r="F63" s="1010" t="s">
        <v>652</v>
      </c>
      <c r="G63" s="1014"/>
      <c r="H63" s="1007" t="s">
        <v>644</v>
      </c>
      <c r="I63" s="124" t="s">
        <v>712</v>
      </c>
      <c r="J63" s="1020"/>
    </row>
    <row r="64" spans="1:10" ht="15.75">
      <c r="A64" s="1007">
        <v>62</v>
      </c>
      <c r="B64" s="1014" t="s">
        <v>561</v>
      </c>
      <c r="C64" s="1007"/>
      <c r="D64" s="1019">
        <v>1995</v>
      </c>
      <c r="E64" s="1019"/>
      <c r="F64" s="1010" t="s">
        <v>652</v>
      </c>
      <c r="G64" s="1014"/>
      <c r="H64" s="1007" t="s">
        <v>650</v>
      </c>
      <c r="I64" s="124" t="s">
        <v>713</v>
      </c>
      <c r="J64" s="1020"/>
    </row>
    <row r="65" spans="1:10" ht="15.75">
      <c r="A65" s="1007">
        <v>63</v>
      </c>
      <c r="B65" s="1014" t="s">
        <v>331</v>
      </c>
      <c r="C65" s="1007"/>
      <c r="D65" s="1019">
        <v>2004</v>
      </c>
      <c r="E65" s="1019"/>
      <c r="F65" s="1010" t="s">
        <v>643</v>
      </c>
      <c r="G65" s="1014"/>
      <c r="H65" s="1007" t="s">
        <v>646</v>
      </c>
      <c r="I65" s="124" t="s">
        <v>714</v>
      </c>
      <c r="J65" s="1020"/>
    </row>
    <row r="66" spans="1:10" ht="15.75">
      <c r="A66" s="1007">
        <v>64</v>
      </c>
      <c r="B66" s="1014" t="s">
        <v>332</v>
      </c>
      <c r="C66" s="1007"/>
      <c r="D66" s="1019">
        <v>1993</v>
      </c>
      <c r="E66" s="1019"/>
      <c r="F66" s="1010" t="s">
        <v>652</v>
      </c>
      <c r="G66" s="1014"/>
      <c r="H66" s="1007" t="s">
        <v>646</v>
      </c>
      <c r="I66" s="124" t="s">
        <v>715</v>
      </c>
      <c r="J66" s="1020"/>
    </row>
    <row r="67" spans="1:10" ht="15.75">
      <c r="A67" s="1007">
        <v>65</v>
      </c>
      <c r="B67" s="1014" t="s">
        <v>406</v>
      </c>
      <c r="C67" s="1007"/>
      <c r="D67" s="1019">
        <v>2002</v>
      </c>
      <c r="E67" s="1019"/>
      <c r="F67" s="1010" t="s">
        <v>643</v>
      </c>
      <c r="G67" s="1014"/>
      <c r="H67" s="1007" t="s">
        <v>650</v>
      </c>
      <c r="I67" s="124" t="s">
        <v>716</v>
      </c>
      <c r="J67" s="1020"/>
    </row>
    <row r="68" spans="1:10" ht="15.75">
      <c r="A68" s="1007">
        <v>66</v>
      </c>
      <c r="B68" s="1014" t="s">
        <v>443</v>
      </c>
      <c r="C68" s="1007"/>
      <c r="D68" s="1019">
        <v>1989</v>
      </c>
      <c r="E68" s="1019"/>
      <c r="F68" s="1010" t="s">
        <v>643</v>
      </c>
      <c r="G68" s="1014"/>
      <c r="H68" s="1007" t="s">
        <v>646</v>
      </c>
      <c r="I68" s="124" t="s">
        <v>717</v>
      </c>
      <c r="J68" s="1020"/>
    </row>
    <row r="69" spans="1:10" ht="15.75">
      <c r="A69" s="1007">
        <v>67</v>
      </c>
      <c r="B69" s="1014" t="s">
        <v>212</v>
      </c>
      <c r="C69" s="1007"/>
      <c r="D69" s="1019">
        <v>1996</v>
      </c>
      <c r="E69" s="1019"/>
      <c r="F69" s="1010" t="s">
        <v>643</v>
      </c>
      <c r="G69" s="1014"/>
      <c r="H69" s="1007" t="s">
        <v>650</v>
      </c>
      <c r="I69" s="124" t="s">
        <v>718</v>
      </c>
      <c r="J69" s="1020"/>
    </row>
    <row r="70" spans="1:10" ht="15.75">
      <c r="A70" s="1007">
        <v>68</v>
      </c>
      <c r="B70" s="1014" t="s">
        <v>313</v>
      </c>
      <c r="C70" s="1007"/>
      <c r="D70" s="1019">
        <v>2005</v>
      </c>
      <c r="E70" s="1019"/>
      <c r="F70" s="1010" t="s">
        <v>643</v>
      </c>
      <c r="G70" s="1014"/>
      <c r="H70" s="1007" t="s">
        <v>646</v>
      </c>
      <c r="I70" s="124" t="s">
        <v>719</v>
      </c>
      <c r="J70" s="1020"/>
    </row>
    <row r="71" spans="1:10" ht="15.75">
      <c r="A71" s="1007">
        <v>69</v>
      </c>
      <c r="B71" s="1014" t="s">
        <v>346</v>
      </c>
      <c r="C71" s="1007"/>
      <c r="D71" s="1019">
        <v>1988</v>
      </c>
      <c r="E71" s="1019"/>
      <c r="F71" s="1010" t="s">
        <v>643</v>
      </c>
      <c r="G71" s="1014"/>
      <c r="H71" s="1007" t="s">
        <v>646</v>
      </c>
      <c r="I71" s="124" t="s">
        <v>720</v>
      </c>
      <c r="J71" s="1020"/>
    </row>
    <row r="72" spans="1:10" ht="15.75">
      <c r="A72" s="1007">
        <v>70</v>
      </c>
      <c r="B72" s="1014" t="s">
        <v>333</v>
      </c>
      <c r="C72" s="1007"/>
      <c r="D72" s="1019">
        <v>1990</v>
      </c>
      <c r="E72" s="1019"/>
      <c r="F72" s="1010" t="s">
        <v>652</v>
      </c>
      <c r="G72" s="1014"/>
      <c r="H72" s="1007" t="s">
        <v>650</v>
      </c>
      <c r="I72" s="124" t="s">
        <v>721</v>
      </c>
      <c r="J72" s="1020"/>
    </row>
    <row r="73" spans="1:10" ht="15.75">
      <c r="A73" s="1007">
        <v>71</v>
      </c>
      <c r="B73" s="1014" t="s">
        <v>233</v>
      </c>
      <c r="C73" s="1007"/>
      <c r="D73" s="1019">
        <v>1995</v>
      </c>
      <c r="E73" s="1019"/>
      <c r="F73" s="1010" t="s">
        <v>652</v>
      </c>
      <c r="G73" s="1014"/>
      <c r="H73" s="1007" t="s">
        <v>650</v>
      </c>
      <c r="I73" s="124" t="s">
        <v>722</v>
      </c>
      <c r="J73" s="1020"/>
    </row>
    <row r="74" spans="1:10" ht="15.75">
      <c r="A74" s="1007">
        <v>72</v>
      </c>
      <c r="B74" s="1014" t="s">
        <v>273</v>
      </c>
      <c r="C74" s="1007"/>
      <c r="D74" s="1019">
        <v>1990</v>
      </c>
      <c r="E74" s="1019"/>
      <c r="F74" s="1010" t="s">
        <v>643</v>
      </c>
      <c r="G74" s="1014"/>
      <c r="H74" s="1007" t="s">
        <v>723</v>
      </c>
      <c r="I74" s="124" t="s">
        <v>724</v>
      </c>
      <c r="J74" s="1020"/>
    </row>
    <row r="75" spans="1:10" ht="15.75">
      <c r="A75" s="1007">
        <v>73</v>
      </c>
      <c r="B75" s="1014" t="s">
        <v>562</v>
      </c>
      <c r="C75" s="1007"/>
      <c r="D75" s="1019">
        <v>1995</v>
      </c>
      <c r="E75" s="1019"/>
      <c r="F75" s="1010" t="s">
        <v>643</v>
      </c>
      <c r="G75" s="1014"/>
      <c r="H75" s="1007" t="s">
        <v>723</v>
      </c>
      <c r="I75" s="124" t="s">
        <v>725</v>
      </c>
      <c r="J75" s="1020"/>
    </row>
    <row r="76" spans="1:10" s="1027" customFormat="1" ht="15.75">
      <c r="A76" s="1007">
        <v>74</v>
      </c>
      <c r="B76" s="1657" t="s">
        <v>579</v>
      </c>
      <c r="C76" s="1657"/>
      <c r="D76" s="1657"/>
      <c r="E76" s="1023"/>
      <c r="F76" s="1024"/>
      <c r="G76" s="1025"/>
      <c r="H76" s="1024"/>
      <c r="I76" s="1024"/>
      <c r="J76" s="1026"/>
    </row>
    <row r="77" spans="1:10" ht="15.75">
      <c r="A77" s="1007">
        <v>75</v>
      </c>
      <c r="B77" s="115" t="s">
        <v>563</v>
      </c>
      <c r="C77" s="1007"/>
      <c r="D77" s="1019">
        <v>2000</v>
      </c>
      <c r="E77" s="1019"/>
      <c r="F77" s="1019" t="s">
        <v>643</v>
      </c>
      <c r="G77" s="1014"/>
      <c r="H77" s="1007" t="s">
        <v>726</v>
      </c>
      <c r="I77" s="124" t="s">
        <v>727</v>
      </c>
      <c r="J77" s="1020"/>
    </row>
    <row r="78" spans="1:10" ht="15.75">
      <c r="A78" s="1007">
        <v>76</v>
      </c>
      <c r="B78" s="115" t="s">
        <v>249</v>
      </c>
      <c r="C78" s="1007"/>
      <c r="D78" s="1019">
        <v>2000</v>
      </c>
      <c r="E78" s="1019"/>
      <c r="F78" s="1019" t="s">
        <v>652</v>
      </c>
      <c r="G78" s="1014"/>
      <c r="H78" s="1007" t="s">
        <v>73</v>
      </c>
      <c r="I78" s="124" t="s">
        <v>660</v>
      </c>
      <c r="J78" s="1020"/>
    </row>
    <row r="79" spans="1:10" ht="15.75">
      <c r="A79" s="1007">
        <v>77</v>
      </c>
      <c r="B79" s="417" t="s">
        <v>169</v>
      </c>
      <c r="C79" s="1007"/>
      <c r="D79" s="1019">
        <v>1996</v>
      </c>
      <c r="E79" s="1019"/>
      <c r="F79" s="1019" t="s">
        <v>643</v>
      </c>
      <c r="G79" s="1014"/>
      <c r="H79" s="1007" t="s">
        <v>728</v>
      </c>
      <c r="I79" s="124" t="s">
        <v>729</v>
      </c>
      <c r="J79" s="1020"/>
    </row>
    <row r="80" spans="1:10" ht="15.75">
      <c r="A80" s="1007">
        <v>78</v>
      </c>
      <c r="B80" s="418" t="s">
        <v>250</v>
      </c>
      <c r="C80" s="1007"/>
      <c r="D80" s="1019">
        <v>2001</v>
      </c>
      <c r="E80" s="1019"/>
      <c r="F80" s="1019" t="s">
        <v>652</v>
      </c>
      <c r="G80" s="1014"/>
      <c r="H80" s="1007" t="s">
        <v>728</v>
      </c>
      <c r="I80" s="124" t="s">
        <v>730</v>
      </c>
      <c r="J80" s="1020"/>
    </row>
    <row r="81" spans="1:10" ht="15.75">
      <c r="A81" s="1007">
        <v>79</v>
      </c>
      <c r="B81" s="115" t="s">
        <v>205</v>
      </c>
      <c r="C81" s="1007"/>
      <c r="D81" s="1019">
        <v>1994</v>
      </c>
      <c r="E81" s="1019"/>
      <c r="F81" s="1019" t="s">
        <v>643</v>
      </c>
      <c r="G81" s="1014"/>
      <c r="H81" s="1007" t="s">
        <v>728</v>
      </c>
      <c r="I81" s="124" t="s">
        <v>731</v>
      </c>
      <c r="J81" s="1020"/>
    </row>
    <row r="82" spans="1:10" ht="15.75">
      <c r="A82" s="1007">
        <v>80</v>
      </c>
      <c r="B82" s="115" t="s">
        <v>347</v>
      </c>
      <c r="C82" s="1007"/>
      <c r="D82" s="1019">
        <v>2005</v>
      </c>
      <c r="E82" s="1019"/>
      <c r="F82" s="1019" t="s">
        <v>643</v>
      </c>
      <c r="G82" s="1014"/>
      <c r="H82" s="1007" t="s">
        <v>726</v>
      </c>
      <c r="I82" s="124" t="s">
        <v>732</v>
      </c>
      <c r="J82" s="1020"/>
    </row>
    <row r="83" spans="1:10" ht="15.75">
      <c r="A83" s="1007">
        <v>81</v>
      </c>
      <c r="B83" s="115" t="s">
        <v>206</v>
      </c>
      <c r="C83" s="1007"/>
      <c r="D83" s="1019">
        <v>1989</v>
      </c>
      <c r="E83" s="1019"/>
      <c r="F83" s="1019" t="s">
        <v>643</v>
      </c>
      <c r="G83" s="1014"/>
      <c r="H83" s="1007" t="s">
        <v>726</v>
      </c>
      <c r="I83" s="124" t="s">
        <v>733</v>
      </c>
      <c r="J83" s="1020"/>
    </row>
    <row r="84" spans="1:10" ht="16.5">
      <c r="A84" s="1007">
        <v>82</v>
      </c>
      <c r="B84" s="115" t="s">
        <v>564</v>
      </c>
      <c r="C84" s="1007"/>
      <c r="D84" s="1019">
        <v>2001</v>
      </c>
      <c r="E84" s="1019"/>
      <c r="F84" s="1019" t="s">
        <v>643</v>
      </c>
      <c r="G84" s="1014"/>
      <c r="H84" s="1007" t="s">
        <v>726</v>
      </c>
      <c r="I84" s="1028" t="s">
        <v>734</v>
      </c>
      <c r="J84" s="1020"/>
    </row>
    <row r="85" spans="1:10" ht="15.75">
      <c r="A85" s="1007">
        <v>83</v>
      </c>
      <c r="B85" s="115" t="s">
        <v>348</v>
      </c>
      <c r="C85" s="1007"/>
      <c r="D85" s="1019">
        <v>1999</v>
      </c>
      <c r="E85" s="1019"/>
      <c r="F85" s="1019" t="s">
        <v>652</v>
      </c>
      <c r="G85" s="1014"/>
      <c r="H85" s="1007" t="s">
        <v>735</v>
      </c>
      <c r="I85" s="124" t="s">
        <v>736</v>
      </c>
      <c r="J85" s="1020"/>
    </row>
    <row r="86" spans="1:10" ht="15.75">
      <c r="A86" s="1007">
        <v>84</v>
      </c>
      <c r="B86" s="115" t="s">
        <v>226</v>
      </c>
      <c r="C86" s="1007"/>
      <c r="D86" s="1019">
        <v>1998</v>
      </c>
      <c r="E86" s="1019"/>
      <c r="F86" s="1019" t="s">
        <v>652</v>
      </c>
      <c r="G86" s="1014"/>
      <c r="H86" s="1007" t="s">
        <v>728</v>
      </c>
      <c r="I86" s="124" t="s">
        <v>737</v>
      </c>
      <c r="J86" s="1020"/>
    </row>
    <row r="87" spans="1:10" ht="15.75">
      <c r="A87" s="1007">
        <v>85</v>
      </c>
      <c r="B87" s="115" t="s">
        <v>207</v>
      </c>
      <c r="C87" s="1007"/>
      <c r="D87" s="1019">
        <v>1999</v>
      </c>
      <c r="E87" s="1019"/>
      <c r="F87" s="1019" t="s">
        <v>652</v>
      </c>
      <c r="G87" s="1014"/>
      <c r="H87" s="1007" t="s">
        <v>728</v>
      </c>
      <c r="I87" s="124" t="s">
        <v>738</v>
      </c>
      <c r="J87" s="1020"/>
    </row>
    <row r="88" spans="1:10" ht="15.75">
      <c r="A88" s="1007">
        <v>86</v>
      </c>
      <c r="B88" s="115" t="s">
        <v>208</v>
      </c>
      <c r="C88" s="1007"/>
      <c r="D88" s="1019">
        <v>1992</v>
      </c>
      <c r="E88" s="1019"/>
      <c r="F88" s="1019" t="s">
        <v>652</v>
      </c>
      <c r="G88" s="1014"/>
      <c r="H88" s="1007" t="s">
        <v>726</v>
      </c>
      <c r="I88" s="124" t="s">
        <v>739</v>
      </c>
      <c r="J88" s="1020"/>
    </row>
    <row r="89" spans="1:10" ht="15.75">
      <c r="A89" s="1007">
        <v>87</v>
      </c>
      <c r="B89" s="115" t="s">
        <v>565</v>
      </c>
      <c r="C89" s="1007"/>
      <c r="D89" s="1019">
        <v>2005</v>
      </c>
      <c r="E89" s="1019"/>
      <c r="F89" s="1019" t="s">
        <v>643</v>
      </c>
      <c r="G89" s="1014"/>
      <c r="H89" s="1007" t="s">
        <v>726</v>
      </c>
      <c r="I89" s="124" t="s">
        <v>740</v>
      </c>
      <c r="J89" s="1020"/>
    </row>
    <row r="90" spans="1:10" ht="15.75">
      <c r="A90" s="1007">
        <v>88</v>
      </c>
      <c r="B90" s="124" t="s">
        <v>251</v>
      </c>
      <c r="C90" s="1007"/>
      <c r="D90" s="1019">
        <v>1982</v>
      </c>
      <c r="E90" s="1019"/>
      <c r="F90" s="1019" t="s">
        <v>643</v>
      </c>
      <c r="G90" s="1014"/>
      <c r="H90" s="1007" t="s">
        <v>735</v>
      </c>
      <c r="I90" s="124" t="s">
        <v>741</v>
      </c>
      <c r="J90" s="1020"/>
    </row>
    <row r="91" spans="1:10" ht="15.75">
      <c r="A91" s="1007">
        <v>89</v>
      </c>
      <c r="B91" s="115" t="s">
        <v>209</v>
      </c>
      <c r="C91" s="1007"/>
      <c r="D91" s="1019">
        <v>1992</v>
      </c>
      <c r="E91" s="1019"/>
      <c r="F91" s="1019" t="s">
        <v>643</v>
      </c>
      <c r="G91" s="1014"/>
      <c r="H91" s="1007" t="s">
        <v>728</v>
      </c>
      <c r="I91" s="124" t="s">
        <v>742</v>
      </c>
      <c r="J91" s="1020"/>
    </row>
    <row r="92" spans="1:10" ht="15.75">
      <c r="A92" s="1007">
        <v>90</v>
      </c>
      <c r="B92" s="115" t="s">
        <v>327</v>
      </c>
      <c r="C92" s="1007"/>
      <c r="D92" s="1019">
        <v>2004</v>
      </c>
      <c r="E92" s="1019"/>
      <c r="F92" s="1019" t="s">
        <v>643</v>
      </c>
      <c r="G92" s="1014"/>
      <c r="H92" s="1007" t="s">
        <v>726</v>
      </c>
      <c r="I92" s="124" t="s">
        <v>697</v>
      </c>
      <c r="J92" s="1020"/>
    </row>
    <row r="93" spans="1:10" ht="15.75">
      <c r="A93" s="1007">
        <v>91</v>
      </c>
      <c r="B93" s="115" t="s">
        <v>349</v>
      </c>
      <c r="C93" s="1007"/>
      <c r="D93" s="1019">
        <v>1983</v>
      </c>
      <c r="E93" s="1019"/>
      <c r="F93" s="1019" t="s">
        <v>643</v>
      </c>
      <c r="G93" s="1014"/>
      <c r="H93" s="1007" t="s">
        <v>735</v>
      </c>
      <c r="I93" s="124" t="s">
        <v>743</v>
      </c>
      <c r="J93" s="1020"/>
    </row>
    <row r="94" spans="1:10" ht="15.75">
      <c r="A94" s="1007">
        <v>92</v>
      </c>
      <c r="B94" s="115" t="s">
        <v>276</v>
      </c>
      <c r="C94" s="1007"/>
      <c r="D94" s="1019">
        <v>1983</v>
      </c>
      <c r="E94" s="1019"/>
      <c r="F94" s="1019" t="s">
        <v>643</v>
      </c>
      <c r="G94" s="1014"/>
      <c r="H94" s="1007" t="s">
        <v>735</v>
      </c>
      <c r="I94" s="124" t="s">
        <v>744</v>
      </c>
      <c r="J94" s="1020"/>
    </row>
    <row r="95" spans="1:10" ht="15.75">
      <c r="A95" s="1007">
        <v>93</v>
      </c>
      <c r="B95" s="115" t="s">
        <v>248</v>
      </c>
      <c r="C95" s="1007"/>
      <c r="D95" s="1019">
        <v>2001</v>
      </c>
      <c r="E95" s="1019"/>
      <c r="F95" s="1019" t="s">
        <v>643</v>
      </c>
      <c r="G95" s="1014"/>
      <c r="H95" s="1007" t="s">
        <v>735</v>
      </c>
      <c r="I95" s="124" t="s">
        <v>745</v>
      </c>
      <c r="J95" s="1020"/>
    </row>
    <row r="96" spans="1:10" ht="15.75">
      <c r="A96" s="1007">
        <v>94</v>
      </c>
      <c r="B96" s="115" t="s">
        <v>265</v>
      </c>
      <c r="C96" s="1007"/>
      <c r="D96" s="1019">
        <v>1990</v>
      </c>
      <c r="E96" s="1019"/>
      <c r="F96" s="1019" t="s">
        <v>643</v>
      </c>
      <c r="G96" s="1014"/>
      <c r="H96" s="1007" t="s">
        <v>735</v>
      </c>
      <c r="I96" s="124" t="s">
        <v>746</v>
      </c>
      <c r="J96" s="1020"/>
    </row>
    <row r="97" spans="1:10">
      <c r="A97" s="1007">
        <v>95</v>
      </c>
      <c r="B97" s="115" t="s">
        <v>227</v>
      </c>
      <c r="C97" s="1007"/>
      <c r="D97" s="1019">
        <v>2005</v>
      </c>
      <c r="E97" s="1019"/>
      <c r="F97" s="1019" t="s">
        <v>652</v>
      </c>
      <c r="G97" s="1014"/>
      <c r="H97" s="1007" t="s">
        <v>735</v>
      </c>
      <c r="I97" s="124" t="s">
        <v>747</v>
      </c>
      <c r="J97" s="1019"/>
    </row>
    <row r="98" spans="1:10">
      <c r="A98" s="1007">
        <v>96</v>
      </c>
      <c r="B98" s="115" t="s">
        <v>271</v>
      </c>
      <c r="C98" s="1007"/>
      <c r="D98" s="1019">
        <v>1999</v>
      </c>
      <c r="E98" s="1019"/>
      <c r="F98" s="1019" t="s">
        <v>652</v>
      </c>
      <c r="G98" s="1014"/>
      <c r="H98" s="1007" t="s">
        <v>726</v>
      </c>
      <c r="I98" s="124" t="s">
        <v>748</v>
      </c>
      <c r="J98" s="1019"/>
    </row>
    <row r="99" spans="1:10">
      <c r="A99" s="1007">
        <v>97</v>
      </c>
      <c r="B99" s="115" t="s">
        <v>252</v>
      </c>
      <c r="C99" s="1007"/>
      <c r="D99" s="1019">
        <v>1993</v>
      </c>
      <c r="E99" s="1019"/>
      <c r="F99" s="1019" t="s">
        <v>652</v>
      </c>
      <c r="G99" s="1014"/>
      <c r="H99" s="1007" t="s">
        <v>73</v>
      </c>
      <c r="I99" s="124" t="s">
        <v>749</v>
      </c>
      <c r="J99" s="1019"/>
    </row>
    <row r="100" spans="1:10">
      <c r="A100" s="1007">
        <v>98</v>
      </c>
      <c r="B100" s="419" t="s">
        <v>253</v>
      </c>
      <c r="C100" s="1007"/>
      <c r="D100" s="1019">
        <v>1995</v>
      </c>
      <c r="E100" s="1019"/>
      <c r="F100" s="1019" t="s">
        <v>652</v>
      </c>
      <c r="G100" s="1014"/>
      <c r="H100" s="1007" t="s">
        <v>73</v>
      </c>
      <c r="I100" s="124" t="s">
        <v>750</v>
      </c>
      <c r="J100" s="1019"/>
    </row>
    <row r="101" spans="1:10">
      <c r="A101" s="1007">
        <v>99</v>
      </c>
      <c r="B101" s="419" t="s">
        <v>566</v>
      </c>
      <c r="C101" s="1007"/>
      <c r="D101" s="1019">
        <v>1991</v>
      </c>
      <c r="E101" s="1019"/>
      <c r="F101" s="1019" t="s">
        <v>652</v>
      </c>
      <c r="G101" s="1014"/>
      <c r="H101" s="1007" t="s">
        <v>735</v>
      </c>
      <c r="I101" s="124" t="s">
        <v>751</v>
      </c>
      <c r="J101" s="1019"/>
    </row>
    <row r="102" spans="1:10">
      <c r="A102" s="1007">
        <v>100</v>
      </c>
      <c r="B102" s="419" t="s">
        <v>297</v>
      </c>
      <c r="C102" s="1007"/>
      <c r="D102" s="1019">
        <v>1988</v>
      </c>
      <c r="E102" s="1019"/>
      <c r="F102" s="1019" t="s">
        <v>652</v>
      </c>
      <c r="G102" s="1007"/>
      <c r="H102" s="1007" t="s">
        <v>735</v>
      </c>
      <c r="I102" s="124" t="s">
        <v>752</v>
      </c>
      <c r="J102" s="1019"/>
    </row>
    <row r="103" spans="1:10">
      <c r="A103" s="1007">
        <v>101</v>
      </c>
      <c r="B103" s="419" t="s">
        <v>277</v>
      </c>
      <c r="C103" s="1007"/>
      <c r="D103" s="1019">
        <v>2006</v>
      </c>
      <c r="E103" s="1019"/>
      <c r="F103" s="1019" t="s">
        <v>652</v>
      </c>
      <c r="G103" s="1007"/>
      <c r="H103" s="1007" t="s">
        <v>735</v>
      </c>
      <c r="I103" s="124" t="s">
        <v>753</v>
      </c>
      <c r="J103" s="1019"/>
    </row>
    <row r="104" spans="1:10">
      <c r="A104" s="1007">
        <v>102</v>
      </c>
      <c r="B104" s="419" t="s">
        <v>567</v>
      </c>
      <c r="C104" s="1007"/>
      <c r="D104" s="1019">
        <v>1985</v>
      </c>
      <c r="E104" s="1019"/>
      <c r="F104" s="1019" t="s">
        <v>652</v>
      </c>
      <c r="G104" s="1007"/>
      <c r="H104" s="1007" t="s">
        <v>735</v>
      </c>
      <c r="I104" s="1029" t="s">
        <v>754</v>
      </c>
      <c r="J104" s="1019"/>
    </row>
    <row r="105" spans="1:10">
      <c r="A105" s="1007">
        <v>103</v>
      </c>
      <c r="B105" s="417" t="s">
        <v>335</v>
      </c>
      <c r="C105" s="1007"/>
      <c r="D105" s="1019">
        <v>1995</v>
      </c>
      <c r="E105" s="1019"/>
      <c r="F105" s="1019" t="s">
        <v>643</v>
      </c>
      <c r="G105" s="1007"/>
      <c r="H105" s="1007" t="s">
        <v>73</v>
      </c>
      <c r="I105" s="124" t="s">
        <v>755</v>
      </c>
      <c r="J105" s="1019"/>
    </row>
    <row r="106" spans="1:10">
      <c r="A106" s="1007">
        <v>104</v>
      </c>
      <c r="B106" s="419" t="s">
        <v>254</v>
      </c>
      <c r="C106" s="1007"/>
      <c r="D106" s="1019">
        <v>1986</v>
      </c>
      <c r="E106" s="1019"/>
      <c r="F106" s="1019" t="s">
        <v>652</v>
      </c>
      <c r="G106" s="1007"/>
      <c r="H106" s="1007" t="s">
        <v>735</v>
      </c>
      <c r="I106" s="124" t="s">
        <v>756</v>
      </c>
      <c r="J106" s="1019"/>
    </row>
    <row r="107" spans="1:10">
      <c r="A107" s="1007">
        <v>105</v>
      </c>
      <c r="B107" s="419" t="s">
        <v>336</v>
      </c>
      <c r="C107" s="1007"/>
      <c r="D107" s="1019">
        <v>1982</v>
      </c>
      <c r="E107" s="1019"/>
      <c r="F107" s="1019" t="s">
        <v>643</v>
      </c>
      <c r="G107" s="1007"/>
      <c r="H107" s="1007" t="s">
        <v>735</v>
      </c>
      <c r="I107" s="124" t="s">
        <v>757</v>
      </c>
      <c r="J107" s="1019"/>
    </row>
    <row r="108" spans="1:10">
      <c r="A108" s="1007">
        <v>106</v>
      </c>
      <c r="B108" s="419" t="s">
        <v>260</v>
      </c>
      <c r="C108" s="1007"/>
      <c r="D108" s="1019">
        <v>2000</v>
      </c>
      <c r="E108" s="1007"/>
      <c r="F108" s="1019" t="s">
        <v>652</v>
      </c>
      <c r="G108" s="1007"/>
      <c r="H108" s="1007" t="s">
        <v>735</v>
      </c>
      <c r="I108" s="124" t="s">
        <v>758</v>
      </c>
      <c r="J108" s="1019"/>
    </row>
    <row r="109" spans="1:10">
      <c r="A109" s="1007">
        <v>107</v>
      </c>
      <c r="B109" s="419" t="s">
        <v>272</v>
      </c>
      <c r="C109" s="1007"/>
      <c r="D109" s="1019">
        <v>2003</v>
      </c>
      <c r="E109" s="1007"/>
      <c r="F109" s="1019" t="s">
        <v>643</v>
      </c>
      <c r="G109" s="1007"/>
      <c r="H109" s="1007" t="s">
        <v>73</v>
      </c>
      <c r="I109" s="124" t="s">
        <v>759</v>
      </c>
      <c r="J109" s="1007"/>
    </row>
    <row r="110" spans="1:10">
      <c r="A110" s="1007">
        <v>108</v>
      </c>
      <c r="B110" s="419" t="s">
        <v>337</v>
      </c>
      <c r="C110" s="1007"/>
      <c r="D110" s="1019">
        <v>1998</v>
      </c>
      <c r="E110" s="1007"/>
      <c r="F110" s="1019" t="s">
        <v>643</v>
      </c>
      <c r="G110" s="1007"/>
      <c r="H110" s="1007" t="s">
        <v>726</v>
      </c>
      <c r="I110" s="124" t="s">
        <v>760</v>
      </c>
      <c r="J110" s="1007"/>
    </row>
    <row r="111" spans="1:10">
      <c r="A111" s="1007">
        <v>109</v>
      </c>
      <c r="B111" s="419" t="s">
        <v>568</v>
      </c>
      <c r="C111" s="1007"/>
      <c r="D111" s="1019">
        <v>1975</v>
      </c>
      <c r="E111" s="1007"/>
      <c r="F111" s="1019" t="s">
        <v>643</v>
      </c>
      <c r="G111" s="1007"/>
      <c r="H111" s="1007" t="s">
        <v>726</v>
      </c>
      <c r="I111" s="124" t="s">
        <v>761</v>
      </c>
      <c r="J111" s="1007"/>
    </row>
    <row r="112" spans="1:10">
      <c r="A112" s="1007">
        <v>110</v>
      </c>
      <c r="B112" s="419" t="s">
        <v>338</v>
      </c>
      <c r="C112" s="1007"/>
      <c r="D112" s="1019">
        <v>1999</v>
      </c>
      <c r="E112" s="1007"/>
      <c r="F112" s="1019" t="s">
        <v>652</v>
      </c>
      <c r="G112" s="1007"/>
      <c r="H112" s="1007" t="s">
        <v>735</v>
      </c>
      <c r="I112" s="124" t="s">
        <v>762</v>
      </c>
      <c r="J112" s="1007"/>
    </row>
    <row r="113" spans="1:10">
      <c r="A113" s="1007">
        <v>111</v>
      </c>
      <c r="B113" s="419" t="s">
        <v>261</v>
      </c>
      <c r="C113" s="1007"/>
      <c r="D113" s="1019">
        <v>1999</v>
      </c>
      <c r="E113" s="1007"/>
      <c r="F113" s="1019" t="s">
        <v>643</v>
      </c>
      <c r="G113" s="1007"/>
      <c r="H113" s="1007" t="s">
        <v>726</v>
      </c>
      <c r="I113" s="124" t="s">
        <v>763</v>
      </c>
      <c r="J113" s="1007"/>
    </row>
    <row r="114" spans="1:10">
      <c r="A114" s="1007">
        <v>112</v>
      </c>
      <c r="B114" s="419" t="s">
        <v>334</v>
      </c>
      <c r="C114" s="1007"/>
      <c r="D114" s="1019">
        <v>1998</v>
      </c>
      <c r="E114" s="1007"/>
      <c r="F114" s="1019" t="s">
        <v>652</v>
      </c>
      <c r="G114" s="1007"/>
      <c r="H114" s="1007" t="s">
        <v>726</v>
      </c>
      <c r="I114" s="124" t="s">
        <v>764</v>
      </c>
      <c r="J114" s="1007"/>
    </row>
    <row r="115" spans="1:10">
      <c r="A115" s="1007">
        <v>113</v>
      </c>
      <c r="B115" s="419" t="s">
        <v>262</v>
      </c>
      <c r="C115" s="1007"/>
      <c r="D115" s="1019">
        <v>1989</v>
      </c>
      <c r="E115" s="1007"/>
      <c r="F115" s="1019" t="s">
        <v>643</v>
      </c>
      <c r="G115" s="1007"/>
      <c r="H115" s="1007" t="s">
        <v>735</v>
      </c>
      <c r="I115" s="124" t="s">
        <v>765</v>
      </c>
      <c r="J115" s="1007"/>
    </row>
    <row r="116" spans="1:10">
      <c r="A116" s="1007">
        <v>114</v>
      </c>
      <c r="B116" s="417" t="s">
        <v>204</v>
      </c>
      <c r="C116" s="1007"/>
      <c r="D116" s="1019">
        <v>1979</v>
      </c>
      <c r="E116" s="1007"/>
      <c r="F116" s="1019" t="s">
        <v>652</v>
      </c>
      <c r="G116" s="1007"/>
      <c r="H116" s="1007" t="s">
        <v>735</v>
      </c>
      <c r="I116" s="124" t="s">
        <v>766</v>
      </c>
      <c r="J116" s="1007"/>
    </row>
    <row r="117" spans="1:10">
      <c r="A117" s="1007">
        <v>115</v>
      </c>
      <c r="B117" s="124" t="s">
        <v>569</v>
      </c>
      <c r="C117" s="1007"/>
      <c r="D117" s="1019">
        <v>2006</v>
      </c>
      <c r="E117" s="1007"/>
      <c r="F117" s="1019" t="s">
        <v>643</v>
      </c>
      <c r="G117" s="1007"/>
      <c r="H117" s="1007" t="s">
        <v>735</v>
      </c>
      <c r="I117" s="124" t="s">
        <v>767</v>
      </c>
      <c r="J117" s="1007"/>
    </row>
    <row r="118" spans="1:10">
      <c r="A118" s="1007">
        <v>116</v>
      </c>
      <c r="B118" s="419" t="s">
        <v>101</v>
      </c>
      <c r="C118" s="1007"/>
      <c r="D118" s="1019">
        <v>1982</v>
      </c>
      <c r="E118" s="1007"/>
      <c r="F118" s="1019" t="s">
        <v>643</v>
      </c>
      <c r="G118" s="1007"/>
      <c r="H118" s="1007" t="s">
        <v>73</v>
      </c>
      <c r="I118" s="124" t="s">
        <v>768</v>
      </c>
      <c r="J118" s="1007"/>
    </row>
    <row r="119" spans="1:10">
      <c r="A119" s="1007">
        <v>117</v>
      </c>
      <c r="B119" s="419" t="s">
        <v>343</v>
      </c>
      <c r="C119" s="1007"/>
      <c r="D119" s="1019">
        <v>2006</v>
      </c>
      <c r="E119" s="1007"/>
      <c r="F119" s="1019" t="s">
        <v>643</v>
      </c>
      <c r="G119" s="1007"/>
      <c r="H119" s="1007" t="s">
        <v>726</v>
      </c>
      <c r="I119" s="124" t="s">
        <v>769</v>
      </c>
      <c r="J119" s="1007"/>
    </row>
    <row r="120" spans="1:10">
      <c r="A120" s="1007">
        <v>118</v>
      </c>
      <c r="B120" s="419" t="s">
        <v>210</v>
      </c>
      <c r="C120" s="1007"/>
      <c r="D120" s="1019">
        <v>2001</v>
      </c>
      <c r="E120" s="1007"/>
      <c r="F120" s="1019" t="s">
        <v>643</v>
      </c>
      <c r="G120" s="1007"/>
      <c r="H120" s="1007" t="s">
        <v>73</v>
      </c>
      <c r="I120" s="124" t="s">
        <v>770</v>
      </c>
      <c r="J120" s="1007"/>
    </row>
    <row r="121" spans="1:10">
      <c r="A121" s="1007">
        <v>119</v>
      </c>
      <c r="B121" s="419" t="s">
        <v>339</v>
      </c>
      <c r="C121" s="1007"/>
      <c r="D121" s="1019">
        <v>2006</v>
      </c>
      <c r="E121" s="1007"/>
      <c r="F121" s="1019" t="s">
        <v>643</v>
      </c>
      <c r="G121" s="1007"/>
      <c r="H121" s="1007" t="s">
        <v>726</v>
      </c>
      <c r="I121" s="124" t="s">
        <v>771</v>
      </c>
      <c r="J121" s="1007"/>
    </row>
    <row r="122" spans="1:10">
      <c r="A122" s="1007">
        <v>120</v>
      </c>
      <c r="B122" s="419" t="s">
        <v>263</v>
      </c>
      <c r="C122" s="1007"/>
      <c r="D122" s="1019">
        <v>1990</v>
      </c>
      <c r="E122" s="1007"/>
      <c r="F122" s="1019" t="s">
        <v>643</v>
      </c>
      <c r="G122" s="1007"/>
      <c r="H122" s="1007" t="s">
        <v>726</v>
      </c>
      <c r="I122" s="124" t="s">
        <v>772</v>
      </c>
      <c r="J122" s="1007"/>
    </row>
    <row r="123" spans="1:10">
      <c r="A123" s="1007">
        <v>121</v>
      </c>
      <c r="B123" s="419" t="s">
        <v>570</v>
      </c>
      <c r="C123" s="1007"/>
      <c r="D123" s="1019">
        <v>1981</v>
      </c>
      <c r="E123" s="1007"/>
      <c r="F123" s="1019" t="s">
        <v>643</v>
      </c>
      <c r="G123" s="1007"/>
      <c r="H123" s="1007" t="s">
        <v>735</v>
      </c>
      <c r="I123" s="124" t="s">
        <v>773</v>
      </c>
      <c r="J123" s="1007"/>
    </row>
    <row r="124" spans="1:10">
      <c r="A124" s="1007">
        <v>122</v>
      </c>
      <c r="B124" s="419" t="s">
        <v>211</v>
      </c>
      <c r="C124" s="1007"/>
      <c r="D124" s="1019">
        <v>1998</v>
      </c>
      <c r="E124" s="1007"/>
      <c r="F124" s="1019" t="s">
        <v>643</v>
      </c>
      <c r="G124" s="1007"/>
      <c r="H124" s="1007" t="s">
        <v>73</v>
      </c>
      <c r="I124" s="124" t="s">
        <v>774</v>
      </c>
      <c r="J124" s="1007"/>
    </row>
    <row r="125" spans="1:10">
      <c r="A125" s="1007">
        <v>123</v>
      </c>
      <c r="B125" s="419" t="s">
        <v>264</v>
      </c>
      <c r="C125" s="1007"/>
      <c r="D125" s="1019">
        <v>1992</v>
      </c>
      <c r="E125" s="1007"/>
      <c r="F125" s="1019" t="s">
        <v>652</v>
      </c>
      <c r="G125" s="1007"/>
      <c r="H125" s="1007" t="s">
        <v>726</v>
      </c>
      <c r="I125" s="124" t="s">
        <v>775</v>
      </c>
      <c r="J125" s="1007"/>
    </row>
    <row r="126" spans="1:10">
      <c r="A126" s="1007">
        <v>124</v>
      </c>
      <c r="B126" s="419" t="s">
        <v>340</v>
      </c>
      <c r="C126" s="1007"/>
      <c r="D126" s="1019">
        <v>2005</v>
      </c>
      <c r="E126" s="1007"/>
      <c r="F126" s="1019" t="s">
        <v>643</v>
      </c>
      <c r="G126" s="1007"/>
      <c r="H126" s="1007" t="s">
        <v>726</v>
      </c>
      <c r="I126" s="124" t="s">
        <v>776</v>
      </c>
      <c r="J126" s="1007"/>
    </row>
    <row r="127" spans="1:10">
      <c r="A127" s="1007">
        <v>125</v>
      </c>
      <c r="B127" s="419" t="s">
        <v>341</v>
      </c>
      <c r="C127" s="1007"/>
      <c r="D127" s="1019">
        <v>2001</v>
      </c>
      <c r="E127" s="1007"/>
      <c r="F127" s="1019" t="s">
        <v>643</v>
      </c>
      <c r="G127" s="1007"/>
      <c r="H127" s="1007" t="s">
        <v>726</v>
      </c>
      <c r="I127" s="124" t="s">
        <v>777</v>
      </c>
      <c r="J127" s="1007"/>
    </row>
    <row r="128" spans="1:10">
      <c r="A128" s="1007">
        <v>126</v>
      </c>
      <c r="B128" s="419" t="s">
        <v>342</v>
      </c>
      <c r="C128" s="1007"/>
      <c r="D128" s="1019">
        <v>2001</v>
      </c>
      <c r="E128" s="1007"/>
      <c r="F128" s="1019" t="s">
        <v>643</v>
      </c>
      <c r="G128" s="1007"/>
      <c r="H128" s="1007" t="s">
        <v>726</v>
      </c>
      <c r="I128" s="124" t="s">
        <v>778</v>
      </c>
      <c r="J128" s="1007"/>
    </row>
    <row r="129" spans="1:10">
      <c r="A129" s="1007">
        <v>127</v>
      </c>
      <c r="B129" s="419" t="s">
        <v>571</v>
      </c>
      <c r="C129" s="1007"/>
      <c r="D129" s="1019">
        <v>2002</v>
      </c>
      <c r="E129" s="1007"/>
      <c r="F129" s="1019" t="s">
        <v>652</v>
      </c>
      <c r="G129" s="1007"/>
      <c r="H129" s="1007" t="s">
        <v>726</v>
      </c>
      <c r="I129" s="124" t="s">
        <v>779</v>
      </c>
      <c r="J129" s="1007"/>
    </row>
    <row r="130" spans="1:10">
      <c r="A130" s="1007">
        <v>128</v>
      </c>
      <c r="B130" s="419" t="s">
        <v>350</v>
      </c>
      <c r="C130" s="1007"/>
      <c r="D130" s="1019">
        <v>2001</v>
      </c>
      <c r="E130" s="1007"/>
      <c r="F130" s="1019" t="s">
        <v>643</v>
      </c>
      <c r="G130" s="1007"/>
      <c r="H130" s="1007" t="s">
        <v>726</v>
      </c>
      <c r="I130" s="124" t="s">
        <v>780</v>
      </c>
      <c r="J130" s="1007"/>
    </row>
    <row r="131" spans="1:10">
      <c r="A131" s="1007">
        <v>129</v>
      </c>
      <c r="B131" s="419" t="s">
        <v>572</v>
      </c>
      <c r="C131" s="1007"/>
      <c r="D131" s="1019">
        <v>1982</v>
      </c>
      <c r="E131" s="1007"/>
      <c r="F131" s="1019" t="s">
        <v>652</v>
      </c>
      <c r="G131" s="1007"/>
      <c r="H131" s="1007" t="s">
        <v>726</v>
      </c>
      <c r="I131" s="124" t="s">
        <v>781</v>
      </c>
      <c r="J131" s="1007"/>
    </row>
    <row r="132" spans="1:10">
      <c r="A132" s="1007">
        <v>130</v>
      </c>
      <c r="B132" s="419" t="s">
        <v>274</v>
      </c>
      <c r="C132" s="1007"/>
      <c r="D132" s="1019">
        <v>1997</v>
      </c>
      <c r="E132" s="1007"/>
      <c r="F132" s="1019" t="s">
        <v>643</v>
      </c>
      <c r="G132" s="1007"/>
      <c r="H132" s="1007" t="s">
        <v>726</v>
      </c>
      <c r="I132" s="124" t="s">
        <v>782</v>
      </c>
      <c r="J132" s="1007"/>
    </row>
    <row r="133" spans="1:10">
      <c r="A133" s="1007">
        <v>131</v>
      </c>
      <c r="B133" s="419" t="s">
        <v>573</v>
      </c>
      <c r="C133" s="1007"/>
      <c r="D133" s="1019">
        <v>1997</v>
      </c>
      <c r="E133" s="1007"/>
      <c r="F133" s="1019" t="s">
        <v>643</v>
      </c>
      <c r="G133" s="1007"/>
      <c r="H133" s="1007" t="s">
        <v>726</v>
      </c>
      <c r="I133" s="124" t="s">
        <v>783</v>
      </c>
      <c r="J133" s="1007"/>
    </row>
    <row r="134" spans="1:10">
      <c r="A134" s="1007">
        <v>132</v>
      </c>
      <c r="B134" s="419" t="s">
        <v>574</v>
      </c>
      <c r="C134" s="1007"/>
      <c r="D134" s="1019">
        <v>2000</v>
      </c>
      <c r="E134" s="1007"/>
      <c r="F134" s="1019" t="s">
        <v>643</v>
      </c>
      <c r="G134" s="1007"/>
      <c r="H134" s="1007" t="s">
        <v>726</v>
      </c>
      <c r="I134" s="124" t="s">
        <v>784</v>
      </c>
      <c r="J134" s="1007"/>
    </row>
    <row r="135" spans="1:10">
      <c r="A135" s="1007">
        <v>133</v>
      </c>
    </row>
    <row r="136" spans="1:10">
      <c r="A136" s="1007">
        <v>134</v>
      </c>
    </row>
    <row r="137" spans="1:10">
      <c r="A137" s="1007">
        <v>135</v>
      </c>
    </row>
  </sheetData>
  <mergeCells count="2">
    <mergeCell ref="B2:D2"/>
    <mergeCell ref="B76:D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15</vt:i4>
      </vt:variant>
    </vt:vector>
  </HeadingPairs>
  <TitlesOfParts>
    <vt:vector size="40" baseType="lpstr">
      <vt:lpstr>Chấm công KT</vt:lpstr>
      <vt:lpstr>BTH mủ tạp</vt:lpstr>
      <vt:lpstr>BTH mủ Sỉum</vt:lpstr>
      <vt:lpstr>TONGHOPCONGDOI</vt:lpstr>
      <vt:lpstr>Trạm 1</vt:lpstr>
      <vt:lpstr>Trạm 2</vt:lpstr>
      <vt:lpstr>CNKT </vt:lpstr>
      <vt:lpstr>Lương bảo vệ </vt:lpstr>
      <vt:lpstr>lương gián tiếp</vt:lpstr>
      <vt:lpstr>LƯƠNG CN TRỰC TIẾP </vt:lpstr>
      <vt:lpstr>Tỉ lệ hoàn thành </vt:lpstr>
      <vt:lpstr>Phân toán  </vt:lpstr>
      <vt:lpstr>BTH CVK</vt:lpstr>
      <vt:lpstr>TT CVK</vt:lpstr>
      <vt:lpstr>PLcon (2)</vt:lpstr>
      <vt:lpstr>DSN Thuê</vt:lpstr>
      <vt:lpstr>tiền TB </vt:lpstr>
      <vt:lpstr>Hổ trợ vi gô </vt:lpstr>
      <vt:lpstr>Thanh toán XX</vt:lpstr>
      <vt:lpstr>PC xăng xe T4</vt:lpstr>
      <vt:lpstr>PLcon NT</vt:lpstr>
      <vt:lpstr>Phân Toán CVK</vt:lpstr>
      <vt:lpstr>Bảng ĐP - BV  </vt:lpstr>
      <vt:lpstr>Bảng CC - NV</vt:lpstr>
      <vt:lpstr>Mã số nhân viên</vt:lpstr>
      <vt:lpstr>'BTH mủ tạp'!Print_Area</vt:lpstr>
      <vt:lpstr>'CNKT '!Print_Area</vt:lpstr>
      <vt:lpstr>TONGHOPCONGDOI!Print_Area</vt:lpstr>
      <vt:lpstr>'BTH mủ tạp'!Print_Titles</vt:lpstr>
      <vt:lpstr>'CNKT '!Print_Titles</vt:lpstr>
      <vt:lpstr>'Chấm công KT'!Print_Titles</vt:lpstr>
      <vt:lpstr>'LƯƠNG CN TRỰC TIẾP '!Print_Titles</vt:lpstr>
      <vt:lpstr>'PC xăng xe T4'!Print_Titles</vt:lpstr>
      <vt:lpstr>'Phân toán  '!Print_Titles</vt:lpstr>
      <vt:lpstr>'Phân Toán CVK'!Print_Titles</vt:lpstr>
      <vt:lpstr>'tiền TB '!Print_Titles</vt:lpstr>
      <vt:lpstr>TONGHOPCONGDOI!Print_Titles</vt:lpstr>
      <vt:lpstr>'Thanh toán XX'!Print_Titles</vt:lpstr>
      <vt:lpstr>'Trạm 1'!Print_Titles</vt:lpstr>
      <vt:lpstr>'Trạm 2'!Print_Titles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2025-07-01T10:04:10Z</cp:lastPrinted>
  <dcterms:created xsi:type="dcterms:W3CDTF">2016-08-22T04:16:23Z</dcterms:created>
  <dcterms:modified xsi:type="dcterms:W3CDTF">2026-01-28T07:35:48Z</dcterms:modified>
</cp:coreProperties>
</file>