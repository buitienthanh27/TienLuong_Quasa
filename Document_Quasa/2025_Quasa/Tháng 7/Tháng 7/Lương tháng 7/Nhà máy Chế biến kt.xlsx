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20" windowWidth="22995" windowHeight="921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E4" i="1" l="1"/>
  <c r="C12" i="1" l="1"/>
  <c r="E14" i="1" l="1"/>
  <c r="E13" i="1"/>
  <c r="E12" i="1"/>
  <c r="E11" i="1"/>
  <c r="E10" i="1"/>
  <c r="E21" i="1"/>
  <c r="E20" i="1"/>
  <c r="E5" i="1"/>
  <c r="E17" i="1"/>
  <c r="E16" i="1"/>
  <c r="E9" i="1"/>
  <c r="E8" i="1"/>
  <c r="E23" i="1" l="1"/>
</calcChain>
</file>

<file path=xl/sharedStrings.xml><?xml version="1.0" encoding="utf-8"?>
<sst xmlns="http://schemas.openxmlformats.org/spreadsheetml/2006/main" count="26" uniqueCount="22">
  <si>
    <t xml:space="preserve">tỉ giá </t>
  </si>
  <si>
    <t>Trạm cán</t>
  </si>
  <si>
    <t>SL (tấn)</t>
  </si>
  <si>
    <t>Đơn giá</t>
  </si>
  <si>
    <t>Chế biến svr10</t>
  </si>
  <si>
    <t>Ca ngày</t>
  </si>
  <si>
    <t>Đơn giá bath</t>
  </si>
  <si>
    <t>TT kíp</t>
  </si>
  <si>
    <t>Ca đêm</t>
  </si>
  <si>
    <t>Chế biến svr10 mix</t>
  </si>
  <si>
    <t>SL người</t>
  </si>
  <si>
    <t>Lương tạp vụ (2500/tháng)</t>
  </si>
  <si>
    <t>Lương cb cnv (6500/tháng)</t>
  </si>
  <si>
    <t xml:space="preserve">Phụ cấp </t>
  </si>
  <si>
    <t>Phụ cấp x1 50.000k/ngày</t>
  </si>
  <si>
    <t>Phụ cấp x2 50.000k/ngày</t>
  </si>
  <si>
    <t xml:space="preserve">Phụ cấp SL 20.000/công </t>
  </si>
  <si>
    <t>Phụ cấp tổ trưởng 1tr/ng</t>
  </si>
  <si>
    <t>Phụ cấp tháng 300.000/người</t>
  </si>
  <si>
    <t>Trạm cán 1</t>
  </si>
  <si>
    <t>Trạm cán 2</t>
  </si>
  <si>
    <t>Trạm cán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</si>
</sst>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\ _₫_-;\-* #,##0.00\ _₫_-;_-* &quot;-&quot;??\ _₫_-;_-@_-"/>
    <numFmt numFmtId="187" formatCode="_-* #,##0\ _₫_-;\-* #,##0\ _₫_-;_-* &quot;-&quot;??\ _₫_-;_-@_-"/>
  </numFmts>
  <fonts count="2" x14ac:knownFonts="1">
    <font>
      <sz val="11"/>
      <color theme="1"/>
      <name val="Tahoma"/>
      <family val="2"/>
      <charset val="163"/>
      <scheme val="minor"/>
    </font>
    <font>
      <sz val="11"/>
      <color theme="1"/>
      <name val="Tahoma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87" fontId="0" fillId="0" borderId="0" xfId="1" applyNumberFormat="1" applyFont="1"/>
    <xf numFmtId="0" fontId="0" fillId="0" borderId="0" xfId="0" applyAlignment="1">
      <alignment horizontal="center"/>
    </xf>
    <xf numFmtId="0" fontId="0" fillId="2" borderId="0" xfId="0" applyFill="1"/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tabSelected="1" topLeftCell="A10" workbookViewId="0">
      <selection activeCell="E31" sqref="E31"/>
    </sheetView>
  </sheetViews>
  <sheetFormatPr defaultRowHeight="14.25" x14ac:dyDescent="0.2"/>
  <cols>
    <col min="2" max="2" width="26.125" customWidth="1"/>
    <col min="3" max="3" width="9.5" bestFit="1" customWidth="1"/>
    <col min="4" max="4" width="15.25" customWidth="1"/>
    <col min="5" max="5" width="13.875" customWidth="1"/>
  </cols>
  <sheetData>
    <row r="1" spans="1:7" x14ac:dyDescent="0.2">
      <c r="F1" t="s">
        <v>0</v>
      </c>
      <c r="G1">
        <v>668.84</v>
      </c>
    </row>
    <row r="2" spans="1:7" x14ac:dyDescent="0.2">
      <c r="C2" t="s">
        <v>2</v>
      </c>
      <c r="D2" t="s">
        <v>6</v>
      </c>
      <c r="E2" t="s">
        <v>7</v>
      </c>
    </row>
    <row r="3" spans="1:7" x14ac:dyDescent="0.2">
      <c r="B3" s="3" t="s">
        <v>1</v>
      </c>
    </row>
    <row r="4" spans="1:7" x14ac:dyDescent="0.2">
      <c r="B4" t="s">
        <v>5</v>
      </c>
      <c r="C4">
        <v>98.873000000000005</v>
      </c>
      <c r="D4">
        <v>123.1</v>
      </c>
      <c r="E4" s="1">
        <f>C4*D4*$G$1</f>
        <v>8140629.7520920001</v>
      </c>
    </row>
    <row r="5" spans="1:7" x14ac:dyDescent="0.2">
      <c r="B5" t="s">
        <v>8</v>
      </c>
      <c r="D5">
        <v>153.80000000000001</v>
      </c>
      <c r="E5">
        <f>C5*D5*$G$1</f>
        <v>0</v>
      </c>
    </row>
    <row r="6" spans="1:7" x14ac:dyDescent="0.2">
      <c r="B6" t="s">
        <v>13</v>
      </c>
      <c r="E6" s="1">
        <v>4000000</v>
      </c>
      <c r="F6">
        <v>1280000</v>
      </c>
    </row>
    <row r="7" spans="1:7" x14ac:dyDescent="0.2">
      <c r="B7" s="3" t="s">
        <v>4</v>
      </c>
    </row>
    <row r="8" spans="1:7" x14ac:dyDescent="0.2">
      <c r="A8" s="4"/>
      <c r="B8" t="s">
        <v>5</v>
      </c>
      <c r="C8" s="1">
        <v>733.56500000000005</v>
      </c>
      <c r="D8" s="1">
        <v>169.2</v>
      </c>
      <c r="E8" s="1">
        <f>C8*D8*$G$1</f>
        <v>83015884.390320003</v>
      </c>
    </row>
    <row r="9" spans="1:7" x14ac:dyDescent="0.2">
      <c r="A9" s="4"/>
      <c r="B9" t="s">
        <v>8</v>
      </c>
      <c r="C9" s="1">
        <v>537.88000000000011</v>
      </c>
      <c r="D9" s="1">
        <v>200</v>
      </c>
      <c r="E9" s="1">
        <f>C9*D9*$G$1</f>
        <v>71951131.840000018</v>
      </c>
    </row>
    <row r="10" spans="1:7" x14ac:dyDescent="0.2">
      <c r="A10" s="2"/>
      <c r="B10" t="s">
        <v>14</v>
      </c>
      <c r="C10" s="1">
        <v>22</v>
      </c>
      <c r="D10" s="1">
        <v>50000</v>
      </c>
      <c r="E10" s="1">
        <f>C10*D10</f>
        <v>1100000</v>
      </c>
    </row>
    <row r="11" spans="1:7" x14ac:dyDescent="0.2">
      <c r="A11" s="2"/>
      <c r="B11" t="s">
        <v>15</v>
      </c>
      <c r="C11" s="1">
        <v>22</v>
      </c>
      <c r="D11" s="1">
        <v>50000</v>
      </c>
      <c r="E11" s="1">
        <f>C11*D11</f>
        <v>1100000</v>
      </c>
    </row>
    <row r="12" spans="1:7" x14ac:dyDescent="0.2">
      <c r="A12" s="2"/>
      <c r="B12" t="s">
        <v>16</v>
      </c>
      <c r="C12" s="1">
        <f>60*22</f>
        <v>1320</v>
      </c>
      <c r="D12" s="1">
        <v>20000</v>
      </c>
      <c r="E12" s="1">
        <f>C12*D12</f>
        <v>26400000</v>
      </c>
    </row>
    <row r="13" spans="1:7" x14ac:dyDescent="0.2">
      <c r="A13" s="2"/>
      <c r="B13" t="s">
        <v>18</v>
      </c>
      <c r="C13" s="1">
        <v>60</v>
      </c>
      <c r="D13" s="1">
        <v>300000</v>
      </c>
      <c r="E13" s="1">
        <f>C13*D13</f>
        <v>18000000</v>
      </c>
    </row>
    <row r="14" spans="1:7" x14ac:dyDescent="0.2">
      <c r="A14" s="2"/>
      <c r="B14" t="s">
        <v>17</v>
      </c>
      <c r="C14" s="1">
        <v>4</v>
      </c>
      <c r="D14" s="1">
        <v>1000000</v>
      </c>
      <c r="E14" s="1">
        <f>C14*D14</f>
        <v>4000000</v>
      </c>
    </row>
    <row r="15" spans="1:7" x14ac:dyDescent="0.2">
      <c r="B15" s="3" t="s">
        <v>9</v>
      </c>
      <c r="E15" s="1"/>
    </row>
    <row r="16" spans="1:7" x14ac:dyDescent="0.2">
      <c r="B16" t="s">
        <v>5</v>
      </c>
      <c r="C16">
        <v>0.56000000000000005</v>
      </c>
      <c r="D16">
        <v>230.6</v>
      </c>
      <c r="E16" s="1">
        <f>C16*D16*$G$1</f>
        <v>86371.322239999994</v>
      </c>
    </row>
    <row r="17" spans="2:5" x14ac:dyDescent="0.2">
      <c r="B17" t="s">
        <v>8</v>
      </c>
      <c r="C17">
        <v>0</v>
      </c>
      <c r="D17">
        <v>261.3</v>
      </c>
      <c r="E17" s="1">
        <f>C17*D17*$G$1</f>
        <v>0</v>
      </c>
    </row>
    <row r="19" spans="2:5" x14ac:dyDescent="0.2">
      <c r="C19" t="s">
        <v>10</v>
      </c>
      <c r="D19" t="s">
        <v>3</v>
      </c>
    </row>
    <row r="20" spans="2:5" x14ac:dyDescent="0.2">
      <c r="B20" t="s">
        <v>11</v>
      </c>
      <c r="C20">
        <v>3</v>
      </c>
      <c r="D20" s="1">
        <v>2500000</v>
      </c>
      <c r="E20" s="1">
        <f>C20*D20</f>
        <v>7500000</v>
      </c>
    </row>
    <row r="21" spans="2:5" x14ac:dyDescent="0.2">
      <c r="B21" t="s">
        <v>12</v>
      </c>
      <c r="C21">
        <v>9</v>
      </c>
      <c r="D21" s="1">
        <v>6500000</v>
      </c>
      <c r="E21" s="1">
        <f>C21*D21</f>
        <v>58500000</v>
      </c>
    </row>
    <row r="22" spans="2:5" x14ac:dyDescent="0.2">
      <c r="E22" s="1"/>
    </row>
    <row r="23" spans="2:5" x14ac:dyDescent="0.2">
      <c r="E23" s="1">
        <f>SUM(E3:E21)+F6</f>
        <v>285074017.30465204</v>
      </c>
    </row>
    <row r="25" spans="2:5" x14ac:dyDescent="0.2">
      <c r="B25" t="s">
        <v>19</v>
      </c>
    </row>
    <row r="26" spans="2:5" x14ac:dyDescent="0.2">
      <c r="B26" t="s">
        <v>20</v>
      </c>
    </row>
    <row r="27" spans="2:5" x14ac:dyDescent="0.2">
      <c r="B27" t="s">
        <v>21</v>
      </c>
    </row>
  </sheetData>
  <mergeCells count="1">
    <mergeCell ref="A8:A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2025-05-02T03:02:18Z</dcterms:created>
  <dcterms:modified xsi:type="dcterms:W3CDTF">2025-07-28T07:38:35Z</dcterms:modified>
</cp:coreProperties>
</file>